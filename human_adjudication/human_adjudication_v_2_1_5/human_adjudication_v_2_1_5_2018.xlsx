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C_jama.2017.21906" sheetId="4" state="visible" r:id="rId4"/>
    <sheet name="C_jama.2018.0156" sheetId="5" state="visible" r:id="rId5"/>
    <sheet name="C_jama.2018.0948" sheetId="6" state="visible" r:id="rId6"/>
    <sheet name="C_jama.2018.14280" sheetId="7" state="visible" r:id="rId7"/>
    <sheet name="C_jama.2018.14282" sheetId="8" state="visible" r:id="rId8"/>
    <sheet name="C_jama.2018.17075" sheetId="9" state="visible" r:id="rId9"/>
    <sheet name="C_jama.2018.18020" sheetId="10" state="visible" r:id="rId10"/>
    <sheet name="C_jama.2018.6496" sheetId="11" state="visible" r:id="rId11"/>
    <sheet name="C_jama.2018.8802" sheetId="12" state="visible" r:id="rId12"/>
    <sheet name="C_jama.2018.9128" sheetId="13" state="visible" r:id="rId13"/>
    <sheet name="Candidates" sheetId="14" state="visible" r:id="rId14"/>
    <sheet name="Evidence" sheetId="15" state="visible" r:id="rId15"/>
    <sheet name="Codebook" sheetId="16" state="visible" r:id="rId16"/>
    <sheet name="Manifest" sheetId="17" state="hidden" r:id="rId17"/>
    <sheet name="Links" sheetId="18" state="hidden" r:id="rId18"/>
    <sheet name="Relations" sheetId="19" state="hidden" r:id="rId19"/>
  </sheets>
  <definedNames>
    <definedName name="opt_disposition">'Codebook'!$B$10:$B$12</definedName>
    <definedName name="opt_domain">'Codebook'!$B$14:$B$17</definedName>
    <definedName name="opt_reviewComplete">'Codebook'!$B$19:$B$20</definedName>
    <definedName name="opt_statisticalErrorStatus">'Codebook'!$B$26:$B$30</definedName>
    <definedName name="opt_substantiveStatus">'Codebook'!$B$32:$B$35</definedName>
    <definedName name="opt_downstreamImpact">'Codebook'!$B$37:$B$42</definedName>
    <definedName name="opt_internalStatus">'Codebook'!$B$45:$B$50</definedName>
    <definedName name="opt_protocolInterpretation">'Codebook'!$B$53:$B$59</definedName>
    <definedName name="opt_checkStatus">'Codebook'!$B$62:$B$65</definedName>
    <definedName name="opt_resolutionStatus">'Codebook'!$B$68:$B$69</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'C_jama.2017.21906'!$A$1:$S$7</definedName>
    <definedName name="_xlnm.Print_Titles" localSheetId="3">'C_jama.2017.21906'!$1:$1</definedName>
    <definedName name="_xlnm._FilterDatabase" localSheetId="4" hidden="1">'C_jama.2018.0156'!$A$1:$S$9</definedName>
    <definedName name="_xlnm.Print_Titles" localSheetId="4">'C_jama.2018.0156'!$1:$1</definedName>
    <definedName name="_xlnm._FilterDatabase" localSheetId="5" hidden="1">'C_jama.2018.0948'!$A$1:$S$8</definedName>
    <definedName name="_xlnm.Print_Titles" localSheetId="5">'C_jama.2018.0948'!$1:$1</definedName>
    <definedName name="_xlnm._FilterDatabase" localSheetId="6" hidden="1">'C_jama.2018.14280'!$A$1:$S$24</definedName>
    <definedName name="_xlnm.Print_Titles" localSheetId="6">'C_jama.2018.14280'!$1:$1</definedName>
    <definedName name="_xlnm._FilterDatabase" localSheetId="7" hidden="1">'C_jama.2018.14282'!$A$1:$S$29</definedName>
    <definedName name="_xlnm.Print_Titles" localSheetId="7">'C_jama.2018.14282'!$1:$1</definedName>
    <definedName name="_xlnm._FilterDatabase" localSheetId="8" hidden="1">'C_jama.2018.17075'!$A$1:$S$9</definedName>
    <definedName name="_xlnm.Print_Titles" localSheetId="8">'C_jama.2018.17075'!$1:$1</definedName>
    <definedName name="_xlnm._FilterDatabase" localSheetId="9" hidden="1">'C_jama.2018.18020'!$A$1:$S$15</definedName>
    <definedName name="_xlnm.Print_Titles" localSheetId="9">'C_jama.2018.18020'!$1:$1</definedName>
    <definedName name="_xlnm._FilterDatabase" localSheetId="10" hidden="1">'C_jama.2018.6496'!$A$1:$S$5</definedName>
    <definedName name="_xlnm.Print_Titles" localSheetId="10">'C_jama.2018.6496'!$1:$1</definedName>
    <definedName name="_xlnm._FilterDatabase" localSheetId="11" hidden="1">'C_jama.2018.8802'!$A$1:$S$9</definedName>
    <definedName name="_xlnm.Print_Titles" localSheetId="11">'C_jama.2018.8802'!$1:$1</definedName>
    <definedName name="_xlnm._FilterDatabase" localSheetId="12" hidden="1">'C_jama.2018.9128'!$A$1:$S$14</definedName>
    <definedName name="_xlnm.Print_Titles" localSheetId="12">'C_jama.2018.9128'!$1:$1</definedName>
    <definedName name="_xlnm._FilterDatabase" localSheetId="13" hidden="1">'Candidates'!$A$1:$AB$120</definedName>
    <definedName name="_xlnm.Print_Titles" localSheetId="13">'Candidates'!$1:$1</definedName>
    <definedName name="_xlnm._FilterDatabase" localSheetId="14" hidden="1">'Evidence'!$A$1:$D$477</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'Links'!$A$1:$E$397</definedName>
    <definedName name="_xlnm.Print_Titles" localSheetId="17">'Links'!$1:$1</definedName>
    <definedName name="_xlnm._FilterDatabase" localSheetId="18" hidden="1">'Relations'!$A$1:$D$139</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3" borderId="1" applyAlignment="1" pivotButton="0" quotePrefix="0" xfId="0">
      <alignment horizontal="center" vertical="center" wrapText="1"/>
    </xf>
    <xf numFmtId="0" fontId="10" fillId="0"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0" borderId="1" applyAlignment="1" pivotButton="0" quotePrefix="0" xfId="0">
      <alignment horizontal="center" vertical="center" wrapText="1"/>
    </xf>
    <xf numFmtId="0" fontId="13" fillId="3"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2.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3.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4.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5.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6.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7.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8.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9.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0.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 | 2018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19-column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jama.2017.21906</t>
        </is>
      </c>
      <c r="B2" s="2" t="inlineStr">
        <is>
          <t>C_jama.2017.21906</t>
        </is>
      </c>
      <c r="C2" s="2" t="n">
        <v>6</v>
      </c>
    </row>
    <row r="3" ht="30" customHeight="1">
      <c r="A3" s="3" t="inlineStr">
        <is>
          <t>jama.2018.0156</t>
        </is>
      </c>
      <c r="B3" s="3" t="inlineStr">
        <is>
          <t>C_jama.2018.0156</t>
        </is>
      </c>
      <c r="C3" s="3" t="n">
        <v>8</v>
      </c>
    </row>
    <row r="4" ht="30" customHeight="1">
      <c r="A4" s="2" t="inlineStr">
        <is>
          <t>jama.2018.0948</t>
        </is>
      </c>
      <c r="B4" s="2" t="inlineStr">
        <is>
          <t>C_jama.2018.0948</t>
        </is>
      </c>
      <c r="C4" s="2" t="n">
        <v>7</v>
      </c>
    </row>
    <row r="5" ht="30" customHeight="1">
      <c r="A5" s="3" t="inlineStr">
        <is>
          <t>jama.2018.14280</t>
        </is>
      </c>
      <c r="B5" s="3" t="inlineStr">
        <is>
          <t>C_jama.2018.14280</t>
        </is>
      </c>
      <c r="C5" s="3" t="n">
        <v>23</v>
      </c>
    </row>
    <row r="6" ht="30" customHeight="1">
      <c r="A6" s="2" t="inlineStr">
        <is>
          <t>jama.2018.14282</t>
        </is>
      </c>
      <c r="B6" s="2" t="inlineStr">
        <is>
          <t>C_jama.2018.14282</t>
        </is>
      </c>
      <c r="C6" s="2" t="n">
        <v>28</v>
      </c>
    </row>
    <row r="7" ht="30" customHeight="1">
      <c r="A7" s="3" t="inlineStr">
        <is>
          <t>jama.2018.17075</t>
        </is>
      </c>
      <c r="B7" s="3" t="inlineStr">
        <is>
          <t>C_jama.2018.17075</t>
        </is>
      </c>
      <c r="C7" s="3" t="n">
        <v>8</v>
      </c>
    </row>
    <row r="8" ht="30" customHeight="1">
      <c r="A8" s="2" t="inlineStr">
        <is>
          <t>jama.2018.18020</t>
        </is>
      </c>
      <c r="B8" s="2" t="inlineStr">
        <is>
          <t>C_jama.2018.18020</t>
        </is>
      </c>
      <c r="C8" s="2" t="n">
        <v>14</v>
      </c>
    </row>
    <row r="9" ht="30" customHeight="1">
      <c r="A9" s="3" t="inlineStr">
        <is>
          <t>jama.2018.6496</t>
        </is>
      </c>
      <c r="B9" s="3" t="inlineStr">
        <is>
          <t>C_jama.2018.6496</t>
        </is>
      </c>
      <c r="C9" s="3" t="n">
        <v>4</v>
      </c>
    </row>
    <row r="10" ht="30" customHeight="1">
      <c r="A10" s="2" t="inlineStr">
        <is>
          <t>jama.2018.8802</t>
        </is>
      </c>
      <c r="B10" s="2" t="inlineStr">
        <is>
          <t>C_jama.2018.8802</t>
        </is>
      </c>
      <c r="C10" s="2" t="n">
        <v>8</v>
      </c>
    </row>
    <row r="11" ht="30" customHeight="1">
      <c r="A11" s="3" t="inlineStr">
        <is>
          <t>jama.2018.9128</t>
        </is>
      </c>
      <c r="B11" s="3" t="inlineStr">
        <is>
          <t>C_jama.2018.9128</t>
        </is>
      </c>
      <c r="C11" s="3" t="n">
        <v>13</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S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2018::jama.2017.21906::C001</t>
        </is>
      </c>
      <c r="B2" s="2" t="inlineStr">
        <is>
          <t>In-hospital beta-blocker adjusted-risk-difference CI endpoint differs between Table 2 and narrative</t>
        </is>
      </c>
      <c r="C2" s="2" t="inlineStr">
        <is>
          <t>Main article — PDF p. 6, Table 2 In-hospital β-blocker row and adjacent Results narrative.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2018::jama.2017.21906::C002</t>
        </is>
      </c>
      <c r="B3" s="3" t="inlineStr">
        <is>
          <t>Discharge beta-blocker adjusted point estimates differ between Table 2 and narrative</t>
        </is>
      </c>
      <c r="C3" s="3" t="inlineStr">
        <is>
          <t>Main article — PDF p. 6, Table 2 Discharge β-blocker row; Main article — PDF p. 7, Results narrative.</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2018::jama.2017.21906::C003</t>
        </is>
      </c>
      <c r="B4" s="2" t="inlineStr">
        <is>
          <t>eTable 1 difference footnote names groups not displayed in the table</t>
        </is>
      </c>
      <c r="C4" s="2" t="inlineStr">
        <is>
          <t>Online supplement — PDF p. 17, eTable 1 title, headers, values, and footnote a.</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2018::jama.2017.21906::C004</t>
        </is>
      </c>
      <c r="B5" s="3" t="inlineStr">
        <is>
          <t>Reported prespecified age-subgroup boundaries differ from the supplied SAP</t>
        </is>
      </c>
      <c r="C5" s="3" t="inlineStr">
        <is>
          <t>SAP — PDF p. 7, section 7.5.2; main article — PDF p. 3, Statistical Analysis; main article — PDF p. 9, Figure 3 and adjacent Results narrative.</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2018::jama.2017.21906::C005</t>
        </is>
      </c>
      <c r="B6" s="2" t="inlineStr">
        <is>
          <t>The named optimal in-hospital medication composite uses different component labels across final-result tables</t>
        </is>
      </c>
      <c r="C6" s="2" t="inlineStr">
        <is>
          <t>Main article — PDF p. 3, Outcomes; main article — PDF p. 7, Table 3 footnote c; online supplement — PDF p. 21, eTable 5 footnote c; online supplement — PDF p. 22, eTable 6 footnote b.</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2018::jama.2017.21906::C006</t>
        </is>
      </c>
      <c r="B7" s="3" t="inlineStr">
        <is>
          <t>Hospital-type subgroup is reported as prespecified but is absent from the supplied SAP subgroup list</t>
        </is>
      </c>
      <c r="C7" s="3" t="inlineStr">
        <is>
          <t>Main article — PDF p. 3, Statistical Analysis; main article — PDF p. 9, Figure 3 and adjacent Results narrative; SAP — PDF p. 7, section 7.5.2.</t>
        </is>
      </c>
      <c r="D7" s="8" t="inlineStr"/>
      <c r="E7" s="8" t="inlineStr">
        <is>
          <t>protocol_report</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2018::jama.2018.0156::C001</t>
        </is>
      </c>
      <c r="B2" s="2" t="inlineStr">
        <is>
          <t>Noninferiority narrative reverses the displayed bound direction</t>
        </is>
      </c>
      <c r="C2" s="2" t="inlineStr">
        <is>
          <t>jama_jabre_2018_oi_180004.pdf — PDF p. 3 (rule); jama_jabre_2018_oi_180004.pdf — PDF p. 4 (result/narrative).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2018::jama.2018.0156::C002</t>
        </is>
      </c>
      <c r="B3" s="3" t="inlineStr">
        <is>
          <t>Centre-5 pause contrast mixes a count outcome with seconds</t>
        </is>
      </c>
      <c r="C3" s="3" t="inlineStr">
        <is>
          <t>jama_jabre_2018_oi_180004.pdf — PDF p. 3 (definition); jama_jabre_2018_oi_180004.pdf — PDF p. 4 (contrast).</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2018::jama.2018.0156::C003</t>
        </is>
      </c>
      <c r="B4" s="2" t="inlineStr">
        <is>
          <t>PP day-28 survival point difference does not round from the printed inputs</t>
        </is>
      </c>
      <c r="C4" s="2" t="inlineStr">
        <is>
          <t>jama_jabre_2018_oi_180004.pdf — PDF p. 6 (Table 2); joi180004supp1_prod.pdf — PDF p. 123 (rounding rule).</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2018::jama.2018.0156::C004</t>
        </is>
      </c>
      <c r="B5" s="3" t="inlineStr">
        <is>
          <t>PP day-28 survival confidence interval has an unresolved scale/precision inconsistency</t>
        </is>
      </c>
      <c r="C5" s="3" t="inlineStr">
        <is>
          <t>jama_jabre_2018_oi_180004.pdf — PDF p. 3 (rule); PDF p. 6 (Table 2); joi180004supp1_prod.pdf — PDF p. 124 (CI rule).</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2018::jama.2018.0156::C005</t>
        </is>
      </c>
      <c r="B6" s="2" t="inlineStr">
        <is>
          <t>PP ROSC ETI percentage conflicts with its count, denominator, and signed difference</t>
        </is>
      </c>
      <c r="C6" s="2" t="inlineStr">
        <is>
          <t>jama_jabre_2018_oi_180004.pdf — PDF p. 6 (Table 2 PP ROSC row).</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2018::jama.2018.0156::C006</t>
        </is>
      </c>
      <c r="B7" s="3" t="inlineStr">
        <is>
          <t>Main article and eTable report different contributing-centre counts</t>
        </is>
      </c>
      <c r="C7" s="3" t="inlineStr">
        <is>
          <t>jama_jabre_2018_oi_180004.pdf — PDF p. 2; joi180004supp2_prod.pdf — PDF p. 2 (eTable 1).</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2018::jama.2018.0156::C007</t>
        </is>
      </c>
      <c r="B8" s="2" t="inlineStr">
        <is>
          <t>Published primary-endpoint description omits the amended baseline-disability qualification</t>
        </is>
      </c>
      <c r="C8" s="2" t="inlineStr">
        <is>
          <t>jama_jabre_2018_oi_180004.pdf — PDF p. 1 and PDF p. 3; joi180004supp1_prod.pdf — PDF p. 110.</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2018::jama.2018.0156::C008</t>
        </is>
      </c>
      <c r="B9" s="3" t="inlineStr">
        <is>
          <t>Protocol composite technique-failure definition cannot reconcile with the article’s smaller ETI failure count if they are the same endpoint</t>
        </is>
      </c>
      <c r="C9" s="3" t="inlineStr">
        <is>
          <t>joi180004supp1_prod.pdf — PDF p. 110; jama_jabre_2018_oi_180004.pdf — PDF p. 1, PDF p. 4, and PDF p. 6.</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S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2018::jama.2018.0948::C001</t>
        </is>
      </c>
      <c r="B2" s="2" t="inlineStr">
        <is>
          <t>Inclusive versus exclusive fluid threshold in the SCD definition</t>
        </is>
      </c>
      <c r="C2" s="2" t="inlineStr">
        <is>
          <t>main article — PDF p. 4; Supplement 1 Table 5 — PDF p. 24; Supplement 3 eTable 1 — PDF p. 6.</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2018::jama.2018.0948::C002</t>
        </is>
      </c>
      <c r="B3" s="3" t="inlineStr">
        <is>
          <t>Mortality absolute-risk-reduction percent/unit conflict</t>
        </is>
      </c>
      <c r="C3" s="3" t="inlineStr">
        <is>
          <t>Supplement 1 — PDF p. 1, p. 14, p. 29; main article — PDF p. 4.</t>
        </is>
      </c>
      <c r="D3" s="8" t="inlineStr"/>
      <c r="E3" s="8" t="inlineStr">
        <is>
          <t>plan_material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2018::jama.2018.0948::C003</t>
        </is>
      </c>
      <c r="B4" s="2" t="inlineStr">
        <is>
          <t>Cardiac-arrest events assigned incompatible resuscitation-scale categories</t>
        </is>
      </c>
      <c r="C4" s="2" t="inlineStr">
        <is>
          <t>Supplement 1 — PDF p. 11, Table 5 — PDF p. 24, Table 6 legend — PDF p. 27.</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2018::jama.2018.0948::C004</t>
        </is>
      </c>
      <c r="B5" s="3" t="inlineStr">
        <is>
          <t>Preventability threshold excludes and includes rating 4</t>
        </is>
      </c>
      <c r="C5" s="3" t="inlineStr">
        <is>
          <t>Supplement 1 — PDF p. 11, Table 7 — PDF p. 28; Supplement 3 eTable 1 — PDF p. 6; main article — PDF p. 7.</t>
        </is>
      </c>
      <c r="D5" s="8" t="inlineStr"/>
      <c r="E5" s="8" t="inlineStr">
        <is>
          <t>plan_material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2018::jama.2018.0948::C005</t>
        </is>
      </c>
      <c r="B6" s="2" t="inlineStr">
        <is>
          <t>The same SCDE reference count is labelled annual and two-year</t>
        </is>
      </c>
      <c r="C6" s="2" t="inlineStr">
        <is>
          <t>Supplement 1 — PDF p. 14 and PDF p. 30.</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2018::jama.2018.0948::C006</t>
        </is>
      </c>
      <c r="B7" s="3" t="inlineStr">
        <is>
          <t>Stat-call absolute reduction does not reproduce from the printed inputs</t>
        </is>
      </c>
      <c r="C7" s="3" t="inlineStr">
        <is>
          <t>Supplement 1 — PDF p. 30.</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2018::jama.2018.0948::C007</t>
        </is>
      </c>
      <c r="B8" s="2" t="inlineStr">
        <is>
          <t>Urgent PICU admission rates do not match the printed counts and denominators at conventional rounding</t>
        </is>
      </c>
      <c r="C8" s="2" t="inlineStr">
        <is>
          <t>Supplement 1 — PDF p. 30.</t>
        </is>
      </c>
      <c r="D8" s="8" t="inlineStr"/>
      <c r="E8" s="8" t="inlineStr">
        <is>
          <t>plan_material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S2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2018::jama.2018.14280::C001</t>
        </is>
      </c>
      <c r="B2" s="2" t="inlineStr">
        <is>
          <t>Reversed endpoint in the eTable 2 PEEP interquartile range</t>
        </is>
      </c>
      <c r="C2" s="2" t="inlineStr">
        <is>
          <t>DOC-004, Supplement 3, eTable 2, Other Mode of Ventilation, after titration on randomization day, intermediate arm, PEEP.</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2018::jama.2018.14280::C002</t>
        </is>
      </c>
      <c r="B3" s="3" t="inlineStr">
        <is>
          <t>At-risk-for-ARDS percentages use undisclosed denominators</t>
        </is>
      </c>
      <c r="C3" s="3" t="inlineStr">
        <is>
          <t>DOC-001, Table 1, Patients at risk for ARDS, low and intermediate arms.</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2018::jama.2018.14280::C003</t>
        </is>
      </c>
      <c r="B4" s="2" t="inlineStr">
        <is>
          <t>Septic-shock percentages use undisclosed denominators</t>
        </is>
      </c>
      <c r="C4" s="2" t="inlineStr">
        <is>
          <t>DOC-001, Table 1, Septic shock, low and intermediate arms.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2018::jama.2018.14280::C004</t>
        </is>
      </c>
      <c r="B5" s="3" t="inlineStr">
        <is>
          <t>Tobacco-use categories use undisclosed denominators</t>
        </is>
      </c>
      <c r="C5" s="3" t="inlineStr">
        <is>
          <t>DOC-001, Table 1, Patient tobacco use, both arms.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2018::jama.2018.14280::C005</t>
        </is>
      </c>
      <c r="B6" s="2" t="inlineStr">
        <is>
          <t>Alcohol-use categories use undisclosed denominators</t>
        </is>
      </c>
      <c r="C6" s="2" t="inlineStr">
        <is>
          <t>DOC-001, Table 1, Patient alcohol use, both arms.</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2018::jama.2018.14280::C006</t>
        </is>
      </c>
      <c r="B7" s="3" t="inlineStr">
        <is>
          <t>ICU-admission categories use undisclosed denominators</t>
        </is>
      </c>
      <c r="C7" s="3" t="inlineStr">
        <is>
          <t>DOC-001, Table 1, Reason for ICU admission, both arms.</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2018::jama.2018.14280::C007</t>
        </is>
      </c>
      <c r="B8" s="2" t="inlineStr">
        <is>
          <t>Sedative-infusion percentages omit effective denominators</t>
        </is>
      </c>
      <c r="C8" s="2" t="inlineStr">
        <is>
          <t>DOC-004, Supplement 3, eTable 4, Sedative infusion.</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2018::jama.2018.14280::C008</t>
        </is>
      </c>
      <c r="B9" s="3" t="inlineStr">
        <is>
          <t>Analgesic-infusion percentages omit effective denominators</t>
        </is>
      </c>
      <c r="C9" s="3" t="inlineStr">
        <is>
          <t>DOC-004, Supplement 3, eTable 4, Analgesic infusion.</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2018::jama.2018.14280::C009</t>
        </is>
      </c>
      <c r="B10" s="2" t="inlineStr">
        <is>
          <t>Neuromuscular-blockade percentages omit effective denominators</t>
        </is>
      </c>
      <c r="C10" s="2" t="inlineStr">
        <is>
          <t>DOC-004, Supplement 3, eTable 4, Neuromuscular blockade.</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2018::jama.2018.14280::C010</t>
        </is>
      </c>
      <c r="B11" s="3" t="inlineStr">
        <is>
          <t>Vasopressor-use percentages omit effective denominators</t>
        </is>
      </c>
      <c r="C11" s="3" t="inlineStr">
        <is>
          <t>DOC-004, Supplement 3, eTable 4, Use of vasopressors.</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2018::jama.2018.14280::C011</t>
        </is>
      </c>
      <c r="B12" s="2" t="inlineStr">
        <is>
          <t>Mortality effect-measure wording conflicts with Table 2 and the SAP</t>
        </is>
      </c>
      <c r="C12" s="2" t="inlineStr">
        <is>
          <t>DOC-001 Statistical Analysis and Table 2/footnotes; DOC-003 SAP secondary outcomes.</t>
        </is>
      </c>
      <c r="D12" s="8" t="inlineStr"/>
      <c r="E12" s="8" t="inlineStr">
        <is>
          <t>report_internal_inconsistency</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2018::jama.2018.14280::C012</t>
        </is>
      </c>
      <c r="B13" s="3" t="inlineStr">
        <is>
          <t>ICU-mortality RR does not reproduce from printed risks</t>
        </is>
      </c>
      <c r="C13" s="3" t="inlineStr">
        <is>
          <t>DOC-001, Table 2, ICU mortality and footnote c.</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2018::jama.2018.14280::C013</t>
        </is>
      </c>
      <c r="B14" s="2" t="inlineStr">
        <is>
          <t>Hospital-mortality RR does not reproduce from printed risks</t>
        </is>
      </c>
      <c r="C14" s="2" t="inlineStr">
        <is>
          <t>DOC-001, Table 2, hospital mortality and footnote c.</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row r="15" ht="76" customHeight="1">
      <c r="A15" s="3" t="inlineStr">
        <is>
          <t>2018::jama.2018.14280::C014</t>
        </is>
      </c>
      <c r="B15" s="3" t="inlineStr">
        <is>
          <t>ARDS RR does not reproduce from printed risks</t>
        </is>
      </c>
      <c r="C15" s="3" t="inlineStr">
        <is>
          <t>DOC-001, Table 2, Development of ARDS and footnote c.</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10" t="inlineStr"/>
      <c r="N15" s="10" t="inlineStr"/>
      <c r="O15" s="11" t="inlineStr"/>
      <c r="P15" s="12" t="inlineStr"/>
      <c r="Q15" s="11" t="inlineStr"/>
      <c r="R15" s="12" t="inlineStr"/>
      <c r="S15" s="3" t="inlineStr">
        <is>
          <t>PRIMARY REVIEW - complete this row before handoff. The primary snapshot appears here in the prepared checker copy.</t>
        </is>
      </c>
    </row>
    <row r="16" ht="76" customHeight="1">
      <c r="A16" s="2" t="inlineStr">
        <is>
          <t>2018::jama.2018.14280::C015</t>
        </is>
      </c>
      <c r="B16" s="2" t="inlineStr">
        <is>
          <t>Pneumonia RR does not reproduce from printed risks</t>
        </is>
      </c>
      <c r="C16" s="2" t="inlineStr">
        <is>
          <t>DOC-001, Table 2, Development of pneumonia and footnote c.</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10" t="inlineStr"/>
      <c r="N16" s="10" t="inlineStr"/>
      <c r="O16" s="11" t="inlineStr"/>
      <c r="P16" s="12" t="inlineStr"/>
      <c r="Q16" s="11" t="inlineStr"/>
      <c r="R16" s="12" t="inlineStr"/>
      <c r="S16" s="2" t="inlineStr">
        <is>
          <t>PRIMARY REVIEW - complete this row before handoff. The primary snapshot appears here in the prepared checker copy.</t>
        </is>
      </c>
    </row>
    <row r="17" ht="76" customHeight="1">
      <c r="A17" s="3" t="inlineStr">
        <is>
          <t>2018::jama.2018.14280::C016</t>
        </is>
      </c>
      <c r="B17" s="3" t="inlineStr">
        <is>
          <t>Pneumothorax RR does not reproduce from printed risks</t>
        </is>
      </c>
      <c r="C17" s="3" t="inlineStr">
        <is>
          <t>DOC-001, Table 2, Pneumothorax and footnote c.</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10" t="inlineStr"/>
      <c r="N17" s="10" t="inlineStr"/>
      <c r="O17" s="11" t="inlineStr"/>
      <c r="P17" s="12" t="inlineStr"/>
      <c r="Q17" s="11" t="inlineStr"/>
      <c r="R17" s="12" t="inlineStr"/>
      <c r="S17" s="3" t="inlineStr">
        <is>
          <t>PRIMARY REVIEW - complete this row before handoff. The primary snapshot appears here in the prepared checker copy.</t>
        </is>
      </c>
    </row>
    <row r="18" ht="76" customHeight="1">
      <c r="A18" s="2" t="inlineStr">
        <is>
          <t>2018::jama.2018.14280::C017</t>
        </is>
      </c>
      <c r="B18" s="2" t="inlineStr">
        <is>
          <t>Atelectasis RR does not reproduce from printed risks</t>
        </is>
      </c>
      <c r="C18" s="2" t="inlineStr">
        <is>
          <t>DOC-001, Table 2, Atelectasis and footnote c.</t>
        </is>
      </c>
      <c r="D18" s="8" t="inlineStr"/>
      <c r="E18" s="8" t="inlineStr">
        <is>
          <t>statistical_results</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10" t="inlineStr"/>
      <c r="N18" s="10" t="inlineStr"/>
      <c r="O18" s="11" t="inlineStr"/>
      <c r="P18" s="12" t="inlineStr"/>
      <c r="Q18" s="11" t="inlineStr"/>
      <c r="R18" s="12" t="inlineStr"/>
      <c r="S18" s="2" t="inlineStr">
        <is>
          <t>PRIMARY REVIEW - complete this row before handoff. The primary snapshot appears here in the prepared checker copy.</t>
        </is>
      </c>
    </row>
    <row r="19" ht="76" customHeight="1">
      <c r="A19" s="3" t="inlineStr">
        <is>
          <t>2018::jama.2018.14280::C018</t>
        </is>
      </c>
      <c r="B19" s="3" t="inlineStr">
        <is>
          <t>Extrapulmonary-infection RR does not reproduce from printed risks</t>
        </is>
      </c>
      <c r="C19" s="3" t="inlineStr">
        <is>
          <t>DOC-001, Table 2, Extrapulmonary infection and footnote c.</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report_internal_inconsistency",$E19="plan_material"))),K19&lt;&gt;"",K19&lt;&gt;"not_applicable"),AND(OR(AND($D19&lt;&gt;"",$D19&lt;&gt;"retain"),NOT(OR($E19="protocol_report"))),L19&lt;&gt;"",L19&lt;&gt;"not_applicable")),"CLEAR INACTIVE VALUES",IF(OR(COUNTIF(opt_disposition,D19)&lt;&gt;1,COUNTIF(opt_domain,E19)&lt;&gt;1,AND(D19="retain",E19="statistical_results",OR(OR(COUNTIF(opt_statisticalErrorStatus,H19)&lt;&gt;1,H19="not_applicable"),OR(COUNTIF(opt_substantiveStatus,I19)&lt;&gt;1,I19="not_applicable"))),AND(D19="retain",E19="report_internal_inconsistency",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IF(OR(AND($D19&lt;&gt;"",$D19&lt;&gt;"retain"),NOT(OR($E19="report_internal_inconsistency",$E19="plan_material"))),"not_applicable","")</f>
        <v/>
      </c>
      <c r="L19" s="9">
        <f>IF(OR(AND($D19&lt;&gt;"",$D19&lt;&gt;"retain"),NOT(OR($E19="protocol_report"))),"not_applicable","")</f>
        <v/>
      </c>
      <c r="M19" s="10" t="inlineStr"/>
      <c r="N19" s="10" t="inlineStr"/>
      <c r="O19" s="11" t="inlineStr"/>
      <c r="P19" s="12" t="inlineStr"/>
      <c r="Q19" s="11" t="inlineStr"/>
      <c r="R19" s="12" t="inlineStr"/>
      <c r="S19" s="3" t="inlineStr">
        <is>
          <t>PRIMARY REVIEW - complete this row before handoff. The primary snapshot appears here in the prepared checker copy.</t>
        </is>
      </c>
    </row>
    <row r="20" ht="76" customHeight="1">
      <c r="A20" s="2" t="inlineStr">
        <is>
          <t>2018::jama.2018.14280::C019</t>
        </is>
      </c>
      <c r="B20" s="2" t="inlineStr">
        <is>
          <t>Extrapulmonary-sepsis RR does not reproduce from printed risks</t>
        </is>
      </c>
      <c r="C20" s="2" t="inlineStr">
        <is>
          <t>DOC-001, Table 2, Extrapulmonary sepsis and footnote c.</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report_internal_inconsistency",$E20="plan_material"))),K20&lt;&gt;"",K20&lt;&gt;"not_applicable"),AND(OR(AND($D20&lt;&gt;"",$D20&lt;&gt;"retain"),NOT(OR($E20="protocol_report"))),L20&lt;&gt;"",L20&lt;&gt;"not_applicable")),"CLEAR INACTIVE VALUES",IF(OR(COUNTIF(opt_disposition,D20)&lt;&gt;1,COUNTIF(opt_domain,E20)&lt;&gt;1,AND(D20="retain",E20="statistical_results",OR(OR(COUNTIF(opt_statisticalErrorStatus,H20)&lt;&gt;1,H20="not_applicable"),OR(COUNTIF(opt_substantiveStatus,I20)&lt;&gt;1,I20="not_applicable"))),AND(D20="retain",E20="report_internal_inconsistency",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IF(OR(AND($D20&lt;&gt;"",$D20&lt;&gt;"retain"),NOT(OR($E20="report_internal_inconsistency",$E20="plan_material"))),"not_applicable","")</f>
        <v/>
      </c>
      <c r="L20" s="9">
        <f>IF(OR(AND($D20&lt;&gt;"",$D20&lt;&gt;"retain"),NOT(OR($E20="protocol_report"))),"not_applicable","")</f>
        <v/>
      </c>
      <c r="M20" s="10" t="inlineStr"/>
      <c r="N20" s="10" t="inlineStr"/>
      <c r="O20" s="11" t="inlineStr"/>
      <c r="P20" s="12" t="inlineStr"/>
      <c r="Q20" s="11" t="inlineStr"/>
      <c r="R20" s="12" t="inlineStr"/>
      <c r="S20" s="2" t="inlineStr">
        <is>
          <t>PRIMARY REVIEW - complete this row before handoff. The primary snapshot appears here in the prepared checker copy.</t>
        </is>
      </c>
    </row>
    <row r="21" ht="76" customHeight="1">
      <c r="A21" s="3" t="inlineStr">
        <is>
          <t>2018::jama.2018.14280::C020</t>
        </is>
      </c>
      <c r="B21" s="3" t="inlineStr">
        <is>
          <t>Delirium RR does not reproduce from printed risks</t>
        </is>
      </c>
      <c r="C21" s="3" t="inlineStr">
        <is>
          <t>DOC-001, Table 2, Delirium and footnote c.</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report_internal_inconsistency",$E21="plan_material"))),K21&lt;&gt;"",K21&lt;&gt;"not_applicable"),AND(OR(AND($D21&lt;&gt;"",$D21&lt;&gt;"retain"),NOT(OR($E21="protocol_report"))),L21&lt;&gt;"",L21&lt;&gt;"not_applicable")),"CLEAR INACTIVE VALUES",IF(OR(COUNTIF(opt_disposition,D21)&lt;&gt;1,COUNTIF(opt_domain,E21)&lt;&gt;1,AND(D21="retain",E21="statistical_results",OR(OR(COUNTIF(opt_statisticalErrorStatus,H21)&lt;&gt;1,H21="not_applicable"),OR(COUNTIF(opt_substantiveStatus,I21)&lt;&gt;1,I21="not_applicable"))),AND(D21="retain",E21="report_internal_inconsistency",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IF(OR(AND($D21&lt;&gt;"",$D21&lt;&gt;"retain"),NOT(OR($E21="report_internal_inconsistency",$E21="plan_material"))),"not_applicable","")</f>
        <v/>
      </c>
      <c r="L21" s="9">
        <f>IF(OR(AND($D21&lt;&gt;"",$D21&lt;&gt;"retain"),NOT(OR($E21="protocol_report"))),"not_applicable","")</f>
        <v/>
      </c>
      <c r="M21" s="10" t="inlineStr"/>
      <c r="N21" s="10" t="inlineStr"/>
      <c r="O21" s="11" t="inlineStr"/>
      <c r="P21" s="12" t="inlineStr"/>
      <c r="Q21" s="11" t="inlineStr"/>
      <c r="R21" s="12" t="inlineStr"/>
      <c r="S21" s="3" t="inlineStr">
        <is>
          <t>PRIMARY REVIEW - complete this row before handoff. The primary snapshot appears here in the prepared checker copy.</t>
        </is>
      </c>
    </row>
    <row r="22" ht="76" customHeight="1">
      <c r="A22" s="2" t="inlineStr">
        <is>
          <t>2018::jama.2018.14280::C021</t>
        </is>
      </c>
      <c r="B22" s="2" t="inlineStr">
        <is>
          <t>Tracheostomy RR does not reproduce from printed risks</t>
        </is>
      </c>
      <c r="C22" s="2" t="inlineStr">
        <is>
          <t>DOC-001, Table 2, Need for tracheostomy and footnote c.</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report_internal_inconsistency",$E22="plan_material"))),K22&lt;&gt;"",K22&lt;&gt;"not_applicable"),AND(OR(AND($D22&lt;&gt;"",$D22&lt;&gt;"retain"),NOT(OR($E22="protocol_report"))),L22&lt;&gt;"",L22&lt;&gt;"not_applicable")),"CLEAR INACTIVE VALUES",IF(OR(COUNTIF(opt_disposition,D22)&lt;&gt;1,COUNTIF(opt_domain,E22)&lt;&gt;1,AND(D22="retain",E22="statistical_results",OR(OR(COUNTIF(opt_statisticalErrorStatus,H22)&lt;&gt;1,H22="not_applicable"),OR(COUNTIF(opt_substantiveStatus,I22)&lt;&gt;1,I22="not_applicable"))),AND(D22="retain",E22="report_internal_inconsistency",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IF(OR(AND($D22&lt;&gt;"",$D22&lt;&gt;"retain"),NOT(OR($E22="report_internal_inconsistency",$E22="plan_material"))),"not_applicable","")</f>
        <v/>
      </c>
      <c r="L22" s="9">
        <f>IF(OR(AND($D22&lt;&gt;"",$D22&lt;&gt;"retain"),NOT(OR($E22="protocol_report"))),"not_applicable","")</f>
        <v/>
      </c>
      <c r="M22" s="10" t="inlineStr"/>
      <c r="N22" s="10" t="inlineStr"/>
      <c r="O22" s="11" t="inlineStr"/>
      <c r="P22" s="12" t="inlineStr"/>
      <c r="Q22" s="11" t="inlineStr"/>
      <c r="R22" s="12" t="inlineStr"/>
      <c r="S22" s="2" t="inlineStr">
        <is>
          <t>PRIMARY REVIEW - complete this row before handoff. The primary snapshot appears here in the prepared checker copy.</t>
        </is>
      </c>
    </row>
    <row r="23" ht="76" customHeight="1">
      <c r="A23" s="3" t="inlineStr">
        <is>
          <t>2018::jama.2018.14280::C022</t>
        </is>
      </c>
      <c r="B23" s="3" t="inlineStr">
        <is>
          <t>The same subgroup intervals are labelled IQR and 95% CI</t>
        </is>
      </c>
      <c r="C23" s="3" t="inlineStr">
        <is>
          <t>DOC-001, Subgroups and Exploratory Analyses; DOC-004, Supplement 3 eTable 5.</t>
        </is>
      </c>
      <c r="D23" s="8" t="inlineStr"/>
      <c r="E23" s="8" t="inlineStr">
        <is>
          <t>report_internal_inconsistency</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report_internal_inconsistency",$E23="plan_material"))),K23&lt;&gt;"",K23&lt;&gt;"not_applicable"),AND(OR(AND($D23&lt;&gt;"",$D23&lt;&gt;"retain"),NOT(OR($E23="protocol_report"))),L23&lt;&gt;"",L23&lt;&gt;"not_applicable")),"CLEAR INACTIVE VALUES",IF(OR(COUNTIF(opt_disposition,D23)&lt;&gt;1,COUNTIF(opt_domain,E23)&lt;&gt;1,AND(D23="retain",E23="statistical_results",OR(OR(COUNTIF(opt_statisticalErrorStatus,H23)&lt;&gt;1,H23="not_applicable"),OR(COUNTIF(opt_substantiveStatus,I23)&lt;&gt;1,I23="not_applicable"))),AND(D23="retain",E23="report_internal_inconsistency",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IF(OR(AND($D23&lt;&gt;"",$D23&lt;&gt;"retain"),NOT(OR($E23="report_internal_inconsistency",$E23="plan_material"))),"not_applicable","")</f>
        <v/>
      </c>
      <c r="L23" s="9">
        <f>IF(OR(AND($D23&lt;&gt;"",$D23&lt;&gt;"retain"),NOT(OR($E23="protocol_report"))),"not_applicable","")</f>
        <v/>
      </c>
      <c r="M23" s="10" t="inlineStr"/>
      <c r="N23" s="10" t="inlineStr"/>
      <c r="O23" s="11" t="inlineStr"/>
      <c r="P23" s="12" t="inlineStr"/>
      <c r="Q23" s="11" t="inlineStr"/>
      <c r="R23" s="12" t="inlineStr"/>
      <c r="S23" s="3" t="inlineStr">
        <is>
          <t>PRIMARY REVIEW - complete this row before handoff. The primary snapshot appears here in the prepared checker copy.</t>
        </is>
      </c>
    </row>
    <row r="24" ht="76" customHeight="1">
      <c r="A24" s="2" t="inlineStr">
        <is>
          <t>2018::jama.2018.14280::C023</t>
        </is>
      </c>
      <c r="B24" s="2" t="inlineStr">
        <is>
          <t>Enrollment completion dates differ by two days</t>
        </is>
      </c>
      <c r="C24" s="2" t="inlineStr">
        <is>
          <t>DOC-001 abstract and Results/Patients; DOC-003 SAP abstract and introduction.</t>
        </is>
      </c>
      <c r="D24" s="8" t="inlineStr"/>
      <c r="E24" s="8" t="inlineStr">
        <is>
          <t>protocol_report</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report_internal_inconsistency",$E24="plan_material"))),K24&lt;&gt;"",K24&lt;&gt;"not_applicable"),AND(OR(AND($D24&lt;&gt;"",$D24&lt;&gt;"retain"),NOT(OR($E24="protocol_report"))),L24&lt;&gt;"",L24&lt;&gt;"not_applicable")),"CLEAR INACTIVE VALUES",IF(OR(COUNTIF(opt_disposition,D24)&lt;&gt;1,COUNTIF(opt_domain,E24)&lt;&gt;1,AND(D24="retain",E24="statistical_results",OR(OR(COUNTIF(opt_statisticalErrorStatus,H24)&lt;&gt;1,H24="not_applicable"),OR(COUNTIF(opt_substantiveStatus,I24)&lt;&gt;1,I24="not_applicable"))),AND(D24="retain",E24="report_internal_inconsistency",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IF(OR(AND($D24&lt;&gt;"",$D24&lt;&gt;"retain"),NOT(OR($E24="report_internal_inconsistency",$E24="plan_material"))),"not_applicable","")</f>
        <v/>
      </c>
      <c r="L24" s="9">
        <f>IF(OR(AND($D24&lt;&gt;"",$D24&lt;&gt;"retain"),NOT(OR($E24="protocol_report"))),"not_applicable","")</f>
        <v/>
      </c>
      <c r="M24" s="10" t="inlineStr"/>
      <c r="N24" s="10" t="inlineStr"/>
      <c r="O24" s="11" t="inlineStr"/>
      <c r="P24" s="12" t="inlineStr"/>
      <c r="Q24" s="11" t="inlineStr"/>
      <c r="R24" s="12" t="inlineStr"/>
      <c r="S2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24"/>
  <conditionalFormatting sqref="H2:H2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2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4" showDropDown="0" showInputMessage="1" showErrorMessage="1" allowBlank="1" errorTitle="Invalid option" error="Choose a listed value." promptTitle="Disposition" prompt="See Codebook for meanings." type="list" errorStyle="stop">
      <formula1>opt_disposition</formula1>
    </dataValidation>
    <dataValidation sqref="E2:E24" showDropDown="0" showInputMessage="1" showErrorMessage="1" allowBlank="1" errorTitle="Invalid option" error="Choose a listed value." promptTitle="Review domain" prompt="See Codebook for meanings." type="list" errorStyle="stop">
      <formula1>opt_domain</formula1>
    </dataValidation>
    <dataValidation sqref="F2:F24" showDropDown="0" showInputMessage="1" showErrorMessage="1" allowBlank="1" errorTitle="Invalid option" error="Choose a listed value." promptTitle="Complete" prompt="See Codebook for meanings." type="list" errorStyle="stop">
      <formula1>opt_reviewComplete</formula1>
    </dataValidation>
    <dataValidation sqref="H2:H2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24" showDropDown="0" showInputMessage="1" showErrorMessage="1" allowBlank="1" errorTitle="Invalid option" error="Choose a listed value." promptTitle="Substantiveness" prompt="See Codebook for meanings." type="list" errorStyle="stop">
      <formula1>opt_substantiveStatus</formula1>
    </dataValidation>
    <dataValidation sqref="J2:J24" showDropDown="0" showInputMessage="1" showErrorMessage="1" allowBlank="1" errorTitle="Invalid option" error="Choose a listed value." promptTitle="Downstream impact" prompt="See Codebook for meanings." type="list" errorStyle="stop">
      <formula1>opt_downstreamImpact</formula1>
    </dataValidation>
    <dataValidation sqref="K2:K2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2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S2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2018::jama.2018.14282::C001</t>
        </is>
      </c>
      <c r="B2" s="2" t="inlineStr">
        <is>
          <t>Standard-arm men percentage does not reconcile</t>
        </is>
      </c>
      <c r="C2" s="2" t="inlineStr">
        <is>
          <t>DOC-001 Table 1 — PDF p. 4</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2018::jama.2018.14282::C002</t>
        </is>
      </c>
      <c r="B3" s="3" t="inlineStr">
        <is>
          <t>Standard-arm women percentage does not reconcile</t>
        </is>
      </c>
      <c r="C3" s="3" t="inlineStr">
        <is>
          <t>DOC-001 Table 1 — PDF p. 4</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2018::jama.2018.14282::C003</t>
        </is>
      </c>
      <c r="B4" s="2" t="inlineStr">
        <is>
          <t>Standard-arm heart-failure percentage does not reconcile</t>
        </is>
      </c>
      <c r="C4" s="2" t="inlineStr">
        <is>
          <t>DOC-001 Table 1 — PDF p. 4</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2018::jama.2018.14282::C004</t>
        </is>
      </c>
      <c r="B5" s="3" t="inlineStr">
        <is>
          <t>High-flow liver-disease percentage conflicts with displayed count</t>
        </is>
      </c>
      <c r="C5" s="3" t="inlineStr">
        <is>
          <t>DOC-001 Table 1 — PDF p. 4</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2018::jama.2018.14282::C005</t>
        </is>
      </c>
      <c r="B6" s="2" t="inlineStr">
        <is>
          <t>Standard-arm kidney-disease percentage conflicts with displayed count</t>
        </is>
      </c>
      <c r="C6" s="2" t="inlineStr">
        <is>
          <t>DOC-001 Table 1 — PDF p. 4</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2018::jama.2018.14282::C006</t>
        </is>
      </c>
      <c r="B7" s="3" t="inlineStr">
        <is>
          <t>Standard-arm nontransplant immunosuppression percentage does not reconcile</t>
        </is>
      </c>
      <c r="C7" s="3" t="inlineStr">
        <is>
          <t>DOC-001 Table 1 — PDF p. 4</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2018::jama.2018.14282::C007</t>
        </is>
      </c>
      <c r="B8" s="2" t="inlineStr">
        <is>
          <t>High-flow ≥3-days-after-ICU-admission percentage does not reconcile</t>
        </is>
      </c>
      <c r="C8" s="2" t="inlineStr">
        <is>
          <t>DOC-001 Table 1 — PDF p. 4</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2018::jama.2018.14282::C008</t>
        </is>
      </c>
      <c r="B9" s="3" t="inlineStr">
        <is>
          <t>Standard-arm ≥3-days-after-ICU-admission percentage does not reconcile</t>
        </is>
      </c>
      <c r="C9" s="3" t="inlineStr">
        <is>
          <t>DOC-001 Table 1 — PDF p. 4</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2018::jama.2018.14282::C009</t>
        </is>
      </c>
      <c r="B10" s="2" t="inlineStr">
        <is>
          <t>Standard-arm vasopressor percentage does not reconcile</t>
        </is>
      </c>
      <c r="C10" s="2" t="inlineStr">
        <is>
          <t>DOC-001 Table 1 — PDF p. 4</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2018::jama.2018.14282::C010</t>
        </is>
      </c>
      <c r="B11" s="3" t="inlineStr">
        <is>
          <t>High-flow do-not-intubate percentage does not reconcile</t>
        </is>
      </c>
      <c r="C11" s="3" t="inlineStr">
        <is>
          <t>DOC-001 Table 1 — PDF p. 4</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2018::jama.2018.14282::C011</t>
        </is>
      </c>
      <c r="B12" s="2" t="inlineStr">
        <is>
          <t>High-flow do-not-resuscitate percentage does not reconcile</t>
        </is>
      </c>
      <c r="C12" s="2" t="inlineStr">
        <is>
          <t>DOC-001 Table 1 — PDF p. 4</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2018::jama.2018.14282::C012</t>
        </is>
      </c>
      <c r="B13" s="3" t="inlineStr">
        <is>
          <t>Standard-arm do-not-resuscitate percentage does not reconcile</t>
        </is>
      </c>
      <c r="C13" s="3" t="inlineStr">
        <is>
          <t>DOC-001 Table 1 — PDF p. 4</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2018::jama.2018.14282::C013</t>
        </is>
      </c>
      <c r="B14" s="2" t="inlineStr">
        <is>
          <t>Standard-arm unknown-goals percentage does not reconcile</t>
        </is>
      </c>
      <c r="C14" s="2" t="inlineStr">
        <is>
          <t>DOC-001 Table 1 — PDF p. 4</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row r="15" ht="76" customHeight="1">
      <c r="A15" s="3" t="inlineStr">
        <is>
          <t>2018::jama.2018.14282::C014</t>
        </is>
      </c>
      <c r="B15" s="3" t="inlineStr">
        <is>
          <t>High-flow pre-randomization standard-oxygen percentage does not reconcile</t>
        </is>
      </c>
      <c r="C15" s="3" t="inlineStr">
        <is>
          <t>DOC-001 Table 1 — PDF p. 4</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10" t="inlineStr"/>
      <c r="N15" s="10" t="inlineStr"/>
      <c r="O15" s="11" t="inlineStr"/>
      <c r="P15" s="12" t="inlineStr"/>
      <c r="Q15" s="11" t="inlineStr"/>
      <c r="R15" s="12" t="inlineStr"/>
      <c r="S15" s="3" t="inlineStr">
        <is>
          <t>PRIMARY REVIEW - complete this row before handoff. The primary snapshot appears here in the prepared checker copy.</t>
        </is>
      </c>
    </row>
    <row r="16" ht="76" customHeight="1">
      <c r="A16" s="2" t="inlineStr">
        <is>
          <t>2018::jama.2018.14282::C015</t>
        </is>
      </c>
      <c r="B16" s="2" t="inlineStr">
        <is>
          <t>High-flow ICU-acquired-infection percentage does not reconcile</t>
        </is>
      </c>
      <c r="C16" s="2" t="inlineStr">
        <is>
          <t>DOC-001 Table 2 — PDF p. 5</t>
        </is>
      </c>
      <c r="D16" s="8" t="inlineStr"/>
      <c r="E16" s="8" t="inlineStr">
        <is>
          <t>statistical_results</t>
        </is>
      </c>
      <c r="F16" s="8" t="inlineStr">
        <is>
          <t>no</t>
        </is>
      </c>
      <c r="G16" s="2">
        <f>IF(OR(AND(OR(AND($D16&lt;&gt;"",$D16&lt;&gt;"retain"),NOT(OR($E16="statistical_results"))),H16&lt;&gt;"",H16&lt;&gt;"not_applicable"),AND(OR(AND($D16&lt;&gt;"",$D16&lt;&gt;"retain"),NOT(OR($E16="statistical_results"))),I16&lt;&gt;"",I16&lt;&gt;"not_applicable"),AND(OR(AND($D16&lt;&gt;"",$D16&lt;&gt;"retain"),NOT(OR($E16="statistical_results"))),J16&lt;&gt;"",J16&lt;&gt;"not_applicable"),AND(OR(AND($D16&lt;&gt;"",$D16&lt;&gt;"retain"),NOT(OR($E16="report_internal_inconsistency",$E16="plan_material"))),K16&lt;&gt;"",K16&lt;&gt;"not_applicable"),AND(OR(AND($D16&lt;&gt;"",$D16&lt;&gt;"retain"),NOT(OR($E16="protocol_report"))),L16&lt;&gt;"",L16&lt;&gt;"not_applicable")),"CLEAR INACTIVE VALUES",IF(OR(COUNTIF(opt_disposition,D16)&lt;&gt;1,COUNTIF(opt_domain,E16)&lt;&gt;1,AND(D16="retain",E16="statistical_results",OR(OR(COUNTIF(opt_statisticalErrorStatus,H16)&lt;&gt;1,H16="not_applicable"),OR(COUNTIF(opt_substantiveStatus,I16)&lt;&gt;1,I16="not_applicable"))),AND(D16="retain",E16="report_internal_inconsistency",OR(OR(COUNTIF(opt_internalStatus,K16)&lt;&gt;1,K16="not_applicable"))),AND(D16="retain",E16="plan_material",OR(OR(COUNTIF(opt_internalStatus,K16)&lt;&gt;1,K16="not_applicable")))),"CHECK FIELDS",IF(F16="yes","READY - validate saved file","DRAFT")))</f>
        <v/>
      </c>
      <c r="H16" s="8">
        <f>IF(OR(AND($D16&lt;&gt;"",$D16&lt;&gt;"retain"),NOT(OR($E16="statistical_results"))),"not_applicable","")</f>
        <v/>
      </c>
      <c r="I16" s="8">
        <f>IF(OR(AND($D16&lt;&gt;"",$D16&lt;&gt;"retain"),NOT(OR($E16="statistical_results"))),"not_applicable","")</f>
        <v/>
      </c>
      <c r="J16" s="9">
        <f>IF(OR(AND($D16&lt;&gt;"",$D16&lt;&gt;"retain"),NOT(OR($E16="statistical_results"))),"not_applicable","")</f>
        <v/>
      </c>
      <c r="K16" s="8">
        <f>IF(OR(AND($D16&lt;&gt;"",$D16&lt;&gt;"retain"),NOT(OR($E16="report_internal_inconsistency",$E16="plan_material"))),"not_applicable","")</f>
        <v/>
      </c>
      <c r="L16" s="9">
        <f>IF(OR(AND($D16&lt;&gt;"",$D16&lt;&gt;"retain"),NOT(OR($E16="protocol_report"))),"not_applicable","")</f>
        <v/>
      </c>
      <c r="M16" s="10" t="inlineStr"/>
      <c r="N16" s="10" t="inlineStr"/>
      <c r="O16" s="11" t="inlineStr"/>
      <c r="P16" s="12" t="inlineStr"/>
      <c r="Q16" s="11" t="inlineStr"/>
      <c r="R16" s="12" t="inlineStr"/>
      <c r="S16" s="2" t="inlineStr">
        <is>
          <t>PRIMARY REVIEW - complete this row before handoff. The primary snapshot appears here in the prepared checker copy.</t>
        </is>
      </c>
    </row>
    <row r="17" ht="76" customHeight="1">
      <c r="A17" s="3" t="inlineStr">
        <is>
          <t>2018::jama.2018.14282::C016</t>
        </is>
      </c>
      <c r="B17" s="3" t="inlineStr">
        <is>
          <t>Standard-arm hospital-mortality percentage does not reconcile</t>
        </is>
      </c>
      <c r="C17" s="3" t="inlineStr">
        <is>
          <t>DOC-001 Table 2 — PDF p. 5</t>
        </is>
      </c>
      <c r="D17" s="8" t="inlineStr"/>
      <c r="E17" s="8" t="inlineStr">
        <is>
          <t>statistical_results</t>
        </is>
      </c>
      <c r="F17" s="8" t="inlineStr">
        <is>
          <t>no</t>
        </is>
      </c>
      <c r="G17" s="3">
        <f>IF(OR(AND(OR(AND($D17&lt;&gt;"",$D17&lt;&gt;"retain"),NOT(OR($E17="statistical_results"))),H17&lt;&gt;"",H17&lt;&gt;"not_applicable"),AND(OR(AND($D17&lt;&gt;"",$D17&lt;&gt;"retain"),NOT(OR($E17="statistical_results"))),I17&lt;&gt;"",I17&lt;&gt;"not_applicable"),AND(OR(AND($D17&lt;&gt;"",$D17&lt;&gt;"retain"),NOT(OR($E17="statistical_results"))),J17&lt;&gt;"",J17&lt;&gt;"not_applicable"),AND(OR(AND($D17&lt;&gt;"",$D17&lt;&gt;"retain"),NOT(OR($E17="report_internal_inconsistency",$E17="plan_material"))),K17&lt;&gt;"",K17&lt;&gt;"not_applicable"),AND(OR(AND($D17&lt;&gt;"",$D17&lt;&gt;"retain"),NOT(OR($E17="protocol_report"))),L17&lt;&gt;"",L17&lt;&gt;"not_applicable")),"CLEAR INACTIVE VALUES",IF(OR(COUNTIF(opt_disposition,D17)&lt;&gt;1,COUNTIF(opt_domain,E17)&lt;&gt;1,AND(D17="retain",E17="statistical_results",OR(OR(COUNTIF(opt_statisticalErrorStatus,H17)&lt;&gt;1,H17="not_applicable"),OR(COUNTIF(opt_substantiveStatus,I17)&lt;&gt;1,I17="not_applicable"))),AND(D17="retain",E17="report_internal_inconsistency",OR(OR(COUNTIF(opt_internalStatus,K17)&lt;&gt;1,K17="not_applicable"))),AND(D17="retain",E17="plan_material",OR(OR(COUNTIF(opt_internalStatus,K17)&lt;&gt;1,K17="not_applicable")))),"CHECK FIELDS",IF(F17="yes","READY - validate saved file","DRAFT")))</f>
        <v/>
      </c>
      <c r="H17" s="8">
        <f>IF(OR(AND($D17&lt;&gt;"",$D17&lt;&gt;"retain"),NOT(OR($E17="statistical_results"))),"not_applicable","")</f>
        <v/>
      </c>
      <c r="I17" s="8">
        <f>IF(OR(AND($D17&lt;&gt;"",$D17&lt;&gt;"retain"),NOT(OR($E17="statistical_results"))),"not_applicable","")</f>
        <v/>
      </c>
      <c r="J17" s="9">
        <f>IF(OR(AND($D17&lt;&gt;"",$D17&lt;&gt;"retain"),NOT(OR($E17="statistical_results"))),"not_applicable","")</f>
        <v/>
      </c>
      <c r="K17" s="8">
        <f>IF(OR(AND($D17&lt;&gt;"",$D17&lt;&gt;"retain"),NOT(OR($E17="report_internal_inconsistency",$E17="plan_material"))),"not_applicable","")</f>
        <v/>
      </c>
      <c r="L17" s="9">
        <f>IF(OR(AND($D17&lt;&gt;"",$D17&lt;&gt;"retain"),NOT(OR($E17="protocol_report"))),"not_applicable","")</f>
        <v/>
      </c>
      <c r="M17" s="10" t="inlineStr"/>
      <c r="N17" s="10" t="inlineStr"/>
      <c r="O17" s="11" t="inlineStr"/>
      <c r="P17" s="12" t="inlineStr"/>
      <c r="Q17" s="11" t="inlineStr"/>
      <c r="R17" s="12" t="inlineStr"/>
      <c r="S17" s="3" t="inlineStr">
        <is>
          <t>PRIMARY REVIEW - complete this row before handoff. The primary snapshot appears here in the prepared checker copy.</t>
        </is>
      </c>
    </row>
    <row r="18" ht="76" customHeight="1">
      <c r="A18" s="2" t="inlineStr">
        <is>
          <t>2018::jama.2018.14282::C017</t>
        </is>
      </c>
      <c r="B18" s="2" t="inlineStr">
        <is>
          <t>Respiratory-rate confidence-interval endpoint differs between matched occurrences</t>
        </is>
      </c>
      <c r="C18" s="2" t="inlineStr">
        <is>
          <t>DOC-001 abstract — PDF p. 1; DOC-001 results — PDF p. 6</t>
        </is>
      </c>
      <c r="D18" s="8" t="inlineStr"/>
      <c r="E18" s="8" t="inlineStr">
        <is>
          <t>report_internal_inconsistency</t>
        </is>
      </c>
      <c r="F18" s="8" t="inlineStr">
        <is>
          <t>no</t>
        </is>
      </c>
      <c r="G18" s="2">
        <f>IF(OR(AND(OR(AND($D18&lt;&gt;"",$D18&lt;&gt;"retain"),NOT(OR($E18="statistical_results"))),H18&lt;&gt;"",H18&lt;&gt;"not_applicable"),AND(OR(AND($D18&lt;&gt;"",$D18&lt;&gt;"retain"),NOT(OR($E18="statistical_results"))),I18&lt;&gt;"",I18&lt;&gt;"not_applicable"),AND(OR(AND($D18&lt;&gt;"",$D18&lt;&gt;"retain"),NOT(OR($E18="statistical_results"))),J18&lt;&gt;"",J18&lt;&gt;"not_applicable"),AND(OR(AND($D18&lt;&gt;"",$D18&lt;&gt;"retain"),NOT(OR($E18="report_internal_inconsistency",$E18="plan_material"))),K18&lt;&gt;"",K18&lt;&gt;"not_applicable"),AND(OR(AND($D18&lt;&gt;"",$D18&lt;&gt;"retain"),NOT(OR($E18="protocol_report"))),L18&lt;&gt;"",L18&lt;&gt;"not_applicable")),"CLEAR INACTIVE VALUES",IF(OR(COUNTIF(opt_disposition,D18)&lt;&gt;1,COUNTIF(opt_domain,E18)&lt;&gt;1,AND(D18="retain",E18="statistical_results",OR(OR(COUNTIF(opt_statisticalErrorStatus,H18)&lt;&gt;1,H18="not_applicable"),OR(COUNTIF(opt_substantiveStatus,I18)&lt;&gt;1,I18="not_applicable"))),AND(D18="retain",E18="report_internal_inconsistency",OR(OR(COUNTIF(opt_internalStatus,K18)&lt;&gt;1,K18="not_applicable"))),AND(D18="retain",E18="plan_material",OR(OR(COUNTIF(opt_internalStatus,K18)&lt;&gt;1,K18="not_applicable")))),"CHECK FIELDS",IF(F18="yes","READY - validate saved file","DRAFT")))</f>
        <v/>
      </c>
      <c r="H18" s="8">
        <f>IF(OR(AND($D18&lt;&gt;"",$D18&lt;&gt;"retain"),NOT(OR($E18="statistical_results"))),"not_applicable","")</f>
        <v/>
      </c>
      <c r="I18" s="8">
        <f>IF(OR(AND($D18&lt;&gt;"",$D18&lt;&gt;"retain"),NOT(OR($E18="statistical_results"))),"not_applicable","")</f>
        <v/>
      </c>
      <c r="J18" s="9">
        <f>IF(OR(AND($D18&lt;&gt;"",$D18&lt;&gt;"retain"),NOT(OR($E18="statistical_results"))),"not_applicable","")</f>
        <v/>
      </c>
      <c r="K18" s="8">
        <f>IF(OR(AND($D18&lt;&gt;"",$D18&lt;&gt;"retain"),NOT(OR($E18="report_internal_inconsistency",$E18="plan_material"))),"not_applicable","")</f>
        <v/>
      </c>
      <c r="L18" s="9">
        <f>IF(OR(AND($D18&lt;&gt;"",$D18&lt;&gt;"retain"),NOT(OR($E18="protocol_report"))),"not_applicable","")</f>
        <v/>
      </c>
      <c r="M18" s="10" t="inlineStr"/>
      <c r="N18" s="10" t="inlineStr"/>
      <c r="O18" s="11" t="inlineStr"/>
      <c r="P18" s="12" t="inlineStr"/>
      <c r="Q18" s="11" t="inlineStr"/>
      <c r="R18" s="12" t="inlineStr"/>
      <c r="S18" s="2" t="inlineStr">
        <is>
          <t>PRIMARY REVIEW - complete this row before handoff. The primary snapshot appears here in the prepared checker copy.</t>
        </is>
      </c>
    </row>
    <row r="19" ht="76" customHeight="1">
      <c r="A19" s="3" t="inlineStr">
        <is>
          <t>2018::jama.2018.14282::C018</t>
        </is>
      </c>
      <c r="B19" s="3" t="inlineStr">
        <is>
          <t>Arm-attributed support-needs percentages use the overall-population denominator</t>
        </is>
      </c>
      <c r="C19" s="3" t="inlineStr">
        <is>
          <t>DOC-001 post hoc outcomes — PDF p. 6</t>
        </is>
      </c>
      <c r="D19" s="8" t="inlineStr"/>
      <c r="E19" s="8" t="inlineStr">
        <is>
          <t>statistical_results</t>
        </is>
      </c>
      <c r="F19" s="8" t="inlineStr">
        <is>
          <t>no</t>
        </is>
      </c>
      <c r="G19" s="3">
        <f>IF(OR(AND(OR(AND($D19&lt;&gt;"",$D19&lt;&gt;"retain"),NOT(OR($E19="statistical_results"))),H19&lt;&gt;"",H19&lt;&gt;"not_applicable"),AND(OR(AND($D19&lt;&gt;"",$D19&lt;&gt;"retain"),NOT(OR($E19="statistical_results"))),I19&lt;&gt;"",I19&lt;&gt;"not_applicable"),AND(OR(AND($D19&lt;&gt;"",$D19&lt;&gt;"retain"),NOT(OR($E19="statistical_results"))),J19&lt;&gt;"",J19&lt;&gt;"not_applicable"),AND(OR(AND($D19&lt;&gt;"",$D19&lt;&gt;"retain"),NOT(OR($E19="report_internal_inconsistency",$E19="plan_material"))),K19&lt;&gt;"",K19&lt;&gt;"not_applicable"),AND(OR(AND($D19&lt;&gt;"",$D19&lt;&gt;"retain"),NOT(OR($E19="protocol_report"))),L19&lt;&gt;"",L19&lt;&gt;"not_applicable")),"CLEAR INACTIVE VALUES",IF(OR(COUNTIF(opt_disposition,D19)&lt;&gt;1,COUNTIF(opt_domain,E19)&lt;&gt;1,AND(D19="retain",E19="statistical_results",OR(OR(COUNTIF(opt_statisticalErrorStatus,H19)&lt;&gt;1,H19="not_applicable"),OR(COUNTIF(opt_substantiveStatus,I19)&lt;&gt;1,I19="not_applicable"))),AND(D19="retain",E19="report_internal_inconsistency",OR(OR(COUNTIF(opt_internalStatus,K19)&lt;&gt;1,K19="not_applicable"))),AND(D19="retain",E19="plan_material",OR(OR(COUNTIF(opt_internalStatus,K19)&lt;&gt;1,K19="not_applicable")))),"CHECK FIELDS",IF(F19="yes","READY - validate saved file","DRAFT")))</f>
        <v/>
      </c>
      <c r="H19" s="8">
        <f>IF(OR(AND($D19&lt;&gt;"",$D19&lt;&gt;"retain"),NOT(OR($E19="statistical_results"))),"not_applicable","")</f>
        <v/>
      </c>
      <c r="I19" s="8">
        <f>IF(OR(AND($D19&lt;&gt;"",$D19&lt;&gt;"retain"),NOT(OR($E19="statistical_results"))),"not_applicable","")</f>
        <v/>
      </c>
      <c r="J19" s="9">
        <f>IF(OR(AND($D19&lt;&gt;"",$D19&lt;&gt;"retain"),NOT(OR($E19="statistical_results"))),"not_applicable","")</f>
        <v/>
      </c>
      <c r="K19" s="8">
        <f>IF(OR(AND($D19&lt;&gt;"",$D19&lt;&gt;"retain"),NOT(OR($E19="report_internal_inconsistency",$E19="plan_material"))),"not_applicable","")</f>
        <v/>
      </c>
      <c r="L19" s="9">
        <f>IF(OR(AND($D19&lt;&gt;"",$D19&lt;&gt;"retain"),NOT(OR($E19="protocol_report"))),"not_applicable","")</f>
        <v/>
      </c>
      <c r="M19" s="10" t="inlineStr"/>
      <c r="N19" s="10" t="inlineStr"/>
      <c r="O19" s="11" t="inlineStr"/>
      <c r="P19" s="12" t="inlineStr"/>
      <c r="Q19" s="11" t="inlineStr"/>
      <c r="R19" s="12" t="inlineStr"/>
      <c r="S19" s="3" t="inlineStr">
        <is>
          <t>PRIMARY REVIEW - complete this row before handoff. The primary snapshot appears here in the prepared checker copy.</t>
        </is>
      </c>
    </row>
    <row r="20" ht="76" customHeight="1">
      <c r="A20" s="2" t="inlineStr">
        <is>
          <t>2018::jama.2018.14282::C019</t>
        </is>
      </c>
      <c r="B20" s="2" t="inlineStr">
        <is>
          <t>eTable high-flow invasive-MV percentage does not reconcile</t>
        </is>
      </c>
      <c r="C20" s="2" t="inlineStr">
        <is>
          <t>DOC-003 eTable — PDF p. 2</t>
        </is>
      </c>
      <c r="D20" s="8" t="inlineStr"/>
      <c r="E20" s="8" t="inlineStr">
        <is>
          <t>statistical_results</t>
        </is>
      </c>
      <c r="F20" s="8" t="inlineStr">
        <is>
          <t>no</t>
        </is>
      </c>
      <c r="G20" s="2">
        <f>IF(OR(AND(OR(AND($D20&lt;&gt;"",$D20&lt;&gt;"retain"),NOT(OR($E20="statistical_results"))),H20&lt;&gt;"",H20&lt;&gt;"not_applicable"),AND(OR(AND($D20&lt;&gt;"",$D20&lt;&gt;"retain"),NOT(OR($E20="statistical_results"))),I20&lt;&gt;"",I20&lt;&gt;"not_applicable"),AND(OR(AND($D20&lt;&gt;"",$D20&lt;&gt;"retain"),NOT(OR($E20="statistical_results"))),J20&lt;&gt;"",J20&lt;&gt;"not_applicable"),AND(OR(AND($D20&lt;&gt;"",$D20&lt;&gt;"retain"),NOT(OR($E20="report_internal_inconsistency",$E20="plan_material"))),K20&lt;&gt;"",K20&lt;&gt;"not_applicable"),AND(OR(AND($D20&lt;&gt;"",$D20&lt;&gt;"retain"),NOT(OR($E20="protocol_report"))),L20&lt;&gt;"",L20&lt;&gt;"not_applicable")),"CLEAR INACTIVE VALUES",IF(OR(COUNTIF(opt_disposition,D20)&lt;&gt;1,COUNTIF(opt_domain,E20)&lt;&gt;1,AND(D20="retain",E20="statistical_results",OR(OR(COUNTIF(opt_statisticalErrorStatus,H20)&lt;&gt;1,H20="not_applicable"),OR(COUNTIF(opt_substantiveStatus,I20)&lt;&gt;1,I20="not_applicable"))),AND(D20="retain",E20="report_internal_inconsistency",OR(OR(COUNTIF(opt_internalStatus,K20)&lt;&gt;1,K20="not_applicable"))),AND(D20="retain",E20="plan_material",OR(OR(COUNTIF(opt_internalStatus,K20)&lt;&gt;1,K20="not_applicable")))),"CHECK FIELDS",IF(F20="yes","READY - validate saved file","DRAFT")))</f>
        <v/>
      </c>
      <c r="H20" s="8">
        <f>IF(OR(AND($D20&lt;&gt;"",$D20&lt;&gt;"retain"),NOT(OR($E20="statistical_results"))),"not_applicable","")</f>
        <v/>
      </c>
      <c r="I20" s="8">
        <f>IF(OR(AND($D20&lt;&gt;"",$D20&lt;&gt;"retain"),NOT(OR($E20="statistical_results"))),"not_applicable","")</f>
        <v/>
      </c>
      <c r="J20" s="9">
        <f>IF(OR(AND($D20&lt;&gt;"",$D20&lt;&gt;"retain"),NOT(OR($E20="statistical_results"))),"not_applicable","")</f>
        <v/>
      </c>
      <c r="K20" s="8">
        <f>IF(OR(AND($D20&lt;&gt;"",$D20&lt;&gt;"retain"),NOT(OR($E20="report_internal_inconsistency",$E20="plan_material"))),"not_applicable","")</f>
        <v/>
      </c>
      <c r="L20" s="9">
        <f>IF(OR(AND($D20&lt;&gt;"",$D20&lt;&gt;"retain"),NOT(OR($E20="protocol_report"))),"not_applicable","")</f>
        <v/>
      </c>
      <c r="M20" s="10" t="inlineStr"/>
      <c r="N20" s="10" t="inlineStr"/>
      <c r="O20" s="11" t="inlineStr"/>
      <c r="P20" s="12" t="inlineStr"/>
      <c r="Q20" s="11" t="inlineStr"/>
      <c r="R20" s="12" t="inlineStr"/>
      <c r="S20" s="2" t="inlineStr">
        <is>
          <t>PRIMARY REVIEW - complete this row before handoff. The primary snapshot appears here in the prepared checker copy.</t>
        </is>
      </c>
    </row>
    <row r="21" ht="76" customHeight="1">
      <c r="A21" s="3" t="inlineStr">
        <is>
          <t>2018::jama.2018.14282::C020</t>
        </is>
      </c>
      <c r="B21" s="3" t="inlineStr">
        <is>
          <t>eTable standard-arm invasive-MV percentage does not reconcile</t>
        </is>
      </c>
      <c r="C21" s="3" t="inlineStr">
        <is>
          <t>DOC-003 eTable — PDF p. 2</t>
        </is>
      </c>
      <c r="D21" s="8" t="inlineStr"/>
      <c r="E21" s="8" t="inlineStr">
        <is>
          <t>statistical_results</t>
        </is>
      </c>
      <c r="F21" s="8" t="inlineStr">
        <is>
          <t>no</t>
        </is>
      </c>
      <c r="G21" s="3">
        <f>IF(OR(AND(OR(AND($D21&lt;&gt;"",$D21&lt;&gt;"retain"),NOT(OR($E21="statistical_results"))),H21&lt;&gt;"",H21&lt;&gt;"not_applicable"),AND(OR(AND($D21&lt;&gt;"",$D21&lt;&gt;"retain"),NOT(OR($E21="statistical_results"))),I21&lt;&gt;"",I21&lt;&gt;"not_applicable"),AND(OR(AND($D21&lt;&gt;"",$D21&lt;&gt;"retain"),NOT(OR($E21="statistical_results"))),J21&lt;&gt;"",J21&lt;&gt;"not_applicable"),AND(OR(AND($D21&lt;&gt;"",$D21&lt;&gt;"retain"),NOT(OR($E21="report_internal_inconsistency",$E21="plan_material"))),K21&lt;&gt;"",K21&lt;&gt;"not_applicable"),AND(OR(AND($D21&lt;&gt;"",$D21&lt;&gt;"retain"),NOT(OR($E21="protocol_report"))),L21&lt;&gt;"",L21&lt;&gt;"not_applicable")),"CLEAR INACTIVE VALUES",IF(OR(COUNTIF(opt_disposition,D21)&lt;&gt;1,COUNTIF(opt_domain,E21)&lt;&gt;1,AND(D21="retain",E21="statistical_results",OR(OR(COUNTIF(opt_statisticalErrorStatus,H21)&lt;&gt;1,H21="not_applicable"),OR(COUNTIF(opt_substantiveStatus,I21)&lt;&gt;1,I21="not_applicable"))),AND(D21="retain",E21="report_internal_inconsistency",OR(OR(COUNTIF(opt_internalStatus,K21)&lt;&gt;1,K21="not_applicable"))),AND(D21="retain",E21="plan_material",OR(OR(COUNTIF(opt_internalStatus,K21)&lt;&gt;1,K21="not_applicable")))),"CHECK FIELDS",IF(F21="yes","READY - validate saved file","DRAFT")))</f>
        <v/>
      </c>
      <c r="H21" s="8">
        <f>IF(OR(AND($D21&lt;&gt;"",$D21&lt;&gt;"retain"),NOT(OR($E21="statistical_results"))),"not_applicable","")</f>
        <v/>
      </c>
      <c r="I21" s="8">
        <f>IF(OR(AND($D21&lt;&gt;"",$D21&lt;&gt;"retain"),NOT(OR($E21="statistical_results"))),"not_applicable","")</f>
        <v/>
      </c>
      <c r="J21" s="9">
        <f>IF(OR(AND($D21&lt;&gt;"",$D21&lt;&gt;"retain"),NOT(OR($E21="statistical_results"))),"not_applicable","")</f>
        <v/>
      </c>
      <c r="K21" s="8">
        <f>IF(OR(AND($D21&lt;&gt;"",$D21&lt;&gt;"retain"),NOT(OR($E21="report_internal_inconsistency",$E21="plan_material"))),"not_applicable","")</f>
        <v/>
      </c>
      <c r="L21" s="9">
        <f>IF(OR(AND($D21&lt;&gt;"",$D21&lt;&gt;"retain"),NOT(OR($E21="protocol_report"))),"not_applicable","")</f>
        <v/>
      </c>
      <c r="M21" s="10" t="inlineStr"/>
      <c r="N21" s="10" t="inlineStr"/>
      <c r="O21" s="11" t="inlineStr"/>
      <c r="P21" s="12" t="inlineStr"/>
      <c r="Q21" s="11" t="inlineStr"/>
      <c r="R21" s="12" t="inlineStr"/>
      <c r="S21" s="3" t="inlineStr">
        <is>
          <t>PRIMARY REVIEW - complete this row before handoff. The primary snapshot appears here in the prepared checker copy.</t>
        </is>
      </c>
    </row>
    <row r="22" ht="76" customHeight="1">
      <c r="A22" s="2" t="inlineStr">
        <is>
          <t>2018::jama.2018.14282::C021</t>
        </is>
      </c>
      <c r="B22" s="2" t="inlineStr">
        <is>
          <t>eTable standard-oxygen-only percentage does not reconcile</t>
        </is>
      </c>
      <c r="C22" s="2" t="inlineStr">
        <is>
          <t>DOC-003 eTable — PDF p. 2</t>
        </is>
      </c>
      <c r="D22" s="8" t="inlineStr"/>
      <c r="E22" s="8" t="inlineStr">
        <is>
          <t>statistical_results</t>
        </is>
      </c>
      <c r="F22" s="8" t="inlineStr">
        <is>
          <t>no</t>
        </is>
      </c>
      <c r="G22" s="2">
        <f>IF(OR(AND(OR(AND($D22&lt;&gt;"",$D22&lt;&gt;"retain"),NOT(OR($E22="statistical_results"))),H22&lt;&gt;"",H22&lt;&gt;"not_applicable"),AND(OR(AND($D22&lt;&gt;"",$D22&lt;&gt;"retain"),NOT(OR($E22="statistical_results"))),I22&lt;&gt;"",I22&lt;&gt;"not_applicable"),AND(OR(AND($D22&lt;&gt;"",$D22&lt;&gt;"retain"),NOT(OR($E22="statistical_results"))),J22&lt;&gt;"",J22&lt;&gt;"not_applicable"),AND(OR(AND($D22&lt;&gt;"",$D22&lt;&gt;"retain"),NOT(OR($E22="report_internal_inconsistency",$E22="plan_material"))),K22&lt;&gt;"",K22&lt;&gt;"not_applicable"),AND(OR(AND($D22&lt;&gt;"",$D22&lt;&gt;"retain"),NOT(OR($E22="protocol_report"))),L22&lt;&gt;"",L22&lt;&gt;"not_applicable")),"CLEAR INACTIVE VALUES",IF(OR(COUNTIF(opt_disposition,D22)&lt;&gt;1,COUNTIF(opt_domain,E22)&lt;&gt;1,AND(D22="retain",E22="statistical_results",OR(OR(COUNTIF(opt_statisticalErrorStatus,H22)&lt;&gt;1,H22="not_applicable"),OR(COUNTIF(opt_substantiveStatus,I22)&lt;&gt;1,I22="not_applicable"))),AND(D22="retain",E22="report_internal_inconsistency",OR(OR(COUNTIF(opt_internalStatus,K22)&lt;&gt;1,K22="not_applicable"))),AND(D22="retain",E22="plan_material",OR(OR(COUNTIF(opt_internalStatus,K22)&lt;&gt;1,K22="not_applicable")))),"CHECK FIELDS",IF(F22="yes","READY - validate saved file","DRAFT")))</f>
        <v/>
      </c>
      <c r="H22" s="8">
        <f>IF(OR(AND($D22&lt;&gt;"",$D22&lt;&gt;"retain"),NOT(OR($E22="statistical_results"))),"not_applicable","")</f>
        <v/>
      </c>
      <c r="I22" s="8">
        <f>IF(OR(AND($D22&lt;&gt;"",$D22&lt;&gt;"retain"),NOT(OR($E22="statistical_results"))),"not_applicable","")</f>
        <v/>
      </c>
      <c r="J22" s="9">
        <f>IF(OR(AND($D22&lt;&gt;"",$D22&lt;&gt;"retain"),NOT(OR($E22="statistical_results"))),"not_applicable","")</f>
        <v/>
      </c>
      <c r="K22" s="8">
        <f>IF(OR(AND($D22&lt;&gt;"",$D22&lt;&gt;"retain"),NOT(OR($E22="report_internal_inconsistency",$E22="plan_material"))),"not_applicable","")</f>
        <v/>
      </c>
      <c r="L22" s="9">
        <f>IF(OR(AND($D22&lt;&gt;"",$D22&lt;&gt;"retain"),NOT(OR($E22="protocol_report"))),"not_applicable","")</f>
        <v/>
      </c>
      <c r="M22" s="10" t="inlineStr"/>
      <c r="N22" s="10" t="inlineStr"/>
      <c r="O22" s="11" t="inlineStr"/>
      <c r="P22" s="12" t="inlineStr"/>
      <c r="Q22" s="11" t="inlineStr"/>
      <c r="R22" s="12" t="inlineStr"/>
      <c r="S22" s="2" t="inlineStr">
        <is>
          <t>PRIMARY REVIEW - complete this row before handoff. The primary snapshot appears here in the prepared checker copy.</t>
        </is>
      </c>
    </row>
    <row r="23" ht="76" customHeight="1">
      <c r="A23" s="3" t="inlineStr">
        <is>
          <t>2018::jama.2018.14282::C022</t>
        </is>
      </c>
      <c r="B23" s="3" t="inlineStr">
        <is>
          <t>IMV cumulative-incidence comparison has incompatible printed test labels</t>
        </is>
      </c>
      <c r="C23" s="3" t="inlineStr">
        <is>
          <t>DOC-001 methods — PDF p. 4; DOC-001 results — PDF p. 6; DOC-003 eFigure 1 — PDF p. 3</t>
        </is>
      </c>
      <c r="D23" s="8" t="inlineStr"/>
      <c r="E23" s="8" t="inlineStr">
        <is>
          <t>statistical_results</t>
        </is>
      </c>
      <c r="F23" s="8" t="inlineStr">
        <is>
          <t>no</t>
        </is>
      </c>
      <c r="G23" s="3">
        <f>IF(OR(AND(OR(AND($D23&lt;&gt;"",$D23&lt;&gt;"retain"),NOT(OR($E23="statistical_results"))),H23&lt;&gt;"",H23&lt;&gt;"not_applicable"),AND(OR(AND($D23&lt;&gt;"",$D23&lt;&gt;"retain"),NOT(OR($E23="statistical_results"))),I23&lt;&gt;"",I23&lt;&gt;"not_applicable"),AND(OR(AND($D23&lt;&gt;"",$D23&lt;&gt;"retain"),NOT(OR($E23="statistical_results"))),J23&lt;&gt;"",J23&lt;&gt;"not_applicable"),AND(OR(AND($D23&lt;&gt;"",$D23&lt;&gt;"retain"),NOT(OR($E23="report_internal_inconsistency",$E23="plan_material"))),K23&lt;&gt;"",K23&lt;&gt;"not_applicable"),AND(OR(AND($D23&lt;&gt;"",$D23&lt;&gt;"retain"),NOT(OR($E23="protocol_report"))),L23&lt;&gt;"",L23&lt;&gt;"not_applicable")),"CLEAR INACTIVE VALUES",IF(OR(COUNTIF(opt_disposition,D23)&lt;&gt;1,COUNTIF(opt_domain,E23)&lt;&gt;1,AND(D23="retain",E23="statistical_results",OR(OR(COUNTIF(opt_statisticalErrorStatus,H23)&lt;&gt;1,H23="not_applicable"),OR(COUNTIF(opt_substantiveStatus,I23)&lt;&gt;1,I23="not_applicable"))),AND(D23="retain",E23="report_internal_inconsistency",OR(OR(COUNTIF(opt_internalStatus,K23)&lt;&gt;1,K23="not_applicable"))),AND(D23="retain",E23="plan_material",OR(OR(COUNTIF(opt_internalStatus,K23)&lt;&gt;1,K23="not_applicable")))),"CHECK FIELDS",IF(F23="yes","READY - validate saved file","DRAFT")))</f>
        <v/>
      </c>
      <c r="H23" s="8">
        <f>IF(OR(AND($D23&lt;&gt;"",$D23&lt;&gt;"retain"),NOT(OR($E23="statistical_results"))),"not_applicable","")</f>
        <v/>
      </c>
      <c r="I23" s="8">
        <f>IF(OR(AND($D23&lt;&gt;"",$D23&lt;&gt;"retain"),NOT(OR($E23="statistical_results"))),"not_applicable","")</f>
        <v/>
      </c>
      <c r="J23" s="9">
        <f>IF(OR(AND($D23&lt;&gt;"",$D23&lt;&gt;"retain"),NOT(OR($E23="statistical_results"))),"not_applicable","")</f>
        <v/>
      </c>
      <c r="K23" s="8">
        <f>IF(OR(AND($D23&lt;&gt;"",$D23&lt;&gt;"retain"),NOT(OR($E23="report_internal_inconsistency",$E23="plan_material"))),"not_applicable","")</f>
        <v/>
      </c>
      <c r="L23" s="9">
        <f>IF(OR(AND($D23&lt;&gt;"",$D23&lt;&gt;"retain"),NOT(OR($E23="protocol_report"))),"not_applicable","")</f>
        <v/>
      </c>
      <c r="M23" s="10" t="inlineStr"/>
      <c r="N23" s="10" t="inlineStr"/>
      <c r="O23" s="11" t="inlineStr"/>
      <c r="P23" s="12" t="inlineStr"/>
      <c r="Q23" s="11" t="inlineStr"/>
      <c r="R23" s="12" t="inlineStr"/>
      <c r="S23" s="3" t="inlineStr">
        <is>
          <t>PRIMARY REVIEW - complete this row before handoff. The primary snapshot appears here in the prepared checker copy.</t>
        </is>
      </c>
    </row>
    <row r="24" ht="76" customHeight="1">
      <c r="A24" s="2" t="inlineStr">
        <is>
          <t>2018::jama.2018.14282::C023</t>
        </is>
      </c>
      <c r="B24" s="2" t="inlineStr">
        <is>
          <t>Figure 3A mortality HR has a near-reciprocal orientation relative to Table 2</t>
        </is>
      </c>
      <c r="C24" s="2" t="inlineStr">
        <is>
          <t>DOC-001 Table 2 and narrative — PDF p. 5; DOC-001 Figure 3A — PDF p. 7</t>
        </is>
      </c>
      <c r="D24" s="8" t="inlineStr"/>
      <c r="E24" s="8" t="inlineStr">
        <is>
          <t>report_internal_inconsistency</t>
        </is>
      </c>
      <c r="F24" s="8" t="inlineStr">
        <is>
          <t>no</t>
        </is>
      </c>
      <c r="G24" s="2">
        <f>IF(OR(AND(OR(AND($D24&lt;&gt;"",$D24&lt;&gt;"retain"),NOT(OR($E24="statistical_results"))),H24&lt;&gt;"",H24&lt;&gt;"not_applicable"),AND(OR(AND($D24&lt;&gt;"",$D24&lt;&gt;"retain"),NOT(OR($E24="statistical_results"))),I24&lt;&gt;"",I24&lt;&gt;"not_applicable"),AND(OR(AND($D24&lt;&gt;"",$D24&lt;&gt;"retain"),NOT(OR($E24="statistical_results"))),J24&lt;&gt;"",J24&lt;&gt;"not_applicable"),AND(OR(AND($D24&lt;&gt;"",$D24&lt;&gt;"retain"),NOT(OR($E24="report_internal_inconsistency",$E24="plan_material"))),K24&lt;&gt;"",K24&lt;&gt;"not_applicable"),AND(OR(AND($D24&lt;&gt;"",$D24&lt;&gt;"retain"),NOT(OR($E24="protocol_report"))),L24&lt;&gt;"",L24&lt;&gt;"not_applicable")),"CLEAR INACTIVE VALUES",IF(OR(COUNTIF(opt_disposition,D24)&lt;&gt;1,COUNTIF(opt_domain,E24)&lt;&gt;1,AND(D24="retain",E24="statistical_results",OR(OR(COUNTIF(opt_statisticalErrorStatus,H24)&lt;&gt;1,H24="not_applicable"),OR(COUNTIF(opt_substantiveStatus,I24)&lt;&gt;1,I24="not_applicable"))),AND(D24="retain",E24="report_internal_inconsistency",OR(OR(COUNTIF(opt_internalStatus,K24)&lt;&gt;1,K24="not_applicable"))),AND(D24="retain",E24="plan_material",OR(OR(COUNTIF(opt_internalStatus,K24)&lt;&gt;1,K24="not_applicable")))),"CHECK FIELDS",IF(F24="yes","READY - validate saved file","DRAFT")))</f>
        <v/>
      </c>
      <c r="H24" s="8">
        <f>IF(OR(AND($D24&lt;&gt;"",$D24&lt;&gt;"retain"),NOT(OR($E24="statistical_results"))),"not_applicable","")</f>
        <v/>
      </c>
      <c r="I24" s="8">
        <f>IF(OR(AND($D24&lt;&gt;"",$D24&lt;&gt;"retain"),NOT(OR($E24="statistical_results"))),"not_applicable","")</f>
        <v/>
      </c>
      <c r="J24" s="9">
        <f>IF(OR(AND($D24&lt;&gt;"",$D24&lt;&gt;"retain"),NOT(OR($E24="statistical_results"))),"not_applicable","")</f>
        <v/>
      </c>
      <c r="K24" s="8">
        <f>IF(OR(AND($D24&lt;&gt;"",$D24&lt;&gt;"retain"),NOT(OR($E24="report_internal_inconsistency",$E24="plan_material"))),"not_applicable","")</f>
        <v/>
      </c>
      <c r="L24" s="9">
        <f>IF(OR(AND($D24&lt;&gt;"",$D24&lt;&gt;"retain"),NOT(OR($E24="protocol_report"))),"not_applicable","")</f>
        <v/>
      </c>
      <c r="M24" s="10" t="inlineStr"/>
      <c r="N24" s="10" t="inlineStr"/>
      <c r="O24" s="11" t="inlineStr"/>
      <c r="P24" s="12" t="inlineStr"/>
      <c r="Q24" s="11" t="inlineStr"/>
      <c r="R24" s="12" t="inlineStr"/>
      <c r="S24" s="2" t="inlineStr">
        <is>
          <t>PRIMARY REVIEW - complete this row before handoff. The primary snapshot appears here in the prepared checker copy.</t>
        </is>
      </c>
    </row>
    <row r="25" ht="76" customHeight="1">
      <c r="A25" s="3" t="inlineStr">
        <is>
          <t>2018::jama.2018.14282::C024</t>
        </is>
      </c>
      <c r="B25" s="3" t="inlineStr">
        <is>
          <t>Figure 3B IMV HR has a near-reciprocal orientation relative to Table 2</t>
        </is>
      </c>
      <c r="C25" s="3" t="inlineStr">
        <is>
          <t>DOC-001 Table 2 — PDF p. 5; DOC-001 narrative — PDF p. 6; DOC-001 Figure 3B — PDF p. 7</t>
        </is>
      </c>
      <c r="D25" s="8" t="inlineStr"/>
      <c r="E25" s="8" t="inlineStr">
        <is>
          <t>report_internal_inconsistency</t>
        </is>
      </c>
      <c r="F25" s="8" t="inlineStr">
        <is>
          <t>no</t>
        </is>
      </c>
      <c r="G25" s="3">
        <f>IF(OR(AND(OR(AND($D25&lt;&gt;"",$D25&lt;&gt;"retain"),NOT(OR($E25="statistical_results"))),H25&lt;&gt;"",H25&lt;&gt;"not_applicable"),AND(OR(AND($D25&lt;&gt;"",$D25&lt;&gt;"retain"),NOT(OR($E25="statistical_results"))),I25&lt;&gt;"",I25&lt;&gt;"not_applicable"),AND(OR(AND($D25&lt;&gt;"",$D25&lt;&gt;"retain"),NOT(OR($E25="statistical_results"))),J25&lt;&gt;"",J25&lt;&gt;"not_applicable"),AND(OR(AND($D25&lt;&gt;"",$D25&lt;&gt;"retain"),NOT(OR($E25="report_internal_inconsistency",$E25="plan_material"))),K25&lt;&gt;"",K25&lt;&gt;"not_applicable"),AND(OR(AND($D25&lt;&gt;"",$D25&lt;&gt;"retain"),NOT(OR($E25="protocol_report"))),L25&lt;&gt;"",L25&lt;&gt;"not_applicable")),"CLEAR INACTIVE VALUES",IF(OR(COUNTIF(opt_disposition,D25)&lt;&gt;1,COUNTIF(opt_domain,E25)&lt;&gt;1,AND(D25="retain",E25="statistical_results",OR(OR(COUNTIF(opt_statisticalErrorStatus,H25)&lt;&gt;1,H25="not_applicable"),OR(COUNTIF(opt_substantiveStatus,I25)&lt;&gt;1,I25="not_applicable"))),AND(D25="retain",E25="report_internal_inconsistency",OR(OR(COUNTIF(opt_internalStatus,K25)&lt;&gt;1,K25="not_applicable"))),AND(D25="retain",E25="plan_material",OR(OR(COUNTIF(opt_internalStatus,K25)&lt;&gt;1,K25="not_applicable")))),"CHECK FIELDS",IF(F25="yes","READY - validate saved file","DRAFT")))</f>
        <v/>
      </c>
      <c r="H25" s="8">
        <f>IF(OR(AND($D25&lt;&gt;"",$D25&lt;&gt;"retain"),NOT(OR($E25="statistical_results"))),"not_applicable","")</f>
        <v/>
      </c>
      <c r="I25" s="8">
        <f>IF(OR(AND($D25&lt;&gt;"",$D25&lt;&gt;"retain"),NOT(OR($E25="statistical_results"))),"not_applicable","")</f>
        <v/>
      </c>
      <c r="J25" s="9">
        <f>IF(OR(AND($D25&lt;&gt;"",$D25&lt;&gt;"retain"),NOT(OR($E25="statistical_results"))),"not_applicable","")</f>
        <v/>
      </c>
      <c r="K25" s="8">
        <f>IF(OR(AND($D25&lt;&gt;"",$D25&lt;&gt;"retain"),NOT(OR($E25="report_internal_inconsistency",$E25="plan_material"))),"not_applicable","")</f>
        <v/>
      </c>
      <c r="L25" s="9">
        <f>IF(OR(AND($D25&lt;&gt;"",$D25&lt;&gt;"retain"),NOT(OR($E25="protocol_report"))),"not_applicable","")</f>
        <v/>
      </c>
      <c r="M25" s="10" t="inlineStr"/>
      <c r="N25" s="10" t="inlineStr"/>
      <c r="O25" s="11" t="inlineStr"/>
      <c r="P25" s="12" t="inlineStr"/>
      <c r="Q25" s="11" t="inlineStr"/>
      <c r="R25" s="12" t="inlineStr"/>
      <c r="S25" s="3" t="inlineStr">
        <is>
          <t>PRIMARY REVIEW - complete this row before handoff. The primary snapshot appears here in the prepared checker copy.</t>
        </is>
      </c>
    </row>
    <row r="26" ht="76" customHeight="1">
      <c r="A26" s="2" t="inlineStr">
        <is>
          <t>2018::jama.2018.14282::C025</t>
        </is>
      </c>
      <c r="B26" s="2" t="inlineStr">
        <is>
          <t>Revised-superiority sample-size total conflicts with equal arm counts</t>
        </is>
      </c>
      <c r="C26" s="2" t="inlineStr">
        <is>
          <t>DOC-001 — PDF p. 3; DOC-002 completed published-protocol abstract sentence — PDF p. 91; DOC-002 statistical-plan comparator — PDF p. 103</t>
        </is>
      </c>
      <c r="D26" s="8" t="inlineStr"/>
      <c r="E26" s="8" t="inlineStr">
        <is>
          <t>statistical_results</t>
        </is>
      </c>
      <c r="F26" s="8" t="inlineStr">
        <is>
          <t>no</t>
        </is>
      </c>
      <c r="G26" s="2">
        <f>IF(OR(AND(OR(AND($D26&lt;&gt;"",$D26&lt;&gt;"retain"),NOT(OR($E26="statistical_results"))),H26&lt;&gt;"",H26&lt;&gt;"not_applicable"),AND(OR(AND($D26&lt;&gt;"",$D26&lt;&gt;"retain"),NOT(OR($E26="statistical_results"))),I26&lt;&gt;"",I26&lt;&gt;"not_applicable"),AND(OR(AND($D26&lt;&gt;"",$D26&lt;&gt;"retain"),NOT(OR($E26="statistical_results"))),J26&lt;&gt;"",J26&lt;&gt;"not_applicable"),AND(OR(AND($D26&lt;&gt;"",$D26&lt;&gt;"retain"),NOT(OR($E26="report_internal_inconsistency",$E26="plan_material"))),K26&lt;&gt;"",K26&lt;&gt;"not_applicable"),AND(OR(AND($D26&lt;&gt;"",$D26&lt;&gt;"retain"),NOT(OR($E26="protocol_report"))),L26&lt;&gt;"",L26&lt;&gt;"not_applicable")),"CLEAR INACTIVE VALUES",IF(OR(COUNTIF(opt_disposition,D26)&lt;&gt;1,COUNTIF(opt_domain,E26)&lt;&gt;1,AND(D26="retain",E26="statistical_results",OR(OR(COUNTIF(opt_statisticalErrorStatus,H26)&lt;&gt;1,H26="not_applicable"),OR(COUNTIF(opt_substantiveStatus,I26)&lt;&gt;1,I26="not_applicable"))),AND(D26="retain",E26="report_internal_inconsistency",OR(OR(COUNTIF(opt_internalStatus,K26)&lt;&gt;1,K26="not_applicable"))),AND(D26="retain",E26="plan_material",OR(OR(COUNTIF(opt_internalStatus,K26)&lt;&gt;1,K26="not_applicable")))),"CHECK FIELDS",IF(F26="yes","READY - validate saved file","DRAFT")))</f>
        <v/>
      </c>
      <c r="H26" s="8">
        <f>IF(OR(AND($D26&lt;&gt;"",$D26&lt;&gt;"retain"),NOT(OR($E26="statistical_results"))),"not_applicable","")</f>
        <v/>
      </c>
      <c r="I26" s="8">
        <f>IF(OR(AND($D26&lt;&gt;"",$D26&lt;&gt;"retain"),NOT(OR($E26="statistical_results"))),"not_applicable","")</f>
        <v/>
      </c>
      <c r="J26" s="9">
        <f>IF(OR(AND($D26&lt;&gt;"",$D26&lt;&gt;"retain"),NOT(OR($E26="statistical_results"))),"not_applicable","")</f>
        <v/>
      </c>
      <c r="K26" s="8">
        <f>IF(OR(AND($D26&lt;&gt;"",$D26&lt;&gt;"retain"),NOT(OR($E26="report_internal_inconsistency",$E26="plan_material"))),"not_applicable","")</f>
        <v/>
      </c>
      <c r="L26" s="9">
        <f>IF(OR(AND($D26&lt;&gt;"",$D26&lt;&gt;"retain"),NOT(OR($E26="protocol_report"))),"not_applicable","")</f>
        <v/>
      </c>
      <c r="M26" s="10" t="inlineStr"/>
      <c r="N26" s="10" t="inlineStr"/>
      <c r="O26" s="11" t="inlineStr"/>
      <c r="P26" s="12" t="inlineStr"/>
      <c r="Q26" s="11" t="inlineStr"/>
      <c r="R26" s="12" t="inlineStr"/>
      <c r="S26" s="2" t="inlineStr">
        <is>
          <t>PRIMARY REVIEW - complete this row before handoff. The primary snapshot appears here in the prepared checker copy.</t>
        </is>
      </c>
    </row>
    <row r="27" ht="76" customHeight="1">
      <c r="A27" s="3" t="inlineStr">
        <is>
          <t>2018::jama.2018.14282::C026</t>
        </is>
      </c>
      <c r="B27" s="3" t="inlineStr">
        <is>
          <t>Noninferiority bound/sign wording conflicts with its explanatory axis</t>
        </is>
      </c>
      <c r="C27" s="3" t="inlineStr">
        <is>
          <t>DOC-002 Figure 4 — PDF p. 40; DOC-002 — PDF p. 42</t>
        </is>
      </c>
      <c r="D27" s="8" t="inlineStr"/>
      <c r="E27" s="8" t="inlineStr">
        <is>
          <t>plan_material</t>
        </is>
      </c>
      <c r="F27" s="8" t="inlineStr">
        <is>
          <t>no</t>
        </is>
      </c>
      <c r="G27" s="3">
        <f>IF(OR(AND(OR(AND($D27&lt;&gt;"",$D27&lt;&gt;"retain"),NOT(OR($E27="statistical_results"))),H27&lt;&gt;"",H27&lt;&gt;"not_applicable"),AND(OR(AND($D27&lt;&gt;"",$D27&lt;&gt;"retain"),NOT(OR($E27="statistical_results"))),I27&lt;&gt;"",I27&lt;&gt;"not_applicable"),AND(OR(AND($D27&lt;&gt;"",$D27&lt;&gt;"retain"),NOT(OR($E27="statistical_results"))),J27&lt;&gt;"",J27&lt;&gt;"not_applicable"),AND(OR(AND($D27&lt;&gt;"",$D27&lt;&gt;"retain"),NOT(OR($E27="report_internal_inconsistency",$E27="plan_material"))),K27&lt;&gt;"",K27&lt;&gt;"not_applicable"),AND(OR(AND($D27&lt;&gt;"",$D27&lt;&gt;"retain"),NOT(OR($E27="protocol_report"))),L27&lt;&gt;"",L27&lt;&gt;"not_applicable")),"CLEAR INACTIVE VALUES",IF(OR(COUNTIF(opt_disposition,D27)&lt;&gt;1,COUNTIF(opt_domain,E27)&lt;&gt;1,AND(D27="retain",E27="statistical_results",OR(OR(COUNTIF(opt_statisticalErrorStatus,H27)&lt;&gt;1,H27="not_applicable"),OR(COUNTIF(opt_substantiveStatus,I27)&lt;&gt;1,I27="not_applicable"))),AND(D27="retain",E27="report_internal_inconsistency",OR(OR(COUNTIF(opt_internalStatus,K27)&lt;&gt;1,K27="not_applicable"))),AND(D27="retain",E27="plan_material",OR(OR(COUNTIF(opt_internalStatus,K27)&lt;&gt;1,K27="not_applicable")))),"CHECK FIELDS",IF(F27="yes","READY - validate saved file","DRAFT")))</f>
        <v/>
      </c>
      <c r="H27" s="8">
        <f>IF(OR(AND($D27&lt;&gt;"",$D27&lt;&gt;"retain"),NOT(OR($E27="statistical_results"))),"not_applicable","")</f>
        <v/>
      </c>
      <c r="I27" s="8">
        <f>IF(OR(AND($D27&lt;&gt;"",$D27&lt;&gt;"retain"),NOT(OR($E27="statistical_results"))),"not_applicable","")</f>
        <v/>
      </c>
      <c r="J27" s="9">
        <f>IF(OR(AND($D27&lt;&gt;"",$D27&lt;&gt;"retain"),NOT(OR($E27="statistical_results"))),"not_applicable","")</f>
        <v/>
      </c>
      <c r="K27" s="8">
        <f>IF(OR(AND($D27&lt;&gt;"",$D27&lt;&gt;"retain"),NOT(OR($E27="report_internal_inconsistency",$E27="plan_material"))),"not_applicable","")</f>
        <v/>
      </c>
      <c r="L27" s="9">
        <f>IF(OR(AND($D27&lt;&gt;"",$D27&lt;&gt;"retain"),NOT(OR($E27="protocol_report"))),"not_applicable","")</f>
        <v/>
      </c>
      <c r="M27" s="10" t="inlineStr"/>
      <c r="N27" s="10" t="inlineStr"/>
      <c r="O27" s="11" t="inlineStr"/>
      <c r="P27" s="12" t="inlineStr"/>
      <c r="Q27" s="11" t="inlineStr"/>
      <c r="R27" s="12" t="inlineStr"/>
      <c r="S27" s="3" t="inlineStr">
        <is>
          <t>PRIMARY REVIEW - complete this row before handoff. The primary snapshot appears here in the prepared checker copy.</t>
        </is>
      </c>
    </row>
    <row r="28" ht="76" customHeight="1">
      <c r="A28" s="2" t="inlineStr">
        <is>
          <t>2018::jama.2018.14282::C027</t>
        </is>
      </c>
      <c r="B28" s="2" t="inlineStr">
        <is>
          <t>Primary-hypothesis intervention is labelled NIV while plans identify HFNO</t>
        </is>
      </c>
      <c r="C28" s="2" t="inlineStr">
        <is>
          <t>DOC-002 — PDF p. 52; DOC-002 — PDF p. 104</t>
        </is>
      </c>
      <c r="D28" s="8" t="inlineStr"/>
      <c r="E28" s="8" t="inlineStr">
        <is>
          <t>plan_material</t>
        </is>
      </c>
      <c r="F28" s="8" t="inlineStr">
        <is>
          <t>no</t>
        </is>
      </c>
      <c r="G28" s="2">
        <f>IF(OR(AND(OR(AND($D28&lt;&gt;"",$D28&lt;&gt;"retain"),NOT(OR($E28="statistical_results"))),H28&lt;&gt;"",H28&lt;&gt;"not_applicable"),AND(OR(AND($D28&lt;&gt;"",$D28&lt;&gt;"retain"),NOT(OR($E28="statistical_results"))),I28&lt;&gt;"",I28&lt;&gt;"not_applicable"),AND(OR(AND($D28&lt;&gt;"",$D28&lt;&gt;"retain"),NOT(OR($E28="statistical_results"))),J28&lt;&gt;"",J28&lt;&gt;"not_applicable"),AND(OR(AND($D28&lt;&gt;"",$D28&lt;&gt;"retain"),NOT(OR($E28="report_internal_inconsistency",$E28="plan_material"))),K28&lt;&gt;"",K28&lt;&gt;"not_applicable"),AND(OR(AND($D28&lt;&gt;"",$D28&lt;&gt;"retain"),NOT(OR($E28="protocol_report"))),L28&lt;&gt;"",L28&lt;&gt;"not_applicable")),"CLEAR INACTIVE VALUES",IF(OR(COUNTIF(opt_disposition,D28)&lt;&gt;1,COUNTIF(opt_domain,E28)&lt;&gt;1,AND(D28="retain",E28="statistical_results",OR(OR(COUNTIF(opt_statisticalErrorStatus,H28)&lt;&gt;1,H28="not_applicable"),OR(COUNTIF(opt_substantiveStatus,I28)&lt;&gt;1,I28="not_applicable"))),AND(D28="retain",E28="report_internal_inconsistency",OR(OR(COUNTIF(opt_internalStatus,K28)&lt;&gt;1,K28="not_applicable"))),AND(D28="retain",E28="plan_material",OR(OR(COUNTIF(opt_internalStatus,K28)&lt;&gt;1,K28="not_applicable")))),"CHECK FIELDS",IF(F28="yes","READY - validate saved file","DRAFT")))</f>
        <v/>
      </c>
      <c r="H28" s="8">
        <f>IF(OR(AND($D28&lt;&gt;"",$D28&lt;&gt;"retain"),NOT(OR($E28="statistical_results"))),"not_applicable","")</f>
        <v/>
      </c>
      <c r="I28" s="8">
        <f>IF(OR(AND($D28&lt;&gt;"",$D28&lt;&gt;"retain"),NOT(OR($E28="statistical_results"))),"not_applicable","")</f>
        <v/>
      </c>
      <c r="J28" s="9">
        <f>IF(OR(AND($D28&lt;&gt;"",$D28&lt;&gt;"retain"),NOT(OR($E28="statistical_results"))),"not_applicable","")</f>
        <v/>
      </c>
      <c r="K28" s="8">
        <f>IF(OR(AND($D28&lt;&gt;"",$D28&lt;&gt;"retain"),NOT(OR($E28="report_internal_inconsistency",$E28="plan_material"))),"not_applicable","")</f>
        <v/>
      </c>
      <c r="L28" s="9">
        <f>IF(OR(AND($D28&lt;&gt;"",$D28&lt;&gt;"retain"),NOT(OR($E28="protocol_report"))),"not_applicable","")</f>
        <v/>
      </c>
      <c r="M28" s="10" t="inlineStr"/>
      <c r="N28" s="10" t="inlineStr"/>
      <c r="O28" s="11" t="inlineStr"/>
      <c r="P28" s="12" t="inlineStr"/>
      <c r="Q28" s="11" t="inlineStr"/>
      <c r="R28" s="12" t="inlineStr"/>
      <c r="S28" s="2" t="inlineStr">
        <is>
          <t>PRIMARY REVIEW - complete this row before handoff. The primary snapshot appears here in the prepared checker copy.</t>
        </is>
      </c>
    </row>
    <row r="29" ht="76" customHeight="1">
      <c r="A29" s="3" t="inlineStr">
        <is>
          <t>2018::jama.2018.14282::C028</t>
        </is>
      </c>
      <c r="B29" s="3" t="inlineStr">
        <is>
          <t>Planned primary outcome alternates between day-28 vital status and hospital death</t>
        </is>
      </c>
      <c r="C29" s="3" t="inlineStr">
        <is>
          <t>DOC-002 — PDF p. 54; DOC-002 — PDF p. 82; DOC-002 — PDF p. 104</t>
        </is>
      </c>
      <c r="D29" s="8" t="inlineStr"/>
      <c r="E29" s="8" t="inlineStr">
        <is>
          <t>plan_material</t>
        </is>
      </c>
      <c r="F29" s="8" t="inlineStr">
        <is>
          <t>no</t>
        </is>
      </c>
      <c r="G29" s="3">
        <f>IF(OR(AND(OR(AND($D29&lt;&gt;"",$D29&lt;&gt;"retain"),NOT(OR($E29="statistical_results"))),H29&lt;&gt;"",H29&lt;&gt;"not_applicable"),AND(OR(AND($D29&lt;&gt;"",$D29&lt;&gt;"retain"),NOT(OR($E29="statistical_results"))),I29&lt;&gt;"",I29&lt;&gt;"not_applicable"),AND(OR(AND($D29&lt;&gt;"",$D29&lt;&gt;"retain"),NOT(OR($E29="statistical_results"))),J29&lt;&gt;"",J29&lt;&gt;"not_applicable"),AND(OR(AND($D29&lt;&gt;"",$D29&lt;&gt;"retain"),NOT(OR($E29="report_internal_inconsistency",$E29="plan_material"))),K29&lt;&gt;"",K29&lt;&gt;"not_applicable"),AND(OR(AND($D29&lt;&gt;"",$D29&lt;&gt;"retain"),NOT(OR($E29="protocol_report"))),L29&lt;&gt;"",L29&lt;&gt;"not_applicable")),"CLEAR INACTIVE VALUES",IF(OR(COUNTIF(opt_disposition,D29)&lt;&gt;1,COUNTIF(opt_domain,E29)&lt;&gt;1,AND(D29="retain",E29="statistical_results",OR(OR(COUNTIF(opt_statisticalErrorStatus,H29)&lt;&gt;1,H29="not_applicable"),OR(COUNTIF(opt_substantiveStatus,I29)&lt;&gt;1,I29="not_applicable"))),AND(D29="retain",E29="report_internal_inconsistency",OR(OR(COUNTIF(opt_internalStatus,K29)&lt;&gt;1,K29="not_applicable"))),AND(D29="retain",E29="plan_material",OR(OR(COUNTIF(opt_internalStatus,K29)&lt;&gt;1,K29="not_applicable")))),"CHECK FIELDS",IF(F29="yes","READY - validate saved file","DRAFT")))</f>
        <v/>
      </c>
      <c r="H29" s="8">
        <f>IF(OR(AND($D29&lt;&gt;"",$D29&lt;&gt;"retain"),NOT(OR($E29="statistical_results"))),"not_applicable","")</f>
        <v/>
      </c>
      <c r="I29" s="8">
        <f>IF(OR(AND($D29&lt;&gt;"",$D29&lt;&gt;"retain"),NOT(OR($E29="statistical_results"))),"not_applicable","")</f>
        <v/>
      </c>
      <c r="J29" s="9">
        <f>IF(OR(AND($D29&lt;&gt;"",$D29&lt;&gt;"retain"),NOT(OR($E29="statistical_results"))),"not_applicable","")</f>
        <v/>
      </c>
      <c r="K29" s="8">
        <f>IF(OR(AND($D29&lt;&gt;"",$D29&lt;&gt;"retain"),NOT(OR($E29="report_internal_inconsistency",$E29="plan_material"))),"not_applicable","")</f>
        <v/>
      </c>
      <c r="L29" s="9">
        <f>IF(OR(AND($D29&lt;&gt;"",$D29&lt;&gt;"retain"),NOT(OR($E29="protocol_report"))),"not_applicable","")</f>
        <v/>
      </c>
      <c r="M29" s="10" t="inlineStr"/>
      <c r="N29" s="10" t="inlineStr"/>
      <c r="O29" s="11" t="inlineStr"/>
      <c r="P29" s="12" t="inlineStr"/>
      <c r="Q29" s="11" t="inlineStr"/>
      <c r="R29" s="12" t="inlineStr"/>
      <c r="S29"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29"/>
  <conditionalFormatting sqref="H2:H2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2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2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2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2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29" showDropDown="0" showInputMessage="1" showErrorMessage="1" allowBlank="1" errorTitle="Invalid option" error="Choose a listed value." promptTitle="Disposition" prompt="See Codebook for meanings." type="list" errorStyle="stop">
      <formula1>opt_disposition</formula1>
    </dataValidation>
    <dataValidation sqref="E2:E29" showDropDown="0" showInputMessage="1" showErrorMessage="1" allowBlank="1" errorTitle="Invalid option" error="Choose a listed value." promptTitle="Review domain" prompt="See Codebook for meanings." type="list" errorStyle="stop">
      <formula1>opt_domain</formula1>
    </dataValidation>
    <dataValidation sqref="F2:F29" showDropDown="0" showInputMessage="1" showErrorMessage="1" allowBlank="1" errorTitle="Invalid option" error="Choose a listed value." promptTitle="Complete" prompt="See Codebook for meanings." type="list" errorStyle="stop">
      <formula1>opt_reviewComplete</formula1>
    </dataValidation>
    <dataValidation sqref="H2:H2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29" showDropDown="0" showInputMessage="1" showErrorMessage="1" allowBlank="1" errorTitle="Invalid option" error="Choose a listed value." promptTitle="Substantiveness" prompt="See Codebook for meanings." type="list" errorStyle="stop">
      <formula1>opt_substantiveStatus</formula1>
    </dataValidation>
    <dataValidation sqref="J2:J29" showDropDown="0" showInputMessage="1" showErrorMessage="1" allowBlank="1" errorTitle="Invalid option" error="Choose a listed value." promptTitle="Downstream impact" prompt="See Codebook for meanings." type="list" errorStyle="stop">
      <formula1>opt_downstreamImpact</formula1>
    </dataValidation>
    <dataValidation sqref="K2:K2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2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2018::jama.2018.17075::C001</t>
        </is>
      </c>
      <c r="B2" s="2" t="inlineStr">
        <is>
          <t>Normothermia Injury Severity Score median is below its printed IQR lower endpoint</t>
        </is>
      </c>
      <c r="C2" s="2" t="inlineStr">
        <is>
          <t>jama_cooper_2018_oi_180132.pdf — PDF p. 5, Table 1, normothermia Injury Severity Score.</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2018::jama.2018.17075::C002</t>
        </is>
      </c>
      <c r="B3" s="3" t="inlineStr">
        <is>
          <t>Primary risk difference has opposite signs in matched main-article locations</t>
        </is>
      </c>
      <c r="C3" s="3" t="inlineStr">
        <is>
          <t>jama_cooper_2018_oi_180132.pdf — PDF p. 1, abstract Results; PDF p. 5, Primary Outcome Results; PDF p. 7, Table 2 favorable outcome.</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2018::jama.2018.17075::C003</t>
        </is>
      </c>
      <c r="B4" s="2" t="inlineStr">
        <is>
          <t>Intracranial-bleeding effect and P-value reporting conflicts with matched evidence</t>
        </is>
      </c>
      <c r="C4" s="2" t="inlineStr">
        <is>
          <t>jama_cooper_2018_oi_180132.pdf — PDF p. 7, Table 2, new or increased intracranial bleeding; joi180132supp2_prod.pdf — PDF p. 10, eTable 6, same outcome; jama_cooper_2018_oi_180132.pdf — PDF p. 3, Statistical Analysis.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2018::jama.2018.17075::C004</t>
        </is>
      </c>
      <c r="B5" s="3" t="inlineStr">
        <is>
          <t>Extracranial-bleeding effect and P-value reporting conflicts with matched evidence</t>
        </is>
      </c>
      <c r="C5" s="3" t="inlineStr">
        <is>
          <t>jama_cooper_2018_oi_180132.pdf — PDF p. 7, Table 2, new significant extracranial bleeding; joi180132supp2_prod.pdf — PDF p. 10, eTable 6, same outcome; jama_cooper_2018_oi_180132.pdf — PDF p. 3, Statistical Analysis.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2018::jama.2018.17075::C005</t>
        </is>
      </c>
      <c r="B6" s="2" t="inlineStr">
        <is>
          <t>As-treated evacuated-mass-lesion cell reverses count and percentage order</t>
        </is>
      </c>
      <c r="C6" s="2" t="inlineStr">
        <is>
          <t>joi180132supp2_prod.pdf — PDF p. 18, eTable 10, CT Marshall classification, evacuated mass lesion V, normothermia.</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2018::jama.2018.17075::C006</t>
        </is>
      </c>
      <c r="B7" s="3" t="inlineStr">
        <is>
          <t>As-treated non-evacuated-mass-lesion cell reverses count and percentage order</t>
        </is>
      </c>
      <c r="C7" s="3" t="inlineStr">
        <is>
          <t>joi180132supp2_prod.pdf — PDF p. 18, eTable 10, CT Marshall classification, non-evacuated mass lesion VI, normothermia.</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2018::jama.2018.17075::C007</t>
        </is>
      </c>
      <c r="B8" s="2" t="inlineStr">
        <is>
          <t>Adjusted odds-ratio confidence-interval string is malformed</t>
        </is>
      </c>
      <c r="C8" s="2" t="inlineStr">
        <is>
          <t>joi180132supp2_prod.pdf — PDF p. 22, post-hoc adequate-cooling Results, final sentence.</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2018::jama.2018.17075::C008</t>
        </is>
      </c>
      <c r="B9" s="3" t="inlineStr">
        <is>
          <t>Abstract male count conflicts with its percentage and Table 1 total</t>
        </is>
      </c>
      <c r="C9" s="3" t="inlineStr">
        <is>
          <t>jama_cooper_2018_oi_180132.pdf — PDF p. 1, abstract Results; PDF p. 5, Table 1, Men and Women rows.</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S1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2018::jama.2018.18020::C001</t>
        </is>
      </c>
      <c r="B2" s="2" t="inlineStr">
        <is>
          <t>Abstract sex percentage conflicts with the enrolled sex count</t>
        </is>
      </c>
      <c r="C2" s="2" t="inlineStr">
        <is>
          <t>jama_stunnenberg_2018_oi_180136.pdf — PDF p. 1, Abstract Results; jama_stunnenberg_2018_oi_180136.pdf — PDF p. 4, Baseline Data.</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2018::jama.2018.18020::C002</t>
        </is>
      </c>
      <c r="B3" s="3" t="inlineStr">
        <is>
          <t>INQoL IQR endpoints exceed the stated 0-to-100 scale</t>
        </is>
      </c>
      <c r="C3" s="3" t="inlineStr">
        <is>
          <t>jama_stunnenberg_2018_oi_180136.pdf — PDF p. 5, Table 1 and footnote f; jama_stunnenberg_2018_oi_180136.pdf — PDF p. 8, Table 2 footnote g.</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2018::jama.2018.18020::C003</t>
        </is>
      </c>
      <c r="B4" s="2" t="inlineStr">
        <is>
          <t>Table 2 secondary-outcome contrast header is opposite to the displayed effect signs</t>
        </is>
      </c>
      <c r="C4" s="2" t="inlineStr">
        <is>
          <t>jama_stunnenberg_2018_oi_180136.pdf — PDF p. 7, Table 2 header and change-score rows; jama_stunnenberg_2018_oi_180136.pdf — PDF p. 8, Table 2 footnotes.</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2018::jama.2018.18020::C004</t>
        </is>
      </c>
      <c r="B5" s="3" t="inlineStr">
        <is>
          <t>Placebo “Any” adverse-reaction percentage does not reconcile with the apparent denominator</t>
        </is>
      </c>
      <c r="C5" s="3" t="inlineStr">
        <is>
          <t>joi180136supp2_prod.pdf — PDF p. 6, eTable 4; jama_stunnenberg_2018_oi_180136.pdf — PDF p. 8, Adverse Events.</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2018::jama.2018.18020::C005</t>
        </is>
      </c>
      <c r="B6" s="2" t="inlineStr">
        <is>
          <t>Bayesian parameter prose swaps mu_mex[i] and mu_plac[i] treatment labels</t>
        </is>
      </c>
      <c r="C6" s="2" t="inlineStr">
        <is>
          <t>joi180136supp2_prod.pdf — PDF p. 11, eMethods 2 code/dictionary; joi180136supp2_prod.pdf — PDF p. 13, eMethods 3 code; joi180136supp2_prod.pdf — PDF p. 14, eMethods 3 dictionary.</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2018::jama.2018.18020::C006</t>
        </is>
      </c>
      <c r="B7" s="3" t="inlineStr">
        <is>
          <t>diff_CLCN1 is described as an SCN4A contrast</t>
        </is>
      </c>
      <c r="C7" s="3" t="inlineStr">
        <is>
          <t>joi180136supp2_prod.pdf — PDF p. 13, eMethods 3 code; joi180136supp2_prod.pdf — PDF p. 14, parameter dictionary.</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2018::jama.2018.18020::C007</t>
        </is>
      </c>
      <c r="B8" s="2" t="inlineStr">
        <is>
          <t>sigma.mex is described as placebo-period variability</t>
        </is>
      </c>
      <c r="C8" s="2" t="inlineStr">
        <is>
          <t>joi180136supp2_prod.pdf — PDF p. 11, eMethods 2 code; joi180136supp2_prod.pdf — PDF p. 12, eMethods 2 dictionary; joi180136supp2_prod.pdf — PDF p. 13, eMethods 3 code; joi180136supp2_prod.pdf — PDF p. 14, eMethods 3 dictionary.</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2018::jama.2018.18020::C008</t>
        </is>
      </c>
      <c r="B9" s="3" t="inlineStr">
        <is>
          <t>Main text prints CLNC1 for the matched CLCN1 genotype subgroup</t>
        </is>
      </c>
      <c r="C9" s="3" t="inlineStr">
        <is>
          <t>jama_stunnenberg_2018_oi_180136.pdf — PDF p. 4, Primary Outcome; jama_stunnenberg_2018_oi_180136.pdf — PDF p. 5, Table 1/Figure 2; jama_stunnenberg_2018_oi_180136.pdf — PDF p. 6, Figure 3; joi180136supp2_prod.pdf — PDF p. 4, eTable 2 footnote.</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2018::jama.2018.18020::C009</t>
        </is>
      </c>
      <c r="B10" s="2" t="inlineStr">
        <is>
          <t>SF-36 mental-component P value conflicts with the dependent-t 95% CI</t>
        </is>
      </c>
      <c r="C10" s="2" t="inlineStr">
        <is>
          <t>jama_stunnenberg_2018_oi_180136.pdf — PDF p. 7, Table 2; jama_stunnenberg_2018_oi_180136.pdf — PDF p. 3, dependent-t method; jama_stunnenberg_2018_oi_180136.pdf — PDF p. 4, two-sided P-value convention.</t>
        </is>
      </c>
      <c r="D10" s="8" t="inlineStr"/>
      <c r="E10" s="8" t="inlineStr">
        <is>
          <t>statistical_results</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2018::jama.2018.18020::C010</t>
        </is>
      </c>
      <c r="B11" s="3" t="inlineStr">
        <is>
          <t>SCN4A fifth handgrip-action-myotonia P value conflicts with its 95% CI</t>
        </is>
      </c>
      <c r="C11" s="3" t="inlineStr">
        <is>
          <t>jama_stunnenberg_2018_oi_180136.pdf — PDF p. 7, Table 2 row; jama_stunnenberg_2018_oi_180136.pdf — PDF p. 8, Table 2 footnotes; jama_stunnenberg_2018_oi_180136.pdf — PDF p. 3, method; jama_stunnenberg_2018_oi_180136.pdf — PDF p. 4, sidedness.</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2018::jama.2018.18020::C011</t>
        </is>
      </c>
      <c r="B12" s="2" t="inlineStr">
        <is>
          <t>SCN4A fifth transient-paresis estimate, interval, and P value do not form a compatible dependent-t result</t>
        </is>
      </c>
      <c r="C1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D12" s="8" t="inlineStr"/>
      <c r="E12" s="8" t="inlineStr">
        <is>
          <t>statistical_results</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2018::jama.2018.18020::C012</t>
        </is>
      </c>
      <c r="B13" s="3" t="inlineStr">
        <is>
          <t>Myotonic-discharge P value conflicts with the dependent-t 95% CI</t>
        </is>
      </c>
      <c r="C13" s="3" t="inlineStr">
        <is>
          <t>jama_stunnenberg_2018_oi_180136.pdf — PDF p. 8, Table 2 continuation and footnotes; jama_stunnenberg_2018_oi_180136.pdf — PDF p. 3, dependent-t method; jama_stunnenberg_2018_oi_180136.pdf — PDF p. 4, two-sided convention.</t>
        </is>
      </c>
      <c r="D13" s="8" t="inlineStr"/>
      <c r="E13" s="8" t="inlineStr">
        <is>
          <t>statistical_results</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2018::jama.2018.18020::C013</t>
        </is>
      </c>
      <c r="B14" s="2" t="inlineStr">
        <is>
          <t>First handgrip placebo-period interval is reversed and excludes its estimate</t>
        </is>
      </c>
      <c r="C14" s="2" t="inlineStr">
        <is>
          <t>jama_stunnenberg_2018_oi_180136.pdf — PDF p. 7, Table 2 first-attempt handgrip action-myotonia placebo-period change.</t>
        </is>
      </c>
      <c r="D14" s="8" t="inlineStr"/>
      <c r="E14" s="8" t="inlineStr">
        <is>
          <t>statistical_results</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row r="15" ht="76" customHeight="1">
      <c r="A15" s="3" t="inlineStr">
        <is>
          <t>2018::jama.2018.18020::C014</t>
        </is>
      </c>
      <c r="B15" s="3" t="inlineStr">
        <is>
          <t>Mean Timed Up&amp;Go placebo-period estimate lies outside its interval</t>
        </is>
      </c>
      <c r="C15" s="3" t="inlineStr">
        <is>
          <t>jama_stunnenberg_2018_oi_180136.pdf — PDF p. 7, Table 2 mean Timed Up&amp;Go placebo-period change.</t>
        </is>
      </c>
      <c r="D15" s="8" t="inlineStr"/>
      <c r="E15" s="8" t="inlineStr">
        <is>
          <t>statistical_results</t>
        </is>
      </c>
      <c r="F15" s="8" t="inlineStr">
        <is>
          <t>no</t>
        </is>
      </c>
      <c r="G15" s="3">
        <f>IF(OR(AND(OR(AND($D15&lt;&gt;"",$D15&lt;&gt;"retain"),NOT(OR($E15="statistical_results"))),H15&lt;&gt;"",H15&lt;&gt;"not_applicable"),AND(OR(AND($D15&lt;&gt;"",$D15&lt;&gt;"retain"),NOT(OR($E15="statistical_results"))),I15&lt;&gt;"",I15&lt;&gt;"not_applicable"),AND(OR(AND($D15&lt;&gt;"",$D15&lt;&gt;"retain"),NOT(OR($E15="statistical_results"))),J15&lt;&gt;"",J15&lt;&gt;"not_applicable"),AND(OR(AND($D15&lt;&gt;"",$D15&lt;&gt;"retain"),NOT(OR($E15="report_internal_inconsistency",$E15="plan_material"))),K15&lt;&gt;"",K15&lt;&gt;"not_applicable"),AND(OR(AND($D15&lt;&gt;"",$D15&lt;&gt;"retain"),NOT(OR($E15="protocol_report"))),L15&lt;&gt;"",L15&lt;&gt;"not_applicable")),"CLEAR INACTIVE VALUES",IF(OR(COUNTIF(opt_disposition,D15)&lt;&gt;1,COUNTIF(opt_domain,E15)&lt;&gt;1,AND(D15="retain",E15="statistical_results",OR(OR(COUNTIF(opt_statisticalErrorStatus,H15)&lt;&gt;1,H15="not_applicable"),OR(COUNTIF(opt_substantiveStatus,I15)&lt;&gt;1,I15="not_applicable"))),AND(D15="retain",E15="report_internal_inconsistency",OR(OR(COUNTIF(opt_internalStatus,K15)&lt;&gt;1,K15="not_applicable"))),AND(D15="retain",E15="plan_material",OR(OR(COUNTIF(opt_internalStatus,K15)&lt;&gt;1,K15="not_applicable")))),"CHECK FIELDS",IF(F15="yes","READY - validate saved file","DRAFT")))</f>
        <v/>
      </c>
      <c r="H15" s="8">
        <f>IF(OR(AND($D15&lt;&gt;"",$D15&lt;&gt;"retain"),NOT(OR($E15="statistical_results"))),"not_applicable","")</f>
        <v/>
      </c>
      <c r="I15" s="8">
        <f>IF(OR(AND($D15&lt;&gt;"",$D15&lt;&gt;"retain"),NOT(OR($E15="statistical_results"))),"not_applicable","")</f>
        <v/>
      </c>
      <c r="J15" s="9">
        <f>IF(OR(AND($D15&lt;&gt;"",$D15&lt;&gt;"retain"),NOT(OR($E15="statistical_results"))),"not_applicable","")</f>
        <v/>
      </c>
      <c r="K15" s="8">
        <f>IF(OR(AND($D15&lt;&gt;"",$D15&lt;&gt;"retain"),NOT(OR($E15="report_internal_inconsistency",$E15="plan_material"))),"not_applicable","")</f>
        <v/>
      </c>
      <c r="L15" s="9">
        <f>IF(OR(AND($D15&lt;&gt;"",$D15&lt;&gt;"retain"),NOT(OR($E15="protocol_report"))),"not_applicable","")</f>
        <v/>
      </c>
      <c r="M15" s="10" t="inlineStr"/>
      <c r="N15" s="10" t="inlineStr"/>
      <c r="O15" s="11" t="inlineStr"/>
      <c r="P15" s="12" t="inlineStr"/>
      <c r="Q15" s="11" t="inlineStr"/>
      <c r="R15" s="12" t="inlineStr"/>
      <c r="S15"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5"/>
  <conditionalFormatting sqref="H2:H1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5" showDropDown="0" showInputMessage="1" showErrorMessage="1" allowBlank="1" errorTitle="Invalid option" error="Choose a listed value." promptTitle="Disposition" prompt="See Codebook for meanings." type="list" errorStyle="stop">
      <formula1>opt_disposition</formula1>
    </dataValidation>
    <dataValidation sqref="E2:E15" showDropDown="0" showInputMessage="1" showErrorMessage="1" allowBlank="1" errorTitle="Invalid option" error="Choose a listed value." promptTitle="Review domain" prompt="See Codebook for meanings." type="list" errorStyle="stop">
      <formula1>opt_domain</formula1>
    </dataValidation>
    <dataValidation sqref="F2:F15" showDropDown="0" showInputMessage="1" showErrorMessage="1" allowBlank="1" errorTitle="Invalid option" error="Choose a listed value." promptTitle="Complete" prompt="See Codebook for meanings." type="list" errorStyle="stop">
      <formula1>opt_reviewComplete</formula1>
    </dataValidation>
    <dataValidation sqref="H2:H1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5" showDropDown="0" showInputMessage="1" showErrorMessage="1" allowBlank="1" errorTitle="Invalid option" error="Choose a listed value." promptTitle="Substantiveness" prompt="See Codebook for meanings." type="list" errorStyle="stop">
      <formula1>opt_substantiveStatus</formula1>
    </dataValidation>
    <dataValidation sqref="J2:J15" showDropDown="0" showInputMessage="1" showErrorMessage="1" allowBlank="1" errorTitle="Invalid option" error="Choose a listed value." promptTitle="Downstream impact" prompt="See Codebook for meanings." type="list" errorStyle="stop">
      <formula1>opt_downstreamImpact</formula1>
    </dataValidation>
    <dataValidation sqref="K2:K1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S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2018::jama.2018.6496::C001</t>
        </is>
      </c>
      <c r="B2" s="2" t="inlineStr">
        <is>
          <t>Reverse-ordered confidence-interval endpoints for all-patient first-attempt duration</t>
        </is>
      </c>
      <c r="C2" s="2" t="inlineStr">
        <is>
          <t>DOC-001 Table 3 — PDF p. 7; DOC-003 eTable 1 — PDF p. 2; DOC-003 eTable 1 note — PDF p. 3; DOC-001 statistical-analysis methods — PDF p. 4.</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2018::jama.2018.6496::C002</t>
        </is>
      </c>
      <c r="B3" s="3" t="inlineStr">
        <is>
          <t>Two-patient ETT+stylet denominator difference across linked hypoxemia outcomes</t>
        </is>
      </c>
      <c r="C3" s="3" t="inlineStr">
        <is>
          <t>DOC-001 Table 3 — PDF p. 7; DOC-001 Table 5 — PDF p. 9; DOC-002 protocol secondary outcomes — PDF p. 9; DOC-002 analytic issues — PDF p. 21.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2018::jama.2018.6496::C003</t>
        </is>
      </c>
      <c r="B4" s="2" t="inlineStr">
        <is>
          <t>Protocol and published hypoxemia observation windows use different endpoint events</t>
        </is>
      </c>
      <c r="C4" s="2" t="inlineStr">
        <is>
          <t>DOC-002 protocol secondary outcomes — PDF p. 9; DOC-002 protocol measurement procedure — PDF p. 10; DOC-001 Table 3 — PDF p. 7; DOC-001 Table 5 — PDF p. 9; DOC-003 eTable 1 note — PDF p. 3; DOC-003 postintubation form — PDF p. 10.</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2018::jama.2018.6496::C004</t>
        </is>
      </c>
      <c r="B5" s="3" t="inlineStr">
        <is>
          <t>Protocol and published first-attempt-duration measures use different endpoint events</t>
        </is>
      </c>
      <c r="C5" s="3" t="inlineStr">
        <is>
          <t>DOC-002 protocol — PDF p. 9; DOC-001 outcome methods — PDF p. 3; DOC-001 Table 3 — PDF p. 7; DOC-003 eTable 1 note — PDF p. 3; DOC-003 data form — PDF p. 10.</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2018::jama.2018.8802::C001</t>
        </is>
      </c>
      <c r="B2" s="2" t="inlineStr">
        <is>
          <t>Table 1 CAD/previous-myocardial-infarction percentage does not reproduce</t>
        </is>
      </c>
      <c r="C2" s="2" t="inlineStr">
        <is>
          <t>jama_wang_2018_oi_180070.pdf — PDF p. 6, Table 1, CAD/previous myocardial infarction, intervention column and Patients, No. header.</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2018::jama.2018.8802::C002</t>
        </is>
      </c>
      <c r="B3" s="3" t="inlineStr">
        <is>
          <t>LDL eligibility boundary differs between result labels and supplied measure definition</t>
        </is>
      </c>
      <c r="C3" s="3" t="inlineStr">
        <is>
          <t>jama_wang_2018_oi_180070.pdf — PDF p. 7, Table 2 lipid-lowering row; joi180070supp1_prod.pdf — PDF p. 15, definition; joi180070supp2_prod.pdf — PDF p. 3, eTable 1 definition; and joi180070supp2_prod.pdf — PDF p. 8, eTable 4 label.</t>
        </is>
      </c>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2018::jama.2018.8802::C003</t>
        </is>
      </c>
      <c r="B4" s="2" t="inlineStr">
        <is>
          <t>eTable 4 discharge-antithrombotics control percentage does not reproduce</t>
        </is>
      </c>
      <c r="C4" s="2" t="inlineStr">
        <is>
          <t>joi180070supp2_prod.pdf — PDF p. 8, eTable 4, Antithrombotics, control cell.</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2018::jama.2018.8802::C004</t>
        </is>
      </c>
      <c r="B5" s="3" t="inlineStr">
        <is>
          <t>eTable 4 AF-anticoagulation control percentage does not reproduce</t>
        </is>
      </c>
      <c r="C5" s="3" t="inlineStr">
        <is>
          <t>joi180070supp2_prod.pdf — PDF p. 8, eTable 4, Anticoagulation for Atrial Fibrillation, control cell.</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2018::jama.2018.8802::C005</t>
        </is>
      </c>
      <c r="B6" s="2" t="inlineStr">
        <is>
          <t>eTable 4 lipid-lowering control percentage does not reproduce</t>
        </is>
      </c>
      <c r="C6" s="2" t="inlineStr">
        <is>
          <t>joi180070supp2_prod.pdf — PDF p. 8, eTable 4, Lipid-lowering for LDL &gt;100 mg/dL, control cell.</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2018::jama.2018.8802::C006</t>
        </is>
      </c>
      <c r="B7" s="3" t="inlineStr">
        <is>
          <t>eTable 4 antidiabetic-medication control percentage does not reproduce</t>
        </is>
      </c>
      <c r="C7" s="3" t="inlineStr">
        <is>
          <t>joi180070supp2_prod.pdf — PDF p. 8, eTable 4, Antidiabetic Medication, control cell.</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2018::jama.2018.8802::C007</t>
        </is>
      </c>
      <c r="B8" s="2" t="inlineStr">
        <is>
          <t>baseline-survey patient total does not reconcile with stated per-cluster inclusion</t>
        </is>
      </c>
      <c r="C8"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2018::jama.2018.8802::C008</t>
        </is>
      </c>
      <c r="B9" s="3" t="inlineStr">
        <is>
          <t>in-hospital death absolute-difference CI and P value do not reconcile</t>
        </is>
      </c>
      <c r="C9" s="3" t="inlineStr">
        <is>
          <t>jama_wang_2018_oi_180070.pdf — PDF p. 8, Table 3 Death / In hospital row, absolute-difference and adjacent P-value columns; jama_wang_2018_oi_180070.pdf — PDF p. 4, data-analysis statements.</t>
        </is>
      </c>
      <c r="D9" s="8" t="inlineStr"/>
      <c r="E9" s="8" t="inlineStr">
        <is>
          <t>statistical_results</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S1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2018::jama.2018.9128::C001</t>
        </is>
      </c>
      <c r="B2" s="2" t="inlineStr">
        <is>
          <t>Intervention 3-month BMI-observation count differs across result displays</t>
        </is>
      </c>
      <c r="C2" s="2" t="inlineStr">
        <is>
          <t>DOC-001 Figure 1 — PDF p. 3; DOC-001 Figure 2 — PDF p. 7; DOC-003 eTable 1 — PDF p. 2.</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2018::jama.2018.9128::C002</t>
        </is>
      </c>
      <c r="B3" s="3" t="inlineStr">
        <is>
          <t>Control 3-month BMI-observation count differs across result displays</t>
        </is>
      </c>
      <c r="C3" s="3" t="inlineStr">
        <is>
          <t>DOC-001 Figure 1 — PDF p. 3; DOC-001 Figure 2 — PDF p. 7; DOC-003 eTable 1 — PDF p. 2.</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2018::jama.2018.9128::C003</t>
        </is>
      </c>
      <c r="B4" s="2" t="inlineStr">
        <is>
          <t>Intervention 9-month BMI-observation count differs across result displays</t>
        </is>
      </c>
      <c r="C4" s="2" t="inlineStr">
        <is>
          <t>DOC-001 Figure 1 — PDF p. 3; DOC-001 Figure 2 — PDF p. 7; DOC-003 eTable 1 — PDF p. 2.</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2018::jama.2018.9128::C004</t>
        </is>
      </c>
      <c r="B5" s="3" t="inlineStr">
        <is>
          <t>Intervention 12-month BMI-observation count differs across result displays</t>
        </is>
      </c>
      <c r="C5" s="3" t="inlineStr">
        <is>
          <t>DOC-001 Figure 1 — PDF p. 3; DOC-001 Figure 2 — PDF p. 7; DOC-003 eTable 1 — PDF p. 2.</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2018::jama.2018.9128::C005</t>
        </is>
      </c>
      <c r="B6" s="2" t="inlineStr">
        <is>
          <t>Control 12-month BMI-observation count differs across result displays</t>
        </is>
      </c>
      <c r="C6" s="2" t="inlineStr">
        <is>
          <t>DOC-001 Figure 1 — PDF p. 3; DOC-001 Figure 2 — PDF p. 7; DOC-003 eTable 1 — PDF p. 2.</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2018::jama.2018.9128::C006</t>
        </is>
      </c>
      <c r="B7" s="3" t="inlineStr">
        <is>
          <t>Intervention 24-month BMI-observation count differs across result displays</t>
        </is>
      </c>
      <c r="C7" s="3" t="inlineStr">
        <is>
          <t>DOC-001 Figure 1 — PDF p. 3; DOC-001 Figure 2 — PDF p. 7; DOC-003 eTable 1 — PDF p. 2.</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2018::jama.2018.9128::C007</t>
        </is>
      </c>
      <c r="B8" s="2" t="inlineStr">
        <is>
          <t>Control 24-month BMI-observation count differs across result displays</t>
        </is>
      </c>
      <c r="C8" s="2" t="inlineStr">
        <is>
          <t>DOC-001 Figure 1 — PDF p. 3; DOC-001 Figure 2 — PDF p. 7; DOC-003 eTable 1 — PDF p. 2.</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2018::jama.2018.9128::C008</t>
        </is>
      </c>
      <c r="B9" s="3" t="inlineStr">
        <is>
          <t>Intervention 36-month BMI-observation count differs across result displays</t>
        </is>
      </c>
      <c r="C9" s="3" t="inlineStr">
        <is>
          <t>DOC-001 Figure 1 — PDF p. 3; DOC-001 Figure 2 — PDF p. 7; DOC-003 eTable 1 — PDF p. 2.</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2018::jama.2018.9128::C009</t>
        </is>
      </c>
      <c r="B10" s="2" t="inlineStr">
        <is>
          <t>Final SAP says six assessment points but enumerates five</t>
        </is>
      </c>
      <c r="C10" s="2" t="inlineStr">
        <is>
          <t>DOC-002 final SAP — PDF p. 110; DOC-002 protocol schedule — PDF p. 15; DOC-001 Methods — PDF p. 4; DOC-003 eTable 1 — PDF p. 2.</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2018::jama.2018.9128::C010</t>
        </is>
      </c>
      <c r="B11" s="3" t="inlineStr">
        <is>
          <t>Revised protocol gives six points but lists seven including 48 months</t>
        </is>
      </c>
      <c r="C11" s="3" t="inlineStr">
        <is>
          <t>DOC-002 revised protocol — PDF p. 64; DOC-001 Methods — PDF p. 4; DOC-003 eTable 1 — PDF p. 2.</t>
        </is>
      </c>
      <c r="D11" s="8" t="inlineStr"/>
      <c r="E11" s="8" t="inlineStr">
        <is>
          <t>plan_material</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2018::jama.2018.9128::C011</t>
        </is>
      </c>
      <c r="B12" s="2" t="inlineStr">
        <is>
          <t>Original protocol labels primary outcome as BMI percentile/BMI% while results use BMI kg/m²</t>
        </is>
      </c>
      <c r="C12" s="2" t="inlineStr">
        <is>
          <t>DOC-002 original protocol — PDF p. 16; DOC-002 final SAP — PDF p. 110; DOC-001 Outcomes — PDF p. 3; DOC-003 eTable 1 — PDF p. 2.</t>
        </is>
      </c>
      <c r="D12" s="8" t="inlineStr"/>
      <c r="E12" s="8" t="inlineStr">
        <is>
          <t>protocol_report</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row r="13" ht="76" customHeight="1">
      <c r="A13" s="3" t="inlineStr">
        <is>
          <t>2018::jama.2018.9128::C012</t>
        </is>
      </c>
      <c r="B13" s="3" t="inlineStr">
        <is>
          <t>Control-condition session count and duration differ across protocol versions and article</t>
        </is>
      </c>
      <c r="C13" s="3" t="inlineStr">
        <is>
          <t>DOC-002 original protocol — PDF p. 14; DOC-002 revised protocol — PDF p. 64; DOC-001 abstract — PDF p. 1; DOC-001 Methods — PDF p. 3.</t>
        </is>
      </c>
      <c r="D13" s="8" t="inlineStr"/>
      <c r="E13" s="8" t="inlineStr">
        <is>
          <t>protocol_report</t>
        </is>
      </c>
      <c r="F13" s="8" t="inlineStr">
        <is>
          <t>no</t>
        </is>
      </c>
      <c r="G13" s="3">
        <f>IF(OR(AND(OR(AND($D13&lt;&gt;"",$D13&lt;&gt;"retain"),NOT(OR($E13="statistical_results"))),H13&lt;&gt;"",H13&lt;&gt;"not_applicable"),AND(OR(AND($D13&lt;&gt;"",$D13&lt;&gt;"retain"),NOT(OR($E13="statistical_results"))),I13&lt;&gt;"",I13&lt;&gt;"not_applicable"),AND(OR(AND($D13&lt;&gt;"",$D13&lt;&gt;"retain"),NOT(OR($E13="statistical_results"))),J13&lt;&gt;"",J13&lt;&gt;"not_applicable"),AND(OR(AND($D13&lt;&gt;"",$D13&lt;&gt;"retain"),NOT(OR($E13="report_internal_inconsistency",$E13="plan_material"))),K13&lt;&gt;"",K13&lt;&gt;"not_applicable"),AND(OR(AND($D13&lt;&gt;"",$D13&lt;&gt;"retain"),NOT(OR($E13="protocol_report"))),L13&lt;&gt;"",L13&lt;&gt;"not_applicable")),"CLEAR INACTIVE VALUES",IF(OR(COUNTIF(opt_disposition,D13)&lt;&gt;1,COUNTIF(opt_domain,E13)&lt;&gt;1,AND(D13="retain",E13="statistical_results",OR(OR(COUNTIF(opt_statisticalErrorStatus,H13)&lt;&gt;1,H13="not_applicable"),OR(COUNTIF(opt_substantiveStatus,I13)&lt;&gt;1,I13="not_applicable"))),AND(D13="retain",E13="report_internal_inconsistency",OR(OR(COUNTIF(opt_internalStatus,K13)&lt;&gt;1,K13="not_applicable"))),AND(D13="retain",E13="plan_material",OR(OR(COUNTIF(opt_internalStatus,K13)&lt;&gt;1,K13="not_applicable")))),"CHECK FIELDS",IF(F13="yes","READY - validate saved file","DRAFT")))</f>
        <v/>
      </c>
      <c r="H13" s="8">
        <f>IF(OR(AND($D13&lt;&gt;"",$D13&lt;&gt;"retain"),NOT(OR($E13="statistical_results"))),"not_applicable","")</f>
        <v/>
      </c>
      <c r="I13" s="8">
        <f>IF(OR(AND($D13&lt;&gt;"",$D13&lt;&gt;"retain"),NOT(OR($E13="statistical_results"))),"not_applicable","")</f>
        <v/>
      </c>
      <c r="J13" s="9">
        <f>IF(OR(AND($D13&lt;&gt;"",$D13&lt;&gt;"retain"),NOT(OR($E13="statistical_results"))),"not_applicable","")</f>
        <v/>
      </c>
      <c r="K13" s="8">
        <f>IF(OR(AND($D13&lt;&gt;"",$D13&lt;&gt;"retain"),NOT(OR($E13="report_internal_inconsistency",$E13="plan_material"))),"not_applicable","")</f>
        <v/>
      </c>
      <c r="L13" s="9">
        <f>IF(OR(AND($D13&lt;&gt;"",$D13&lt;&gt;"retain"),NOT(OR($E13="protocol_report"))),"not_applicable","")</f>
        <v/>
      </c>
      <c r="M13" s="10" t="inlineStr"/>
      <c r="N13" s="10" t="inlineStr"/>
      <c r="O13" s="11" t="inlineStr"/>
      <c r="P13" s="12" t="inlineStr"/>
      <c r="Q13" s="11" t="inlineStr"/>
      <c r="R13" s="12" t="inlineStr"/>
      <c r="S13" s="3" t="inlineStr">
        <is>
          <t>PRIMARY REVIEW - complete this row before handoff. The primary snapshot appears here in the prepared checker copy.</t>
        </is>
      </c>
    </row>
    <row r="14" ht="76" customHeight="1">
      <c r="A14" s="2" t="inlineStr">
        <is>
          <t>2018::jama.2018.9128::C013</t>
        </is>
      </c>
      <c r="B14" s="2" t="inlineStr">
        <is>
          <t>Control 9-month BMI-observation count differs across result displays</t>
        </is>
      </c>
      <c r="C14" s="2" t="inlineStr">
        <is>
          <t>DOC-001 Figure 1 — PDF p. 3; DOC-001 Figure 2 — PDF p. 7; DOC-003 eTable 1 — PDF p. 2.</t>
        </is>
      </c>
      <c r="D14" s="8" t="inlineStr"/>
      <c r="E14" s="8" t="inlineStr">
        <is>
          <t>report_internal_inconsistency</t>
        </is>
      </c>
      <c r="F14" s="8" t="inlineStr">
        <is>
          <t>no</t>
        </is>
      </c>
      <c r="G14" s="2">
        <f>IF(OR(AND(OR(AND($D14&lt;&gt;"",$D14&lt;&gt;"retain"),NOT(OR($E14="statistical_results"))),H14&lt;&gt;"",H14&lt;&gt;"not_applicable"),AND(OR(AND($D14&lt;&gt;"",$D14&lt;&gt;"retain"),NOT(OR($E14="statistical_results"))),I14&lt;&gt;"",I14&lt;&gt;"not_applicable"),AND(OR(AND($D14&lt;&gt;"",$D14&lt;&gt;"retain"),NOT(OR($E14="statistical_results"))),J14&lt;&gt;"",J14&lt;&gt;"not_applicable"),AND(OR(AND($D14&lt;&gt;"",$D14&lt;&gt;"retain"),NOT(OR($E14="report_internal_inconsistency",$E14="plan_material"))),K14&lt;&gt;"",K14&lt;&gt;"not_applicable"),AND(OR(AND($D14&lt;&gt;"",$D14&lt;&gt;"retain"),NOT(OR($E14="protocol_report"))),L14&lt;&gt;"",L14&lt;&gt;"not_applicable")),"CLEAR INACTIVE VALUES",IF(OR(COUNTIF(opt_disposition,D14)&lt;&gt;1,COUNTIF(opt_domain,E14)&lt;&gt;1,AND(D14="retain",E14="statistical_results",OR(OR(COUNTIF(opt_statisticalErrorStatus,H14)&lt;&gt;1,H14="not_applicable"),OR(COUNTIF(opt_substantiveStatus,I14)&lt;&gt;1,I14="not_applicable"))),AND(D14="retain",E14="report_internal_inconsistency",OR(OR(COUNTIF(opt_internalStatus,K14)&lt;&gt;1,K14="not_applicable"))),AND(D14="retain",E14="plan_material",OR(OR(COUNTIF(opt_internalStatus,K14)&lt;&gt;1,K14="not_applicable")))),"CHECK FIELDS",IF(F14="yes","READY - validate saved file","DRAFT")))</f>
        <v/>
      </c>
      <c r="H14" s="8">
        <f>IF(OR(AND($D14&lt;&gt;"",$D14&lt;&gt;"retain"),NOT(OR($E14="statistical_results"))),"not_applicable","")</f>
        <v/>
      </c>
      <c r="I14" s="8">
        <f>IF(OR(AND($D14&lt;&gt;"",$D14&lt;&gt;"retain"),NOT(OR($E14="statistical_results"))),"not_applicable","")</f>
        <v/>
      </c>
      <c r="J14" s="9">
        <f>IF(OR(AND($D14&lt;&gt;"",$D14&lt;&gt;"retain"),NOT(OR($E14="statistical_results"))),"not_applicable","")</f>
        <v/>
      </c>
      <c r="K14" s="8">
        <f>IF(OR(AND($D14&lt;&gt;"",$D14&lt;&gt;"retain"),NOT(OR($E14="report_internal_inconsistency",$E14="plan_material"))),"not_applicable","")</f>
        <v/>
      </c>
      <c r="L14" s="9">
        <f>IF(OR(AND($D14&lt;&gt;"",$D14&lt;&gt;"retain"),NOT(OR($E14="protocol_report"))),"not_applicable","")</f>
        <v/>
      </c>
      <c r="M14" s="10" t="inlineStr"/>
      <c r="N14" s="10" t="inlineStr"/>
      <c r="O14" s="11" t="inlineStr"/>
      <c r="P14" s="12" t="inlineStr"/>
      <c r="Q14" s="11" t="inlineStr"/>
      <c r="R14" s="12" t="inlineStr"/>
      <c r="S1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4"/>
  <conditionalFormatting sqref="H2:H1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4" showDropDown="0" showInputMessage="1" showErrorMessage="1" allowBlank="1" errorTitle="Invalid option" error="Choose a listed value." promptTitle="Disposition" prompt="See Codebook for meanings." type="list" errorStyle="stop">
      <formula1>opt_disposition</formula1>
    </dataValidation>
    <dataValidation sqref="E2:E14" showDropDown="0" showInputMessage="1" showErrorMessage="1" allowBlank="1" errorTitle="Invalid option" error="Choose a listed value." promptTitle="Review domain" prompt="See Codebook for meanings." type="list" errorStyle="stop">
      <formula1>opt_domain</formula1>
    </dataValidation>
    <dataValidation sqref="F2:F14" showDropDown="0" showInputMessage="1" showErrorMessage="1" allowBlank="1" errorTitle="Invalid option" error="Choose a listed value." promptTitle="Complete" prompt="See Codebook for meanings." type="list" errorStyle="stop">
      <formula1>opt_reviewComplete</formula1>
    </dataValidation>
    <dataValidation sqref="H2:H1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4" showDropDown="0" showInputMessage="1" showErrorMessage="1" allowBlank="1" errorTitle="Invalid option" error="Choose a listed value." promptTitle="Substantiveness" prompt="See Codebook for meanings." type="list" errorStyle="stop">
      <formula1>opt_substantiveStatus</formula1>
    </dataValidation>
    <dataValidation sqref="J2:J14" showDropDown="0" showInputMessage="1" showErrorMessage="1" allowBlank="1" errorTitle="Invalid option" error="Choose a listed value." promptTitle="Downstream impact" prompt="See Codebook for meanings." type="list" errorStyle="stop">
      <formula1>opt_downstreamImpact</formula1>
    </dataValidation>
    <dataValidation sqref="K2:K1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12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Statistical reporting inconsistency</t>
        </is>
      </c>
      <c r="E2" s="2" t="b">
        <v>0</v>
      </c>
      <c r="F2" s="2" t="inlineStr">
        <is>
          <t>C001</t>
        </is>
      </c>
      <c r="G2" s="2" t="inlineStr">
        <is>
          <t>2018::jama.2017.21906::C001</t>
        </is>
      </c>
      <c r="H2" s="2" t="inlineStr"/>
      <c r="I2" s="2" t="inlineStr">
        <is>
          <t>Main article — PDF p. 6, Table 2 In-hospital β-blocker row and adjacent Results narrative.</t>
        </is>
      </c>
      <c r="J2" s="2" t="b">
        <v>0</v>
      </c>
      <c r="K2" s="2" t="inlineStr">
        <is>
          <t>jama.2017.21906</t>
        </is>
      </c>
      <c r="L2" s="2" t="inlineStr"/>
      <c r="M2" s="2" t="inlineStr">
        <is>
          <t>S_W</t>
        </is>
      </c>
      <c r="N2" s="2" t="inlineStr">
        <is>
          <t>The same named adjusted in-hospital beta-blocker result prints different upper risk-difference CI endpoints. The focal mismatch is within the main article.</t>
        </is>
      </c>
      <c r="O2" s="2" t="inlineStr">
        <is>
          <t>../../2018/jama.2017.21906/.ai_paper_validation/final_report_1_5_2.html</t>
        </is>
      </c>
      <c r="P2" s="2" t="inlineStr">
        <is>
          <t>2018/jama.2017.21906/.ai_paper_validation/final_report_1_5_2.md</t>
        </is>
      </c>
      <c r="Q2" s="2" t="inlineStr">
        <is>
          <t>C001</t>
        </is>
      </c>
      <c r="R2" s="2" t="inlineStr">
        <is>
          <t>Pending Human Adjudication</t>
        </is>
      </c>
      <c r="S2" s="2" t="inlineStr">
        <is>
          <t>The same named adjusted in-hospital beta-blocker result prints different upper risk-difference CI endpoints.</t>
        </is>
      </c>
      <c r="T2" s="2" t="b">
        <v>1</v>
      </c>
      <c r="U2" s="2" t="inlineStr">
        <is>
          <t>repeated_ci_endpoint</t>
        </is>
      </c>
      <c r="V2" s="2" t="inlineStr">
        <is>
          <t>statistical_results</t>
        </is>
      </c>
      <c r="W2" s="2" t="inlineStr">
        <is>
          <t>In-hospital beta-blocker adjusted-risk-difference CI endpoint differs between Table 2 and narrative</t>
        </is>
      </c>
      <c r="X2" s="2" t="inlineStr">
        <is>
          <t>2018</t>
        </is>
      </c>
      <c r="Y2" s="2" t="inlineStr">
        <is>
          <t>meta_report/consistency_reclassification_2026-09-04/reclassified_candidates.json</t>
        </is>
      </c>
      <c r="Z2" s="2" t="inlineStr">
        <is>
          <t>S_W</t>
        </is>
      </c>
      <c r="AA2" s="2" t="inlineStr">
        <is>
          <t>statistical_results</t>
        </is>
      </c>
      <c r="AB2" s="2" t="inlineStr">
        <is>
          <t>retain</t>
        </is>
      </c>
    </row>
    <row r="3" ht="95" customHeight="1">
      <c r="A3" s="3" t="b">
        <v>0</v>
      </c>
      <c r="B3" s="3" t="inlineStr"/>
      <c r="C3" s="3" t="b">
        <v>0</v>
      </c>
      <c r="D3" s="3" t="inlineStr">
        <is>
          <t>Cross-document numeric inconsistency</t>
        </is>
      </c>
      <c r="E3" s="3" t="b">
        <v>0</v>
      </c>
      <c r="F3" s="3" t="inlineStr">
        <is>
          <t>C002</t>
        </is>
      </c>
      <c r="G3" s="3" t="inlineStr">
        <is>
          <t>2018::jama.2017.21906::C002</t>
        </is>
      </c>
      <c r="H3" s="3" t="inlineStr"/>
      <c r="I3" s="3" t="inlineStr">
        <is>
          <t>Main article — PDF p. 6, Table 2 Discharge β-blocker row; Main article — PDF p. 7, Results narrative.</t>
        </is>
      </c>
      <c r="J3" s="3" t="b">
        <v>1</v>
      </c>
      <c r="K3" s="3" t="inlineStr">
        <is>
          <t>jama.2017.21906</t>
        </is>
      </c>
      <c r="L3" s="3" t="inlineStr"/>
      <c r="M3" s="3" t="inlineStr">
        <is>
          <t>S_W</t>
        </is>
      </c>
      <c r="N3" s="3" t="inlineStr">
        <is>
          <t>Table 2 and Results narrative in the same main PDF report discharge beta-blocker RD 6.69 versus 6.63 and OR 1.48 versus 1.47 with identical intervals. Despite its original cross-document category, both discrepant occurrences are within the main article.</t>
        </is>
      </c>
      <c r="O3" s="3" t="inlineStr">
        <is>
          <t>../../2018/jama.2017.21906/.ai_paper_validation/final_report_1_5_2.html</t>
        </is>
      </c>
      <c r="P3" s="3" t="inlineStr">
        <is>
          <t>2018/jama.2017.21906/.ai_paper_validation/final_report_1_5_2.md</t>
        </is>
      </c>
      <c r="Q3" s="3" t="inlineStr">
        <is>
          <t>C002</t>
        </is>
      </c>
      <c r="R3" s="3" t="inlineStr">
        <is>
          <t>Pending Human Adjudication</t>
        </is>
      </c>
      <c r="S3" s="3" t="inlineStr">
        <is>
          <t>Table 2 and the narrative print different adjusted discharge beta-blocker risk differences and ORs while printing identical intervals.</t>
        </is>
      </c>
      <c r="T3" s="3" t="b">
        <v>1</v>
      </c>
      <c r="U3" s="3" t="inlineStr">
        <is>
          <t>repeated_effect_estimate</t>
        </is>
      </c>
      <c r="V3" s="3" t="inlineStr">
        <is>
          <t>report_internal_inconsistency</t>
        </is>
      </c>
      <c r="W3" s="3" t="inlineStr">
        <is>
          <t>Discharge beta-blocker adjusted point estimates differ between Table 2 and narrative</t>
        </is>
      </c>
      <c r="X3" s="3" t="inlineStr">
        <is>
          <t>2018</t>
        </is>
      </c>
      <c r="Y3" s="3" t="inlineStr">
        <is>
          <t>meta_report/consistency_reclassification_2026-09-04/reclassified_candidates.json</t>
        </is>
      </c>
      <c r="Z3" s="3" t="inlineStr">
        <is>
          <t>S_W</t>
        </is>
      </c>
      <c r="AA3" s="3" t="inlineStr">
        <is>
          <t>report_internal_inconsistency</t>
        </is>
      </c>
      <c r="AB3" s="3" t="inlineStr">
        <is>
          <t>retain</t>
        </is>
      </c>
    </row>
    <row r="4" ht="95" customHeight="1">
      <c r="A4" s="2" t="b">
        <v>0</v>
      </c>
      <c r="B4" s="2" t="inlineStr"/>
      <c r="C4" s="2" t="b">
        <v>0</v>
      </c>
      <c r="D4" s="2" t="inlineStr">
        <is>
          <t>Measure, label, or scale inconsistency</t>
        </is>
      </c>
      <c r="E4" s="2" t="b">
        <v>0</v>
      </c>
      <c r="F4" s="2" t="inlineStr">
        <is>
          <t>C003</t>
        </is>
      </c>
      <c r="G4" s="2" t="inlineStr">
        <is>
          <t>2018::jama.2017.21906::C003</t>
        </is>
      </c>
      <c r="H4" s="2" t="inlineStr"/>
      <c r="I4" s="2" t="inlineStr">
        <is>
          <t>Online supplement — PDF p. 17, eTable 1 title, headers, values, and footnote a.</t>
        </is>
      </c>
      <c r="J4" s="2" t="b">
        <v>0</v>
      </c>
      <c r="K4" s="2" t="inlineStr">
        <is>
          <t>jama.2017.21906</t>
        </is>
      </c>
      <c r="L4" s="2" t="inlineStr"/>
      <c r="M4" s="2" t="inlineStr">
        <is>
          <t>S_W</t>
        </is>
      </c>
      <c r="N4" s="2" t="inlineStr">
        <is>
          <t>eTable 1 displays complete- and missing-follow-up groups, but its difference footnote defines an intervention-minus-control contrast. The focal mismatch is within one non-plan results supplement.</t>
        </is>
      </c>
      <c r="O4" s="2" t="inlineStr">
        <is>
          <t>../../2018/jama.2017.21906/.ai_paper_validation/final_report_1_5_2.html</t>
        </is>
      </c>
      <c r="P4" s="2" t="inlineStr">
        <is>
          <t>2018/jama.2017.21906/.ai_paper_validation/final_report_1_5_2.md</t>
        </is>
      </c>
      <c r="Q4" s="2" t="inlineStr">
        <is>
          <t>C003</t>
        </is>
      </c>
      <c r="R4" s="2" t="inlineStr">
        <is>
          <t>Pending Human Adjudication</t>
        </is>
      </c>
      <c r="S4" s="2" t="inlineStr">
        <is>
          <t>eTable 1 displays complete- and missing-follow-up groups, but its difference footnote defines an intervention-minus-control contrast.</t>
        </is>
      </c>
      <c r="T4" s="2" t="b">
        <v>1</v>
      </c>
      <c r="U4" s="2" t="inlineStr">
        <is>
          <t>comparator_label</t>
        </is>
      </c>
      <c r="V4" s="2" t="inlineStr">
        <is>
          <t>report_internal_inconsistency</t>
        </is>
      </c>
      <c r="W4" s="2" t="inlineStr">
        <is>
          <t>eTable 1 difference footnote names groups not displayed in the table</t>
        </is>
      </c>
      <c r="X4" s="2" t="inlineStr">
        <is>
          <t>2018</t>
        </is>
      </c>
      <c r="Y4" s="2" t="inlineStr">
        <is>
          <t>meta_report/consistency_reclassification_2026-09-04/reclassified_candidates.json</t>
        </is>
      </c>
      <c r="Z4" s="2" t="inlineStr">
        <is>
          <t>S_W</t>
        </is>
      </c>
      <c r="AA4" s="2" t="inlineStr">
        <is>
          <t>report_internal_inconsistency</t>
        </is>
      </c>
      <c r="AB4" s="2" t="inlineStr">
        <is>
          <t>retain</t>
        </is>
      </c>
    </row>
    <row r="5" ht="95" customHeight="1">
      <c r="A5" s="3" t="b">
        <v>0</v>
      </c>
      <c r="B5" s="3" t="inlineStr">
        <is>
          <t>A later or separate prespecification could authorize the published cutpoints; no such dated record is supplied. The SAP age-65 gap is contextual, not a separate counted relationship.</t>
        </is>
      </c>
      <c r="C5" s="3" t="b">
        <v>1</v>
      </c>
      <c r="D5" s="3" t="inlineStr">
        <is>
          <t>Cross-document numeric inconsistency</t>
        </is>
      </c>
      <c r="E5" s="3" t="b">
        <v>1</v>
      </c>
      <c r="F5" s="3" t="inlineStr">
        <is>
          <t>C004</t>
        </is>
      </c>
      <c r="G5" s="3" t="inlineStr">
        <is>
          <t>2018::jama.2017.21906::C004</t>
        </is>
      </c>
      <c r="H5" s="3" t="inlineStr"/>
      <c r="I5" s="3" t="inlineStr">
        <is>
          <t>SAP — PDF p. 7, section 7.5.2; main article — PDF p. 3, Statistical Analysis; main article — PDF p. 9, Figure 3 and adjacent Results narrative.</t>
        </is>
      </c>
      <c r="J5" s="3" t="b">
        <v>1</v>
      </c>
      <c r="K5" s="3" t="inlineStr">
        <is>
          <t>jama.2017.21906</t>
        </is>
      </c>
      <c r="L5" s="3" t="inlineStr">
        <is>
          <t>analysis_specification</t>
        </is>
      </c>
      <c r="M5" s="3" t="inlineStr">
        <is>
          <t>P_R</t>
        </is>
      </c>
      <c r="N5" s="3" t="inlineStr">
        <is>
          <t>The main article calls age strata &lt;50, 50-69, and &gt;=70 prespecified, whereas the supplied SAP specifies two groups split at 65; this is a reported-versus-prespecified subgroup definition discrepancy.</t>
        </is>
      </c>
      <c r="O5" s="3" t="inlineStr">
        <is>
          <t>../../2018/jama.2017.21906/.ai_paper_validation/final_report_1_5_2.html</t>
        </is>
      </c>
      <c r="P5" s="3" t="inlineStr">
        <is>
          <t>2018/jama.2017.21906/.ai_paper_validation/final_report_1_5_2.md</t>
        </is>
      </c>
      <c r="Q5" s="3" t="inlineStr">
        <is>
          <t>C004</t>
        </is>
      </c>
      <c r="R5" s="3" t="inlineStr">
        <is>
          <t>Pending Human Adjudication</t>
        </is>
      </c>
      <c r="S5" s="3" t="inlineStr">
        <is>
          <t>The article calls its Figure 3 age subgroups prespecified, but their numeric boundaries differ from the supplied SAP.</t>
        </is>
      </c>
      <c r="T5" s="3" t="b">
        <v>0</v>
      </c>
      <c r="U5" s="3" t="inlineStr">
        <is>
          <t>subgroup_cutpoint_prespecification</t>
        </is>
      </c>
      <c r="V5" s="3" t="inlineStr">
        <is>
          <t>protocol_report</t>
        </is>
      </c>
      <c r="W5" s="3" t="inlineStr">
        <is>
          <t>Reported prespecified age-subgroup boundaries differ from the supplied SAP</t>
        </is>
      </c>
      <c r="X5" s="3" t="inlineStr">
        <is>
          <t>2018</t>
        </is>
      </c>
      <c r="Y5" s="3" t="inlineStr">
        <is>
          <t>meta_report/consistency_reclassification_2026-09-04/reclassified_candidates.json</t>
        </is>
      </c>
      <c r="Z5" s="3" t="inlineStr">
        <is>
          <t>P_R</t>
        </is>
      </c>
      <c r="AA5" s="3" t="inlineStr">
        <is>
          <t>protocol_report</t>
        </is>
      </c>
      <c r="AB5" s="3" t="inlineStr">
        <is>
          <t>retain</t>
        </is>
      </c>
    </row>
    <row r="6" ht="95" customHeight="1">
      <c r="A6" s="2" t="b">
        <v>0</v>
      </c>
      <c r="B6" s="2" t="inlineStr">
        <is>
          <t>Mixed cross-file and within-supplement relationship. Heparin may exhaust the operative anticoagulant class; operational equivalence is unknown.</t>
        </is>
      </c>
      <c r="C6" s="2" t="b">
        <v>0</v>
      </c>
      <c r="D6" s="2" t="inlineStr">
        <is>
          <t>Measure, label, or scale inconsistency</t>
        </is>
      </c>
      <c r="E6" s="2" t="b">
        <v>1</v>
      </c>
      <c r="F6" s="2" t="inlineStr">
        <is>
          <t>C005</t>
        </is>
      </c>
      <c r="G6" s="2" t="inlineStr">
        <is>
          <t>2018::jama.2017.21906::C005</t>
        </is>
      </c>
      <c r="H6" s="2" t="inlineStr"/>
      <c r="I6" s="2" t="inlineStr">
        <is>
          <t>Main article — PDF p. 3, Outcomes; main article — PDF p. 7, Table 3 footnote c; online supplement — PDF p. 21, eTable 5 footnote c; online supplement — PDF p. 22, eTable 6 footnote b.</t>
        </is>
      </c>
      <c r="J6" s="2" t="b">
        <v>0</v>
      </c>
      <c r="K6" s="2" t="inlineStr">
        <is>
          <t>jama.2017.21906</t>
        </is>
      </c>
      <c r="L6" s="2" t="inlineStr"/>
      <c r="M6" s="2" t="inlineStr">
        <is>
          <t>S_C</t>
        </is>
      </c>
      <c r="N6" s="2"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 t="inlineStr">
        <is>
          <t>../../2018/jama.2017.21906/.ai_paper_validation/final_report_1_5_2.html</t>
        </is>
      </c>
      <c r="P6" s="2" t="inlineStr">
        <is>
          <t>2018/jama.2017.21906/.ai_paper_validation/final_report_1_5_2.md</t>
        </is>
      </c>
      <c r="Q6" s="2" t="inlineStr">
        <is>
          <t>C005</t>
        </is>
      </c>
      <c r="R6" s="2" t="inlineStr">
        <is>
          <t>Pending Human Adjudication</t>
        </is>
      </c>
      <c r="S6" s="2" t="inlineStr">
        <is>
          <t>The same named optimal in-hospital medication composite is defined with anticoagulant in the article/eTable 5 and heparin in eTable 6.</t>
        </is>
      </c>
      <c r="T6" s="2" t="b">
        <v>1</v>
      </c>
      <c r="U6" s="2" t="inlineStr">
        <is>
          <t>composite_component_definition</t>
        </is>
      </c>
      <c r="V6" s="2" t="inlineStr">
        <is>
          <t>report_internal_inconsistency</t>
        </is>
      </c>
      <c r="W6" s="2" t="inlineStr">
        <is>
          <t>The named optimal in-hospital medication composite uses different component labels across final-result tables</t>
        </is>
      </c>
      <c r="X6" s="2" t="inlineStr">
        <is>
          <t>2018</t>
        </is>
      </c>
      <c r="Y6" s="2" t="inlineStr">
        <is>
          <t>meta_report/consistency_reclassification_2026-09-04/reclassified_candidates.json</t>
        </is>
      </c>
      <c r="Z6" s="2" t="inlineStr">
        <is>
          <t>S_C</t>
        </is>
      </c>
      <c r="AA6" s="2" t="inlineStr">
        <is>
          <t>report_internal_inconsistency</t>
        </is>
      </c>
      <c r="AB6" s="2" t="inlineStr">
        <is>
          <t>retain</t>
        </is>
      </c>
    </row>
    <row r="7" ht="95" customHeight="1">
      <c r="A7" s="3" t="b">
        <v>0</v>
      </c>
      <c r="B7" s="3" t="inlineStr">
        <is>
          <t>An amended or separate plan may account for hospital type; the record establishes differing lists rather than intentional substitution.</t>
        </is>
      </c>
      <c r="C7" s="3" t="b">
        <v>1</v>
      </c>
      <c r="D7" s="3" t="inlineStr">
        <is>
          <t>Cross-document numeric inconsistency</t>
        </is>
      </c>
      <c r="E7" s="3" t="b">
        <v>1</v>
      </c>
      <c r="F7" s="3" t="inlineStr">
        <is>
          <t>C006</t>
        </is>
      </c>
      <c r="G7" s="3" t="inlineStr">
        <is>
          <t>2018::jama.2017.21906::C006</t>
        </is>
      </c>
      <c r="H7" s="3" t="inlineStr"/>
      <c r="I7" s="3" t="inlineStr">
        <is>
          <t>Main article — PDF p. 3, Statistical Analysis; main article — PDF p. 9, Figure 3 and adjacent Results narrative; SAP — PDF p. 7, section 7.5.2.</t>
        </is>
      </c>
      <c r="J7" s="3" t="b">
        <v>1</v>
      </c>
      <c r="K7" s="3" t="inlineStr">
        <is>
          <t>jama.2017.21906</t>
        </is>
      </c>
      <c r="L7" s="3" t="inlineStr">
        <is>
          <t>analysis_specification</t>
        </is>
      </c>
      <c r="M7" s="3" t="inlineStr">
        <is>
          <t>P_R</t>
        </is>
      </c>
      <c r="N7" s="3" t="inlineStr">
        <is>
          <t>Hospital type (government/nonprofit/private) is presented as prespecified in the main Figure 3 but absent from the supplied SAP site-level subgroup list. This compares reported prespecification with the plan, not main versus ordinary supplementary results.</t>
        </is>
      </c>
      <c r="O7" s="3" t="inlineStr">
        <is>
          <t>../../2018/jama.2017.21906/.ai_paper_validation/final_report_1_5_2.html</t>
        </is>
      </c>
      <c r="P7" s="3" t="inlineStr">
        <is>
          <t>2018/jama.2017.21906/.ai_paper_validation/final_report_1_5_2.md</t>
        </is>
      </c>
      <c r="Q7" s="3" t="inlineStr">
        <is>
          <t>C006</t>
        </is>
      </c>
      <c r="R7" s="3" t="inlineStr">
        <is>
          <t>Pending Human Adjudication</t>
        </is>
      </c>
      <c r="S7" s="3" t="inlineStr">
        <is>
          <t>The article calls the hospital-type Figure 3 subgroup prespecified, while the supplied SAP's a priori site-level subgroup list does not name hospital type.</t>
        </is>
      </c>
      <c r="T7" s="3" t="b">
        <v>0</v>
      </c>
      <c r="U7" s="3" t="inlineStr">
        <is>
          <t>subgroup_prespecification</t>
        </is>
      </c>
      <c r="V7" s="3" t="inlineStr">
        <is>
          <t>protocol_report</t>
        </is>
      </c>
      <c r="W7" s="3" t="inlineStr">
        <is>
          <t>Hospital-type subgroup is reported as prespecified but is absent from the supplied SAP subgroup list</t>
        </is>
      </c>
      <c r="X7" s="3" t="inlineStr">
        <is>
          <t>2018</t>
        </is>
      </c>
      <c r="Y7" s="3" t="inlineStr">
        <is>
          <t>meta_report/consistency_reclassification_2026-09-04/reclassified_candidates.json</t>
        </is>
      </c>
      <c r="Z7" s="3" t="inlineStr">
        <is>
          <t>P_R</t>
        </is>
      </c>
      <c r="AA7" s="3" t="inlineStr">
        <is>
          <t>protocol_report</t>
        </is>
      </c>
      <c r="AB7" s="3" t="inlineStr">
        <is>
          <t>retain</t>
        </is>
      </c>
    </row>
    <row r="8" ht="95" customHeight="1">
      <c r="A8" s="2" t="b">
        <v>0</v>
      </c>
      <c r="B8" s="2" t="inlineStr"/>
      <c r="C8" s="2" t="b">
        <v>0</v>
      </c>
      <c r="D8" s="2" t="inlineStr">
        <is>
          <t>Statistical reporting inconsistency</t>
        </is>
      </c>
      <c r="E8" s="2" t="b">
        <v>0</v>
      </c>
      <c r="F8" s="2" t="inlineStr">
        <is>
          <t>C001</t>
        </is>
      </c>
      <c r="G8" s="2" t="inlineStr">
        <is>
          <t>2018::jama.2018.0156::C001</t>
        </is>
      </c>
      <c r="H8" s="2" t="inlineStr"/>
      <c r="I8" s="2" t="inlineStr">
        <is>
          <t>jama_jabre_2018_oi_180004.pdf — PDF p. 3 (rule); jama_jabre_2018_oi_180004.pdf — PDF p. 4 (result/narrative).</t>
        </is>
      </c>
      <c r="J8" s="2" t="b">
        <v>0</v>
      </c>
      <c r="K8" s="2" t="inlineStr">
        <is>
          <t>jama.2018.0156</t>
        </is>
      </c>
      <c r="L8" s="2" t="inlineStr"/>
      <c r="M8" s="2" t="inlineStr">
        <is>
          <t>S_W</t>
        </is>
      </c>
      <c r="N8" s="2" t="inlineStr">
        <is>
          <t>The narrative calls a lower CI limit greater than the threshold although the displayed lower limit is below it; the printed conclusion remains compatible with the displayed values. The focal mismatch is within the main article.</t>
        </is>
      </c>
      <c r="O8" s="2" t="inlineStr">
        <is>
          <t>../../2018/jama.2018.0156/.ai_paper_validation/final_report_1_5_2.html</t>
        </is>
      </c>
      <c r="P8" s="2" t="inlineStr">
        <is>
          <t>2018/jama.2018.0156/.ai_paper_validation/final_report_1_5_2.md</t>
        </is>
      </c>
      <c r="Q8" s="2" t="inlineStr">
        <is>
          <t>C001</t>
        </is>
      </c>
      <c r="R8" s="2" t="inlineStr">
        <is>
          <t>Pending Human Adjudication</t>
        </is>
      </c>
      <c r="S8" s="2" t="inlineStr">
        <is>
          <t>The narrative calls a lower CI limit greater than the threshold although the displayed lower limit is below it; the printed conclusion remains compatible with the displayed values.</t>
        </is>
      </c>
      <c r="T8" s="2" t="b">
        <v>1</v>
      </c>
      <c r="U8" s="2" t="inlineStr">
        <is>
          <t>noninferiority_direction_word</t>
        </is>
      </c>
      <c r="V8" s="2" t="inlineStr">
        <is>
          <t>statistical_results</t>
        </is>
      </c>
      <c r="W8" s="2" t="inlineStr">
        <is>
          <t>Noninferiority narrative reverses the displayed bound direction</t>
        </is>
      </c>
      <c r="X8" s="2" t="inlineStr">
        <is>
          <t>2018</t>
        </is>
      </c>
      <c r="Y8" s="2" t="inlineStr">
        <is>
          <t>meta_report/consistency_reclassification_2026-09-04/reclassified_candidates.json</t>
        </is>
      </c>
      <c r="Z8" s="2" t="inlineStr">
        <is>
          <t>S_W</t>
        </is>
      </c>
      <c r="AA8" s="2" t="inlineStr">
        <is>
          <t>statistical_results</t>
        </is>
      </c>
      <c r="AB8" s="2" t="inlineStr">
        <is>
          <t>retain</t>
        </is>
      </c>
    </row>
    <row r="9" ht="95" customHeight="1">
      <c r="A9" s="3" t="b">
        <v>0</v>
      </c>
      <c r="B9" s="3" t="inlineStr"/>
      <c r="C9" s="3" t="b">
        <v>0</v>
      </c>
      <c r="D9" s="3" t="inlineStr">
        <is>
          <t>Measure, label, or scale inconsistency</t>
        </is>
      </c>
      <c r="E9" s="3" t="b">
        <v>0</v>
      </c>
      <c r="F9" s="3" t="inlineStr">
        <is>
          <t>C002</t>
        </is>
      </c>
      <c r="G9" s="3" t="inlineStr">
        <is>
          <t>2018::jama.2018.0156::C002</t>
        </is>
      </c>
      <c r="H9" s="3" t="inlineStr"/>
      <c r="I9" s="3" t="inlineStr">
        <is>
          <t>jama_jabre_2018_oi_180004.pdf — PDF p. 3 (definition); jama_jabre_2018_oi_180004.pdf — PDF p. 4 (contrast).</t>
        </is>
      </c>
      <c r="J9" s="3" t="b">
        <v>0</v>
      </c>
      <c r="K9" s="3" t="inlineStr">
        <is>
          <t>jama.2018.0156</t>
        </is>
      </c>
      <c r="L9" s="3" t="inlineStr"/>
      <c r="M9" s="3" t="inlineStr">
        <is>
          <t>S_W</t>
        </is>
      </c>
      <c r="N9" s="3" t="inlineStr">
        <is>
          <t>A contrast for the number of qualifying pauses is labelled in seconds. The focal mismatch is within the main article.</t>
        </is>
      </c>
      <c r="O9" s="3" t="inlineStr">
        <is>
          <t>../../2018/jama.2018.0156/.ai_paper_validation/final_report_1_5_2.html</t>
        </is>
      </c>
      <c r="P9" s="3" t="inlineStr">
        <is>
          <t>2018/jama.2018.0156/.ai_paper_validation/final_report_1_5_2.md</t>
        </is>
      </c>
      <c r="Q9" s="3" t="inlineStr">
        <is>
          <t>C002</t>
        </is>
      </c>
      <c r="R9" s="3" t="inlineStr">
        <is>
          <t>Pending Human Adjudication</t>
        </is>
      </c>
      <c r="S9" s="3" t="inlineStr">
        <is>
          <t>A contrast for the number of qualifying pauses is labelled in seconds.</t>
        </is>
      </c>
      <c r="T9" s="3" t="b">
        <v>1</v>
      </c>
      <c r="U9" s="3" t="inlineStr">
        <is>
          <t>count_vs_duration_unit</t>
        </is>
      </c>
      <c r="V9" s="3" t="inlineStr">
        <is>
          <t>report_internal_inconsistency</t>
        </is>
      </c>
      <c r="W9" s="3" t="inlineStr">
        <is>
          <t>Centre-5 pause contrast mixes a count outcome with seconds</t>
        </is>
      </c>
      <c r="X9" s="3" t="inlineStr">
        <is>
          <t>2018</t>
        </is>
      </c>
      <c r="Y9" s="3" t="inlineStr">
        <is>
          <t>meta_report/consistency_reclassification_2026-09-04/reclassified_candidates.json</t>
        </is>
      </c>
      <c r="Z9" s="3" t="inlineStr">
        <is>
          <t>S_W</t>
        </is>
      </c>
      <c r="AA9" s="3" t="inlineStr">
        <is>
          <t>report_internal_inconsistency</t>
        </is>
      </c>
      <c r="AB9" s="3" t="inlineStr">
        <is>
          <t>retain</t>
        </is>
      </c>
    </row>
    <row r="10" ht="95" customHeight="1">
      <c r="A10" s="2" t="b">
        <v>0</v>
      </c>
      <c r="B10" s="2" t="inlineStr">
        <is>
          <t>The SAP explicitly rounds categorical percentages, not separately differences; an unreported estimator/denominator may explain the displayed 0.1.</t>
        </is>
      </c>
      <c r="C10" s="2" t="b">
        <v>0</v>
      </c>
      <c r="D10" s="2" t="inlineStr">
        <is>
          <t>Numeric or arithmetic inconsistency</t>
        </is>
      </c>
      <c r="E10" s="2" t="b">
        <v>0</v>
      </c>
      <c r="F10" s="2" t="inlineStr">
        <is>
          <t>C003</t>
        </is>
      </c>
      <c r="G10" s="2" t="inlineStr">
        <is>
          <t>2018::jama.2018.0156::C003</t>
        </is>
      </c>
      <c r="H10" s="2" t="inlineStr"/>
      <c r="I10" s="2" t="inlineStr">
        <is>
          <t>jama_jabre_2018_oi_180004.pdf — PDF p. 6 (Table 2); joi180004supp1_prod.pdf — PDF p. 123 (rounding rule).</t>
        </is>
      </c>
      <c r="J10" s="2" t="b">
        <v>0</v>
      </c>
      <c r="K10" s="2" t="inlineStr">
        <is>
          <t>jama.2018.0156</t>
        </is>
      </c>
      <c r="L10" s="2" t="inlineStr"/>
      <c r="M10" s="2" t="inlineStr">
        <is>
          <t>S_W</t>
        </is>
      </c>
      <c r="N10" s="2" t="inlineStr">
        <is>
          <t>The main Table 2 PP-survival difference 0.1 does not round from its displayed 54/995 and 51/943 inputs, which yield 0.0189 percentage points. The SAP rounding sentence is a supporting convention, not a separate reported-versus-plan discrepancy.</t>
        </is>
      </c>
      <c r="O10" s="2" t="inlineStr">
        <is>
          <t>../../2018/jama.2018.0156/.ai_paper_validation/final_report_1_5_2.html</t>
        </is>
      </c>
      <c r="P10" s="2" t="inlineStr">
        <is>
          <t>2018/jama.2018.0156/.ai_paper_validation/final_report_1_5_2.md</t>
        </is>
      </c>
      <c r="Q10" s="2" t="inlineStr">
        <is>
          <t>C003</t>
        </is>
      </c>
      <c r="R10" s="2" t="inlineStr">
        <is>
          <t>Pending Human Adjudication</t>
        </is>
      </c>
      <c r="S10" s="2" t="inlineStr">
        <is>
          <t>The PP survival difference 0.1 percentage points does not ordinarily round from the displayed counts and denominators.</t>
        </is>
      </c>
      <c r="T10" s="2" t="b">
        <v>1</v>
      </c>
      <c r="U10" s="2" t="inlineStr">
        <is>
          <t>risk_difference_arithmetic</t>
        </is>
      </c>
      <c r="V10" s="2" t="inlineStr">
        <is>
          <t>statistical_results</t>
        </is>
      </c>
      <c r="W10" s="2" t="inlineStr">
        <is>
          <t>PP day-28 survival point difference does not round from the printed inputs</t>
        </is>
      </c>
      <c r="X10" s="2" t="inlineStr">
        <is>
          <t>2018</t>
        </is>
      </c>
      <c r="Y10" s="2" t="inlineStr">
        <is>
          <t>meta_report/consistency_reclassification_2026-09-04/reclassified_candidates.json</t>
        </is>
      </c>
      <c r="Z10" s="2" t="inlineStr">
        <is>
          <t>S_W</t>
        </is>
      </c>
      <c r="AA10" s="2" t="inlineStr">
        <is>
          <t>statistical_results</t>
        </is>
      </c>
      <c r="AB10" s="2" t="inlineStr">
        <is>
          <t>retain</t>
        </is>
      </c>
    </row>
    <row r="11" ht="95" customHeight="1">
      <c r="A11" s="3" t="b">
        <v>0</v>
      </c>
      <c r="B11" s="3" t="inlineStr">
        <is>
          <t>The diagnostic Wald interval is not an authoritative replacement; exact source CI construction is absent. Distinct from C003 point-estimate arithmetic although the same row is involved.</t>
        </is>
      </c>
      <c r="C11" s="3" t="b">
        <v>0</v>
      </c>
      <c r="D11" s="3" t="inlineStr">
        <is>
          <t>Statistical reporting inconsistency</t>
        </is>
      </c>
      <c r="E11" s="3" t="b">
        <v>0</v>
      </c>
      <c r="F11" s="3" t="inlineStr">
        <is>
          <t>C004</t>
        </is>
      </c>
      <c r="G11" s="3" t="inlineStr">
        <is>
          <t>2018::jama.2018.0156::C004</t>
        </is>
      </c>
      <c r="H11" s="3" t="inlineStr"/>
      <c r="I11" s="3" t="inlineStr">
        <is>
          <t>jama_jabre_2018_oi_180004.pdf — PDF p. 3 (rule); PDF p. 6 (Table 2); joi180004supp1_prod.pdf — PDF p. 124 (CI rule).</t>
        </is>
      </c>
      <c r="J11" s="3" t="b">
        <v>0</v>
      </c>
      <c r="K11" s="3" t="inlineStr">
        <is>
          <t>jama.2018.0156</t>
        </is>
      </c>
      <c r="L11" s="3" t="inlineStr"/>
      <c r="M11" s="3" t="inlineStr">
        <is>
          <t>S_W</t>
        </is>
      </c>
      <c r="N11" s="3" t="inlineStr">
        <is>
          <t>The main Table 2 interval -10 to 9.7 has unresolved scale/precision relative to the same row counts, effect scale, and P=.99. SAP CI wording corroborates the general method and does not itself conflict with reported analysis.</t>
        </is>
      </c>
      <c r="O11" s="3" t="inlineStr">
        <is>
          <t>../../2018/jama.2018.0156/.ai_paper_validation/final_report_1_5_2.html</t>
        </is>
      </c>
      <c r="P11" s="3" t="inlineStr">
        <is>
          <t>2018/jama.2018.0156/.ai_paper_validation/final_report_1_5_2.md</t>
        </is>
      </c>
      <c r="Q11" s="3" t="inlineStr">
        <is>
          <t>C004</t>
        </is>
      </c>
      <c r="R11" s="3" t="inlineStr">
        <is>
          <t>Pending Human Adjudication</t>
        </is>
      </c>
      <c r="S11" s="3" t="inlineStr">
        <is>
          <t>The PP survival interval in a percentage-point column has a scale/precision appearance unresolved by supplied row-level methods or inputs.</t>
        </is>
      </c>
      <c r="T11" s="3" t="b">
        <v>1</v>
      </c>
      <c r="U11" s="3" t="inlineStr">
        <is>
          <t>ci_scale_precision</t>
        </is>
      </c>
      <c r="V11" s="3" t="inlineStr">
        <is>
          <t>statistical_results</t>
        </is>
      </c>
      <c r="W11" s="3" t="inlineStr">
        <is>
          <t>PP day-28 survival confidence interval has an unresolved scale/precision inconsistency</t>
        </is>
      </c>
      <c r="X11" s="3" t="inlineStr">
        <is>
          <t>2018</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c r="C12" s="2" t="b">
        <v>0</v>
      </c>
      <c r="D12" s="2" t="inlineStr">
        <is>
          <t>Denominator, proportion, or total inconsistency</t>
        </is>
      </c>
      <c r="E12" s="2" t="b">
        <v>0</v>
      </c>
      <c r="F12" s="2" t="inlineStr">
        <is>
          <t>C005</t>
        </is>
      </c>
      <c r="G12" s="2" t="inlineStr">
        <is>
          <t>2018::jama.2018.0156::C005</t>
        </is>
      </c>
      <c r="H12" s="2" t="inlineStr"/>
      <c r="I12" s="2" t="inlineStr">
        <is>
          <t>jama_jabre_2018_oi_180004.pdf — PDF p. 6 (Table 2 PP ROSC row).</t>
        </is>
      </c>
      <c r="J12" s="2" t="b">
        <v>0</v>
      </c>
      <c r="K12" s="2" t="inlineStr">
        <is>
          <t>jama.2018.0156</t>
        </is>
      </c>
      <c r="L12" s="2" t="inlineStr"/>
      <c r="M12" s="2" t="inlineStr">
        <is>
          <t>S_W</t>
        </is>
      </c>
      <c r="N12" s="2" t="inlineStr">
        <is>
          <t>The ETI PP ROSC percentage conflicts with its numerator/denominator and signed BMV-minus-ETI contrast. The focal mismatch is within the main article.</t>
        </is>
      </c>
      <c r="O12" s="2" t="inlineStr">
        <is>
          <t>../../2018/jama.2018.0156/.ai_paper_validation/final_report_1_5_2.html</t>
        </is>
      </c>
      <c r="P12" s="2" t="inlineStr">
        <is>
          <t>2018/jama.2018.0156/.ai_paper_validation/final_report_1_5_2.md</t>
        </is>
      </c>
      <c r="Q12" s="2" t="inlineStr">
        <is>
          <t>C005</t>
        </is>
      </c>
      <c r="R12" s="2" t="inlineStr">
        <is>
          <t>Pending Human Adjudication</t>
        </is>
      </c>
      <c r="S12" s="2" t="inlineStr">
        <is>
          <t>The ETI PP ROSC percentage conflicts with its numerator/denominator and signed BMV-minus-ETI contrast.</t>
        </is>
      </c>
      <c r="T12" s="2" t="b">
        <v>1</v>
      </c>
      <c r="U12" s="2" t="inlineStr">
        <is>
          <t>proportion_and_contrast_direction</t>
        </is>
      </c>
      <c r="V12" s="2" t="inlineStr">
        <is>
          <t>statistical_results</t>
        </is>
      </c>
      <c r="W12" s="2" t="inlineStr">
        <is>
          <t>PP ROSC ETI percentage conflicts with its count, denominator, and signed difference</t>
        </is>
      </c>
      <c r="X12" s="2" t="inlineStr">
        <is>
          <t>2018</t>
        </is>
      </c>
      <c r="Y12" s="2" t="inlineStr">
        <is>
          <t>meta_report/consistency_reclassification_2026-09-04/reclassified_candidates.json</t>
        </is>
      </c>
      <c r="Z12" s="2" t="inlineStr">
        <is>
          <t>S_W</t>
        </is>
      </c>
      <c r="AA12" s="2" t="inlineStr">
        <is>
          <t>statistical_results</t>
        </is>
      </c>
      <c r="AB12" s="2" t="inlineStr">
        <is>
          <t>retain</t>
        </is>
      </c>
    </row>
    <row r="13" ht="95" customHeight="1">
      <c r="A13" s="3" t="b">
        <v>0</v>
      </c>
      <c r="B13" s="3" t="inlineStr">
        <is>
          <t>Twenty EMS centres versus 21 investigator-centre rows may reflect different counting units; no centre-to-investigator crosswalk is supplied.</t>
        </is>
      </c>
      <c r="C13" s="3" t="b">
        <v>0</v>
      </c>
      <c r="D13" s="3" t="inlineStr">
        <is>
          <t>Cross-document numeric inconsistency</t>
        </is>
      </c>
      <c r="E13" s="3" t="b">
        <v>1</v>
      </c>
      <c r="F13" s="3" t="inlineStr">
        <is>
          <t>C006</t>
        </is>
      </c>
      <c r="G13" s="3" t="inlineStr">
        <is>
          <t>2018::jama.2018.0156::C006</t>
        </is>
      </c>
      <c r="H13" s="3" t="inlineStr"/>
      <c r="I13" s="3" t="inlineStr">
        <is>
          <t>jama_jabre_2018_oi_180004.pdf — PDF p. 2; joi180004supp2_prod.pdf — PDF p. 2 (eTable 1).</t>
        </is>
      </c>
      <c r="J13" s="3" t="b">
        <v>1</v>
      </c>
      <c r="K13" s="3" t="inlineStr">
        <is>
          <t>jama.2018.0156</t>
        </is>
      </c>
      <c r="L13" s="3" t="inlineStr"/>
      <c r="M13" s="3" t="inlineStr">
        <is>
          <t>S_C</t>
        </is>
      </c>
      <c r="N13" s="3" t="inlineStr">
        <is>
          <t>The article reports 20 EMS centres whereas eTable 1 shows 21 contributing investigator-centre rows. The focal comparison is the main article versus a non-plan results supplement.</t>
        </is>
      </c>
      <c r="O13" s="3" t="inlineStr">
        <is>
          <t>../../2018/jama.2018.0156/.ai_paper_validation/final_report_1_5_2.html</t>
        </is>
      </c>
      <c r="P13" s="3" t="inlineStr">
        <is>
          <t>2018/jama.2018.0156/.ai_paper_validation/final_report_1_5_2.md</t>
        </is>
      </c>
      <c r="Q13" s="3" t="inlineStr">
        <is>
          <t>C006</t>
        </is>
      </c>
      <c r="R13" s="3" t="inlineStr">
        <is>
          <t>Pending Human Adjudication</t>
        </is>
      </c>
      <c r="S13" s="3" t="inlineStr">
        <is>
          <t>The article reports 20 EMS centres whereas eTable 1 shows 21 contributing investigator-centre rows.</t>
        </is>
      </c>
      <c r="T13" s="3" t="b">
        <v>1</v>
      </c>
      <c r="U13" s="3" t="inlineStr">
        <is>
          <t>centre_count_unit</t>
        </is>
      </c>
      <c r="V13" s="3" t="inlineStr">
        <is>
          <t>report_internal_inconsistency</t>
        </is>
      </c>
      <c r="W13" s="3" t="inlineStr">
        <is>
          <t>Main article and eTable report different contributing-centre counts</t>
        </is>
      </c>
      <c r="X13" s="3" t="inlineStr">
        <is>
          <t>2018</t>
        </is>
      </c>
      <c r="Y13" s="3" t="inlineStr">
        <is>
          <t>meta_report/consistency_reclassification_2026-09-04/reclassified_candidates.json</t>
        </is>
      </c>
      <c r="Z13" s="3" t="inlineStr">
        <is>
          <t>S_C</t>
        </is>
      </c>
      <c r="AA13" s="3" t="inlineStr">
        <is>
          <t>report_internal_inconsistency</t>
        </is>
      </c>
      <c r="AB13" s="3" t="inlineStr">
        <is>
          <t>retain</t>
        </is>
      </c>
    </row>
    <row r="14" ht="95" customHeight="1">
      <c r="A14" s="2" t="b">
        <v>0</v>
      </c>
      <c r="B14" s="2" t="inlineStr">
        <is>
          <t>An abbreviated article definition or no affected participants could reconcile the result; aggregate counts cannot establish actual coding or count changes.</t>
        </is>
      </c>
      <c r="C14" s="2" t="b">
        <v>1</v>
      </c>
      <c r="D14" s="2" t="inlineStr">
        <is>
          <t>Measure, label, or scale inconsistency</t>
        </is>
      </c>
      <c r="E14" s="2" t="b">
        <v>1</v>
      </c>
      <c r="F14" s="2" t="inlineStr">
        <is>
          <t>C007</t>
        </is>
      </c>
      <c r="G14" s="2" t="inlineStr">
        <is>
          <t>2018::jama.2018.0156::C007</t>
        </is>
      </c>
      <c r="H14" s="2" t="inlineStr"/>
      <c r="I14" s="2" t="inlineStr">
        <is>
          <t>jama_jabre_2018_oi_180004.pdf — PDF p. 1 and PDF p. 3; joi180004supp1_prod.pdf — PDF p. 110.</t>
        </is>
      </c>
      <c r="J14" s="2" t="b">
        <v>0</v>
      </c>
      <c r="K14" s="2" t="inlineStr">
        <is>
          <t>jama.2018.0156</t>
        </is>
      </c>
      <c r="L14" s="2" t="inlineStr">
        <is>
          <t>endpoint_definition_window_hierarchy</t>
        </is>
      </c>
      <c r="M14" s="2" t="inlineStr">
        <is>
          <t>P_R</t>
        </is>
      </c>
      <c r="N14" s="2" t="inlineStr">
        <is>
          <t>The main article defines favorable outcome as CPC 1 or 2, while a supplied amended protocol also qualifies baseline-disabled survivors whose disability is unchanged. The potential outcome-definition difference is directly report versus amended plan.</t>
        </is>
      </c>
      <c r="O14" s="2" t="inlineStr">
        <is>
          <t>../../2018/jama.2018.0156/.ai_paper_validation/final_report_1_5_2.html</t>
        </is>
      </c>
      <c r="P14" s="2" t="inlineStr">
        <is>
          <t>2018/jama.2018.0156/.ai_paper_validation/final_report_1_5_2.md</t>
        </is>
      </c>
      <c r="Q14" s="2" t="inlineStr">
        <is>
          <t>C007</t>
        </is>
      </c>
      <c r="R14" s="2" t="inlineStr">
        <is>
          <t>Pending Human Adjudication</t>
        </is>
      </c>
      <c r="S14" s="2" t="inlineStr">
        <is>
          <t>The article’s CPC-1-or-2 endpoint description omits the amendment’s qualification for survivors with baseline neurologic disability.</t>
        </is>
      </c>
      <c r="T14" s="2" t="b">
        <v>0</v>
      </c>
      <c r="U14" s="2" t="inlineStr">
        <is>
          <t>outcome_definition_amendment</t>
        </is>
      </c>
      <c r="V14" s="2" t="inlineStr">
        <is>
          <t>protocol_report</t>
        </is>
      </c>
      <c r="W14" s="2" t="inlineStr">
        <is>
          <t>Published primary-endpoint description omits the amended baseline-disability qualification</t>
        </is>
      </c>
      <c r="X14" s="2" t="inlineStr">
        <is>
          <t>2018</t>
        </is>
      </c>
      <c r="Y14" s="2" t="inlineStr">
        <is>
          <t>meta_report/consistency_reclassification_2026-09-04/reclassified_candidates.json</t>
        </is>
      </c>
      <c r="Z14" s="2" t="inlineStr">
        <is>
          <t>P_R</t>
        </is>
      </c>
      <c r="AA14" s="2" t="inlineStr">
        <is>
          <t>protocol_report</t>
        </is>
      </c>
      <c r="AB14" s="2" t="inlineStr">
        <is>
          <t>retain</t>
        </is>
      </c>
    </row>
    <row r="15" ht="95" customHeight="1">
      <c r="A15" s="3" t="b">
        <v>1</v>
      </c>
      <c r="B15" s="3"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3" t="b">
        <v>1</v>
      </c>
      <c r="D15" s="3" t="inlineStr">
        <is>
          <t>Measure, label, or scale inconsistency</t>
        </is>
      </c>
      <c r="E15" s="3" t="b">
        <v>1</v>
      </c>
      <c r="F15" s="3" t="inlineStr">
        <is>
          <t>C008</t>
        </is>
      </c>
      <c r="G15" s="3" t="inlineStr">
        <is>
          <t>2018::jama.2018.0156::C008</t>
        </is>
      </c>
      <c r="H15" s="3" t="inlineStr"/>
      <c r="I15" s="3" t="inlineStr">
        <is>
          <t>joi180004supp1_prod.pdf — PDF p. 110; jama_jabre_2018_oi_180004.pdf — PDF p. 1, PDF p. 4, and PDF p. 6.</t>
        </is>
      </c>
      <c r="J15" s="3" t="b">
        <v>0</v>
      </c>
      <c r="K15" s="3" t="inlineStr">
        <is>
          <t>jama.2018.0156</t>
        </is>
      </c>
      <c r="L15" s="3" t="inlineStr">
        <is>
          <t>endpoint_definition_window_hierarchy</t>
        </is>
      </c>
      <c r="M15" s="3" t="inlineStr">
        <is>
          <t>P_R</t>
        </is>
      </c>
      <c r="N15" s="3"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3" t="inlineStr">
        <is>
          <t>../../2018/jama.2018.0156/.ai_paper_validation/final_report_1_5_2.html</t>
        </is>
      </c>
      <c r="P15" s="3" t="inlineStr">
        <is>
          <t>2018/jama.2018.0156/.ai_paper_validation/final_report_1_5_2.md</t>
        </is>
      </c>
      <c r="Q15" s="3" t="inlineStr">
        <is>
          <t>C008</t>
        </is>
      </c>
      <c r="R15" s="3" t="inlineStr">
        <is>
          <t>Pending Human Adjudication</t>
        </is>
      </c>
      <c r="S15" s="3" t="inlineStr">
        <is>
          <t>If the protocol composite and article Table 3 row denote the same endpoint and aligned population, aggregate displays cannot reconcile.</t>
        </is>
      </c>
      <c r="T15" s="3" t="b">
        <v>0</v>
      </c>
      <c r="U15" s="3" t="inlineStr">
        <is>
          <t>composite_vs_reported_endpoint</t>
        </is>
      </c>
      <c r="V15" s="3" t="inlineStr">
        <is>
          <t>protocol_report</t>
        </is>
      </c>
      <c r="W15" s="3" t="inlineStr">
        <is>
          <t>Protocol composite technique-failure definition cannot reconcile with the article’s smaller ETI failure count if they are the same endpoint</t>
        </is>
      </c>
      <c r="X15" s="3" t="inlineStr">
        <is>
          <t>2018</t>
        </is>
      </c>
      <c r="Y15" s="3" t="inlineStr">
        <is>
          <t>meta_report/consistency_reclassification_2026-09-04/reclassified_candidates.json</t>
        </is>
      </c>
      <c r="Z15" s="3" t="inlineStr">
        <is>
          <t>P_R</t>
        </is>
      </c>
      <c r="AA15" s="3" t="inlineStr">
        <is>
          <t>protocol_report</t>
        </is>
      </c>
      <c r="AB15" s="3" t="inlineStr">
        <is>
          <t>discuss</t>
        </is>
      </c>
    </row>
    <row r="16" ht="95" customHeight="1">
      <c r="A16" s="2" t="b">
        <v>0</v>
      </c>
      <c r="B16" s="2" t="inlineStr">
        <is>
          <t>Mixed reported-versus-plan and submitted cross-file definition discrepancy; operative rule and any exact-boundary cases are unknown.</t>
        </is>
      </c>
      <c r="C16" s="2" t="b">
        <v>1</v>
      </c>
      <c r="D16" s="2" t="inlineStr">
        <is>
          <t>Measure, label, or scale inconsistency</t>
        </is>
      </c>
      <c r="E16" s="2" t="b">
        <v>1</v>
      </c>
      <c r="F16" s="2" t="inlineStr">
        <is>
          <t>C001</t>
        </is>
      </c>
      <c r="G16" s="2" t="inlineStr">
        <is>
          <t>2018::jama.2018.0948::C001</t>
        </is>
      </c>
      <c r="H16" s="2" t="inlineStr"/>
      <c r="I16" s="2" t="inlineStr">
        <is>
          <t>main article — PDF p. 4; Supplement 1 Table 5 — PDF p. 24; Supplement 3 eTable 1 — PDF p. 6.</t>
        </is>
      </c>
      <c r="J16" s="2" t="b">
        <v>0</v>
      </c>
      <c r="K16" s="2" t="inlineStr">
        <is>
          <t>jama.2018.0948</t>
        </is>
      </c>
      <c r="L16" s="2" t="inlineStr">
        <is>
          <t>endpoint_definition_window_hierarchy</t>
        </is>
      </c>
      <c r="M16" s="2" t="inlineStr">
        <is>
          <t>P_R</t>
        </is>
      </c>
      <c r="N16" s="2" t="inlineStr">
        <is>
          <t>The main article uses fluid &gt;=60 mL/kg, while protocol Table 5 and the non-plan results-supplement eTable use &gt;60 for the same SCD component. The article is discrepant with both the plan and ordinary results supplement.</t>
        </is>
      </c>
      <c r="O16" s="2" t="inlineStr">
        <is>
          <t>../../2018/jama.2018.0948/.ai_paper_validation/final_report_1_5_2.html</t>
        </is>
      </c>
      <c r="P16" s="2" t="inlineStr">
        <is>
          <t>2018/jama.2018.0948/.ai_paper_validation/final_report_1_5_2.md</t>
        </is>
      </c>
      <c r="Q16" s="2" t="inlineStr">
        <is>
          <t>C001</t>
        </is>
      </c>
      <c r="R16" s="2" t="inlineStr">
        <is>
          <t>Pending Human Adjudication</t>
        </is>
      </c>
      <c r="S16" s="2" t="inlineStr">
        <is>
          <t>The same SCD fluid component is printed with inclusive and exclusive 60 mL/kg thresholds.</t>
        </is>
      </c>
      <c r="T16" s="2" t="b">
        <v>1</v>
      </c>
      <c r="U16" s="2" t="inlineStr">
        <is>
          <t>outcome_threshold_boundary</t>
        </is>
      </c>
      <c r="V16" s="2" t="inlineStr">
        <is>
          <t>protocol_report</t>
        </is>
      </c>
      <c r="W16" s="2" t="inlineStr">
        <is>
          <t>Inclusive versus exclusive fluid threshold in the SCD definition</t>
        </is>
      </c>
      <c r="X16" s="2" t="inlineStr">
        <is>
          <t>2018</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Boundary decision: P_P only. Counting every transitive numerical disagreement would also involve the article, but the recorded issue is the internal planning percent/unit typo.</t>
        </is>
      </c>
      <c r="C17" s="3" t="b">
        <v>1</v>
      </c>
      <c r="D17" s="3" t="inlineStr">
        <is>
          <t>Cross-document numeric inconsistency</t>
        </is>
      </c>
      <c r="E17" s="3" t="b">
        <v>0</v>
      </c>
      <c r="F17" s="3" t="inlineStr">
        <is>
          <t>C002</t>
        </is>
      </c>
      <c r="G17" s="3" t="inlineStr">
        <is>
          <t>2018::jama.2018.0948::C002</t>
        </is>
      </c>
      <c r="H17" s="3" t="inlineStr"/>
      <c r="I17" s="3" t="inlineStr">
        <is>
          <t>Supplement 1 — PDF p. 1, p. 14, p. 29; main article — PDF p. 4.</t>
        </is>
      </c>
      <c r="J17" s="3" t="b">
        <v>1</v>
      </c>
      <c r="K17" s="3" t="inlineStr">
        <is>
          <t>jama.2018.0948</t>
        </is>
      </c>
      <c r="L17" s="3" t="inlineStr"/>
      <c r="M17" s="3" t="inlineStr">
        <is>
          <t>P_P</t>
        </is>
      </c>
      <c r="N17" s="3"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3" t="inlineStr">
        <is>
          <t>../../2018/jama.2018.0948/.ai_paper_validation/final_report_1_5_2.html</t>
        </is>
      </c>
      <c r="P17" s="3" t="inlineStr">
        <is>
          <t>2018/jama.2018.0948/.ai_paper_validation/final_report_1_5_2.md</t>
        </is>
      </c>
      <c r="Q17" s="3" t="inlineStr">
        <is>
          <t>C002</t>
        </is>
      </c>
      <c r="R17" s="3" t="inlineStr">
        <is>
          <t>Pending Human Adjudication</t>
        </is>
      </c>
      <c r="S17" s="3" t="inlineStr">
        <is>
          <t>A matched mortality planning reduction is printed as 0.9% at one location but as 0.9 per 1,000/0.09% elsewhere.</t>
        </is>
      </c>
      <c r="T17" s="3" t="b">
        <v>0</v>
      </c>
      <c r="U17" s="3" t="inlineStr">
        <is>
          <t>planning_unit_conversion</t>
        </is>
      </c>
      <c r="V17" s="3" t="inlineStr">
        <is>
          <t>plan_material</t>
        </is>
      </c>
      <c r="W17" s="3" t="inlineStr">
        <is>
          <t>Mortality absolute-risk-reduction percent/unit conflict</t>
        </is>
      </c>
      <c r="X17" s="3" t="inlineStr">
        <is>
          <t>2018</t>
        </is>
      </c>
      <c r="Y17" s="3" t="inlineStr">
        <is>
          <t>meta_report/consistency_reclassification_2026-09-04/reclassified_candidates.json</t>
        </is>
      </c>
      <c r="Z17" s="3" t="inlineStr">
        <is>
          <t>P_P</t>
        </is>
      </c>
      <c r="AA17" s="3" t="inlineStr">
        <is>
          <t>plan_material</t>
        </is>
      </c>
      <c r="AB17" s="3" t="inlineStr">
        <is>
          <t>retain</t>
        </is>
      </c>
    </row>
    <row r="18" ht="95" customHeight="1">
      <c r="A18" s="2" t="b">
        <v>0</v>
      </c>
      <c r="B18" s="2" t="inlineStr"/>
      <c r="C18" s="2" t="b">
        <v>1</v>
      </c>
      <c r="D18" s="2" t="inlineStr">
        <is>
          <t>Measure, label, or scale inconsistency</t>
        </is>
      </c>
      <c r="E18" s="2" t="b">
        <v>0</v>
      </c>
      <c r="F18" s="2" t="inlineStr">
        <is>
          <t>C003</t>
        </is>
      </c>
      <c r="G18" s="2" t="inlineStr">
        <is>
          <t>2018::jama.2018.0948::C003</t>
        </is>
      </c>
      <c r="H18" s="2" t="inlineStr"/>
      <c r="I18" s="2" t="inlineStr">
        <is>
          <t>Supplement 1 — PDF p. 11, Table 5 — PDF p. 24, Table 6 legend — PDF p. 27.</t>
        </is>
      </c>
      <c r="J18" s="2" t="b">
        <v>0</v>
      </c>
      <c r="K18" s="2" t="inlineStr">
        <is>
          <t>jama.2018.0948</t>
        </is>
      </c>
      <c r="L18" s="2" t="inlineStr"/>
      <c r="M18" s="2" t="inlineStr">
        <is>
          <t>P_P</t>
        </is>
      </c>
      <c r="N18" s="2" t="inlineStr">
        <is>
          <t>Cardiac-arrest events are described as categories 6/7 but a Table 6 legend calls events including cardiac arrest 4/5. The focal discrepancy is internal to the protocol/SAP material, including plan-version passages in a bound bundle.</t>
        </is>
      </c>
      <c r="O18" s="2" t="inlineStr">
        <is>
          <t>../../2018/jama.2018.0948/.ai_paper_validation/final_report_1_5_2.html</t>
        </is>
      </c>
      <c r="P18" s="2" t="inlineStr">
        <is>
          <t>2018/jama.2018.0948/.ai_paper_validation/final_report_1_5_2.md</t>
        </is>
      </c>
      <c r="Q18" s="2" t="inlineStr">
        <is>
          <t>C003</t>
        </is>
      </c>
      <c r="R18" s="2" t="inlineStr">
        <is>
          <t>Pending Human Adjudication</t>
        </is>
      </c>
      <c r="S18" s="2" t="inlineStr">
        <is>
          <t>Cardiac-arrest events are described as categories 6/7 but a Table 6 legend calls events including cardiac arrest 4/5.</t>
        </is>
      </c>
      <c r="T18" s="2" t="b">
        <v>0</v>
      </c>
      <c r="U18" s="2" t="inlineStr">
        <is>
          <t>resuscitation_category_definition</t>
        </is>
      </c>
      <c r="V18" s="2" t="inlineStr">
        <is>
          <t>plan_material</t>
        </is>
      </c>
      <c r="W18" s="2" t="inlineStr">
        <is>
          <t>Cardiac-arrest events assigned incompatible resuscitation-scale categories</t>
        </is>
      </c>
      <c r="X18" s="2" t="inlineStr">
        <is>
          <t>2018</t>
        </is>
      </c>
      <c r="Y18" s="2" t="inlineStr">
        <is>
          <t>meta_report/consistency_reclassification_2026-09-04/reclassified_candidates.json</t>
        </is>
      </c>
      <c r="Z18" s="2" t="inlineStr">
        <is>
          <t>P_P</t>
        </is>
      </c>
      <c r="AA18" s="2" t="inlineStr">
        <is>
          <t>plan_material</t>
        </is>
      </c>
      <c r="AB18" s="2" t="inlineStr">
        <is>
          <t>retain</t>
        </is>
      </c>
    </row>
    <row r="19" ht="95" customHeight="1">
      <c r="A19" s="3" t="b">
        <v>0</v>
      </c>
      <c r="B19" s="3" t="inlineStr">
        <is>
          <t>Boundary decision: P_P only; final reporting corroborates the internally stated &gt;=4 rule. The actual rating-4 event classification is unknown.</t>
        </is>
      </c>
      <c r="C19" s="3" t="b">
        <v>1</v>
      </c>
      <c r="D19" s="3" t="inlineStr">
        <is>
          <t>Measure, label, or scale inconsistency</t>
        </is>
      </c>
      <c r="E19" s="3" t="b">
        <v>0</v>
      </c>
      <c r="F19" s="3" t="inlineStr">
        <is>
          <t>C004</t>
        </is>
      </c>
      <c r="G19" s="3" t="inlineStr">
        <is>
          <t>2018::jama.2018.0948::C004</t>
        </is>
      </c>
      <c r="H19" s="3" t="inlineStr"/>
      <c r="I19" s="3" t="inlineStr">
        <is>
          <t>Supplement 1 — PDF p. 11, Table 7 — PDF p. 28; Supplement 3 eTable 1 — PDF p. 6; main article — PDF p. 7.</t>
        </is>
      </c>
      <c r="J19" s="3" t="b">
        <v>0</v>
      </c>
      <c r="K19" s="3" t="inlineStr">
        <is>
          <t>jama.2018.0948</t>
        </is>
      </c>
      <c r="L19" s="3" t="inlineStr"/>
      <c r="M19" s="3" t="inlineStr">
        <is>
          <t>P_P</t>
        </is>
      </c>
      <c r="N19" s="3" t="inlineStr">
        <is>
          <t>Protocol p11 says &gt;4 and immediately lists ratings 4, 5, 6; its own Table 7 says &gt;=4. The main article and results supplement corroborate the inclusive list. The focal operator/list contradiction is internal to the protocol.</t>
        </is>
      </c>
      <c r="O19" s="3" t="inlineStr">
        <is>
          <t>../../2018/jama.2018.0948/.ai_paper_validation/final_report_1_5_2.html</t>
        </is>
      </c>
      <c r="P19" s="3" t="inlineStr">
        <is>
          <t>2018/jama.2018.0948/.ai_paper_validation/final_report_1_5_2.md</t>
        </is>
      </c>
      <c r="Q19" s="3" t="inlineStr">
        <is>
          <t>C004</t>
        </is>
      </c>
      <c r="R19" s="3" t="inlineStr">
        <is>
          <t>Pending Human Adjudication</t>
        </is>
      </c>
      <c r="S19" s="3" t="inlineStr">
        <is>
          <t>The preventability definition says &gt;4 while nearby and cross-source descriptions include rating 4.</t>
        </is>
      </c>
      <c r="T19" s="3" t="b">
        <v>0</v>
      </c>
      <c r="U19" s="3" t="inlineStr">
        <is>
          <t>preventability_threshold</t>
        </is>
      </c>
      <c r="V19" s="3" t="inlineStr">
        <is>
          <t>plan_material</t>
        </is>
      </c>
      <c r="W19" s="3" t="inlineStr">
        <is>
          <t>Preventability threshold excludes and includes rating 4</t>
        </is>
      </c>
      <c r="X19" s="3" t="inlineStr">
        <is>
          <t>2018</t>
        </is>
      </c>
      <c r="Y19" s="3" t="inlineStr">
        <is>
          <t>meta_report/consistency_reclassification_2026-09-04/reclassified_candidates.json</t>
        </is>
      </c>
      <c r="Z19" s="3" t="inlineStr">
        <is>
          <t>P_P</t>
        </is>
      </c>
      <c r="AA19" s="3" t="inlineStr">
        <is>
          <t>plan_material</t>
        </is>
      </c>
      <c r="AB19" s="3" t="inlineStr">
        <is>
          <t>retain</t>
        </is>
      </c>
    </row>
    <row r="20" ht="95" customHeight="1">
      <c r="A20" s="2" t="b">
        <v>0</v>
      </c>
      <c r="B20" s="2" t="inlineStr">
        <is>
          <t>Historical evidence inside protocol. The p14 planning context uses this historical count, but the candidate does not independently challenge a prospective power calculation. Year-stratified data are absent.</t>
        </is>
      </c>
      <c r="C20" s="2" t="b">
        <v>1</v>
      </c>
      <c r="D20" s="2" t="inlineStr">
        <is>
          <t>Denominator, proportion, or total inconsistency</t>
        </is>
      </c>
      <c r="E20" s="2" t="b">
        <v>0</v>
      </c>
      <c r="F20" s="2" t="inlineStr">
        <is>
          <t>C005</t>
        </is>
      </c>
      <c r="G20" s="2" t="inlineStr">
        <is>
          <t>2018::jama.2018.0948::C005</t>
        </is>
      </c>
      <c r="H20" s="2" t="inlineStr">
        <is>
          <t>P_B</t>
        </is>
      </c>
      <c r="I20" s="2" t="inlineStr">
        <is>
          <t>Supplement 1 — PDF p. 14 and PDF p. 30.</t>
        </is>
      </c>
      <c r="J20" s="2" t="b">
        <v>0</v>
      </c>
      <c r="K20" s="2" t="inlineStr">
        <is>
          <t>jama.2018.0948</t>
        </is>
      </c>
      <c r="L20" s="2" t="inlineStr"/>
      <c r="M20" s="2" t="inlineStr">
        <is>
          <t>P_P</t>
        </is>
      </c>
      <c r="N20" s="2"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 t="inlineStr">
        <is>
          <t>../../2018/jama.2018.0948/.ai_paper_validation/final_report_1_5_2.html</t>
        </is>
      </c>
      <c r="P20" s="2" t="inlineStr">
        <is>
          <t>2018/jama.2018.0948/.ai_paper_validation/final_report_1_5_2.md</t>
        </is>
      </c>
      <c r="Q20" s="2" t="inlineStr">
        <is>
          <t>C005</t>
        </is>
      </c>
      <c r="R20" s="2" t="inlineStr">
        <is>
          <t>Pending Human Adjudication</t>
        </is>
      </c>
      <c r="S20" s="2" t="inlineStr">
        <is>
          <t>The same 1,052 urgent ICU/PICU admission count is labelled annual and as a two-year total.</t>
        </is>
      </c>
      <c r="T20" s="2" t="b">
        <v>0</v>
      </c>
      <c r="U20" s="2" t="inlineStr">
        <is>
          <t>planning_reference_period</t>
        </is>
      </c>
      <c r="V20" s="2" t="inlineStr">
        <is>
          <t>plan_material</t>
        </is>
      </c>
      <c r="W20" s="2" t="inlineStr">
        <is>
          <t>The same SCDE reference count is labelled annual and two-year</t>
        </is>
      </c>
      <c r="X20" s="2" t="inlineStr">
        <is>
          <t>2018</t>
        </is>
      </c>
      <c r="Y20" s="2" t="inlineStr">
        <is>
          <t>meta_report/consistency_reclassification_2026-09-04/reclassified_candidates.json</t>
        </is>
      </c>
      <c r="Z20" s="2" t="inlineStr">
        <is>
          <t>P_P</t>
        </is>
      </c>
      <c r="AA20" s="2" t="inlineStr">
        <is>
          <t>plan_material</t>
        </is>
      </c>
      <c r="AB20" s="2" t="inlineStr">
        <is>
          <t>retain</t>
        </is>
      </c>
    </row>
    <row r="21" ht="95" customHeight="1">
      <c r="A21" s="3" t="b">
        <v>0</v>
      </c>
      <c r="B21" s="3" t="inlineStr"/>
      <c r="C21" s="3" t="b">
        <v>1</v>
      </c>
      <c r="D21" s="3" t="inlineStr">
        <is>
          <t>Numeric or arithmetic inconsistency</t>
        </is>
      </c>
      <c r="E21" s="3" t="b">
        <v>0</v>
      </c>
      <c r="F21" s="3" t="inlineStr">
        <is>
          <t>C006</t>
        </is>
      </c>
      <c r="G21" s="3" t="inlineStr">
        <is>
          <t>2018::jama.2018.0948::C006</t>
        </is>
      </c>
      <c r="H21" s="3" t="inlineStr"/>
      <c r="I21" s="3" t="inlineStr">
        <is>
          <t>Supplement 1 — PDF p. 30.</t>
        </is>
      </c>
      <c r="J21" s="3" t="b">
        <v>0</v>
      </c>
      <c r="K21" s="3" t="inlineStr">
        <is>
          <t>jama.2018.0948</t>
        </is>
      </c>
      <c r="L21" s="3" t="inlineStr"/>
      <c r="M21" s="3" t="inlineStr">
        <is>
          <t>P_P</t>
        </is>
      </c>
      <c r="N21" s="3" t="inlineStr">
        <is>
          <t>The printed stat-call absolute reduction does not reproduce from the displayed baseline rate and relative reduction. The focal discrepancy is internal to the protocol/SAP material, including plan-version passages in a bound bundle.</t>
        </is>
      </c>
      <c r="O21" s="3" t="inlineStr">
        <is>
          <t>../../2018/jama.2018.0948/.ai_paper_validation/final_report_1_5_2.html</t>
        </is>
      </c>
      <c r="P21" s="3" t="inlineStr">
        <is>
          <t>2018/jama.2018.0948/.ai_paper_validation/final_report_1_5_2.md</t>
        </is>
      </c>
      <c r="Q21" s="3" t="inlineStr">
        <is>
          <t>C006</t>
        </is>
      </c>
      <c r="R21" s="3" t="inlineStr">
        <is>
          <t>Pending Human Adjudication</t>
        </is>
      </c>
      <c r="S21" s="3" t="inlineStr">
        <is>
          <t>The printed stat-call absolute reduction does not reproduce from the displayed baseline rate and relative reduction.</t>
        </is>
      </c>
      <c r="T21" s="3" t="b">
        <v>0</v>
      </c>
      <c r="U21" s="3" t="inlineStr">
        <is>
          <t>planning_product_arithmetic</t>
        </is>
      </c>
      <c r="V21" s="3" t="inlineStr">
        <is>
          <t>plan_material</t>
        </is>
      </c>
      <c r="W21" s="3" t="inlineStr">
        <is>
          <t>Stat-call absolute reduction does not reproduce from the printed inputs</t>
        </is>
      </c>
      <c r="X21" s="3" t="inlineStr">
        <is>
          <t>2018</t>
        </is>
      </c>
      <c r="Y21" s="3" t="inlineStr">
        <is>
          <t>meta_report/consistency_reclassification_2026-09-04/reclassified_candidates.json</t>
        </is>
      </c>
      <c r="Z21" s="3" t="inlineStr">
        <is>
          <t>P_P</t>
        </is>
      </c>
      <c r="AA21" s="3" t="inlineStr">
        <is>
          <t>plan_material</t>
        </is>
      </c>
      <c r="AB21" s="3" t="inlineStr">
        <is>
          <t>retain</t>
        </is>
      </c>
    </row>
    <row r="22" ht="95" customHeight="1">
      <c r="A22" s="2" t="b">
        <v>0</v>
      </c>
      <c r="B22" s="2" t="inlineStr">
        <is>
          <t>Historical reference-table data can be planning inputs, but this candidate targets the pre-existing counts/rates themselves. The original external report was not obtained for new adjudication.</t>
        </is>
      </c>
      <c r="C22" s="2" t="b">
        <v>1</v>
      </c>
      <c r="D22" s="2" t="inlineStr">
        <is>
          <t>Denominator, proportion, or total inconsistency</t>
        </is>
      </c>
      <c r="E22" s="2" t="b">
        <v>0</v>
      </c>
      <c r="F22" s="2" t="inlineStr">
        <is>
          <t>C007</t>
        </is>
      </c>
      <c r="G22" s="2" t="inlineStr">
        <is>
          <t>2018::jama.2018.0948::C007</t>
        </is>
      </c>
      <c r="H22" s="2" t="inlineStr">
        <is>
          <t>P_B</t>
        </is>
      </c>
      <c r="I22" s="2" t="inlineStr">
        <is>
          <t>Supplement 1 — PDF p. 30.</t>
        </is>
      </c>
      <c r="J22" s="2" t="b">
        <v>0</v>
      </c>
      <c r="K22" s="2" t="inlineStr">
        <is>
          <t>jama.2018.0948</t>
        </is>
      </c>
      <c r="L22" s="2" t="inlineStr"/>
      <c r="M22" s="2" t="inlineStr">
        <is>
          <t>P_P</t>
        </is>
      </c>
      <c r="N22" s="2"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 t="inlineStr">
        <is>
          <t>../../2018/jama.2018.0948/.ai_paper_validation/final_report_1_5_2.html</t>
        </is>
      </c>
      <c r="P22" s="2" t="inlineStr">
        <is>
          <t>2018/jama.2018.0948/.ai_paper_validation/final_report_1_5_2.md</t>
        </is>
      </c>
      <c r="Q22" s="2" t="inlineStr">
        <is>
          <t>C007</t>
        </is>
      </c>
      <c r="R22" s="2" t="inlineStr">
        <is>
          <t>Pending Human Adjudication</t>
        </is>
      </c>
      <c r="S22" s="2" t="inlineStr">
        <is>
          <t>Two printed urgent-PICU rates do not conventionally round from the displayed numerator and denominators.</t>
        </is>
      </c>
      <c r="T22" s="2" t="b">
        <v>0</v>
      </c>
      <c r="U22" s="2" t="inlineStr">
        <is>
          <t>planning_reference_rates</t>
        </is>
      </c>
      <c r="V22" s="2" t="inlineStr">
        <is>
          <t>plan_material</t>
        </is>
      </c>
      <c r="W22" s="2" t="inlineStr">
        <is>
          <t>Urgent PICU admission rates do not match the printed counts and denominators at conventional rounding</t>
        </is>
      </c>
      <c r="X22" s="2" t="inlineStr">
        <is>
          <t>2018</t>
        </is>
      </c>
      <c r="Y22" s="2" t="inlineStr">
        <is>
          <t>meta_report/consistency_reclassification_2026-09-04/reclassified_candidates.json</t>
        </is>
      </c>
      <c r="Z22" s="2" t="inlineStr">
        <is>
          <t>P_P</t>
        </is>
      </c>
      <c r="AA22" s="2" t="inlineStr">
        <is>
          <t>plan_material</t>
        </is>
      </c>
      <c r="AB22" s="2" t="inlineStr">
        <is>
          <t>retain</t>
        </is>
      </c>
    </row>
    <row r="23" ht="95" customHeight="1">
      <c r="A23" s="3" t="b">
        <v>0</v>
      </c>
      <c r="B23" s="3" t="inlineStr"/>
      <c r="C23" s="3" t="b">
        <v>0</v>
      </c>
      <c r="D23" s="3" t="inlineStr">
        <is>
          <t>Numeric or arithmetic inconsistency</t>
        </is>
      </c>
      <c r="E23" s="3" t="b">
        <v>0</v>
      </c>
      <c r="F23" s="3" t="inlineStr">
        <is>
          <t>C001</t>
        </is>
      </c>
      <c r="G23" s="3" t="inlineStr">
        <is>
          <t>2018::jama.2018.14280::C001</t>
        </is>
      </c>
      <c r="H23" s="3" t="inlineStr"/>
      <c r="I23" s="3" t="inlineStr">
        <is>
          <t>DOC-004, Supplement 3, eTable 2, Other Mode of Ventilation, after titration on randomization day, intermediate arm, PEEP.</t>
        </is>
      </c>
      <c r="J23" s="3" t="b">
        <v>0</v>
      </c>
      <c r="K23" s="3" t="inlineStr">
        <is>
          <t>jama.2018.14280</t>
        </is>
      </c>
      <c r="L23" s="3" t="inlineStr"/>
      <c r="M23" s="3" t="inlineStr">
        <is>
          <t>S_W</t>
        </is>
      </c>
      <c r="N23" s="3" t="inlineStr">
        <is>
          <t>The intermediate-arm PEEP value 8 (5-1) is incompatible with the table's median (IQR) definition. The focal mismatch is within one non-plan results supplement.</t>
        </is>
      </c>
      <c r="O23" s="3" t="inlineStr">
        <is>
          <t>../../2018/jama.2018.14280/.ai_paper_validation/final_report_1_5_2.html</t>
        </is>
      </c>
      <c r="P23" s="3" t="inlineStr">
        <is>
          <t>2018/jama.2018.14280/.ai_paper_validation/final_report_1_5_2.md</t>
        </is>
      </c>
      <c r="Q23" s="3" t="inlineStr">
        <is>
          <t>C001</t>
        </is>
      </c>
      <c r="R23" s="3" t="inlineStr">
        <is>
          <t>Pending Human Adjudication</t>
        </is>
      </c>
      <c r="S23" s="3" t="inlineStr">
        <is>
          <t>The intermediate-arm PEEP value 8 (5-1) is incompatible with the table's median (IQR) definition.</t>
        </is>
      </c>
      <c r="T23" s="3" t="b">
        <v>1</v>
      </c>
      <c r="U23" s="3" t="inlineStr">
        <is>
          <t>iqr_order</t>
        </is>
      </c>
      <c r="V23" s="3" t="inlineStr">
        <is>
          <t>statistical_results</t>
        </is>
      </c>
      <c r="W23" s="3" t="inlineStr">
        <is>
          <t>Reversed endpoint in the eTable 2 PEEP interquartile range</t>
        </is>
      </c>
      <c r="X23" s="3" t="inlineStr">
        <is>
          <t>2018</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c r="C24" s="2" t="b">
        <v>0</v>
      </c>
      <c r="D24" s="2" t="inlineStr">
        <is>
          <t>Denominator, proportion, or total inconsistency</t>
        </is>
      </c>
      <c r="E24" s="2" t="b">
        <v>0</v>
      </c>
      <c r="F24" s="2" t="inlineStr">
        <is>
          <t>C002</t>
        </is>
      </c>
      <c r="G24" s="2" t="inlineStr">
        <is>
          <t>2018::jama.2018.14280::C002</t>
        </is>
      </c>
      <c r="H24" s="2" t="inlineStr"/>
      <c r="I24" s="2" t="inlineStr">
        <is>
          <t>DOC-001, Table 1, Patients at risk for ARDS, low and intermediate arms.</t>
        </is>
      </c>
      <c r="J24" s="2" t="b">
        <v>0</v>
      </c>
      <c r="K24" s="2" t="inlineStr">
        <is>
          <t>jama.2018.14280</t>
        </is>
      </c>
      <c r="L24" s="2" t="inlineStr"/>
      <c r="M24" s="2" t="inlineStr">
        <is>
          <t>S_W</t>
        </is>
      </c>
      <c r="N24" s="2" t="inlineStr">
        <is>
          <t>Printed percentages do not reproduce from Table 1 arm headers, while smaller denominators reproduce them. The focal mismatch is within the main article.</t>
        </is>
      </c>
      <c r="O24" s="2" t="inlineStr">
        <is>
          <t>../../2018/jama.2018.14280/.ai_paper_validation/final_report_1_5_2.html</t>
        </is>
      </c>
      <c r="P24" s="2" t="inlineStr">
        <is>
          <t>2018/jama.2018.14280/.ai_paper_validation/final_report_1_5_2.md</t>
        </is>
      </c>
      <c r="Q24" s="2" t="inlineStr">
        <is>
          <t>C002</t>
        </is>
      </c>
      <c r="R24" s="2" t="inlineStr">
        <is>
          <t>Pending Human Adjudication</t>
        </is>
      </c>
      <c r="S24" s="2" t="inlineStr">
        <is>
          <t>Printed percentages do not reproduce from Table 1 arm headers, while smaller denominators reproduce them.</t>
        </is>
      </c>
      <c r="T24" s="2" t="b">
        <v>1</v>
      </c>
      <c r="U24" s="2" t="inlineStr">
        <is>
          <t>undisclosed_denominator</t>
        </is>
      </c>
      <c r="V24" s="2" t="inlineStr">
        <is>
          <t>statistical_results</t>
        </is>
      </c>
      <c r="W24" s="2" t="inlineStr">
        <is>
          <t>At-risk-for-ARDS percentages use undisclosed denominators</t>
        </is>
      </c>
      <c r="X24" s="2" t="inlineStr">
        <is>
          <t>2018</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c r="C25" s="3" t="b">
        <v>0</v>
      </c>
      <c r="D25" s="3" t="inlineStr">
        <is>
          <t>Denominator, proportion, or total inconsistency</t>
        </is>
      </c>
      <c r="E25" s="3" t="b">
        <v>0</v>
      </c>
      <c r="F25" s="3" t="inlineStr">
        <is>
          <t>C003</t>
        </is>
      </c>
      <c r="G25" s="3" t="inlineStr">
        <is>
          <t>2018::jama.2018.14280::C003</t>
        </is>
      </c>
      <c r="H25" s="3" t="inlineStr"/>
      <c r="I25" s="3" t="inlineStr">
        <is>
          <t>DOC-001, Table 1, Septic shock, low and intermediate arms.</t>
        </is>
      </c>
      <c r="J25" s="3" t="b">
        <v>0</v>
      </c>
      <c r="K25" s="3" t="inlineStr">
        <is>
          <t>jama.2018.14280</t>
        </is>
      </c>
      <c r="L25" s="3" t="inlineStr"/>
      <c r="M25" s="3" t="inlineStr">
        <is>
          <t>S_W</t>
        </is>
      </c>
      <c r="N25" s="3" t="inlineStr">
        <is>
          <t>The displayed septic-shock percentages do not reproduce from the Table 1 arm headers. The focal mismatch is within the main article.</t>
        </is>
      </c>
      <c r="O25" s="3" t="inlineStr">
        <is>
          <t>../../2018/jama.2018.14280/.ai_paper_validation/final_report_1_5_2.html</t>
        </is>
      </c>
      <c r="P25" s="3" t="inlineStr">
        <is>
          <t>2018/jama.2018.14280/.ai_paper_validation/final_report_1_5_2.md</t>
        </is>
      </c>
      <c r="Q25" s="3" t="inlineStr">
        <is>
          <t>C003</t>
        </is>
      </c>
      <c r="R25" s="3" t="inlineStr">
        <is>
          <t>Pending Human Adjudication</t>
        </is>
      </c>
      <c r="S25" s="3" t="inlineStr">
        <is>
          <t>The displayed septic-shock percentages do not reproduce from the Table 1 arm headers.</t>
        </is>
      </c>
      <c r="T25" s="3" t="b">
        <v>1</v>
      </c>
      <c r="U25" s="3" t="inlineStr">
        <is>
          <t>undisclosed_denominator</t>
        </is>
      </c>
      <c r="V25" s="3" t="inlineStr">
        <is>
          <t>statistical_results</t>
        </is>
      </c>
      <c r="W25" s="3" t="inlineStr">
        <is>
          <t>Septic-shock percentages use undisclosed denominators</t>
        </is>
      </c>
      <c r="X25" s="3" t="inlineStr">
        <is>
          <t>2018</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c r="C26" s="2" t="b">
        <v>0</v>
      </c>
      <c r="D26" s="2" t="inlineStr">
        <is>
          <t>Denominator, proportion, or total inconsistency</t>
        </is>
      </c>
      <c r="E26" s="2" t="b">
        <v>0</v>
      </c>
      <c r="F26" s="2" t="inlineStr">
        <is>
          <t>C004</t>
        </is>
      </c>
      <c r="G26" s="2" t="inlineStr">
        <is>
          <t>2018::jama.2018.14280::C004</t>
        </is>
      </c>
      <c r="H26" s="2" t="inlineStr"/>
      <c r="I26" s="2" t="inlineStr">
        <is>
          <t>DOC-001, Table 1, Patient tobacco use, both arms.</t>
        </is>
      </c>
      <c r="J26" s="2" t="b">
        <v>0</v>
      </c>
      <c r="K26" s="2" t="inlineStr">
        <is>
          <t>jama.2018.14280</t>
        </is>
      </c>
      <c r="L26" s="2" t="inlineStr"/>
      <c r="M26" s="2" t="inlineStr">
        <is>
          <t>S_W</t>
        </is>
      </c>
      <c r="N26" s="2" t="inlineStr">
        <is>
          <t>Tobacco-use counts and percentages reconcile to 475/482 rather than the 477/484 arm headers. The focal mismatch is within the main article.</t>
        </is>
      </c>
      <c r="O26" s="2" t="inlineStr">
        <is>
          <t>../../2018/jama.2018.14280/.ai_paper_validation/final_report_1_5_2.html</t>
        </is>
      </c>
      <c r="P26" s="2" t="inlineStr">
        <is>
          <t>2018/jama.2018.14280/.ai_paper_validation/final_report_1_5_2.md</t>
        </is>
      </c>
      <c r="Q26" s="2" t="inlineStr">
        <is>
          <t>C004</t>
        </is>
      </c>
      <c r="R26" s="2" t="inlineStr">
        <is>
          <t>Pending Human Adjudication</t>
        </is>
      </c>
      <c r="S26" s="2" t="inlineStr">
        <is>
          <t>Tobacco-use counts and percentages reconcile to 475/482 rather than the 477/484 arm headers.</t>
        </is>
      </c>
      <c r="T26" s="2" t="b">
        <v>1</v>
      </c>
      <c r="U26" s="2" t="inlineStr">
        <is>
          <t>undisclosed_denominator</t>
        </is>
      </c>
      <c r="V26" s="2" t="inlineStr">
        <is>
          <t>statistical_results</t>
        </is>
      </c>
      <c r="W26" s="2" t="inlineStr">
        <is>
          <t>Tobacco-use categories use undisclosed denominators</t>
        </is>
      </c>
      <c r="X26" s="2" t="inlineStr">
        <is>
          <t>2018</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c r="C27" s="3" t="b">
        <v>0</v>
      </c>
      <c r="D27" s="3" t="inlineStr">
        <is>
          <t>Denominator, proportion, or total inconsistency</t>
        </is>
      </c>
      <c r="E27" s="3" t="b">
        <v>0</v>
      </c>
      <c r="F27" s="3" t="inlineStr">
        <is>
          <t>C005</t>
        </is>
      </c>
      <c r="G27" s="3" t="inlineStr">
        <is>
          <t>2018::jama.2018.14280::C005</t>
        </is>
      </c>
      <c r="H27" s="3" t="inlineStr"/>
      <c r="I27" s="3" t="inlineStr">
        <is>
          <t>DOC-001, Table 1, Patient alcohol use, both arms.</t>
        </is>
      </c>
      <c r="J27" s="3" t="b">
        <v>0</v>
      </c>
      <c r="K27" s="3" t="inlineStr">
        <is>
          <t>jama.2018.14280</t>
        </is>
      </c>
      <c r="L27" s="3" t="inlineStr"/>
      <c r="M27" s="3" t="inlineStr">
        <is>
          <t>S_W</t>
        </is>
      </c>
      <c r="N27" s="3" t="inlineStr">
        <is>
          <t>Alcohol-use counts and percentages reconcile to 475/482 rather than Table 1 arm headers. The focal mismatch is within the main article.</t>
        </is>
      </c>
      <c r="O27" s="3" t="inlineStr">
        <is>
          <t>../../2018/jama.2018.14280/.ai_paper_validation/final_report_1_5_2.html</t>
        </is>
      </c>
      <c r="P27" s="3" t="inlineStr">
        <is>
          <t>2018/jama.2018.14280/.ai_paper_validation/final_report_1_5_2.md</t>
        </is>
      </c>
      <c r="Q27" s="3" t="inlineStr">
        <is>
          <t>C005</t>
        </is>
      </c>
      <c r="R27" s="3" t="inlineStr">
        <is>
          <t>Pending Human Adjudication</t>
        </is>
      </c>
      <c r="S27" s="3" t="inlineStr">
        <is>
          <t>Alcohol-use counts and percentages reconcile to 475/482 rather than Table 1 arm headers.</t>
        </is>
      </c>
      <c r="T27" s="3" t="b">
        <v>1</v>
      </c>
      <c r="U27" s="3" t="inlineStr">
        <is>
          <t>undisclosed_denominator</t>
        </is>
      </c>
      <c r="V27" s="3" t="inlineStr">
        <is>
          <t>statistical_results</t>
        </is>
      </c>
      <c r="W27" s="3" t="inlineStr">
        <is>
          <t>Alcohol-use categories use undisclosed denominators</t>
        </is>
      </c>
      <c r="X27" s="3" t="inlineStr">
        <is>
          <t>2018</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c r="C28" s="2" t="b">
        <v>0</v>
      </c>
      <c r="D28" s="2" t="inlineStr">
        <is>
          <t>Denominator, proportion, or total inconsistency</t>
        </is>
      </c>
      <c r="E28" s="2" t="b">
        <v>0</v>
      </c>
      <c r="F28" s="2" t="inlineStr">
        <is>
          <t>C006</t>
        </is>
      </c>
      <c r="G28" s="2" t="inlineStr">
        <is>
          <t>2018::jama.2018.14280::C006</t>
        </is>
      </c>
      <c r="H28" s="2" t="inlineStr"/>
      <c r="I28" s="2" t="inlineStr">
        <is>
          <t>DOC-001, Table 1, Reason for ICU admission, both arms.</t>
        </is>
      </c>
      <c r="J28" s="2" t="b">
        <v>0</v>
      </c>
      <c r="K28" s="2" t="inlineStr">
        <is>
          <t>jama.2018.14280</t>
        </is>
      </c>
      <c r="L28" s="2" t="inlineStr"/>
      <c r="M28" s="2" t="inlineStr">
        <is>
          <t>S_W</t>
        </is>
      </c>
      <c r="N28" s="2" t="inlineStr">
        <is>
          <t>Surgical/medical ICU-admission counts and percentages reconcile to 475/482 rather than arm headers. The focal mismatch is within the main article.</t>
        </is>
      </c>
      <c r="O28" s="2" t="inlineStr">
        <is>
          <t>../../2018/jama.2018.14280/.ai_paper_validation/final_report_1_5_2.html</t>
        </is>
      </c>
      <c r="P28" s="2" t="inlineStr">
        <is>
          <t>2018/jama.2018.14280/.ai_paper_validation/final_report_1_5_2.md</t>
        </is>
      </c>
      <c r="Q28" s="2" t="inlineStr">
        <is>
          <t>C006</t>
        </is>
      </c>
      <c r="R28" s="2" t="inlineStr">
        <is>
          <t>Pending Human Adjudication</t>
        </is>
      </c>
      <c r="S28" s="2" t="inlineStr">
        <is>
          <t>Surgical/medical ICU-admission counts and percentages reconcile to 475/482 rather than arm headers.</t>
        </is>
      </c>
      <c r="T28" s="2" t="b">
        <v>1</v>
      </c>
      <c r="U28" s="2" t="inlineStr">
        <is>
          <t>undisclosed_denominator</t>
        </is>
      </c>
      <c r="V28" s="2" t="inlineStr">
        <is>
          <t>statistical_results</t>
        </is>
      </c>
      <c r="W28" s="2" t="inlineStr">
        <is>
          <t>ICU-admission categories use undisclosed denominators</t>
        </is>
      </c>
      <c r="X28" s="2" t="inlineStr">
        <is>
          <t>2018</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c r="C29" s="3" t="b">
        <v>0</v>
      </c>
      <c r="D29" s="3" t="inlineStr">
        <is>
          <t>Denominator, proportion, or total inconsistency</t>
        </is>
      </c>
      <c r="E29" s="3" t="b">
        <v>0</v>
      </c>
      <c r="F29" s="3" t="inlineStr">
        <is>
          <t>C007</t>
        </is>
      </c>
      <c r="G29" s="3" t="inlineStr">
        <is>
          <t>2018::jama.2018.14280::C007</t>
        </is>
      </c>
      <c r="H29" s="3" t="inlineStr"/>
      <c r="I29" s="3" t="inlineStr">
        <is>
          <t>DOC-004, Supplement 3, eTable 4, Sedative infusion.</t>
        </is>
      </c>
      <c r="J29" s="3" t="b">
        <v>0</v>
      </c>
      <c r="K29" s="3" t="inlineStr">
        <is>
          <t>jama.2018.14280</t>
        </is>
      </c>
      <c r="L29" s="3" t="inlineStr"/>
      <c r="M29" s="3" t="inlineStr">
        <is>
          <t>S_W</t>
        </is>
      </c>
      <c r="N29" s="3" t="inlineStr">
        <is>
          <t>Sedative-infusion percentages reproduce from unprinted 453/462 denominators, not arm headers. The focal mismatch is within one non-plan results supplement.</t>
        </is>
      </c>
      <c r="O29" s="3" t="inlineStr">
        <is>
          <t>../../2018/jama.2018.14280/.ai_paper_validation/final_report_1_5_2.html</t>
        </is>
      </c>
      <c r="P29" s="3" t="inlineStr">
        <is>
          <t>2018/jama.2018.14280/.ai_paper_validation/final_report_1_5_2.md</t>
        </is>
      </c>
      <c r="Q29" s="3" t="inlineStr">
        <is>
          <t>C007</t>
        </is>
      </c>
      <c r="R29" s="3" t="inlineStr">
        <is>
          <t>Pending Human Adjudication</t>
        </is>
      </c>
      <c r="S29" s="3" t="inlineStr">
        <is>
          <t>Sedative-infusion percentages reproduce from unprinted 453/462 denominators, not arm headers.</t>
        </is>
      </c>
      <c r="T29" s="3" t="b">
        <v>1</v>
      </c>
      <c r="U29" s="3" t="inlineStr">
        <is>
          <t>undisclosed_denominator</t>
        </is>
      </c>
      <c r="V29" s="3" t="inlineStr">
        <is>
          <t>statistical_results</t>
        </is>
      </c>
      <c r="W29" s="3" t="inlineStr">
        <is>
          <t>Sedative-infusion percentages omit effective denominators</t>
        </is>
      </c>
      <c r="X29" s="3" t="inlineStr">
        <is>
          <t>2018</t>
        </is>
      </c>
      <c r="Y29" s="3" t="inlineStr">
        <is>
          <t>meta_report/consistency_reclassification_2026-09-04/reclassified_candidates.json</t>
        </is>
      </c>
      <c r="Z29" s="3" t="inlineStr">
        <is>
          <t>S_W</t>
        </is>
      </c>
      <c r="AA29" s="3" t="inlineStr">
        <is>
          <t>statistical_results</t>
        </is>
      </c>
      <c r="AB29" s="3" t="inlineStr">
        <is>
          <t>retain</t>
        </is>
      </c>
    </row>
    <row r="30" ht="95" customHeight="1">
      <c r="A30" s="2" t="b">
        <v>0</v>
      </c>
      <c r="B30" s="2" t="inlineStr"/>
      <c r="C30" s="2" t="b">
        <v>0</v>
      </c>
      <c r="D30" s="2" t="inlineStr">
        <is>
          <t>Denominator, proportion, or total inconsistency</t>
        </is>
      </c>
      <c r="E30" s="2" t="b">
        <v>0</v>
      </c>
      <c r="F30" s="2" t="inlineStr">
        <is>
          <t>C008</t>
        </is>
      </c>
      <c r="G30" s="2" t="inlineStr">
        <is>
          <t>2018::jama.2018.14280::C008</t>
        </is>
      </c>
      <c r="H30" s="2" t="inlineStr"/>
      <c r="I30" s="2" t="inlineStr">
        <is>
          <t>DOC-004, Supplement 3, eTable 4, Analgesic infusion.</t>
        </is>
      </c>
      <c r="J30" s="2" t="b">
        <v>0</v>
      </c>
      <c r="K30" s="2" t="inlineStr">
        <is>
          <t>jama.2018.14280</t>
        </is>
      </c>
      <c r="L30" s="2" t="inlineStr"/>
      <c r="M30" s="2" t="inlineStr">
        <is>
          <t>S_W</t>
        </is>
      </c>
      <c r="N30" s="2" t="inlineStr">
        <is>
          <t>Analgesic-infusion percentages reproduce from unprinted 453/462 denominators, not arm headers. The focal mismatch is within one non-plan results supplement.</t>
        </is>
      </c>
      <c r="O30" s="2" t="inlineStr">
        <is>
          <t>../../2018/jama.2018.14280/.ai_paper_validation/final_report_1_5_2.html</t>
        </is>
      </c>
      <c r="P30" s="2" t="inlineStr">
        <is>
          <t>2018/jama.2018.14280/.ai_paper_validation/final_report_1_5_2.md</t>
        </is>
      </c>
      <c r="Q30" s="2" t="inlineStr">
        <is>
          <t>C008</t>
        </is>
      </c>
      <c r="R30" s="2" t="inlineStr">
        <is>
          <t>Pending Human Adjudication</t>
        </is>
      </c>
      <c r="S30" s="2" t="inlineStr">
        <is>
          <t>Analgesic-infusion percentages reproduce from unprinted 453/462 denominators, not arm headers.</t>
        </is>
      </c>
      <c r="T30" s="2" t="b">
        <v>1</v>
      </c>
      <c r="U30" s="2" t="inlineStr">
        <is>
          <t>undisclosed_denominator</t>
        </is>
      </c>
      <c r="V30" s="2" t="inlineStr">
        <is>
          <t>statistical_results</t>
        </is>
      </c>
      <c r="W30" s="2" t="inlineStr">
        <is>
          <t>Analgesic-infusion percentages omit effective denominators</t>
        </is>
      </c>
      <c r="X30" s="2" t="inlineStr">
        <is>
          <t>2018</t>
        </is>
      </c>
      <c r="Y30" s="2" t="inlineStr">
        <is>
          <t>meta_report/consistency_reclassification_2026-09-04/reclassified_candidates.json</t>
        </is>
      </c>
      <c r="Z30" s="2" t="inlineStr">
        <is>
          <t>S_W</t>
        </is>
      </c>
      <c r="AA30" s="2" t="inlineStr">
        <is>
          <t>statistical_results</t>
        </is>
      </c>
      <c r="AB30" s="2" t="inlineStr">
        <is>
          <t>retain</t>
        </is>
      </c>
    </row>
    <row r="31" ht="95" customHeight="1">
      <c r="A31" s="3" t="b">
        <v>0</v>
      </c>
      <c r="B31" s="3" t="inlineStr"/>
      <c r="C31" s="3" t="b">
        <v>0</v>
      </c>
      <c r="D31" s="3" t="inlineStr">
        <is>
          <t>Denominator, proportion, or total inconsistency</t>
        </is>
      </c>
      <c r="E31" s="3" t="b">
        <v>0</v>
      </c>
      <c r="F31" s="3" t="inlineStr">
        <is>
          <t>C009</t>
        </is>
      </c>
      <c r="G31" s="3" t="inlineStr">
        <is>
          <t>2018::jama.2018.14280::C009</t>
        </is>
      </c>
      <c r="H31" s="3" t="inlineStr"/>
      <c r="I31" s="3" t="inlineStr">
        <is>
          <t>DOC-004, Supplement 3, eTable 4, Neuromuscular blockade.</t>
        </is>
      </c>
      <c r="J31" s="3" t="b">
        <v>0</v>
      </c>
      <c r="K31" s="3" t="inlineStr">
        <is>
          <t>jama.2018.14280</t>
        </is>
      </c>
      <c r="L31" s="3" t="inlineStr"/>
      <c r="M31" s="3" t="inlineStr">
        <is>
          <t>S_W</t>
        </is>
      </c>
      <c r="N31" s="3" t="inlineStr">
        <is>
          <t>Neuromuscular-blockade percentages reproduce from unprinted 453/462 denominators, not arm headers. The focal mismatch is within one non-plan results supplement.</t>
        </is>
      </c>
      <c r="O31" s="3" t="inlineStr">
        <is>
          <t>../../2018/jama.2018.14280/.ai_paper_validation/final_report_1_5_2.html</t>
        </is>
      </c>
      <c r="P31" s="3" t="inlineStr">
        <is>
          <t>2018/jama.2018.14280/.ai_paper_validation/final_report_1_5_2.md</t>
        </is>
      </c>
      <c r="Q31" s="3" t="inlineStr">
        <is>
          <t>C009</t>
        </is>
      </c>
      <c r="R31" s="3" t="inlineStr">
        <is>
          <t>Pending Human Adjudication</t>
        </is>
      </c>
      <c r="S31" s="3" t="inlineStr">
        <is>
          <t>Neuromuscular-blockade percentages reproduce from unprinted 453/462 denominators, not arm headers.</t>
        </is>
      </c>
      <c r="T31" s="3" t="b">
        <v>1</v>
      </c>
      <c r="U31" s="3" t="inlineStr">
        <is>
          <t>undisclosed_denominator</t>
        </is>
      </c>
      <c r="V31" s="3" t="inlineStr">
        <is>
          <t>statistical_results</t>
        </is>
      </c>
      <c r="W31" s="3" t="inlineStr">
        <is>
          <t>Neuromuscular-blockade percentages omit effective denominators</t>
        </is>
      </c>
      <c r="X31" s="3" t="inlineStr">
        <is>
          <t>2018</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Denominator, proportion, or total inconsistency</t>
        </is>
      </c>
      <c r="E32" s="2" t="b">
        <v>0</v>
      </c>
      <c r="F32" s="2" t="inlineStr">
        <is>
          <t>C010</t>
        </is>
      </c>
      <c r="G32" s="2" t="inlineStr">
        <is>
          <t>2018::jama.2018.14280::C010</t>
        </is>
      </c>
      <c r="H32" s="2" t="inlineStr"/>
      <c r="I32" s="2" t="inlineStr">
        <is>
          <t>DOC-004, Supplement 3, eTable 4, Use of vasopressors.</t>
        </is>
      </c>
      <c r="J32" s="2" t="b">
        <v>0</v>
      </c>
      <c r="K32" s="2" t="inlineStr">
        <is>
          <t>jama.2018.14280</t>
        </is>
      </c>
      <c r="L32" s="2" t="inlineStr"/>
      <c r="M32" s="2" t="inlineStr">
        <is>
          <t>S_W</t>
        </is>
      </c>
      <c r="N32" s="2" t="inlineStr">
        <is>
          <t>Vasopressor-use percentages reproduce from 454/462, not displayed arm headers. The focal mismatch is within one non-plan results supplement.</t>
        </is>
      </c>
      <c r="O32" s="2" t="inlineStr">
        <is>
          <t>../../2018/jama.2018.14280/.ai_paper_validation/final_report_1_5_2.html</t>
        </is>
      </c>
      <c r="P32" s="2" t="inlineStr">
        <is>
          <t>2018/jama.2018.14280/.ai_paper_validation/final_report_1_5_2.md</t>
        </is>
      </c>
      <c r="Q32" s="2" t="inlineStr">
        <is>
          <t>C010</t>
        </is>
      </c>
      <c r="R32" s="2" t="inlineStr">
        <is>
          <t>Pending Human Adjudication</t>
        </is>
      </c>
      <c r="S32" s="2" t="inlineStr">
        <is>
          <t>Vasopressor-use percentages reproduce from 454/462, not displayed arm headers.</t>
        </is>
      </c>
      <c r="T32" s="2" t="b">
        <v>1</v>
      </c>
      <c r="U32" s="2" t="inlineStr">
        <is>
          <t>undisclosed_denominator</t>
        </is>
      </c>
      <c r="V32" s="2" t="inlineStr">
        <is>
          <t>statistical_results</t>
        </is>
      </c>
      <c r="W32" s="2" t="inlineStr">
        <is>
          <t>Vasopressor-use percentages omit effective denominators</t>
        </is>
      </c>
      <c r="X32" s="2" t="inlineStr">
        <is>
          <t>2018</t>
        </is>
      </c>
      <c r="Y32" s="2" t="inlineStr">
        <is>
          <t>meta_report/consistency_reclassification_2026-09-04/reclassified_candidates.json</t>
        </is>
      </c>
      <c r="Z32" s="2" t="inlineStr">
        <is>
          <t>S_W</t>
        </is>
      </c>
      <c r="AA32" s="2" t="inlineStr">
        <is>
          <t>statistical_results</t>
        </is>
      </c>
      <c r="AB32" s="2" t="inlineStr">
        <is>
          <t>retain</t>
        </is>
      </c>
    </row>
    <row r="33" ht="95" customHeight="1">
      <c r="A33" s="3" t="b">
        <v>0</v>
      </c>
      <c r="B33" s="3" t="inlineStr">
        <is>
          <t>The Methods sentence may intend only time-indexed 28/90-day mortality. No independent report-versus-plan departure is counted merely because SAP wording supports the table.</t>
        </is>
      </c>
      <c r="C33" s="3" t="b">
        <v>0</v>
      </c>
      <c r="D33" s="3" t="inlineStr">
        <is>
          <t>Measure, label, or scale inconsistency</t>
        </is>
      </c>
      <c r="E33" s="3" t="b">
        <v>0</v>
      </c>
      <c r="F33" s="3" t="inlineStr">
        <is>
          <t>C011</t>
        </is>
      </c>
      <c r="G33" s="3" t="inlineStr">
        <is>
          <t>2018::jama.2018.14280::C011</t>
        </is>
      </c>
      <c r="H33" s="3" t="inlineStr"/>
      <c r="I33" s="3" t="inlineStr">
        <is>
          <t>DOC-001 Statistical Analysis and Table 2/footnotes; DOC-003 SAP secondary outcomes.</t>
        </is>
      </c>
      <c r="J33" s="3" t="b">
        <v>0</v>
      </c>
      <c r="K33" s="3" t="inlineStr">
        <is>
          <t>jama.2018.14280</t>
        </is>
      </c>
      <c r="L33" s="3" t="inlineStr"/>
      <c r="M33" s="3" t="inlineStr">
        <is>
          <t>S_W</t>
        </is>
      </c>
      <c r="N33" s="3" t="inlineStr">
        <is>
          <t>Main Methods broadly assigns mortality Cox HRs while main Table 2 labels ICU/hospital mortality RR. The SAP agrees with Table 2 and is corroboration of a Methods-versus-results wording discrepancy inside the main article.</t>
        </is>
      </c>
      <c r="O33" s="3" t="inlineStr">
        <is>
          <t>../../2018/jama.2018.14280/.ai_paper_validation/final_report_1_5_2.html</t>
        </is>
      </c>
      <c r="P33" s="3" t="inlineStr">
        <is>
          <t>2018/jama.2018.14280/.ai_paper_validation/final_report_1_5_2.md</t>
        </is>
      </c>
      <c r="Q33" s="3" t="inlineStr">
        <is>
          <t>C011</t>
        </is>
      </c>
      <c r="R33" s="3" t="inlineStr">
        <is>
          <t>Pending Human Adjudication</t>
        </is>
      </c>
      <c r="S33" s="3" t="inlineStr">
        <is>
          <t>The main Methods wording can assign Cox HRs to ICU/hospital mortality, while Table 2 and the SAP assign RRs.</t>
        </is>
      </c>
      <c r="T33" s="3" t="b">
        <v>1</v>
      </c>
      <c r="U33" s="3" t="inlineStr">
        <is>
          <t>effect_measure_methods_vs_table</t>
        </is>
      </c>
      <c r="V33" s="3" t="inlineStr">
        <is>
          <t>report_internal_inconsistency</t>
        </is>
      </c>
      <c r="W33" s="3" t="inlineStr">
        <is>
          <t>Mortality effect-measure wording conflicts with Table 2 and the SAP</t>
        </is>
      </c>
      <c r="X33" s="3" t="inlineStr">
        <is>
          <t>2018</t>
        </is>
      </c>
      <c r="Y33" s="3" t="inlineStr">
        <is>
          <t>meta_report/consistency_reclassification_2026-09-04/reclassified_candidates.json</t>
        </is>
      </c>
      <c r="Z33" s="3" t="inlineStr">
        <is>
          <t>S_W</t>
        </is>
      </c>
      <c r="AA33" s="3" t="inlineStr">
        <is>
          <t>report_internal_inconsistency</t>
        </is>
      </c>
      <c r="AB33" s="3" t="inlineStr">
        <is>
          <t>retain</t>
        </is>
      </c>
    </row>
    <row r="34" ht="95" customHeight="1">
      <c r="A34" s="2" t="b">
        <v>0</v>
      </c>
      <c r="B34" s="2" t="inlineStr">
        <is>
          <t>Diagnostic comparison assumes the printed RR is crude; the exact estimator, weighting, or analysis population is not supplied. These are separate outcome rows, not proven instances of a single underlying coding error.</t>
        </is>
      </c>
      <c r="C34" s="2" t="b">
        <v>0</v>
      </c>
      <c r="D34" s="2" t="inlineStr">
        <is>
          <t>Statistical reporting inconsistency</t>
        </is>
      </c>
      <c r="E34" s="2" t="b">
        <v>0</v>
      </c>
      <c r="F34" s="2" t="inlineStr">
        <is>
          <t>C012</t>
        </is>
      </c>
      <c r="G34" s="2" t="inlineStr">
        <is>
          <t>2018::jama.2018.14280::C012</t>
        </is>
      </c>
      <c r="H34" s="2" t="inlineStr"/>
      <c r="I34" s="2" t="inlineStr">
        <is>
          <t>DOC-001, Table 2, ICU mortality and footnote c.</t>
        </is>
      </c>
      <c r="J34" s="2" t="b">
        <v>0</v>
      </c>
      <c r="K34" s="2" t="inlineStr">
        <is>
          <t>jama.2018.14280</t>
        </is>
      </c>
      <c r="L34" s="2" t="inlineStr"/>
      <c r="M34" s="2" t="inlineStr">
        <is>
          <t>S_W</t>
        </is>
      </c>
      <c r="N34" s="2" t="inlineStr">
        <is>
          <t>Printed ICU-mortality RR 1.11 does not reproduce as the crude low/intermediate ratio from displayed risks. The focal mismatch is within the main article.</t>
        </is>
      </c>
      <c r="O34" s="2" t="inlineStr">
        <is>
          <t>../../2018/jama.2018.14280/.ai_paper_validation/final_report_1_5_2.html</t>
        </is>
      </c>
      <c r="P34" s="2" t="inlineStr">
        <is>
          <t>2018/jama.2018.14280/.ai_paper_validation/final_report_1_5_2.md</t>
        </is>
      </c>
      <c r="Q34" s="2" t="inlineStr">
        <is>
          <t>C012</t>
        </is>
      </c>
      <c r="R34" s="2" t="inlineStr">
        <is>
          <t>Pending Human Adjudication</t>
        </is>
      </c>
      <c r="S34" s="2" t="inlineStr">
        <is>
          <t>Printed ICU-mortality RR 1.11 does not reproduce as the crude low/intermediate ratio from displayed risks.</t>
        </is>
      </c>
      <c r="T34" s="2" t="b">
        <v>1</v>
      </c>
      <c r="U34" s="2" t="inlineStr">
        <is>
          <t>rr_vs_displayed_risks</t>
        </is>
      </c>
      <c r="V34" s="2" t="inlineStr">
        <is>
          <t>statistical_results</t>
        </is>
      </c>
      <c r="W34" s="2" t="inlineStr">
        <is>
          <t>ICU-mortality RR does not reproduce from printed risks</t>
        </is>
      </c>
      <c r="X34" s="2" t="inlineStr">
        <is>
          <t>2018</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Diagnostic comparison assumes the printed RR is crude; the exact estimator, weighting, or analysis population is not supplied. These are separate outcome rows, not proven instances of a single underlying coding error.</t>
        </is>
      </c>
      <c r="C35" s="3" t="b">
        <v>0</v>
      </c>
      <c r="D35" s="3" t="inlineStr">
        <is>
          <t>Statistical reporting inconsistency</t>
        </is>
      </c>
      <c r="E35" s="3" t="b">
        <v>0</v>
      </c>
      <c r="F35" s="3" t="inlineStr">
        <is>
          <t>C013</t>
        </is>
      </c>
      <c r="G35" s="3" t="inlineStr">
        <is>
          <t>2018::jama.2018.14280::C013</t>
        </is>
      </c>
      <c r="H35" s="3" t="inlineStr"/>
      <c r="I35" s="3" t="inlineStr">
        <is>
          <t>DOC-001, Table 2, hospital mortality and footnote c.</t>
        </is>
      </c>
      <c r="J35" s="3" t="b">
        <v>0</v>
      </c>
      <c r="K35" s="3" t="inlineStr">
        <is>
          <t>jama.2018.14280</t>
        </is>
      </c>
      <c r="L35" s="3" t="inlineStr"/>
      <c r="M35" s="3" t="inlineStr">
        <is>
          <t>S_W</t>
        </is>
      </c>
      <c r="N35" s="3" t="inlineStr">
        <is>
          <t>Printed hospital-mortality RR 1.06 does not reproduce from displayed risks under the crude comparator. The focal mismatch is within the main article.</t>
        </is>
      </c>
      <c r="O35" s="3" t="inlineStr">
        <is>
          <t>../../2018/jama.2018.14280/.ai_paper_validation/final_report_1_5_2.html</t>
        </is>
      </c>
      <c r="P35" s="3" t="inlineStr">
        <is>
          <t>2018/jama.2018.14280/.ai_paper_validation/final_report_1_5_2.md</t>
        </is>
      </c>
      <c r="Q35" s="3" t="inlineStr">
        <is>
          <t>C013</t>
        </is>
      </c>
      <c r="R35" s="3" t="inlineStr">
        <is>
          <t>Pending Human Adjudication</t>
        </is>
      </c>
      <c r="S35" s="3" t="inlineStr">
        <is>
          <t>Printed hospital-mortality RR 1.06 does not reproduce from displayed risks under the crude comparator.</t>
        </is>
      </c>
      <c r="T35" s="3" t="b">
        <v>1</v>
      </c>
      <c r="U35" s="3" t="inlineStr">
        <is>
          <t>rr_vs_displayed_risks</t>
        </is>
      </c>
      <c r="V35" s="3" t="inlineStr">
        <is>
          <t>statistical_results</t>
        </is>
      </c>
      <c r="W35" s="3" t="inlineStr">
        <is>
          <t>Hospital-mortality RR does not reproduce from printed risks</t>
        </is>
      </c>
      <c r="X35" s="3" t="inlineStr">
        <is>
          <t>2018</t>
        </is>
      </c>
      <c r="Y35" s="3" t="inlineStr">
        <is>
          <t>meta_report/consistency_reclassification_2026-09-04/reclassified_candidates.json</t>
        </is>
      </c>
      <c r="Z35" s="3" t="inlineStr">
        <is>
          <t>S_W</t>
        </is>
      </c>
      <c r="AA35" s="3" t="inlineStr">
        <is>
          <t>statistical_results</t>
        </is>
      </c>
      <c r="AB35" s="3" t="inlineStr">
        <is>
          <t>retain</t>
        </is>
      </c>
    </row>
    <row r="36" ht="95" customHeight="1">
      <c r="A36" s="2" t="b">
        <v>0</v>
      </c>
      <c r="B36" s="2" t="inlineStr">
        <is>
          <t>Diagnostic comparison assumes the printed RR is crude; the exact estimator, weighting, or analysis population is not supplied. These are separate outcome rows, not proven instances of a single underlying coding error.</t>
        </is>
      </c>
      <c r="C36" s="2" t="b">
        <v>0</v>
      </c>
      <c r="D36" s="2" t="inlineStr">
        <is>
          <t>Statistical reporting inconsistency</t>
        </is>
      </c>
      <c r="E36" s="2" t="b">
        <v>0</v>
      </c>
      <c r="F36" s="2" t="inlineStr">
        <is>
          <t>C014</t>
        </is>
      </c>
      <c r="G36" s="2" t="inlineStr">
        <is>
          <t>2018::jama.2018.14280::C014</t>
        </is>
      </c>
      <c r="H36" s="2" t="inlineStr"/>
      <c r="I36" s="2" t="inlineStr">
        <is>
          <t>DOC-001, Table 2, Development of ARDS and footnote c.</t>
        </is>
      </c>
      <c r="J36" s="2" t="b">
        <v>0</v>
      </c>
      <c r="K36" s="2" t="inlineStr">
        <is>
          <t>jama.2018.14280</t>
        </is>
      </c>
      <c r="L36" s="2" t="inlineStr"/>
      <c r="M36" s="2" t="inlineStr">
        <is>
          <t>S_W</t>
        </is>
      </c>
      <c r="N36" s="2" t="inlineStr">
        <is>
          <t>Printed ARDS RR 0.86 does not reproduce from displayed risks under the crude comparator. The focal mismatch is within the main article.</t>
        </is>
      </c>
      <c r="O36" s="2" t="inlineStr">
        <is>
          <t>../../2018/jama.2018.14280/.ai_paper_validation/final_report_1_5_2.html</t>
        </is>
      </c>
      <c r="P36" s="2" t="inlineStr">
        <is>
          <t>2018/jama.2018.14280/.ai_paper_validation/final_report_1_5_2.md</t>
        </is>
      </c>
      <c r="Q36" s="2" t="inlineStr">
        <is>
          <t>C014</t>
        </is>
      </c>
      <c r="R36" s="2" t="inlineStr">
        <is>
          <t>Pending Human Adjudication</t>
        </is>
      </c>
      <c r="S36" s="2" t="inlineStr">
        <is>
          <t>Printed ARDS RR 0.86 does not reproduce from displayed risks under the crude comparator.</t>
        </is>
      </c>
      <c r="T36" s="2" t="b">
        <v>1</v>
      </c>
      <c r="U36" s="2" t="inlineStr">
        <is>
          <t>rr_vs_displayed_risks</t>
        </is>
      </c>
      <c r="V36" s="2" t="inlineStr">
        <is>
          <t>statistical_results</t>
        </is>
      </c>
      <c r="W36" s="2" t="inlineStr">
        <is>
          <t>ARDS RR does not reproduce from printed risks</t>
        </is>
      </c>
      <c r="X36" s="2" t="inlineStr">
        <is>
          <t>2018</t>
        </is>
      </c>
      <c r="Y36" s="2" t="inlineStr">
        <is>
          <t>meta_report/consistency_reclassification_2026-09-04/reclassified_candidates.json</t>
        </is>
      </c>
      <c r="Z36" s="2" t="inlineStr">
        <is>
          <t>S_W</t>
        </is>
      </c>
      <c r="AA36" s="2" t="inlineStr">
        <is>
          <t>statistical_results</t>
        </is>
      </c>
      <c r="AB36" s="2" t="inlineStr">
        <is>
          <t>retain</t>
        </is>
      </c>
    </row>
    <row r="37" ht="95" customHeight="1">
      <c r="A37" s="3" t="b">
        <v>0</v>
      </c>
      <c r="B37" s="3" t="inlineStr">
        <is>
          <t>Diagnostic comparison assumes the printed RR is crude; the exact estimator, weighting, or analysis population is not supplied. These are separate outcome rows, not proven instances of a single underlying coding error.</t>
        </is>
      </c>
      <c r="C37" s="3" t="b">
        <v>0</v>
      </c>
      <c r="D37" s="3" t="inlineStr">
        <is>
          <t>Statistical reporting inconsistency</t>
        </is>
      </c>
      <c r="E37" s="3" t="b">
        <v>0</v>
      </c>
      <c r="F37" s="3" t="inlineStr">
        <is>
          <t>C015</t>
        </is>
      </c>
      <c r="G37" s="3" t="inlineStr">
        <is>
          <t>2018::jama.2018.14280::C015</t>
        </is>
      </c>
      <c r="H37" s="3" t="inlineStr"/>
      <c r="I37" s="3" t="inlineStr">
        <is>
          <t>DOC-001, Table 2, Development of pneumonia and footnote c.</t>
        </is>
      </c>
      <c r="J37" s="3" t="b">
        <v>0</v>
      </c>
      <c r="K37" s="3" t="inlineStr">
        <is>
          <t>jama.2018.14280</t>
        </is>
      </c>
      <c r="L37" s="3" t="inlineStr"/>
      <c r="M37" s="3" t="inlineStr">
        <is>
          <t>S_W</t>
        </is>
      </c>
      <c r="N37" s="3" t="inlineStr">
        <is>
          <t>Printed pneumonia RR 1.07 does not reproduce from displayed risks under the crude comparator. The focal mismatch is within the main article.</t>
        </is>
      </c>
      <c r="O37" s="3" t="inlineStr">
        <is>
          <t>../../2018/jama.2018.14280/.ai_paper_validation/final_report_1_5_2.html</t>
        </is>
      </c>
      <c r="P37" s="3" t="inlineStr">
        <is>
          <t>2018/jama.2018.14280/.ai_paper_validation/final_report_1_5_2.md</t>
        </is>
      </c>
      <c r="Q37" s="3" t="inlineStr">
        <is>
          <t>C015</t>
        </is>
      </c>
      <c r="R37" s="3" t="inlineStr">
        <is>
          <t>Pending Human Adjudication</t>
        </is>
      </c>
      <c r="S37" s="3" t="inlineStr">
        <is>
          <t>Printed pneumonia RR 1.07 does not reproduce from displayed risks under the crude comparator.</t>
        </is>
      </c>
      <c r="T37" s="3" t="b">
        <v>1</v>
      </c>
      <c r="U37" s="3" t="inlineStr">
        <is>
          <t>rr_vs_displayed_risks</t>
        </is>
      </c>
      <c r="V37" s="3" t="inlineStr">
        <is>
          <t>statistical_results</t>
        </is>
      </c>
      <c r="W37" s="3" t="inlineStr">
        <is>
          <t>Pneumonia RR does not reproduce from printed risks</t>
        </is>
      </c>
      <c r="X37" s="3" t="inlineStr">
        <is>
          <t>2018</t>
        </is>
      </c>
      <c r="Y37" s="3" t="inlineStr">
        <is>
          <t>meta_report/consistency_reclassification_2026-09-04/reclassified_candidates.json</t>
        </is>
      </c>
      <c r="Z37" s="3" t="inlineStr">
        <is>
          <t>S_W</t>
        </is>
      </c>
      <c r="AA37" s="3" t="inlineStr">
        <is>
          <t>statistical_results</t>
        </is>
      </c>
      <c r="AB37" s="3" t="inlineStr">
        <is>
          <t>retain</t>
        </is>
      </c>
    </row>
    <row r="38" ht="95" customHeight="1">
      <c r="A38" s="2" t="b">
        <v>0</v>
      </c>
      <c r="B38" s="2" t="inlineStr">
        <is>
          <t>Diagnostic comparison assumes the printed RR is crude; the exact estimator, weighting, or analysis population is not supplied. These are separate outcome rows, not proven instances of a single underlying coding error.</t>
        </is>
      </c>
      <c r="C38" s="2" t="b">
        <v>0</v>
      </c>
      <c r="D38" s="2" t="inlineStr">
        <is>
          <t>Statistical reporting inconsistency</t>
        </is>
      </c>
      <c r="E38" s="2" t="b">
        <v>0</v>
      </c>
      <c r="F38" s="2" t="inlineStr">
        <is>
          <t>C016</t>
        </is>
      </c>
      <c r="G38" s="2" t="inlineStr">
        <is>
          <t>2018::jama.2018.14280::C016</t>
        </is>
      </c>
      <c r="H38" s="2" t="inlineStr"/>
      <c r="I38" s="2" t="inlineStr">
        <is>
          <t>DOC-001, Table 2, Pneumothorax and footnote c.</t>
        </is>
      </c>
      <c r="J38" s="2" t="b">
        <v>0</v>
      </c>
      <c r="K38" s="2" t="inlineStr">
        <is>
          <t>jama.2018.14280</t>
        </is>
      </c>
      <c r="L38" s="2" t="inlineStr"/>
      <c r="M38" s="2" t="inlineStr">
        <is>
          <t>S_W</t>
        </is>
      </c>
      <c r="N38" s="2" t="inlineStr">
        <is>
          <t>Printed pneumothorax RR 1.16 does not reproduce from displayed risks under the crude comparator. The focal mismatch is within the main article.</t>
        </is>
      </c>
      <c r="O38" s="2" t="inlineStr">
        <is>
          <t>../../2018/jama.2018.14280/.ai_paper_validation/final_report_1_5_2.html</t>
        </is>
      </c>
      <c r="P38" s="2" t="inlineStr">
        <is>
          <t>2018/jama.2018.14280/.ai_paper_validation/final_report_1_5_2.md</t>
        </is>
      </c>
      <c r="Q38" s="2" t="inlineStr">
        <is>
          <t>C016</t>
        </is>
      </c>
      <c r="R38" s="2" t="inlineStr">
        <is>
          <t>Pending Human Adjudication</t>
        </is>
      </c>
      <c r="S38" s="2" t="inlineStr">
        <is>
          <t>Printed pneumothorax RR 1.16 does not reproduce from displayed risks under the crude comparator.</t>
        </is>
      </c>
      <c r="T38" s="2" t="b">
        <v>1</v>
      </c>
      <c r="U38" s="2" t="inlineStr">
        <is>
          <t>rr_vs_displayed_risks</t>
        </is>
      </c>
      <c r="V38" s="2" t="inlineStr">
        <is>
          <t>statistical_results</t>
        </is>
      </c>
      <c r="W38" s="2" t="inlineStr">
        <is>
          <t>Pneumothorax RR does not reproduce from printed risks</t>
        </is>
      </c>
      <c r="X38" s="2" t="inlineStr">
        <is>
          <t>2018</t>
        </is>
      </c>
      <c r="Y38" s="2" t="inlineStr">
        <is>
          <t>meta_report/consistency_reclassification_2026-09-04/reclassified_candidates.json</t>
        </is>
      </c>
      <c r="Z38" s="2" t="inlineStr">
        <is>
          <t>S_W</t>
        </is>
      </c>
      <c r="AA38" s="2" t="inlineStr">
        <is>
          <t>statistical_results</t>
        </is>
      </c>
      <c r="AB38" s="2" t="inlineStr">
        <is>
          <t>retain</t>
        </is>
      </c>
    </row>
    <row r="39" ht="95" customHeight="1">
      <c r="A39" s="3" t="b">
        <v>0</v>
      </c>
      <c r="B39" s="3" t="inlineStr">
        <is>
          <t>Diagnostic comparison assumes the printed RR is crude; the exact estimator, weighting, or analysis population is not supplied. These are separate outcome rows, not proven instances of a single underlying coding error.</t>
        </is>
      </c>
      <c r="C39" s="3" t="b">
        <v>0</v>
      </c>
      <c r="D39" s="3" t="inlineStr">
        <is>
          <t>Statistical reporting inconsistency</t>
        </is>
      </c>
      <c r="E39" s="3" t="b">
        <v>0</v>
      </c>
      <c r="F39" s="3" t="inlineStr">
        <is>
          <t>C017</t>
        </is>
      </c>
      <c r="G39" s="3" t="inlineStr">
        <is>
          <t>2018::jama.2018.14280::C017</t>
        </is>
      </c>
      <c r="H39" s="3" t="inlineStr"/>
      <c r="I39" s="3" t="inlineStr">
        <is>
          <t>DOC-001, Table 2, Atelectasis and footnote c.</t>
        </is>
      </c>
      <c r="J39" s="3" t="b">
        <v>0</v>
      </c>
      <c r="K39" s="3" t="inlineStr">
        <is>
          <t>jama.2018.14280</t>
        </is>
      </c>
      <c r="L39" s="3" t="inlineStr"/>
      <c r="M39" s="3" t="inlineStr">
        <is>
          <t>S_W</t>
        </is>
      </c>
      <c r="N39" s="3" t="inlineStr">
        <is>
          <t>Printed atelectasis RR 1.00 does not reproduce from displayed risks under the crude comparator. The focal mismatch is within the main article.</t>
        </is>
      </c>
      <c r="O39" s="3" t="inlineStr">
        <is>
          <t>../../2018/jama.2018.14280/.ai_paper_validation/final_report_1_5_2.html</t>
        </is>
      </c>
      <c r="P39" s="3" t="inlineStr">
        <is>
          <t>2018/jama.2018.14280/.ai_paper_validation/final_report_1_5_2.md</t>
        </is>
      </c>
      <c r="Q39" s="3" t="inlineStr">
        <is>
          <t>C017</t>
        </is>
      </c>
      <c r="R39" s="3" t="inlineStr">
        <is>
          <t>Pending Human Adjudication</t>
        </is>
      </c>
      <c r="S39" s="3" t="inlineStr">
        <is>
          <t>Printed atelectasis RR 1.00 does not reproduce from displayed risks under the crude comparator.</t>
        </is>
      </c>
      <c r="T39" s="3" t="b">
        <v>1</v>
      </c>
      <c r="U39" s="3" t="inlineStr">
        <is>
          <t>rr_vs_displayed_risks</t>
        </is>
      </c>
      <c r="V39" s="3" t="inlineStr">
        <is>
          <t>statistical_results</t>
        </is>
      </c>
      <c r="W39" s="3" t="inlineStr">
        <is>
          <t>Atelectasis RR does not reproduce from printed risks</t>
        </is>
      </c>
      <c r="X39" s="3" t="inlineStr">
        <is>
          <t>2018</t>
        </is>
      </c>
      <c r="Y39" s="3" t="inlineStr">
        <is>
          <t>meta_report/consistency_reclassification_2026-09-04/reclassified_candidates.json</t>
        </is>
      </c>
      <c r="Z39" s="3" t="inlineStr">
        <is>
          <t>S_W</t>
        </is>
      </c>
      <c r="AA39" s="3" t="inlineStr">
        <is>
          <t>statistical_results</t>
        </is>
      </c>
      <c r="AB39" s="3" t="inlineStr">
        <is>
          <t>retain</t>
        </is>
      </c>
    </row>
    <row r="40" ht="95" customHeight="1">
      <c r="A40" s="2" t="b">
        <v>0</v>
      </c>
      <c r="B40" s="2" t="inlineStr">
        <is>
          <t>Diagnostic comparison assumes the printed RR is crude; the exact estimator, weighting, or analysis population is not supplied. These are separate outcome rows, not proven instances of a single underlying coding error.</t>
        </is>
      </c>
      <c r="C40" s="2" t="b">
        <v>0</v>
      </c>
      <c r="D40" s="2" t="inlineStr">
        <is>
          <t>Statistical reporting inconsistency</t>
        </is>
      </c>
      <c r="E40" s="2" t="b">
        <v>0</v>
      </c>
      <c r="F40" s="2" t="inlineStr">
        <is>
          <t>C018</t>
        </is>
      </c>
      <c r="G40" s="2" t="inlineStr">
        <is>
          <t>2018::jama.2018.14280::C018</t>
        </is>
      </c>
      <c r="H40" s="2" t="inlineStr"/>
      <c r="I40" s="2" t="inlineStr">
        <is>
          <t>DOC-001, Table 2, Extrapulmonary infection and footnote c.</t>
        </is>
      </c>
      <c r="J40" s="2" t="b">
        <v>0</v>
      </c>
      <c r="K40" s="2" t="inlineStr">
        <is>
          <t>jama.2018.14280</t>
        </is>
      </c>
      <c r="L40" s="2" t="inlineStr"/>
      <c r="M40" s="2" t="inlineStr">
        <is>
          <t>S_W</t>
        </is>
      </c>
      <c r="N40" s="2" t="inlineStr">
        <is>
          <t>Printed extrapulmonary-infection RR 0.84 does not reproduce from displayed risks under the crude comparator. The focal mismatch is within the main article.</t>
        </is>
      </c>
      <c r="O40" s="2" t="inlineStr">
        <is>
          <t>../../2018/jama.2018.14280/.ai_paper_validation/final_report_1_5_2.html</t>
        </is>
      </c>
      <c r="P40" s="2" t="inlineStr">
        <is>
          <t>2018/jama.2018.14280/.ai_paper_validation/final_report_1_5_2.md</t>
        </is>
      </c>
      <c r="Q40" s="2" t="inlineStr">
        <is>
          <t>C018</t>
        </is>
      </c>
      <c r="R40" s="2" t="inlineStr">
        <is>
          <t>Pending Human Adjudication</t>
        </is>
      </c>
      <c r="S40" s="2" t="inlineStr">
        <is>
          <t>Printed extrapulmonary-infection RR 0.84 does not reproduce from displayed risks under the crude comparator.</t>
        </is>
      </c>
      <c r="T40" s="2" t="b">
        <v>1</v>
      </c>
      <c r="U40" s="2" t="inlineStr">
        <is>
          <t>rr_vs_displayed_risks</t>
        </is>
      </c>
      <c r="V40" s="2" t="inlineStr">
        <is>
          <t>statistical_results</t>
        </is>
      </c>
      <c r="W40" s="2" t="inlineStr">
        <is>
          <t>Extrapulmonary-infection RR does not reproduce from printed risks</t>
        </is>
      </c>
      <c r="X40" s="2" t="inlineStr">
        <is>
          <t>2018</t>
        </is>
      </c>
      <c r="Y40" s="2" t="inlineStr">
        <is>
          <t>meta_report/consistency_reclassification_2026-09-04/reclassified_candidates.json</t>
        </is>
      </c>
      <c r="Z40" s="2" t="inlineStr">
        <is>
          <t>S_W</t>
        </is>
      </c>
      <c r="AA40" s="2" t="inlineStr">
        <is>
          <t>statistical_results</t>
        </is>
      </c>
      <c r="AB40" s="2" t="inlineStr">
        <is>
          <t>retain</t>
        </is>
      </c>
    </row>
    <row r="41" ht="95" customHeight="1">
      <c r="A41" s="3" t="b">
        <v>0</v>
      </c>
      <c r="B41" s="3" t="inlineStr">
        <is>
          <t>Diagnostic comparison assumes the printed RR is crude; the exact estimator, weighting, or analysis population is not supplied. These are separate outcome rows, not proven instances of a single underlying coding error.</t>
        </is>
      </c>
      <c r="C41" s="3" t="b">
        <v>0</v>
      </c>
      <c r="D41" s="3" t="inlineStr">
        <is>
          <t>Statistical reporting inconsistency</t>
        </is>
      </c>
      <c r="E41" s="3" t="b">
        <v>0</v>
      </c>
      <c r="F41" s="3" t="inlineStr">
        <is>
          <t>C019</t>
        </is>
      </c>
      <c r="G41" s="3" t="inlineStr">
        <is>
          <t>2018::jama.2018.14280::C019</t>
        </is>
      </c>
      <c r="H41" s="3" t="inlineStr"/>
      <c r="I41" s="3" t="inlineStr">
        <is>
          <t>DOC-001, Table 2, Extrapulmonary sepsis and footnote c.</t>
        </is>
      </c>
      <c r="J41" s="3" t="b">
        <v>0</v>
      </c>
      <c r="K41" s="3" t="inlineStr">
        <is>
          <t>jama.2018.14280</t>
        </is>
      </c>
      <c r="L41" s="3" t="inlineStr"/>
      <c r="M41" s="3" t="inlineStr">
        <is>
          <t>S_W</t>
        </is>
      </c>
      <c r="N41" s="3" t="inlineStr">
        <is>
          <t>Printed extrapulmonary-sepsis RR 0.87 does not reproduce from displayed risks under the crude comparator. The focal mismatch is within the main article.</t>
        </is>
      </c>
      <c r="O41" s="3" t="inlineStr">
        <is>
          <t>../../2018/jama.2018.14280/.ai_paper_validation/final_report_1_5_2.html</t>
        </is>
      </c>
      <c r="P41" s="3" t="inlineStr">
        <is>
          <t>2018/jama.2018.14280/.ai_paper_validation/final_report_1_5_2.md</t>
        </is>
      </c>
      <c r="Q41" s="3" t="inlineStr">
        <is>
          <t>C019</t>
        </is>
      </c>
      <c r="R41" s="3" t="inlineStr">
        <is>
          <t>Pending Human Adjudication</t>
        </is>
      </c>
      <c r="S41" s="3" t="inlineStr">
        <is>
          <t>Printed extrapulmonary-sepsis RR 0.87 does not reproduce from displayed risks under the crude comparator.</t>
        </is>
      </c>
      <c r="T41" s="3" t="b">
        <v>1</v>
      </c>
      <c r="U41" s="3" t="inlineStr">
        <is>
          <t>rr_vs_displayed_risks</t>
        </is>
      </c>
      <c r="V41" s="3" t="inlineStr">
        <is>
          <t>statistical_results</t>
        </is>
      </c>
      <c r="W41" s="3" t="inlineStr">
        <is>
          <t>Extrapulmonary-sepsis RR does not reproduce from printed risks</t>
        </is>
      </c>
      <c r="X41" s="3" t="inlineStr">
        <is>
          <t>2018</t>
        </is>
      </c>
      <c r="Y41" s="3" t="inlineStr">
        <is>
          <t>meta_report/consistency_reclassification_2026-09-04/reclassified_candidates.json</t>
        </is>
      </c>
      <c r="Z41" s="3" t="inlineStr">
        <is>
          <t>S_W</t>
        </is>
      </c>
      <c r="AA41" s="3" t="inlineStr">
        <is>
          <t>statistical_results</t>
        </is>
      </c>
      <c r="AB41" s="3" t="inlineStr">
        <is>
          <t>retain</t>
        </is>
      </c>
    </row>
    <row r="42" ht="95" customHeight="1">
      <c r="A42" s="2" t="b">
        <v>0</v>
      </c>
      <c r="B42" s="2" t="inlineStr">
        <is>
          <t>Diagnostic comparison assumes the printed RR is crude; the exact estimator, weighting, or analysis population is not supplied. These are separate outcome rows, not proven instances of a single underlying coding error.</t>
        </is>
      </c>
      <c r="C42" s="2" t="b">
        <v>0</v>
      </c>
      <c r="D42" s="2" t="inlineStr">
        <is>
          <t>Statistical reporting inconsistency</t>
        </is>
      </c>
      <c r="E42" s="2" t="b">
        <v>0</v>
      </c>
      <c r="F42" s="2" t="inlineStr">
        <is>
          <t>C020</t>
        </is>
      </c>
      <c r="G42" s="2" t="inlineStr">
        <is>
          <t>2018::jama.2018.14280::C020</t>
        </is>
      </c>
      <c r="H42" s="2" t="inlineStr"/>
      <c r="I42" s="2" t="inlineStr">
        <is>
          <t>DOC-001, Table 2, Delirium and footnote c.</t>
        </is>
      </c>
      <c r="J42" s="2" t="b">
        <v>0</v>
      </c>
      <c r="K42" s="2" t="inlineStr">
        <is>
          <t>jama.2018.14280</t>
        </is>
      </c>
      <c r="L42" s="2" t="inlineStr"/>
      <c r="M42" s="2" t="inlineStr">
        <is>
          <t>S_W</t>
        </is>
      </c>
      <c r="N42" s="2" t="inlineStr">
        <is>
          <t>Printed delirium RR 1.15 does not reproduce from displayed risks under the crude comparator. The focal mismatch is within the main article.</t>
        </is>
      </c>
      <c r="O42" s="2" t="inlineStr">
        <is>
          <t>../../2018/jama.2018.14280/.ai_paper_validation/final_report_1_5_2.html</t>
        </is>
      </c>
      <c r="P42" s="2" t="inlineStr">
        <is>
          <t>2018/jama.2018.14280/.ai_paper_validation/final_report_1_5_2.md</t>
        </is>
      </c>
      <c r="Q42" s="2" t="inlineStr">
        <is>
          <t>C020</t>
        </is>
      </c>
      <c r="R42" s="2" t="inlineStr">
        <is>
          <t>Pending Human Adjudication</t>
        </is>
      </c>
      <c r="S42" s="2" t="inlineStr">
        <is>
          <t>Printed delirium RR 1.15 does not reproduce from displayed risks under the crude comparator.</t>
        </is>
      </c>
      <c r="T42" s="2" t="b">
        <v>1</v>
      </c>
      <c r="U42" s="2" t="inlineStr">
        <is>
          <t>rr_vs_displayed_risks</t>
        </is>
      </c>
      <c r="V42" s="2" t="inlineStr">
        <is>
          <t>statistical_results</t>
        </is>
      </c>
      <c r="W42" s="2" t="inlineStr">
        <is>
          <t>Delirium RR does not reproduce from printed risks</t>
        </is>
      </c>
      <c r="X42" s="2" t="inlineStr">
        <is>
          <t>2018</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Diagnostic comparison assumes the printed RR is crude; the exact estimator, weighting, or analysis population is not supplied. These are separate outcome rows, not proven instances of a single underlying coding error.</t>
        </is>
      </c>
      <c r="C43" s="3" t="b">
        <v>0</v>
      </c>
      <c r="D43" s="3" t="inlineStr">
        <is>
          <t>Statistical reporting inconsistency</t>
        </is>
      </c>
      <c r="E43" s="3" t="b">
        <v>0</v>
      </c>
      <c r="F43" s="3" t="inlineStr">
        <is>
          <t>C021</t>
        </is>
      </c>
      <c r="G43" s="3" t="inlineStr">
        <is>
          <t>2018::jama.2018.14280::C021</t>
        </is>
      </c>
      <c r="H43" s="3" t="inlineStr"/>
      <c r="I43" s="3" t="inlineStr">
        <is>
          <t>DOC-001, Table 2, Need for tracheostomy and footnote c.</t>
        </is>
      </c>
      <c r="J43" s="3" t="b">
        <v>0</v>
      </c>
      <c r="K43" s="3" t="inlineStr">
        <is>
          <t>jama.2018.14280</t>
        </is>
      </c>
      <c r="L43" s="3" t="inlineStr"/>
      <c r="M43" s="3" t="inlineStr">
        <is>
          <t>S_W</t>
        </is>
      </c>
      <c r="N43" s="3" t="inlineStr">
        <is>
          <t>Printed tracheostomy RR 1.03 does not reproduce from displayed risks under the crude comparator. The focal mismatch is within the main article.</t>
        </is>
      </c>
      <c r="O43" s="3" t="inlineStr">
        <is>
          <t>../../2018/jama.2018.14280/.ai_paper_validation/final_report_1_5_2.html</t>
        </is>
      </c>
      <c r="P43" s="3" t="inlineStr">
        <is>
          <t>2018/jama.2018.14280/.ai_paper_validation/final_report_1_5_2.md</t>
        </is>
      </c>
      <c r="Q43" s="3" t="inlineStr">
        <is>
          <t>C021</t>
        </is>
      </c>
      <c r="R43" s="3" t="inlineStr">
        <is>
          <t>Pending Human Adjudication</t>
        </is>
      </c>
      <c r="S43" s="3" t="inlineStr">
        <is>
          <t>Printed tracheostomy RR 1.03 does not reproduce from displayed risks under the crude comparator.</t>
        </is>
      </c>
      <c r="T43" s="3" t="b">
        <v>1</v>
      </c>
      <c r="U43" s="3" t="inlineStr">
        <is>
          <t>rr_vs_displayed_risks</t>
        </is>
      </c>
      <c r="V43" s="3" t="inlineStr">
        <is>
          <t>statistical_results</t>
        </is>
      </c>
      <c r="W43" s="3" t="inlineStr">
        <is>
          <t>Tracheostomy RR does not reproduce from printed risks</t>
        </is>
      </c>
      <c r="X43" s="3" t="inlineStr">
        <is>
          <t>2018</t>
        </is>
      </c>
      <c r="Y43" s="3" t="inlineStr">
        <is>
          <t>meta_report/consistency_reclassification_2026-09-04/reclassified_candidates.json</t>
        </is>
      </c>
      <c r="Z43" s="3" t="inlineStr">
        <is>
          <t>S_W</t>
        </is>
      </c>
      <c r="AA43" s="3" t="inlineStr">
        <is>
          <t>statistical_results</t>
        </is>
      </c>
      <c r="AB43" s="3" t="inlineStr">
        <is>
          <t>retain</t>
        </is>
      </c>
    </row>
    <row r="44" ht="95" customHeight="1">
      <c r="A44" s="2" t="b">
        <v>0</v>
      </c>
      <c r="B44" s="2" t="inlineStr"/>
      <c r="C44" s="2" t="b">
        <v>0</v>
      </c>
      <c r="D44" s="2" t="inlineStr">
        <is>
          <t>Measure, label, or scale inconsistency</t>
        </is>
      </c>
      <c r="E44" s="2" t="b">
        <v>1</v>
      </c>
      <c r="F44" s="2" t="inlineStr">
        <is>
          <t>C022</t>
        </is>
      </c>
      <c r="G44" s="2" t="inlineStr">
        <is>
          <t>2018::jama.2018.14280::C022</t>
        </is>
      </c>
      <c r="H44" s="2" t="inlineStr"/>
      <c r="I44" s="2" t="inlineStr">
        <is>
          <t>DOC-001, Subgroups and Exploratory Analyses; DOC-004, Supplement 3 eTable 5.</t>
        </is>
      </c>
      <c r="J44" s="2" t="b">
        <v>0</v>
      </c>
      <c r="K44" s="2" t="inlineStr">
        <is>
          <t>jama.2018.14280</t>
        </is>
      </c>
      <c r="L44" s="2" t="inlineStr"/>
      <c r="M44" s="2" t="inlineStr">
        <is>
          <t>S_C</t>
        </is>
      </c>
      <c r="N44" s="2" t="inlineStr">
        <is>
          <t>Identical subgroup intervals are labelled IQR in the main text and 95% CI in eTable 5. The focal comparison is the main article versus a non-plan results supplement.</t>
        </is>
      </c>
      <c r="O44" s="2" t="inlineStr">
        <is>
          <t>../../2018/jama.2018.14280/.ai_paper_validation/final_report_1_5_2.html</t>
        </is>
      </c>
      <c r="P44" s="2" t="inlineStr">
        <is>
          <t>2018/jama.2018.14280/.ai_paper_validation/final_report_1_5_2.md</t>
        </is>
      </c>
      <c r="Q44" s="2" t="inlineStr">
        <is>
          <t>C022</t>
        </is>
      </c>
      <c r="R44" s="2" t="inlineStr">
        <is>
          <t>Pending Human Adjudication</t>
        </is>
      </c>
      <c r="S44" s="2" t="inlineStr">
        <is>
          <t>Identical subgroup intervals are labelled IQR in the main text and 95% CI in eTable 5.</t>
        </is>
      </c>
      <c r="T44" s="2" t="b">
        <v>1</v>
      </c>
      <c r="U44" s="2" t="inlineStr">
        <is>
          <t>iqr_vs_ci_label</t>
        </is>
      </c>
      <c r="V44" s="2" t="inlineStr">
        <is>
          <t>report_internal_inconsistency</t>
        </is>
      </c>
      <c r="W44" s="2" t="inlineStr">
        <is>
          <t>The same subgroup intervals are labelled IQR and 95% CI</t>
        </is>
      </c>
      <c r="X44" s="2" t="inlineStr">
        <is>
          <t>2018</t>
        </is>
      </c>
      <c r="Y44" s="2" t="inlineStr">
        <is>
          <t>meta_report/consistency_reclassification_2026-09-04/reclassified_candidates.json</t>
        </is>
      </c>
      <c r="Z44" s="2" t="inlineStr">
        <is>
          <t>S_C</t>
        </is>
      </c>
      <c r="AA44" s="2" t="inlineStr">
        <is>
          <t>report_internal_inconsistency</t>
        </is>
      </c>
      <c r="AB44" s="2" t="inlineStr">
        <is>
          <t>retain</t>
        </is>
      </c>
    </row>
    <row r="45" ht="95" customHeight="1">
      <c r="A45" s="3" t="b">
        <v>0</v>
      </c>
      <c r="B45" s="3" t="inlineStr">
        <is>
          <t>The SAP is an update after enrollment; clinical last-patient date versus administrative completion could explain the two days. P_R denotes document roles, not a proven prospective-plan violation.</t>
        </is>
      </c>
      <c r="C45" s="3" t="b">
        <v>1</v>
      </c>
      <c r="D45" s="3" t="inlineStr">
        <is>
          <t>Cross-document numeric inconsistency</t>
        </is>
      </c>
      <c r="E45" s="3" t="b">
        <v>1</v>
      </c>
      <c r="F45" s="3" t="inlineStr">
        <is>
          <t>C023</t>
        </is>
      </c>
      <c r="G45" s="3" t="inlineStr">
        <is>
          <t>2018::jama.2018.14280::C023</t>
        </is>
      </c>
      <c r="H45" s="3" t="inlineStr"/>
      <c r="I45" s="3" t="inlineStr">
        <is>
          <t>DOC-001 abstract and Results/Patients; DOC-003 SAP abstract and introduction.</t>
        </is>
      </c>
      <c r="J45" s="3" t="b">
        <v>1</v>
      </c>
      <c r="K45" s="3" t="inlineStr">
        <is>
          <t>jama.2018.14280</t>
        </is>
      </c>
      <c r="L45" s="3" t="inlineStr">
        <is>
          <t>population_recruitment_sites</t>
        </is>
      </c>
      <c r="M45" s="3" t="inlineStr">
        <is>
          <t>P_R</t>
        </is>
      </c>
      <c r="N45" s="3" t="inlineStr">
        <is>
          <t>The main article gives August 20, 2017 as enrollment end, whereas the supplied SAP/update gives August 22, 2017. This is a main-report versus SAP factual date discrepancy, rather than an ordinary results-supplement discrepancy.</t>
        </is>
      </c>
      <c r="O45" s="3" t="inlineStr">
        <is>
          <t>../../2018/jama.2018.14280/.ai_paper_validation/final_report_1_5_2.html</t>
        </is>
      </c>
      <c r="P45" s="3" t="inlineStr">
        <is>
          <t>2018/jama.2018.14280/.ai_paper_validation/final_report_1_5_2.md</t>
        </is>
      </c>
      <c r="Q45" s="3" t="inlineStr">
        <is>
          <t>C023</t>
        </is>
      </c>
      <c r="R45" s="3" t="inlineStr">
        <is>
          <t>Pending Human Adjudication</t>
        </is>
      </c>
      <c r="S45" s="3" t="inlineStr">
        <is>
          <t>The main article reports enrollment through August 20, 2017, while the SAP reports enrollment complete on August 22, 2017.</t>
        </is>
      </c>
      <c r="T45" s="3" t="b">
        <v>0</v>
      </c>
      <c r="U45" s="3" t="inlineStr">
        <is>
          <t>enrollment_end_date</t>
        </is>
      </c>
      <c r="V45" s="3" t="inlineStr">
        <is>
          <t>protocol_report</t>
        </is>
      </c>
      <c r="W45" s="3" t="inlineStr">
        <is>
          <t>Enrollment completion dates differ by two days</t>
        </is>
      </c>
      <c r="X45" s="3" t="inlineStr">
        <is>
          <t>2018</t>
        </is>
      </c>
      <c r="Y45" s="3" t="inlineStr">
        <is>
          <t>meta_report/consistency_reclassification_2026-09-04/reclassified_candidates.json</t>
        </is>
      </c>
      <c r="Z45" s="3" t="inlineStr">
        <is>
          <t>P_R</t>
        </is>
      </c>
      <c r="AA45" s="3" t="inlineStr">
        <is>
          <t>protocol_report</t>
        </is>
      </c>
      <c r="AB45" s="3" t="inlineStr">
        <is>
          <t>retain</t>
        </is>
      </c>
    </row>
    <row r="46" ht="95" customHeight="1">
      <c r="A46" s="2" t="b">
        <v>0</v>
      </c>
      <c r="B46" s="2" t="inlineStr"/>
      <c r="C46" s="2" t="b">
        <v>0</v>
      </c>
      <c r="D46" s="2" t="inlineStr">
        <is>
          <t>Denominator, proportion, or total inconsistency</t>
        </is>
      </c>
      <c r="E46" s="2" t="b">
        <v>0</v>
      </c>
      <c r="F46" s="2" t="inlineStr">
        <is>
          <t>C001</t>
        </is>
      </c>
      <c r="G46" s="2" t="inlineStr">
        <is>
          <t>2018::jama.2018.14282::C001</t>
        </is>
      </c>
      <c r="H46" s="2" t="inlineStr"/>
      <c r="I46" s="2" t="inlineStr">
        <is>
          <t>DOC-001 Table 1 — PDF p. 4</t>
        </is>
      </c>
      <c r="J46" s="2" t="b">
        <v>0</v>
      </c>
      <c r="K46" s="2" t="inlineStr">
        <is>
          <t>jama.2018.14282</t>
        </is>
      </c>
      <c r="L46" s="2" t="inlineStr"/>
      <c r="M46" s="2" t="inlineStr">
        <is>
          <t>S_W</t>
        </is>
      </c>
      <c r="N46" s="2" t="inlineStr">
        <is>
          <t>The printed standard-arm men count and percentage do not reconcile under nearest one-decimal rounding. The focal mismatch is within the main article.</t>
        </is>
      </c>
      <c r="O46" s="2" t="inlineStr">
        <is>
          <t>../../2018/jama.2018.14282/.ai_paper_validation/final_report_1_5_2.html</t>
        </is>
      </c>
      <c r="P46" s="2" t="inlineStr">
        <is>
          <t>2018/jama.2018.14282/.ai_paper_validation/final_report_1_5_2.md</t>
        </is>
      </c>
      <c r="Q46" s="2" t="inlineStr">
        <is>
          <t>C001</t>
        </is>
      </c>
      <c r="R46" s="2" t="inlineStr">
        <is>
          <t>Pending Human Adjudication</t>
        </is>
      </c>
      <c r="S46" s="2" t="inlineStr">
        <is>
          <t>The printed standard-arm men count and percentage do not reconcile under nearest one-decimal rounding.</t>
        </is>
      </c>
      <c r="T46" s="2" t="b">
        <v>1</v>
      </c>
      <c r="U46" s="2" t="inlineStr">
        <is>
          <t>count_percentage_rounding</t>
        </is>
      </c>
      <c r="V46" s="2" t="inlineStr">
        <is>
          <t>statistical_results</t>
        </is>
      </c>
      <c r="W46" s="2" t="inlineStr">
        <is>
          <t>Standard-arm men percentage does not reconcile</t>
        </is>
      </c>
      <c r="X46" s="2" t="inlineStr">
        <is>
          <t>2018</t>
        </is>
      </c>
      <c r="Y46" s="2" t="inlineStr">
        <is>
          <t>meta_report/consistency_reclassification_2026-09-04/reclassified_candidates.json</t>
        </is>
      </c>
      <c r="Z46" s="2" t="inlineStr">
        <is>
          <t>S_W</t>
        </is>
      </c>
      <c r="AA46" s="2" t="inlineStr">
        <is>
          <t>statistical_results</t>
        </is>
      </c>
      <c r="AB46" s="2" t="inlineStr">
        <is>
          <t>retain</t>
        </is>
      </c>
    </row>
    <row r="47" ht="95" customHeight="1">
      <c r="A47" s="3" t="b">
        <v>0</v>
      </c>
      <c r="B47" s="3" t="inlineStr"/>
      <c r="C47" s="3" t="b">
        <v>0</v>
      </c>
      <c r="D47" s="3" t="inlineStr">
        <is>
          <t>Denominator, proportion, or total inconsistency</t>
        </is>
      </c>
      <c r="E47" s="3" t="b">
        <v>0</v>
      </c>
      <c r="F47" s="3" t="inlineStr">
        <is>
          <t>C002</t>
        </is>
      </c>
      <c r="G47" s="3" t="inlineStr">
        <is>
          <t>2018::jama.2018.14282::C002</t>
        </is>
      </c>
      <c r="H47" s="3" t="inlineStr"/>
      <c r="I47" s="3" t="inlineStr">
        <is>
          <t>DOC-001 Table 1 — PDF p. 4</t>
        </is>
      </c>
      <c r="J47" s="3" t="b">
        <v>0</v>
      </c>
      <c r="K47" s="3" t="inlineStr">
        <is>
          <t>jama.2018.14282</t>
        </is>
      </c>
      <c r="L47" s="3" t="inlineStr"/>
      <c r="M47" s="3" t="inlineStr">
        <is>
          <t>S_W</t>
        </is>
      </c>
      <c r="N47" s="3" t="inlineStr">
        <is>
          <t>The printed standard-arm women count and percentage do not reconcile under nearest one-decimal rounding. The focal mismatch is within the main article.</t>
        </is>
      </c>
      <c r="O47" s="3" t="inlineStr">
        <is>
          <t>../../2018/jama.2018.14282/.ai_paper_validation/final_report_1_5_2.html</t>
        </is>
      </c>
      <c r="P47" s="3" t="inlineStr">
        <is>
          <t>2018/jama.2018.14282/.ai_paper_validation/final_report_1_5_2.md</t>
        </is>
      </c>
      <c r="Q47" s="3" t="inlineStr">
        <is>
          <t>C002</t>
        </is>
      </c>
      <c r="R47" s="3" t="inlineStr">
        <is>
          <t>Pending Human Adjudication</t>
        </is>
      </c>
      <c r="S47" s="3" t="inlineStr">
        <is>
          <t>The printed standard-arm women count and percentage do not reconcile under nearest one-decimal rounding.</t>
        </is>
      </c>
      <c r="T47" s="3" t="b">
        <v>1</v>
      </c>
      <c r="U47" s="3" t="inlineStr">
        <is>
          <t>count_percentage_rounding</t>
        </is>
      </c>
      <c r="V47" s="3" t="inlineStr">
        <is>
          <t>statistical_results</t>
        </is>
      </c>
      <c r="W47" s="3" t="inlineStr">
        <is>
          <t>Standard-arm women percentage does not reconcile</t>
        </is>
      </c>
      <c r="X47" s="3" t="inlineStr">
        <is>
          <t>2018</t>
        </is>
      </c>
      <c r="Y47" s="3" t="inlineStr">
        <is>
          <t>meta_report/consistency_reclassification_2026-09-04/reclassified_candidates.json</t>
        </is>
      </c>
      <c r="Z47" s="3" t="inlineStr">
        <is>
          <t>S_W</t>
        </is>
      </c>
      <c r="AA47" s="3" t="inlineStr">
        <is>
          <t>statistical_results</t>
        </is>
      </c>
      <c r="AB47" s="3" t="inlineStr">
        <is>
          <t>retain</t>
        </is>
      </c>
    </row>
    <row r="48" ht="95" customHeight="1">
      <c r="A48" s="2" t="b">
        <v>0</v>
      </c>
      <c r="B48" s="2" t="inlineStr"/>
      <c r="C48" s="2" t="b">
        <v>0</v>
      </c>
      <c r="D48" s="2" t="inlineStr">
        <is>
          <t>Denominator, proportion, or total inconsistency</t>
        </is>
      </c>
      <c r="E48" s="2" t="b">
        <v>0</v>
      </c>
      <c r="F48" s="2" t="inlineStr">
        <is>
          <t>C003</t>
        </is>
      </c>
      <c r="G48" s="2" t="inlineStr">
        <is>
          <t>2018::jama.2018.14282::C003</t>
        </is>
      </c>
      <c r="H48" s="2" t="inlineStr"/>
      <c r="I48" s="2" t="inlineStr">
        <is>
          <t>DOC-001 Table 1 — PDF p. 4</t>
        </is>
      </c>
      <c r="J48" s="2" t="b">
        <v>0</v>
      </c>
      <c r="K48" s="2" t="inlineStr">
        <is>
          <t>jama.2018.14282</t>
        </is>
      </c>
      <c r="L48" s="2" t="inlineStr"/>
      <c r="M48" s="2" t="inlineStr">
        <is>
          <t>S_W</t>
        </is>
      </c>
      <c r="N48" s="2" t="inlineStr">
        <is>
          <t>The standard-arm heart-failure percentage does not reconcile under nearest one-decimal rounding. The focal mismatch is within the main article.</t>
        </is>
      </c>
      <c r="O48" s="2" t="inlineStr">
        <is>
          <t>../../2018/jama.2018.14282/.ai_paper_validation/final_report_1_5_2.html</t>
        </is>
      </c>
      <c r="P48" s="2" t="inlineStr">
        <is>
          <t>2018/jama.2018.14282/.ai_paper_validation/final_report_1_5_2.md</t>
        </is>
      </c>
      <c r="Q48" s="2" t="inlineStr">
        <is>
          <t>C003</t>
        </is>
      </c>
      <c r="R48" s="2" t="inlineStr">
        <is>
          <t>Pending Human Adjudication</t>
        </is>
      </c>
      <c r="S48" s="2" t="inlineStr">
        <is>
          <t>The standard-arm heart-failure percentage does not reconcile under nearest one-decimal rounding.</t>
        </is>
      </c>
      <c r="T48" s="2" t="b">
        <v>1</v>
      </c>
      <c r="U48" s="2" t="inlineStr">
        <is>
          <t>count_percentage_rounding</t>
        </is>
      </c>
      <c r="V48" s="2" t="inlineStr">
        <is>
          <t>statistical_results</t>
        </is>
      </c>
      <c r="W48" s="2" t="inlineStr">
        <is>
          <t>Standard-arm heart-failure percentage does not reconcile</t>
        </is>
      </c>
      <c r="X48" s="2" t="inlineStr">
        <is>
          <t>2018</t>
        </is>
      </c>
      <c r="Y48" s="2" t="inlineStr">
        <is>
          <t>meta_report/consistency_reclassification_2026-09-04/reclassified_candidates.json</t>
        </is>
      </c>
      <c r="Z48" s="2" t="inlineStr">
        <is>
          <t>S_W</t>
        </is>
      </c>
      <c r="AA48" s="2" t="inlineStr">
        <is>
          <t>statistical_results</t>
        </is>
      </c>
      <c r="AB48" s="2" t="inlineStr">
        <is>
          <t>retain</t>
        </is>
      </c>
    </row>
    <row r="49" ht="95" customHeight="1">
      <c r="A49" s="3" t="b">
        <v>0</v>
      </c>
      <c r="B49" s="3" t="inlineStr"/>
      <c r="C49" s="3" t="b">
        <v>0</v>
      </c>
      <c r="D49" s="3" t="inlineStr">
        <is>
          <t>Denominator, proportion, or total inconsistency</t>
        </is>
      </c>
      <c r="E49" s="3" t="b">
        <v>0</v>
      </c>
      <c r="F49" s="3" t="inlineStr">
        <is>
          <t>C004</t>
        </is>
      </c>
      <c r="G49" s="3" t="inlineStr">
        <is>
          <t>2018::jama.2018.14282::C004</t>
        </is>
      </c>
      <c r="H49" s="3" t="inlineStr"/>
      <c r="I49" s="3" t="inlineStr">
        <is>
          <t>DOC-001 Table 1 — PDF p. 4</t>
        </is>
      </c>
      <c r="J49" s="3" t="b">
        <v>0</v>
      </c>
      <c r="K49" s="3" t="inlineStr">
        <is>
          <t>jama.2018.14282</t>
        </is>
      </c>
      <c r="L49" s="3" t="inlineStr"/>
      <c r="M49" s="3" t="inlineStr">
        <is>
          <t>S_W</t>
        </is>
      </c>
      <c r="N49" s="3" t="inlineStr">
        <is>
          <t>The high-flow liver-disease count and percentage do not reconcile with the displayed arm denominator. The focal mismatch is within the main article.</t>
        </is>
      </c>
      <c r="O49" s="3" t="inlineStr">
        <is>
          <t>../../2018/jama.2018.14282/.ai_paper_validation/final_report_1_5_2.html</t>
        </is>
      </c>
      <c r="P49" s="3" t="inlineStr">
        <is>
          <t>2018/jama.2018.14282/.ai_paper_validation/final_report_1_5_2.md</t>
        </is>
      </c>
      <c r="Q49" s="3" t="inlineStr">
        <is>
          <t>C004</t>
        </is>
      </c>
      <c r="R49" s="3" t="inlineStr">
        <is>
          <t>Pending Human Adjudication</t>
        </is>
      </c>
      <c r="S49" s="3" t="inlineStr">
        <is>
          <t>The high-flow liver-disease count and percentage do not reconcile with the displayed arm denominator.</t>
        </is>
      </c>
      <c r="T49" s="3" t="b">
        <v>1</v>
      </c>
      <c r="U49" s="3" t="inlineStr">
        <is>
          <t>count_percentage_rounding</t>
        </is>
      </c>
      <c r="V49" s="3" t="inlineStr">
        <is>
          <t>statistical_results</t>
        </is>
      </c>
      <c r="W49" s="3" t="inlineStr">
        <is>
          <t>High-flow liver-disease percentage conflicts with displayed count</t>
        </is>
      </c>
      <c r="X49" s="3" t="inlineStr">
        <is>
          <t>2018</t>
        </is>
      </c>
      <c r="Y49" s="3" t="inlineStr">
        <is>
          <t>meta_report/consistency_reclassification_2026-09-04/reclassified_candidates.json</t>
        </is>
      </c>
      <c r="Z49" s="3" t="inlineStr">
        <is>
          <t>S_W</t>
        </is>
      </c>
      <c r="AA49" s="3" t="inlineStr">
        <is>
          <t>statistical_results</t>
        </is>
      </c>
      <c r="AB49" s="3" t="inlineStr">
        <is>
          <t>retain</t>
        </is>
      </c>
    </row>
    <row r="50" ht="95" customHeight="1">
      <c r="A50" s="2" t="b">
        <v>0</v>
      </c>
      <c r="B50" s="2" t="inlineStr"/>
      <c r="C50" s="2" t="b">
        <v>0</v>
      </c>
      <c r="D50" s="2" t="inlineStr">
        <is>
          <t>Denominator, proportion, or total inconsistency</t>
        </is>
      </c>
      <c r="E50" s="2" t="b">
        <v>0</v>
      </c>
      <c r="F50" s="2" t="inlineStr">
        <is>
          <t>C005</t>
        </is>
      </c>
      <c r="G50" s="2" t="inlineStr">
        <is>
          <t>2018::jama.2018.14282::C005</t>
        </is>
      </c>
      <c r="H50" s="2" t="inlineStr"/>
      <c r="I50" s="2" t="inlineStr">
        <is>
          <t>DOC-001 Table 1 — PDF p. 4</t>
        </is>
      </c>
      <c r="J50" s="2" t="b">
        <v>0</v>
      </c>
      <c r="K50" s="2" t="inlineStr">
        <is>
          <t>jama.2018.14282</t>
        </is>
      </c>
      <c r="L50" s="2" t="inlineStr"/>
      <c r="M50" s="2" t="inlineStr">
        <is>
          <t>S_W</t>
        </is>
      </c>
      <c r="N50" s="2" t="inlineStr">
        <is>
          <t>The standard-arm kidney-disease count and percentage do not reconcile with the displayed arm denominator. The focal mismatch is within the main article.</t>
        </is>
      </c>
      <c r="O50" s="2" t="inlineStr">
        <is>
          <t>../../2018/jama.2018.14282/.ai_paper_validation/final_report_1_5_2.html</t>
        </is>
      </c>
      <c r="P50" s="2" t="inlineStr">
        <is>
          <t>2018/jama.2018.14282/.ai_paper_validation/final_report_1_5_2.md</t>
        </is>
      </c>
      <c r="Q50" s="2" t="inlineStr">
        <is>
          <t>C005</t>
        </is>
      </c>
      <c r="R50" s="2" t="inlineStr">
        <is>
          <t>Pending Human Adjudication</t>
        </is>
      </c>
      <c r="S50" s="2" t="inlineStr">
        <is>
          <t>The standard-arm kidney-disease count and percentage do not reconcile with the displayed arm denominator.</t>
        </is>
      </c>
      <c r="T50" s="2" t="b">
        <v>1</v>
      </c>
      <c r="U50" s="2" t="inlineStr">
        <is>
          <t>count_percentage_rounding</t>
        </is>
      </c>
      <c r="V50" s="2" t="inlineStr">
        <is>
          <t>statistical_results</t>
        </is>
      </c>
      <c r="W50" s="2" t="inlineStr">
        <is>
          <t>Standard-arm kidney-disease percentage conflicts with displayed count</t>
        </is>
      </c>
      <c r="X50" s="2" t="inlineStr">
        <is>
          <t>2018</t>
        </is>
      </c>
      <c r="Y50" s="2" t="inlineStr">
        <is>
          <t>meta_report/consistency_reclassification_2026-09-04/reclassified_candidates.json</t>
        </is>
      </c>
      <c r="Z50" s="2" t="inlineStr">
        <is>
          <t>S_W</t>
        </is>
      </c>
      <c r="AA50" s="2" t="inlineStr">
        <is>
          <t>statistical_results</t>
        </is>
      </c>
      <c r="AB50" s="2" t="inlineStr">
        <is>
          <t>retain</t>
        </is>
      </c>
    </row>
    <row r="51" ht="95" customHeight="1">
      <c r="A51" s="3" t="b">
        <v>0</v>
      </c>
      <c r="B51" s="3" t="inlineStr"/>
      <c r="C51" s="3" t="b">
        <v>0</v>
      </c>
      <c r="D51" s="3" t="inlineStr">
        <is>
          <t>Denominator, proportion, or total inconsistency</t>
        </is>
      </c>
      <c r="E51" s="3" t="b">
        <v>0</v>
      </c>
      <c r="F51" s="3" t="inlineStr">
        <is>
          <t>C006</t>
        </is>
      </c>
      <c r="G51" s="3" t="inlineStr">
        <is>
          <t>2018::jama.2018.14282::C006</t>
        </is>
      </c>
      <c r="H51" s="3" t="inlineStr"/>
      <c r="I51" s="3" t="inlineStr">
        <is>
          <t>DOC-001 Table 1 — PDF p. 4</t>
        </is>
      </c>
      <c r="J51" s="3" t="b">
        <v>0</v>
      </c>
      <c r="K51" s="3" t="inlineStr">
        <is>
          <t>jama.2018.14282</t>
        </is>
      </c>
      <c r="L51" s="3" t="inlineStr"/>
      <c r="M51" s="3" t="inlineStr">
        <is>
          <t>S_W</t>
        </is>
      </c>
      <c r="N51" s="3" t="inlineStr">
        <is>
          <t>The standard-arm nontransplant immunosuppression percentage does not reconcile under nearest one-decimal rounding. The focal mismatch is within the main article.</t>
        </is>
      </c>
      <c r="O51" s="3" t="inlineStr">
        <is>
          <t>../../2018/jama.2018.14282/.ai_paper_validation/final_report_1_5_2.html</t>
        </is>
      </c>
      <c r="P51" s="3" t="inlineStr">
        <is>
          <t>2018/jama.2018.14282/.ai_paper_validation/final_report_1_5_2.md</t>
        </is>
      </c>
      <c r="Q51" s="3" t="inlineStr">
        <is>
          <t>C006</t>
        </is>
      </c>
      <c r="R51" s="3" t="inlineStr">
        <is>
          <t>Pending Human Adjudication</t>
        </is>
      </c>
      <c r="S51" s="3" t="inlineStr">
        <is>
          <t>The standard-arm nontransplant immunosuppression percentage does not reconcile under nearest one-decimal rounding.</t>
        </is>
      </c>
      <c r="T51" s="3" t="b">
        <v>1</v>
      </c>
      <c r="U51" s="3" t="inlineStr">
        <is>
          <t>count_percentage_rounding</t>
        </is>
      </c>
      <c r="V51" s="3" t="inlineStr">
        <is>
          <t>statistical_results</t>
        </is>
      </c>
      <c r="W51" s="3" t="inlineStr">
        <is>
          <t>Standard-arm nontransplant immunosuppression percentage does not reconcile</t>
        </is>
      </c>
      <c r="X51" s="3" t="inlineStr">
        <is>
          <t>2018</t>
        </is>
      </c>
      <c r="Y51" s="3" t="inlineStr">
        <is>
          <t>meta_report/consistency_reclassification_2026-09-04/reclassified_candidates.json</t>
        </is>
      </c>
      <c r="Z51" s="3" t="inlineStr">
        <is>
          <t>S_W</t>
        </is>
      </c>
      <c r="AA51" s="3" t="inlineStr">
        <is>
          <t>statistical_results</t>
        </is>
      </c>
      <c r="AB51" s="3" t="inlineStr">
        <is>
          <t>retain</t>
        </is>
      </c>
    </row>
    <row r="52" ht="95" customHeight="1">
      <c r="A52" s="2" t="b">
        <v>0</v>
      </c>
      <c r="B52" s="2" t="inlineStr"/>
      <c r="C52" s="2" t="b">
        <v>0</v>
      </c>
      <c r="D52" s="2" t="inlineStr">
        <is>
          <t>Denominator, proportion, or total inconsistency</t>
        </is>
      </c>
      <c r="E52" s="2" t="b">
        <v>0</v>
      </c>
      <c r="F52" s="2" t="inlineStr">
        <is>
          <t>C007</t>
        </is>
      </c>
      <c r="G52" s="2" t="inlineStr">
        <is>
          <t>2018::jama.2018.14282::C007</t>
        </is>
      </c>
      <c r="H52" s="2" t="inlineStr"/>
      <c r="I52" s="2" t="inlineStr">
        <is>
          <t>DOC-001 Table 1 — PDF p. 4</t>
        </is>
      </c>
      <c r="J52" s="2" t="b">
        <v>0</v>
      </c>
      <c r="K52" s="2" t="inlineStr">
        <is>
          <t>jama.2018.14282</t>
        </is>
      </c>
      <c r="L52" s="2" t="inlineStr"/>
      <c r="M52" s="2" t="inlineStr">
        <is>
          <t>S_W</t>
        </is>
      </c>
      <c r="N52" s="2" t="inlineStr">
        <is>
          <t>The high-flow ≥3-days-after-admission percentage does not reconcile under nearest one-decimal rounding. The focal mismatch is within the main article.</t>
        </is>
      </c>
      <c r="O52" s="2" t="inlineStr">
        <is>
          <t>../../2018/jama.2018.14282/.ai_paper_validation/final_report_1_5_2.html</t>
        </is>
      </c>
      <c r="P52" s="2" t="inlineStr">
        <is>
          <t>2018/jama.2018.14282/.ai_paper_validation/final_report_1_5_2.md</t>
        </is>
      </c>
      <c r="Q52" s="2" t="inlineStr">
        <is>
          <t>C007</t>
        </is>
      </c>
      <c r="R52" s="2" t="inlineStr">
        <is>
          <t>Pending Human Adjudication</t>
        </is>
      </c>
      <c r="S52" s="2" t="inlineStr">
        <is>
          <t>The high-flow ≥3-days-after-admission percentage does not reconcile under nearest one-decimal rounding.</t>
        </is>
      </c>
      <c r="T52" s="2" t="b">
        <v>1</v>
      </c>
      <c r="U52" s="2" t="inlineStr">
        <is>
          <t>count_percentage_rounding</t>
        </is>
      </c>
      <c r="V52" s="2" t="inlineStr">
        <is>
          <t>statistical_results</t>
        </is>
      </c>
      <c r="W52" s="2" t="inlineStr">
        <is>
          <t>High-flow ≥3-days-after-ICU-admission percentage does not reconcile</t>
        </is>
      </c>
      <c r="X52" s="2" t="inlineStr">
        <is>
          <t>2018</t>
        </is>
      </c>
      <c r="Y52" s="2" t="inlineStr">
        <is>
          <t>meta_report/consistency_reclassification_2026-09-04/reclassified_candidates.json</t>
        </is>
      </c>
      <c r="Z52" s="2" t="inlineStr">
        <is>
          <t>S_W</t>
        </is>
      </c>
      <c r="AA52" s="2" t="inlineStr">
        <is>
          <t>statistical_results</t>
        </is>
      </c>
      <c r="AB52" s="2" t="inlineStr">
        <is>
          <t>retain</t>
        </is>
      </c>
    </row>
    <row r="53" ht="95" customHeight="1">
      <c r="A53" s="3" t="b">
        <v>0</v>
      </c>
      <c r="B53" s="3" t="inlineStr"/>
      <c r="C53" s="3" t="b">
        <v>0</v>
      </c>
      <c r="D53" s="3" t="inlineStr">
        <is>
          <t>Denominator, proportion, or total inconsistency</t>
        </is>
      </c>
      <c r="E53" s="3" t="b">
        <v>0</v>
      </c>
      <c r="F53" s="3" t="inlineStr">
        <is>
          <t>C008</t>
        </is>
      </c>
      <c r="G53" s="3" t="inlineStr">
        <is>
          <t>2018::jama.2018.14282::C008</t>
        </is>
      </c>
      <c r="H53" s="3" t="inlineStr"/>
      <c r="I53" s="3" t="inlineStr">
        <is>
          <t>DOC-001 Table 1 — PDF p. 4</t>
        </is>
      </c>
      <c r="J53" s="3" t="b">
        <v>0</v>
      </c>
      <c r="K53" s="3" t="inlineStr">
        <is>
          <t>jama.2018.14282</t>
        </is>
      </c>
      <c r="L53" s="3" t="inlineStr"/>
      <c r="M53" s="3" t="inlineStr">
        <is>
          <t>S_W</t>
        </is>
      </c>
      <c r="N53" s="3" t="inlineStr">
        <is>
          <t>The standard-arm ≥3-days-after-admission percentage does not reconcile under nearest one-decimal rounding. The focal mismatch is within the main article.</t>
        </is>
      </c>
      <c r="O53" s="3" t="inlineStr">
        <is>
          <t>../../2018/jama.2018.14282/.ai_paper_validation/final_report_1_5_2.html</t>
        </is>
      </c>
      <c r="P53" s="3" t="inlineStr">
        <is>
          <t>2018/jama.2018.14282/.ai_paper_validation/final_report_1_5_2.md</t>
        </is>
      </c>
      <c r="Q53" s="3" t="inlineStr">
        <is>
          <t>C008</t>
        </is>
      </c>
      <c r="R53" s="3" t="inlineStr">
        <is>
          <t>Pending Human Adjudication</t>
        </is>
      </c>
      <c r="S53" s="3" t="inlineStr">
        <is>
          <t>The standard-arm ≥3-days-after-admission percentage does not reconcile under nearest one-decimal rounding.</t>
        </is>
      </c>
      <c r="T53" s="3" t="b">
        <v>1</v>
      </c>
      <c r="U53" s="3" t="inlineStr">
        <is>
          <t>count_percentage_rounding</t>
        </is>
      </c>
      <c r="V53" s="3" t="inlineStr">
        <is>
          <t>statistical_results</t>
        </is>
      </c>
      <c r="W53" s="3" t="inlineStr">
        <is>
          <t>Standard-arm ≥3-days-after-ICU-admission percentage does not reconcile</t>
        </is>
      </c>
      <c r="X53" s="3" t="inlineStr">
        <is>
          <t>2018</t>
        </is>
      </c>
      <c r="Y53" s="3" t="inlineStr">
        <is>
          <t>meta_report/consistency_reclassification_2026-09-04/reclassified_candidates.json</t>
        </is>
      </c>
      <c r="Z53" s="3" t="inlineStr">
        <is>
          <t>S_W</t>
        </is>
      </c>
      <c r="AA53" s="3" t="inlineStr">
        <is>
          <t>statistical_results</t>
        </is>
      </c>
      <c r="AB53" s="3" t="inlineStr">
        <is>
          <t>retain</t>
        </is>
      </c>
    </row>
    <row r="54" ht="95" customHeight="1">
      <c r="A54" s="2" t="b">
        <v>0</v>
      </c>
      <c r="B54" s="2" t="inlineStr"/>
      <c r="C54" s="2" t="b">
        <v>0</v>
      </c>
      <c r="D54" s="2" t="inlineStr">
        <is>
          <t>Denominator, proportion, or total inconsistency</t>
        </is>
      </c>
      <c r="E54" s="2" t="b">
        <v>0</v>
      </c>
      <c r="F54" s="2" t="inlineStr">
        <is>
          <t>C009</t>
        </is>
      </c>
      <c r="G54" s="2" t="inlineStr">
        <is>
          <t>2018::jama.2018.14282::C009</t>
        </is>
      </c>
      <c r="H54" s="2" t="inlineStr"/>
      <c r="I54" s="2" t="inlineStr">
        <is>
          <t>DOC-001 Table 1 — PDF p. 4</t>
        </is>
      </c>
      <c r="J54" s="2" t="b">
        <v>0</v>
      </c>
      <c r="K54" s="2" t="inlineStr">
        <is>
          <t>jama.2018.14282</t>
        </is>
      </c>
      <c r="L54" s="2" t="inlineStr"/>
      <c r="M54" s="2" t="inlineStr">
        <is>
          <t>S_W</t>
        </is>
      </c>
      <c r="N54" s="2" t="inlineStr">
        <is>
          <t>The standard-arm vasopressor percentage does not reconcile under nearest one-decimal rounding. The focal mismatch is within the main article.</t>
        </is>
      </c>
      <c r="O54" s="2" t="inlineStr">
        <is>
          <t>../../2018/jama.2018.14282/.ai_paper_validation/final_report_1_5_2.html</t>
        </is>
      </c>
      <c r="P54" s="2" t="inlineStr">
        <is>
          <t>2018/jama.2018.14282/.ai_paper_validation/final_report_1_5_2.md</t>
        </is>
      </c>
      <c r="Q54" s="2" t="inlineStr">
        <is>
          <t>C009</t>
        </is>
      </c>
      <c r="R54" s="2" t="inlineStr">
        <is>
          <t>Pending Human Adjudication</t>
        </is>
      </c>
      <c r="S54" s="2" t="inlineStr">
        <is>
          <t>The standard-arm vasopressor percentage does not reconcile under nearest one-decimal rounding.</t>
        </is>
      </c>
      <c r="T54" s="2" t="b">
        <v>1</v>
      </c>
      <c r="U54" s="2" t="inlineStr">
        <is>
          <t>count_percentage_rounding</t>
        </is>
      </c>
      <c r="V54" s="2" t="inlineStr">
        <is>
          <t>statistical_results</t>
        </is>
      </c>
      <c r="W54" s="2" t="inlineStr">
        <is>
          <t>Standard-arm vasopressor percentage does not reconcile</t>
        </is>
      </c>
      <c r="X54" s="2" t="inlineStr">
        <is>
          <t>2018</t>
        </is>
      </c>
      <c r="Y54" s="2" t="inlineStr">
        <is>
          <t>meta_report/consistency_reclassification_2026-09-04/reclassified_candidates.json</t>
        </is>
      </c>
      <c r="Z54" s="2" t="inlineStr">
        <is>
          <t>S_W</t>
        </is>
      </c>
      <c r="AA54" s="2" t="inlineStr">
        <is>
          <t>statistical_results</t>
        </is>
      </c>
      <c r="AB54" s="2" t="inlineStr">
        <is>
          <t>retain</t>
        </is>
      </c>
    </row>
    <row r="55" ht="95" customHeight="1">
      <c r="A55" s="3" t="b">
        <v>0</v>
      </c>
      <c r="B55" s="3" t="inlineStr"/>
      <c r="C55" s="3" t="b">
        <v>0</v>
      </c>
      <c r="D55" s="3" t="inlineStr">
        <is>
          <t>Denominator, proportion, or total inconsistency</t>
        </is>
      </c>
      <c r="E55" s="3" t="b">
        <v>0</v>
      </c>
      <c r="F55" s="3" t="inlineStr">
        <is>
          <t>C010</t>
        </is>
      </c>
      <c r="G55" s="3" t="inlineStr">
        <is>
          <t>2018::jama.2018.14282::C010</t>
        </is>
      </c>
      <c r="H55" s="3" t="inlineStr"/>
      <c r="I55" s="3" t="inlineStr">
        <is>
          <t>DOC-001 Table 1 — PDF p. 4</t>
        </is>
      </c>
      <c r="J55" s="3" t="b">
        <v>0</v>
      </c>
      <c r="K55" s="3" t="inlineStr">
        <is>
          <t>jama.2018.14282</t>
        </is>
      </c>
      <c r="L55" s="3" t="inlineStr"/>
      <c r="M55" s="3" t="inlineStr">
        <is>
          <t>S_W</t>
        </is>
      </c>
      <c r="N55" s="3" t="inlineStr">
        <is>
          <t>The high-flow do-not-intubate percentage does not reconcile under nearest one-decimal rounding. The focal mismatch is within the main article.</t>
        </is>
      </c>
      <c r="O55" s="3" t="inlineStr">
        <is>
          <t>../../2018/jama.2018.14282/.ai_paper_validation/final_report_1_5_2.html</t>
        </is>
      </c>
      <c r="P55" s="3" t="inlineStr">
        <is>
          <t>2018/jama.2018.14282/.ai_paper_validation/final_report_1_5_2.md</t>
        </is>
      </c>
      <c r="Q55" s="3" t="inlineStr">
        <is>
          <t>C010</t>
        </is>
      </c>
      <c r="R55" s="3" t="inlineStr">
        <is>
          <t>Pending Human Adjudication</t>
        </is>
      </c>
      <c r="S55" s="3" t="inlineStr">
        <is>
          <t>The high-flow do-not-intubate percentage does not reconcile under nearest one-decimal rounding.</t>
        </is>
      </c>
      <c r="T55" s="3" t="b">
        <v>1</v>
      </c>
      <c r="U55" s="3" t="inlineStr">
        <is>
          <t>count_percentage_rounding</t>
        </is>
      </c>
      <c r="V55" s="3" t="inlineStr">
        <is>
          <t>statistical_results</t>
        </is>
      </c>
      <c r="W55" s="3" t="inlineStr">
        <is>
          <t>High-flow do-not-intubate percentage does not reconcile</t>
        </is>
      </c>
      <c r="X55" s="3" t="inlineStr">
        <is>
          <t>2018</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c r="C56" s="2" t="b">
        <v>0</v>
      </c>
      <c r="D56" s="2" t="inlineStr">
        <is>
          <t>Denominator, proportion, or total inconsistency</t>
        </is>
      </c>
      <c r="E56" s="2" t="b">
        <v>0</v>
      </c>
      <c r="F56" s="2" t="inlineStr">
        <is>
          <t>C011</t>
        </is>
      </c>
      <c r="G56" s="2" t="inlineStr">
        <is>
          <t>2018::jama.2018.14282::C011</t>
        </is>
      </c>
      <c r="H56" s="2" t="inlineStr"/>
      <c r="I56" s="2" t="inlineStr">
        <is>
          <t>DOC-001 Table 1 — PDF p. 4</t>
        </is>
      </c>
      <c r="J56" s="2" t="b">
        <v>0</v>
      </c>
      <c r="K56" s="2" t="inlineStr">
        <is>
          <t>jama.2018.14282</t>
        </is>
      </c>
      <c r="L56" s="2" t="inlineStr"/>
      <c r="M56" s="2" t="inlineStr">
        <is>
          <t>S_W</t>
        </is>
      </c>
      <c r="N56" s="2" t="inlineStr">
        <is>
          <t>The high-flow do-not-resuscitate percentage does not reconcile under nearest one-decimal rounding. The focal mismatch is within the main article.</t>
        </is>
      </c>
      <c r="O56" s="2" t="inlineStr">
        <is>
          <t>../../2018/jama.2018.14282/.ai_paper_validation/final_report_1_5_2.html</t>
        </is>
      </c>
      <c r="P56" s="2" t="inlineStr">
        <is>
          <t>2018/jama.2018.14282/.ai_paper_validation/final_report_1_5_2.md</t>
        </is>
      </c>
      <c r="Q56" s="2" t="inlineStr">
        <is>
          <t>C011</t>
        </is>
      </c>
      <c r="R56" s="2" t="inlineStr">
        <is>
          <t>Pending Human Adjudication</t>
        </is>
      </c>
      <c r="S56" s="2" t="inlineStr">
        <is>
          <t>The high-flow do-not-resuscitate percentage does not reconcile under nearest one-decimal rounding.</t>
        </is>
      </c>
      <c r="T56" s="2" t="b">
        <v>1</v>
      </c>
      <c r="U56" s="2" t="inlineStr">
        <is>
          <t>count_percentage_rounding</t>
        </is>
      </c>
      <c r="V56" s="2" t="inlineStr">
        <is>
          <t>statistical_results</t>
        </is>
      </c>
      <c r="W56" s="2" t="inlineStr">
        <is>
          <t>High-flow do-not-resuscitate percentage does not reconcile</t>
        </is>
      </c>
      <c r="X56" s="2" t="inlineStr">
        <is>
          <t>2018</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c r="C57" s="3" t="b">
        <v>0</v>
      </c>
      <c r="D57" s="3" t="inlineStr">
        <is>
          <t>Denominator, proportion, or total inconsistency</t>
        </is>
      </c>
      <c r="E57" s="3" t="b">
        <v>0</v>
      </c>
      <c r="F57" s="3" t="inlineStr">
        <is>
          <t>C012</t>
        </is>
      </c>
      <c r="G57" s="3" t="inlineStr">
        <is>
          <t>2018::jama.2018.14282::C012</t>
        </is>
      </c>
      <c r="H57" s="3" t="inlineStr"/>
      <c r="I57" s="3" t="inlineStr">
        <is>
          <t>DOC-001 Table 1 — PDF p. 4</t>
        </is>
      </c>
      <c r="J57" s="3" t="b">
        <v>0</v>
      </c>
      <c r="K57" s="3" t="inlineStr">
        <is>
          <t>jama.2018.14282</t>
        </is>
      </c>
      <c r="L57" s="3" t="inlineStr"/>
      <c r="M57" s="3" t="inlineStr">
        <is>
          <t>S_W</t>
        </is>
      </c>
      <c r="N57" s="3" t="inlineStr">
        <is>
          <t>The standard-arm do-not-resuscitate percentage does not reconcile under nearest one-decimal rounding. The focal mismatch is within the main article.</t>
        </is>
      </c>
      <c r="O57" s="3" t="inlineStr">
        <is>
          <t>../../2018/jama.2018.14282/.ai_paper_validation/final_report_1_5_2.html</t>
        </is>
      </c>
      <c r="P57" s="3" t="inlineStr">
        <is>
          <t>2018/jama.2018.14282/.ai_paper_validation/final_report_1_5_2.md</t>
        </is>
      </c>
      <c r="Q57" s="3" t="inlineStr">
        <is>
          <t>C012</t>
        </is>
      </c>
      <c r="R57" s="3" t="inlineStr">
        <is>
          <t>Pending Human Adjudication</t>
        </is>
      </c>
      <c r="S57" s="3" t="inlineStr">
        <is>
          <t>The standard-arm do-not-resuscitate percentage does not reconcile under nearest one-decimal rounding.</t>
        </is>
      </c>
      <c r="T57" s="3" t="b">
        <v>1</v>
      </c>
      <c r="U57" s="3" t="inlineStr">
        <is>
          <t>count_percentage_rounding</t>
        </is>
      </c>
      <c r="V57" s="3" t="inlineStr">
        <is>
          <t>statistical_results</t>
        </is>
      </c>
      <c r="W57" s="3" t="inlineStr">
        <is>
          <t>Standard-arm do-not-resuscitate percentage does not reconcile</t>
        </is>
      </c>
      <c r="X57" s="3" t="inlineStr">
        <is>
          <t>2018</t>
        </is>
      </c>
      <c r="Y57" s="3" t="inlineStr">
        <is>
          <t>meta_report/consistency_reclassification_2026-09-04/reclassified_candidates.json</t>
        </is>
      </c>
      <c r="Z57" s="3" t="inlineStr">
        <is>
          <t>S_W</t>
        </is>
      </c>
      <c r="AA57" s="3" t="inlineStr">
        <is>
          <t>statistical_results</t>
        </is>
      </c>
      <c r="AB57" s="3" t="inlineStr">
        <is>
          <t>retain</t>
        </is>
      </c>
    </row>
    <row r="58" ht="95" customHeight="1">
      <c r="A58" s="2" t="b">
        <v>0</v>
      </c>
      <c r="B58" s="2" t="inlineStr"/>
      <c r="C58" s="2" t="b">
        <v>0</v>
      </c>
      <c r="D58" s="2" t="inlineStr">
        <is>
          <t>Denominator, proportion, or total inconsistency</t>
        </is>
      </c>
      <c r="E58" s="2" t="b">
        <v>0</v>
      </c>
      <c r="F58" s="2" t="inlineStr">
        <is>
          <t>C013</t>
        </is>
      </c>
      <c r="G58" s="2" t="inlineStr">
        <is>
          <t>2018::jama.2018.14282::C013</t>
        </is>
      </c>
      <c r="H58" s="2" t="inlineStr"/>
      <c r="I58" s="2" t="inlineStr">
        <is>
          <t>DOC-001 Table 1 — PDF p. 4</t>
        </is>
      </c>
      <c r="J58" s="2" t="b">
        <v>0</v>
      </c>
      <c r="K58" s="2" t="inlineStr">
        <is>
          <t>jama.2018.14282</t>
        </is>
      </c>
      <c r="L58" s="2" t="inlineStr"/>
      <c r="M58" s="2" t="inlineStr">
        <is>
          <t>S_W</t>
        </is>
      </c>
      <c r="N58" s="2" t="inlineStr">
        <is>
          <t>The standard-arm unknown-goals-of-care percentage does not reconcile under nearest one-decimal rounding. The focal mismatch is within the main article.</t>
        </is>
      </c>
      <c r="O58" s="2" t="inlineStr">
        <is>
          <t>../../2018/jama.2018.14282/.ai_paper_validation/final_report_1_5_2.html</t>
        </is>
      </c>
      <c r="P58" s="2" t="inlineStr">
        <is>
          <t>2018/jama.2018.14282/.ai_paper_validation/final_report_1_5_2.md</t>
        </is>
      </c>
      <c r="Q58" s="2" t="inlineStr">
        <is>
          <t>C013</t>
        </is>
      </c>
      <c r="R58" s="2" t="inlineStr">
        <is>
          <t>Pending Human Adjudication</t>
        </is>
      </c>
      <c r="S58" s="2" t="inlineStr">
        <is>
          <t>The standard-arm unknown-goals-of-care percentage does not reconcile under nearest one-decimal rounding.</t>
        </is>
      </c>
      <c r="T58" s="2" t="b">
        <v>1</v>
      </c>
      <c r="U58" s="2" t="inlineStr">
        <is>
          <t>count_percentage_rounding</t>
        </is>
      </c>
      <c r="V58" s="2" t="inlineStr">
        <is>
          <t>statistical_results</t>
        </is>
      </c>
      <c r="W58" s="2" t="inlineStr">
        <is>
          <t>Standard-arm unknown-goals percentage does not reconcile</t>
        </is>
      </c>
      <c r="X58" s="2" t="inlineStr">
        <is>
          <t>2018</t>
        </is>
      </c>
      <c r="Y58" s="2" t="inlineStr">
        <is>
          <t>meta_report/consistency_reclassification_2026-09-04/reclassified_candidates.json</t>
        </is>
      </c>
      <c r="Z58" s="2" t="inlineStr">
        <is>
          <t>S_W</t>
        </is>
      </c>
      <c r="AA58" s="2" t="inlineStr">
        <is>
          <t>statistical_results</t>
        </is>
      </c>
      <c r="AB58" s="2" t="inlineStr">
        <is>
          <t>retain</t>
        </is>
      </c>
    </row>
    <row r="59" ht="95" customHeight="1">
      <c r="A59" s="3" t="b">
        <v>0</v>
      </c>
      <c r="B59" s="3" t="inlineStr"/>
      <c r="C59" s="3" t="b">
        <v>0</v>
      </c>
      <c r="D59" s="3" t="inlineStr">
        <is>
          <t>Denominator, proportion, or total inconsistency</t>
        </is>
      </c>
      <c r="E59" s="3" t="b">
        <v>0</v>
      </c>
      <c r="F59" s="3" t="inlineStr">
        <is>
          <t>C014</t>
        </is>
      </c>
      <c r="G59" s="3" t="inlineStr">
        <is>
          <t>2018::jama.2018.14282::C014</t>
        </is>
      </c>
      <c r="H59" s="3" t="inlineStr"/>
      <c r="I59" s="3" t="inlineStr">
        <is>
          <t>DOC-001 Table 1 — PDF p. 4</t>
        </is>
      </c>
      <c r="J59" s="3" t="b">
        <v>0</v>
      </c>
      <c r="K59" s="3" t="inlineStr">
        <is>
          <t>jama.2018.14282</t>
        </is>
      </c>
      <c r="L59" s="3" t="inlineStr"/>
      <c r="M59" s="3" t="inlineStr">
        <is>
          <t>S_W</t>
        </is>
      </c>
      <c r="N59" s="3" t="inlineStr">
        <is>
          <t>The high-flow pre-randomization standard-oxygen percentage does not reconcile under nearest one-decimal rounding. The focal mismatch is within the main article.</t>
        </is>
      </c>
      <c r="O59" s="3" t="inlineStr">
        <is>
          <t>../../2018/jama.2018.14282/.ai_paper_validation/final_report_1_5_2.html</t>
        </is>
      </c>
      <c r="P59" s="3" t="inlineStr">
        <is>
          <t>2018/jama.2018.14282/.ai_paper_validation/final_report_1_5_2.md</t>
        </is>
      </c>
      <c r="Q59" s="3" t="inlineStr">
        <is>
          <t>C014</t>
        </is>
      </c>
      <c r="R59" s="3" t="inlineStr">
        <is>
          <t>Pending Human Adjudication</t>
        </is>
      </c>
      <c r="S59" s="3" t="inlineStr">
        <is>
          <t>The high-flow pre-randomization standard-oxygen percentage does not reconcile under nearest one-decimal rounding.</t>
        </is>
      </c>
      <c r="T59" s="3" t="b">
        <v>1</v>
      </c>
      <c r="U59" s="3" t="inlineStr">
        <is>
          <t>count_percentage_rounding</t>
        </is>
      </c>
      <c r="V59" s="3" t="inlineStr">
        <is>
          <t>statistical_results</t>
        </is>
      </c>
      <c r="W59" s="3" t="inlineStr">
        <is>
          <t>High-flow pre-randomization standard-oxygen percentage does not reconcile</t>
        </is>
      </c>
      <c r="X59" s="3" t="inlineStr">
        <is>
          <t>2018</t>
        </is>
      </c>
      <c r="Y59" s="3" t="inlineStr">
        <is>
          <t>meta_report/consistency_reclassification_2026-09-04/reclassified_candidates.json</t>
        </is>
      </c>
      <c r="Z59" s="3" t="inlineStr">
        <is>
          <t>S_W</t>
        </is>
      </c>
      <c r="AA59" s="3" t="inlineStr">
        <is>
          <t>statistical_results</t>
        </is>
      </c>
      <c r="AB59" s="3" t="inlineStr">
        <is>
          <t>retain</t>
        </is>
      </c>
    </row>
    <row r="60" ht="95" customHeight="1">
      <c r="A60" s="2" t="b">
        <v>0</v>
      </c>
      <c r="B60" s="2" t="inlineStr"/>
      <c r="C60" s="2" t="b">
        <v>0</v>
      </c>
      <c r="D60" s="2" t="inlineStr">
        <is>
          <t>Denominator, proportion, or total inconsistency</t>
        </is>
      </c>
      <c r="E60" s="2" t="b">
        <v>0</v>
      </c>
      <c r="F60" s="2" t="inlineStr">
        <is>
          <t>C015</t>
        </is>
      </c>
      <c r="G60" s="2" t="inlineStr">
        <is>
          <t>2018::jama.2018.14282::C015</t>
        </is>
      </c>
      <c r="H60" s="2" t="inlineStr"/>
      <c r="I60" s="2" t="inlineStr">
        <is>
          <t>DOC-001 Table 2 — PDF p. 5</t>
        </is>
      </c>
      <c r="J60" s="2" t="b">
        <v>0</v>
      </c>
      <c r="K60" s="2" t="inlineStr">
        <is>
          <t>jama.2018.14282</t>
        </is>
      </c>
      <c r="L60" s="2" t="inlineStr"/>
      <c r="M60" s="2" t="inlineStr">
        <is>
          <t>S_W</t>
        </is>
      </c>
      <c r="N60" s="2" t="inlineStr">
        <is>
          <t>The high-flow ICU-acquired-infection percentage does not reconcile under nearest one-decimal rounding. The focal mismatch is within the main article.</t>
        </is>
      </c>
      <c r="O60" s="2" t="inlineStr">
        <is>
          <t>../../2018/jama.2018.14282/.ai_paper_validation/final_report_1_5_2.html</t>
        </is>
      </c>
      <c r="P60" s="2" t="inlineStr">
        <is>
          <t>2018/jama.2018.14282/.ai_paper_validation/final_report_1_5_2.md</t>
        </is>
      </c>
      <c r="Q60" s="2" t="inlineStr">
        <is>
          <t>C015</t>
        </is>
      </c>
      <c r="R60" s="2" t="inlineStr">
        <is>
          <t>Pending Human Adjudication</t>
        </is>
      </c>
      <c r="S60" s="2" t="inlineStr">
        <is>
          <t>The high-flow ICU-acquired-infection percentage does not reconcile under nearest one-decimal rounding.</t>
        </is>
      </c>
      <c r="T60" s="2" t="b">
        <v>1</v>
      </c>
      <c r="U60" s="2" t="inlineStr">
        <is>
          <t>count_percentage_rounding</t>
        </is>
      </c>
      <c r="V60" s="2" t="inlineStr">
        <is>
          <t>statistical_results</t>
        </is>
      </c>
      <c r="W60" s="2" t="inlineStr">
        <is>
          <t>High-flow ICU-acquired-infection percentage does not reconcile</t>
        </is>
      </c>
      <c r="X60" s="2" t="inlineStr">
        <is>
          <t>2018</t>
        </is>
      </c>
      <c r="Y60" s="2" t="inlineStr">
        <is>
          <t>meta_report/consistency_reclassification_2026-09-04/reclassified_candidates.json</t>
        </is>
      </c>
      <c r="Z60" s="2" t="inlineStr">
        <is>
          <t>S_W</t>
        </is>
      </c>
      <c r="AA60" s="2" t="inlineStr">
        <is>
          <t>statistical_results</t>
        </is>
      </c>
      <c r="AB60" s="2" t="inlineStr">
        <is>
          <t>retain</t>
        </is>
      </c>
    </row>
    <row r="61" ht="95" customHeight="1">
      <c r="A61" s="3" t="b">
        <v>0</v>
      </c>
      <c r="B61" s="3" t="inlineStr"/>
      <c r="C61" s="3" t="b">
        <v>0</v>
      </c>
      <c r="D61" s="3" t="inlineStr">
        <is>
          <t>Denominator, proportion, or total inconsistency</t>
        </is>
      </c>
      <c r="E61" s="3" t="b">
        <v>0</v>
      </c>
      <c r="F61" s="3" t="inlineStr">
        <is>
          <t>C016</t>
        </is>
      </c>
      <c r="G61" s="3" t="inlineStr">
        <is>
          <t>2018::jama.2018.14282::C016</t>
        </is>
      </c>
      <c r="H61" s="3" t="inlineStr"/>
      <c r="I61" s="3" t="inlineStr">
        <is>
          <t>DOC-001 Table 2 — PDF p. 5</t>
        </is>
      </c>
      <c r="J61" s="3" t="b">
        <v>0</v>
      </c>
      <c r="K61" s="3" t="inlineStr">
        <is>
          <t>jama.2018.14282</t>
        </is>
      </c>
      <c r="L61" s="3" t="inlineStr"/>
      <c r="M61" s="3" t="inlineStr">
        <is>
          <t>S_W</t>
        </is>
      </c>
      <c r="N61" s="3" t="inlineStr">
        <is>
          <t>The standard-arm hospital-mortality percentage does not reconcile under nearest one-decimal rounding. The focal mismatch is within the main article.</t>
        </is>
      </c>
      <c r="O61" s="3" t="inlineStr">
        <is>
          <t>../../2018/jama.2018.14282/.ai_paper_validation/final_report_1_5_2.html</t>
        </is>
      </c>
      <c r="P61" s="3" t="inlineStr">
        <is>
          <t>2018/jama.2018.14282/.ai_paper_validation/final_report_1_5_2.md</t>
        </is>
      </c>
      <c r="Q61" s="3" t="inlineStr">
        <is>
          <t>C016</t>
        </is>
      </c>
      <c r="R61" s="3" t="inlineStr">
        <is>
          <t>Pending Human Adjudication</t>
        </is>
      </c>
      <c r="S61" s="3" t="inlineStr">
        <is>
          <t>The standard-arm hospital-mortality percentage does not reconcile under nearest one-decimal rounding.</t>
        </is>
      </c>
      <c r="T61" s="3" t="b">
        <v>1</v>
      </c>
      <c r="U61" s="3" t="inlineStr">
        <is>
          <t>count_percentage_rounding</t>
        </is>
      </c>
      <c r="V61" s="3" t="inlineStr">
        <is>
          <t>statistical_results</t>
        </is>
      </c>
      <c r="W61" s="3" t="inlineStr">
        <is>
          <t>Standard-arm hospital-mortality percentage does not reconcile</t>
        </is>
      </c>
      <c r="X61" s="3" t="inlineStr">
        <is>
          <t>2018</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0</v>
      </c>
      <c r="B62" s="2" t="inlineStr"/>
      <c r="C62" s="2" t="b">
        <v>0</v>
      </c>
      <c r="D62" s="2" t="inlineStr">
        <is>
          <t>Cross-document numeric inconsistency</t>
        </is>
      </c>
      <c r="E62" s="2" t="b">
        <v>0</v>
      </c>
      <c r="F62" s="2" t="inlineStr">
        <is>
          <t>C017</t>
        </is>
      </c>
      <c r="G62" s="2" t="inlineStr">
        <is>
          <t>2018::jama.2018.14282::C017</t>
        </is>
      </c>
      <c r="H62" s="2" t="inlineStr"/>
      <c r="I62" s="2" t="inlineStr">
        <is>
          <t>DOC-001 abstract — PDF p. 1; DOC-001 results — PDF p. 6</t>
        </is>
      </c>
      <c r="J62" s="2" t="b">
        <v>1</v>
      </c>
      <c r="K62" s="2" t="inlineStr">
        <is>
          <t>jama.2018.14282</t>
        </is>
      </c>
      <c r="L62" s="2" t="inlineStr"/>
      <c r="M62" s="2" t="inlineStr">
        <is>
          <t>S_W</t>
        </is>
      </c>
      <c r="N62" s="2" t="inlineStr">
        <is>
          <t>The abstract and Results of the same main PDF report upper CI endpoints -0.2 and -0.3/min for the matched six-hour respiratory-rate result. The original cross-document category is a within-main repetition discrepancy.</t>
        </is>
      </c>
      <c r="O62" s="2" t="inlineStr">
        <is>
          <t>../../2018/jama.2018.14282/.ai_paper_validation/final_report_1_5_2.html</t>
        </is>
      </c>
      <c r="P62" s="2" t="inlineStr">
        <is>
          <t>2018/jama.2018.14282/.ai_paper_validation/final_report_1_5_2.md</t>
        </is>
      </c>
      <c r="Q62" s="2" t="inlineStr">
        <is>
          <t>C017</t>
        </is>
      </c>
      <c r="R62" s="2" t="inlineStr">
        <is>
          <t>Pending Human Adjudication</t>
        </is>
      </c>
      <c r="S62" s="2" t="inlineStr">
        <is>
          <t>Matched abstract and results displays give different upper 95% confidence-interval endpoints for the same six-hour respiratory-rate comparison.</t>
        </is>
      </c>
      <c r="T62" s="2" t="b">
        <v>1</v>
      </c>
      <c r="U62" s="2" t="inlineStr">
        <is>
          <t>repeated_ci_endpoint</t>
        </is>
      </c>
      <c r="V62" s="2" t="inlineStr">
        <is>
          <t>report_internal_inconsistency</t>
        </is>
      </c>
      <c r="W62" s="2" t="inlineStr">
        <is>
          <t>Respiratory-rate confidence-interval endpoint differs between matched occurrences</t>
        </is>
      </c>
      <c r="X62" s="2" t="inlineStr">
        <is>
          <t>2018</t>
        </is>
      </c>
      <c r="Y62" s="2" t="inlineStr">
        <is>
          <t>meta_report/consistency_reclassification_2026-09-04/reclassified_candidates.json</t>
        </is>
      </c>
      <c r="Z62" s="2" t="inlineStr">
        <is>
          <t>S_W</t>
        </is>
      </c>
      <c r="AA62" s="2" t="inlineStr">
        <is>
          <t>report_internal_inconsistency</t>
        </is>
      </c>
      <c r="AB62" s="2" t="inlineStr">
        <is>
          <t>retain</t>
        </is>
      </c>
    </row>
    <row r="63" ht="95" customHeight="1">
      <c r="A63" s="3" t="b">
        <v>0</v>
      </c>
      <c r="B63" s="3" t="inlineStr">
        <is>
          <t>Communication-only candidate: arithmetic reproduces under the printed overall-population context. It is not an explicit failed evidence recheck, so evidence_state remains recorded_candidate; do not describe it as a confirmed inconsistency.</t>
        </is>
      </c>
      <c r="C63" s="3" t="b">
        <v>0</v>
      </c>
      <c r="D63" s="3" t="inlineStr">
        <is>
          <t>Denominator, proportion, or total inconsistency</t>
        </is>
      </c>
      <c r="E63" s="3" t="b">
        <v>0</v>
      </c>
      <c r="F63" s="3" t="inlineStr">
        <is>
          <t>C018</t>
        </is>
      </c>
      <c r="G63" s="3" t="inlineStr">
        <is>
          <t>2018::jama.2018.14282::C018</t>
        </is>
      </c>
      <c r="H63" s="3" t="inlineStr"/>
      <c r="I63" s="3" t="inlineStr">
        <is>
          <t>DOC-001 post hoc outcomes — PDF p. 6</t>
        </is>
      </c>
      <c r="J63" s="3" t="b">
        <v>0</v>
      </c>
      <c r="K63" s="3" t="inlineStr">
        <is>
          <t>jama.2018.14282</t>
        </is>
      </c>
      <c r="L63" s="3" t="inlineStr"/>
      <c r="M63" s="3" t="inlineStr">
        <is>
          <t>S_W</t>
        </is>
      </c>
      <c r="N63" s="3"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3" t="inlineStr">
        <is>
          <t>../../2018/jama.2018.14282/.ai_paper_validation/final_report_1_5_2.html</t>
        </is>
      </c>
      <c r="P63" s="3" t="inlineStr">
        <is>
          <t>2018/jama.2018.14282/.ai_paper_validation/final_report_1_5_2.md</t>
        </is>
      </c>
      <c r="Q63" s="3" t="inlineStr">
        <is>
          <t>C018</t>
        </is>
      </c>
      <c r="R63" s="3" t="inlineStr">
        <is>
          <t>Pending Human Adjudication</t>
        </is>
      </c>
      <c r="S63" s="3" t="inlineStr">
        <is>
          <t>Arm-attributed support-needs counts are paired with overall-population percentages, creating a denominator-communication question rather than a demonstrated arithmetic error.</t>
        </is>
      </c>
      <c r="T63" s="3" t="b">
        <v>1</v>
      </c>
      <c r="U63" s="3" t="inlineStr">
        <is>
          <t>denominator_communication</t>
        </is>
      </c>
      <c r="V63" s="3" t="inlineStr">
        <is>
          <t>statistical_results</t>
        </is>
      </c>
      <c r="W63" s="3" t="inlineStr">
        <is>
          <t>Arm-attributed support-needs percentages use the overall-population denominator</t>
        </is>
      </c>
      <c r="X63" s="3" t="inlineStr">
        <is>
          <t>2018</t>
        </is>
      </c>
      <c r="Y63" s="3" t="inlineStr">
        <is>
          <t>meta_report/consistency_reclassification_2026-09-04/reclassified_candidates.json</t>
        </is>
      </c>
      <c r="Z63" s="3" t="inlineStr">
        <is>
          <t>S_W</t>
        </is>
      </c>
      <c r="AA63" s="3" t="inlineStr">
        <is>
          <t>statistical_results</t>
        </is>
      </c>
      <c r="AB63" s="3" t="inlineStr">
        <is>
          <t>retain</t>
        </is>
      </c>
    </row>
    <row r="64" ht="95" customHeight="1">
      <c r="A64" s="2" t="b">
        <v>0</v>
      </c>
      <c r="B64" s="2" t="inlineStr"/>
      <c r="C64" s="2" t="b">
        <v>0</v>
      </c>
      <c r="D64" s="2" t="inlineStr">
        <is>
          <t>Denominator, proportion, or total inconsistency</t>
        </is>
      </c>
      <c r="E64" s="2" t="b">
        <v>0</v>
      </c>
      <c r="F64" s="2" t="inlineStr">
        <is>
          <t>C019</t>
        </is>
      </c>
      <c r="G64" s="2" t="inlineStr">
        <is>
          <t>2018::jama.2018.14282::C019</t>
        </is>
      </c>
      <c r="H64" s="2" t="inlineStr"/>
      <c r="I64" s="2" t="inlineStr">
        <is>
          <t>DOC-003 eTable — PDF p. 2</t>
        </is>
      </c>
      <c r="J64" s="2" t="b">
        <v>0</v>
      </c>
      <c r="K64" s="2" t="inlineStr">
        <is>
          <t>jama.2018.14282</t>
        </is>
      </c>
      <c r="L64" s="2" t="inlineStr"/>
      <c r="M64" s="2" t="inlineStr">
        <is>
          <t>S_W</t>
        </is>
      </c>
      <c r="N64" s="2" t="inlineStr">
        <is>
          <t>The eTable high-flow invasive-mechanical-ventilation percentage does not reconcile under nearest one-decimal rounding. The focal mismatch is within one non-plan results supplement.</t>
        </is>
      </c>
      <c r="O64" s="2" t="inlineStr">
        <is>
          <t>../../2018/jama.2018.14282/.ai_paper_validation/final_report_1_5_2.html</t>
        </is>
      </c>
      <c r="P64" s="2" t="inlineStr">
        <is>
          <t>2018/jama.2018.14282/.ai_paper_validation/final_report_1_5_2.md</t>
        </is>
      </c>
      <c r="Q64" s="2" t="inlineStr">
        <is>
          <t>C019</t>
        </is>
      </c>
      <c r="R64" s="2" t="inlineStr">
        <is>
          <t>Pending Human Adjudication</t>
        </is>
      </c>
      <c r="S64" s="2" t="inlineStr">
        <is>
          <t>The eTable high-flow invasive-mechanical-ventilation percentage does not reconcile under nearest one-decimal rounding.</t>
        </is>
      </c>
      <c r="T64" s="2" t="b">
        <v>1</v>
      </c>
      <c r="U64" s="2" t="inlineStr">
        <is>
          <t>count_percentage_rounding</t>
        </is>
      </c>
      <c r="V64" s="2" t="inlineStr">
        <is>
          <t>statistical_results</t>
        </is>
      </c>
      <c r="W64" s="2" t="inlineStr">
        <is>
          <t>eTable high-flow invasive-MV percentage does not reconcile</t>
        </is>
      </c>
      <c r="X64" s="2" t="inlineStr">
        <is>
          <t>2018</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Complementary to C021 and may share a forced-total percentage-production rule; separate printed count/percentage cell, so not marked an identical duplicate.</t>
        </is>
      </c>
      <c r="C65" s="3" t="b">
        <v>0</v>
      </c>
      <c r="D65" s="3" t="inlineStr">
        <is>
          <t>Denominator, proportion, or total inconsistency</t>
        </is>
      </c>
      <c r="E65" s="3" t="b">
        <v>0</v>
      </c>
      <c r="F65" s="3" t="inlineStr">
        <is>
          <t>C020</t>
        </is>
      </c>
      <c r="G65" s="3" t="inlineStr">
        <is>
          <t>2018::jama.2018.14282::C020</t>
        </is>
      </c>
      <c r="H65" s="3" t="inlineStr"/>
      <c r="I65" s="3" t="inlineStr">
        <is>
          <t>DOC-003 eTable — PDF p. 2</t>
        </is>
      </c>
      <c r="J65" s="3" t="b">
        <v>0</v>
      </c>
      <c r="K65" s="3" t="inlineStr">
        <is>
          <t>jama.2018.14282</t>
        </is>
      </c>
      <c r="L65" s="3" t="inlineStr"/>
      <c r="M65" s="3" t="inlineStr">
        <is>
          <t>S_W</t>
        </is>
      </c>
      <c r="N65" s="3" t="inlineStr">
        <is>
          <t>The eTable standard-arm invasive-mechanical-ventilation percentage does not reconcile under nearest one-decimal rounding. The focal mismatch is within one non-plan results supplement.</t>
        </is>
      </c>
      <c r="O65" s="3" t="inlineStr">
        <is>
          <t>../../2018/jama.2018.14282/.ai_paper_validation/final_report_1_5_2.html</t>
        </is>
      </c>
      <c r="P65" s="3" t="inlineStr">
        <is>
          <t>2018/jama.2018.14282/.ai_paper_validation/final_report_1_5_2.md</t>
        </is>
      </c>
      <c r="Q65" s="3" t="inlineStr">
        <is>
          <t>C020</t>
        </is>
      </c>
      <c r="R65" s="3" t="inlineStr">
        <is>
          <t>Pending Human Adjudication</t>
        </is>
      </c>
      <c r="S65" s="3" t="inlineStr">
        <is>
          <t>The eTable standard-arm invasive-mechanical-ventilation percentage does not reconcile under nearest one-decimal rounding.</t>
        </is>
      </c>
      <c r="T65" s="3" t="b">
        <v>1</v>
      </c>
      <c r="U65" s="3" t="inlineStr">
        <is>
          <t>count_percentage_rounding</t>
        </is>
      </c>
      <c r="V65" s="3" t="inlineStr">
        <is>
          <t>statistical_results</t>
        </is>
      </c>
      <c r="W65" s="3" t="inlineStr">
        <is>
          <t>eTable standard-arm invasive-MV percentage does not reconcile</t>
        </is>
      </c>
      <c r="X65" s="3" t="inlineStr">
        <is>
          <t>2018</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Complementary to C020 and may share a forced-total percentage-production rule; separate printed count/percentage cell, so not marked an identical duplicate.</t>
        </is>
      </c>
      <c r="C66" s="2" t="b">
        <v>0</v>
      </c>
      <c r="D66" s="2" t="inlineStr">
        <is>
          <t>Denominator, proportion, or total inconsistency</t>
        </is>
      </c>
      <c r="E66" s="2" t="b">
        <v>0</v>
      </c>
      <c r="F66" s="2" t="inlineStr">
        <is>
          <t>C021</t>
        </is>
      </c>
      <c r="G66" s="2" t="inlineStr">
        <is>
          <t>2018::jama.2018.14282::C021</t>
        </is>
      </c>
      <c r="H66" s="2" t="inlineStr"/>
      <c r="I66" s="2" t="inlineStr">
        <is>
          <t>DOC-003 eTable — PDF p. 2</t>
        </is>
      </c>
      <c r="J66" s="2" t="b">
        <v>0</v>
      </c>
      <c r="K66" s="2" t="inlineStr">
        <is>
          <t>jama.2018.14282</t>
        </is>
      </c>
      <c r="L66" s="2" t="inlineStr"/>
      <c r="M66" s="2" t="inlineStr">
        <is>
          <t>S_W</t>
        </is>
      </c>
      <c r="N66" s="2" t="inlineStr">
        <is>
          <t>The eTable standard-oxygen-only percentage does not reconcile under nearest one-decimal rounding. The focal mismatch is within one non-plan results supplement.</t>
        </is>
      </c>
      <c r="O66" s="2" t="inlineStr">
        <is>
          <t>../../2018/jama.2018.14282/.ai_paper_validation/final_report_1_5_2.html</t>
        </is>
      </c>
      <c r="P66" s="2" t="inlineStr">
        <is>
          <t>2018/jama.2018.14282/.ai_paper_validation/final_report_1_5_2.md</t>
        </is>
      </c>
      <c r="Q66" s="2" t="inlineStr">
        <is>
          <t>C021</t>
        </is>
      </c>
      <c r="R66" s="2" t="inlineStr">
        <is>
          <t>Pending Human Adjudication</t>
        </is>
      </c>
      <c r="S66" s="2" t="inlineStr">
        <is>
          <t>The eTable standard-oxygen-only percentage does not reconcile under nearest one-decimal rounding.</t>
        </is>
      </c>
      <c r="T66" s="2" t="b">
        <v>1</v>
      </c>
      <c r="U66" s="2" t="inlineStr">
        <is>
          <t>count_percentage_rounding</t>
        </is>
      </c>
      <c r="V66" s="2" t="inlineStr">
        <is>
          <t>statistical_results</t>
        </is>
      </c>
      <c r="W66" s="2" t="inlineStr">
        <is>
          <t>eTable standard-oxygen-only percentage does not reconcile</t>
        </is>
      </c>
      <c r="X66" s="2" t="inlineStr">
        <is>
          <t>2018</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c r="C67" s="3" t="b">
        <v>0</v>
      </c>
      <c r="D67" s="3" t="inlineStr">
        <is>
          <t>Statistical reporting inconsistency</t>
        </is>
      </c>
      <c r="E67" s="3" t="b">
        <v>1</v>
      </c>
      <c r="F67" s="3" t="inlineStr">
        <is>
          <t>C022</t>
        </is>
      </c>
      <c r="G67" s="3" t="inlineStr">
        <is>
          <t>2018::jama.2018.14282::C022</t>
        </is>
      </c>
      <c r="H67" s="3" t="inlineStr"/>
      <c r="I67" s="3" t="inlineStr">
        <is>
          <t>DOC-001 methods — PDF p. 4; DOC-001 results — PDF p. 6; DOC-003 eFigure 1 — PDF p. 3</t>
        </is>
      </c>
      <c r="J67" s="3" t="b">
        <v>0</v>
      </c>
      <c r="K67" s="3" t="inlineStr">
        <is>
          <t>jama.2018.14282</t>
        </is>
      </c>
      <c r="L67" s="3" t="inlineStr"/>
      <c r="M67" s="3" t="inlineStr">
        <is>
          <t>S_C</t>
        </is>
      </c>
      <c r="N67" s="3" t="inlineStr">
        <is>
          <t>A matched invasive-mechanical-ventilation cumulative-incidence comparison is described with Gray testing in the main article and a log-rank label in the linked eFigure. The focal comparison is the main article versus a non-plan results supplement.</t>
        </is>
      </c>
      <c r="O67" s="3" t="inlineStr">
        <is>
          <t>../../2018/jama.2018.14282/.ai_paper_validation/final_report_1_5_2.html</t>
        </is>
      </c>
      <c r="P67" s="3" t="inlineStr">
        <is>
          <t>2018/jama.2018.14282/.ai_paper_validation/final_report_1_5_2.md</t>
        </is>
      </c>
      <c r="Q67" s="3" t="inlineStr">
        <is>
          <t>C022</t>
        </is>
      </c>
      <c r="R67" s="3" t="inlineStr">
        <is>
          <t>Pending Human Adjudication</t>
        </is>
      </c>
      <c r="S67" s="3" t="inlineStr">
        <is>
          <t>A matched invasive-mechanical-ventilation cumulative-incidence comparison is described with Gray testing in the main article and a log-rank label in the linked eFigure.</t>
        </is>
      </c>
      <c r="T67" s="3" t="b">
        <v>1</v>
      </c>
      <c r="U67" s="3" t="inlineStr">
        <is>
          <t>test_label</t>
        </is>
      </c>
      <c r="V67" s="3" t="inlineStr">
        <is>
          <t>statistical_results</t>
        </is>
      </c>
      <c r="W67" s="3" t="inlineStr">
        <is>
          <t>IMV cumulative-incidence comparison has incompatible printed test labels</t>
        </is>
      </c>
      <c r="X67" s="3" t="inlineStr">
        <is>
          <t>2018</t>
        </is>
      </c>
      <c r="Y67" s="3" t="inlineStr">
        <is>
          <t>meta_report/consistency_reclassification_2026-09-04/reclassified_candidates.json</t>
        </is>
      </c>
      <c r="Z67" s="3" t="inlineStr">
        <is>
          <t>S_C</t>
        </is>
      </c>
      <c r="AA67" s="3" t="inlineStr">
        <is>
          <t>statistical_results</t>
        </is>
      </c>
      <c r="AB67" s="3" t="inlineStr">
        <is>
          <t>retain</t>
        </is>
      </c>
    </row>
    <row r="68" ht="95" customHeight="1">
      <c r="A68" s="2" t="b">
        <v>0</v>
      </c>
      <c r="B68" s="2" t="inlineStr">
        <is>
          <t>Figure reference group is not defined. Recheck rejects exact reciprocal agreement from all rounded values, while preserving near-reciprocal orientation compatible with hidden precision; this is not a wholly non-reproduced candidate.</t>
        </is>
      </c>
      <c r="C68" s="2" t="b">
        <v>0</v>
      </c>
      <c r="D68" s="2" t="inlineStr">
        <is>
          <t>Measure, label, or scale inconsistency</t>
        </is>
      </c>
      <c r="E68" s="2" t="b">
        <v>0</v>
      </c>
      <c r="F68" s="2" t="inlineStr">
        <is>
          <t>C023</t>
        </is>
      </c>
      <c r="G68" s="2" t="inlineStr">
        <is>
          <t>2018::jama.2018.14282::C023</t>
        </is>
      </c>
      <c r="H68" s="2" t="inlineStr"/>
      <c r="I68" s="2" t="inlineStr">
        <is>
          <t>DOC-001 Table 2 and narrative — PDF p. 5; DOC-001 Figure 3A — PDF p. 7</t>
        </is>
      </c>
      <c r="J68" s="2" t="b">
        <v>0</v>
      </c>
      <c r="K68" s="2" t="inlineStr">
        <is>
          <t>jama.2018.14282</t>
        </is>
      </c>
      <c r="L68" s="2" t="inlineStr"/>
      <c r="M68" s="2" t="inlineStr">
        <is>
          <t>S_W</t>
        </is>
      </c>
      <c r="N68" s="2" t="inlineStr">
        <is>
          <t>Figure 3A mortality HRs are near reciprocals of the matched Table 2/narrative HRs under favor labels, but the figure reference group is not printed. The focal mismatch is within the main article.</t>
        </is>
      </c>
      <c r="O68" s="2" t="inlineStr">
        <is>
          <t>../../2018/jama.2018.14282/.ai_paper_validation/final_report_1_5_2.html</t>
        </is>
      </c>
      <c r="P68" s="2" t="inlineStr">
        <is>
          <t>2018/jama.2018.14282/.ai_paper_validation/final_report_1_5_2.md</t>
        </is>
      </c>
      <c r="Q68" s="2" t="inlineStr">
        <is>
          <t>C023</t>
        </is>
      </c>
      <c r="R68" s="2" t="inlineStr">
        <is>
          <t>Pending Human Adjudication</t>
        </is>
      </c>
      <c r="S68" s="2" t="inlineStr">
        <is>
          <t>Figure 3A mortality HRs are near reciprocals of the matched Table 2/narrative HRs under favor labels, but the figure reference group is not printed.</t>
        </is>
      </c>
      <c r="T68" s="2" t="b">
        <v>1</v>
      </c>
      <c r="U68" s="2" t="inlineStr">
        <is>
          <t>hr_orientation</t>
        </is>
      </c>
      <c r="V68" s="2" t="inlineStr">
        <is>
          <t>report_internal_inconsistency</t>
        </is>
      </c>
      <c r="W68" s="2" t="inlineStr">
        <is>
          <t>Figure 3A mortality HR has a near-reciprocal orientation relative to Table 2</t>
        </is>
      </c>
      <c r="X68" s="2" t="inlineStr">
        <is>
          <t>2018</t>
        </is>
      </c>
      <c r="Y68" s="2" t="inlineStr">
        <is>
          <t>meta_report/consistency_reclassification_2026-09-04/reclassified_candidates.json</t>
        </is>
      </c>
      <c r="Z68" s="2" t="inlineStr">
        <is>
          <t>S_W</t>
        </is>
      </c>
      <c r="AA68" s="2" t="inlineStr">
        <is>
          <t>report_internal_inconsistency</t>
        </is>
      </c>
      <c r="AB68" s="2" t="inlineStr">
        <is>
          <t>retain</t>
        </is>
      </c>
    </row>
    <row r="69" ht="95" customHeight="1">
      <c r="A69" s="3" t="b">
        <v>0</v>
      </c>
      <c r="B69" s="3" t="inlineStr">
        <is>
          <t>Figure reference group is not defined. Recheck rejects exact reciprocal agreement from all rounded values, while preserving near-reciprocal orientation compatible with hidden precision; this is not a wholly non-reproduced candidate.</t>
        </is>
      </c>
      <c r="C69" s="3" t="b">
        <v>0</v>
      </c>
      <c r="D69" s="3" t="inlineStr">
        <is>
          <t>Measure, label, or scale inconsistency</t>
        </is>
      </c>
      <c r="E69" s="3" t="b">
        <v>0</v>
      </c>
      <c r="F69" s="3" t="inlineStr">
        <is>
          <t>C024</t>
        </is>
      </c>
      <c r="G69" s="3" t="inlineStr">
        <is>
          <t>2018::jama.2018.14282::C024</t>
        </is>
      </c>
      <c r="H69" s="3" t="inlineStr"/>
      <c r="I69" s="3" t="inlineStr">
        <is>
          <t>DOC-001 Table 2 — PDF p. 5; DOC-001 narrative — PDF p. 6; DOC-001 Figure 3B — PDF p. 7</t>
        </is>
      </c>
      <c r="J69" s="3" t="b">
        <v>0</v>
      </c>
      <c r="K69" s="3" t="inlineStr">
        <is>
          <t>jama.2018.14282</t>
        </is>
      </c>
      <c r="L69" s="3" t="inlineStr"/>
      <c r="M69" s="3" t="inlineStr">
        <is>
          <t>S_W</t>
        </is>
      </c>
      <c r="N69" s="3" t="inlineStr">
        <is>
          <t>Figure 3B IMV HRs are near reciprocals of the matched Table 2/narrative cause-specific HRs under favor labels, but figure reference/estimand definition is not printed. The focal mismatch is within the main article.</t>
        </is>
      </c>
      <c r="O69" s="3" t="inlineStr">
        <is>
          <t>../../2018/jama.2018.14282/.ai_paper_validation/final_report_1_5_2.html</t>
        </is>
      </c>
      <c r="P69" s="3" t="inlineStr">
        <is>
          <t>2018/jama.2018.14282/.ai_paper_validation/final_report_1_5_2.md</t>
        </is>
      </c>
      <c r="Q69" s="3" t="inlineStr">
        <is>
          <t>C024</t>
        </is>
      </c>
      <c r="R69" s="3" t="inlineStr">
        <is>
          <t>Pending Human Adjudication</t>
        </is>
      </c>
      <c r="S69" s="3" t="inlineStr">
        <is>
          <t>Figure 3B IMV HRs are near reciprocals of the matched Table 2/narrative cause-specific HRs under favor labels, but figure reference/estimand definition is not printed.</t>
        </is>
      </c>
      <c r="T69" s="3" t="b">
        <v>1</v>
      </c>
      <c r="U69" s="3" t="inlineStr">
        <is>
          <t>hr_orientation</t>
        </is>
      </c>
      <c r="V69" s="3" t="inlineStr">
        <is>
          <t>report_internal_inconsistency</t>
        </is>
      </c>
      <c r="W69" s="3" t="inlineStr">
        <is>
          <t>Figure 3B IMV HR has a near-reciprocal orientation relative to Table 2</t>
        </is>
      </c>
      <c r="X69" s="3" t="inlineStr">
        <is>
          <t>2018</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Boundary decision: S_W only; the plan comparison supports the internal total error. An unreported earlier unequal target remains possible.</t>
        </is>
      </c>
      <c r="C70" s="2" t="b">
        <v>0</v>
      </c>
      <c r="D70" s="2" t="inlineStr">
        <is>
          <t>Numeric or arithmetic inconsistency</t>
        </is>
      </c>
      <c r="E70" s="2" t="b">
        <v>0</v>
      </c>
      <c r="F70" s="2" t="inlineStr">
        <is>
          <t>C025</t>
        </is>
      </c>
      <c r="G70" s="2" t="inlineStr">
        <is>
          <t>2018::jama.2018.14282::C025</t>
        </is>
      </c>
      <c r="H70" s="2" t="inlineStr"/>
      <c r="I70" s="2" t="inlineStr">
        <is>
          <t>DOC-001 — PDF p. 3; DOC-002 completed published-protocol abstract sentence — PDF p. 91; DOC-002 statistical-plan comparator — PDF p. 103</t>
        </is>
      </c>
      <c r="J70" s="2" t="b">
        <v>0</v>
      </c>
      <c r="K70" s="2" t="inlineStr">
        <is>
          <t>jama.2018.14282</t>
        </is>
      </c>
      <c r="L70" s="2" t="inlineStr"/>
      <c r="M70" s="2" t="inlineStr">
        <is>
          <t>S_W</t>
        </is>
      </c>
      <c r="N70" s="2" t="inlineStr">
        <is>
          <t>The main article states 779 patients with 389 in each of two arms, internally contradicting 389+389=778. The protocol/SAP 778 total corroborates that arithmetic; it is not counted as a separate implemented-versus-planned sample-size departure.</t>
        </is>
      </c>
      <c r="O70" s="2" t="inlineStr">
        <is>
          <t>../../2018/jama.2018.14282/.ai_paper_validation/final_report_1_5_2.html</t>
        </is>
      </c>
      <c r="P70" s="2" t="inlineStr">
        <is>
          <t>2018/jama.2018.14282/.ai_paper_validation/final_report_1_5_2.md</t>
        </is>
      </c>
      <c r="Q70" s="2" t="inlineStr">
        <is>
          <t>C025</t>
        </is>
      </c>
      <c r="R70" s="2" t="inlineStr">
        <is>
          <t>Pending Human Adjudication</t>
        </is>
      </c>
      <c r="S70" s="2" t="inlineStr">
        <is>
          <t>The main article's revised-superiority total of 779 conflicts with two stated 389-person groups and the matched protocol/SAP total of 778.</t>
        </is>
      </c>
      <c r="T70" s="2" t="b">
        <v>1</v>
      </c>
      <c r="U70" s="2" t="inlineStr">
        <is>
          <t>sample_size_sum</t>
        </is>
      </c>
      <c r="V70" s="2" t="inlineStr">
        <is>
          <t>statistical_results</t>
        </is>
      </c>
      <c r="W70" s="2" t="inlineStr">
        <is>
          <t>Revised-superiority sample-size total conflicts with equal arm counts</t>
        </is>
      </c>
      <c r="X70" s="2" t="inlineStr">
        <is>
          <t>2018</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c r="C71" s="3" t="b">
        <v>1</v>
      </c>
      <c r="D71" s="3" t="inlineStr">
        <is>
          <t>Statistical reporting inconsistency</t>
        </is>
      </c>
      <c r="E71" s="3" t="b">
        <v>0</v>
      </c>
      <c r="F71" s="3" t="inlineStr">
        <is>
          <t>C026</t>
        </is>
      </c>
      <c r="G71" s="3" t="inlineStr">
        <is>
          <t>2018::jama.2018.14282::C026</t>
        </is>
      </c>
      <c r="H71" s="3" t="inlineStr"/>
      <c r="I71" s="3" t="inlineStr">
        <is>
          <t>DOC-002 Figure 4 — PDF p. 40; DOC-002 — PDF p. 42</t>
        </is>
      </c>
      <c r="J71" s="3" t="b">
        <v>0</v>
      </c>
      <c r="K71" s="3" t="inlineStr">
        <is>
          <t>jama.2018.14282</t>
        </is>
      </c>
      <c r="L71" s="3" t="inlineStr"/>
      <c r="M71" s="3" t="inlineStr">
        <is>
          <t>P_P</t>
        </is>
      </c>
      <c r="N71" s="3"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3" t="inlineStr">
        <is>
          <t>../../2018/jama.2018.14282/.ai_paper_validation/final_report_1_5_2.html</t>
        </is>
      </c>
      <c r="P71" s="3" t="inlineStr">
        <is>
          <t>2018/jama.2018.14282/.ai_paper_validation/final_report_1_5_2.md</t>
        </is>
      </c>
      <c r="Q71" s="3" t="inlineStr">
        <is>
          <t>C026</t>
        </is>
      </c>
      <c r="R71" s="3" t="inlineStr">
        <is>
          <t>Pending Human Adjudication</t>
        </is>
      </c>
      <c r="S71" s="3" t="inlineStr">
        <is>
          <t>Noninferiority wording uses a positive less than 9% lower-bound statement that is not reconciled with the negative-side margin on a new-treatment-minus-active-control axis.</t>
        </is>
      </c>
      <c r="T71" s="3" t="b">
        <v>0</v>
      </c>
      <c r="U71" s="3" t="inlineStr">
        <is>
          <t>noninferiority_margin_sign</t>
        </is>
      </c>
      <c r="V71" s="3" t="inlineStr">
        <is>
          <t>plan_material</t>
        </is>
      </c>
      <c r="W71" s="3" t="inlineStr">
        <is>
          <t>Noninferiority bound/sign wording conflicts with its explanatory axis</t>
        </is>
      </c>
      <c r="X71" s="3" t="inlineStr">
        <is>
          <t>2018</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1</v>
      </c>
      <c r="D72" s="2" t="inlineStr">
        <is>
          <t>Measure, label, or scale inconsistency</t>
        </is>
      </c>
      <c r="E72" s="2" t="b">
        <v>0</v>
      </c>
      <c r="F72" s="2" t="inlineStr">
        <is>
          <t>C027</t>
        </is>
      </c>
      <c r="G72" s="2" t="inlineStr">
        <is>
          <t>2018::jama.2018.14282::C027</t>
        </is>
      </c>
      <c r="H72" s="2" t="inlineStr"/>
      <c r="I72" s="2" t="inlineStr">
        <is>
          <t>DOC-002 — PDF p. 52; DOC-002 — PDF p. 104</t>
        </is>
      </c>
      <c r="J72" s="2" t="b">
        <v>0</v>
      </c>
      <c r="K72" s="2" t="inlineStr">
        <is>
          <t>jama.2018.14282</t>
        </is>
      </c>
      <c r="L72" s="2" t="inlineStr"/>
      <c r="M72" s="2" t="inlineStr">
        <is>
          <t>P_P</t>
        </is>
      </c>
      <c r="N72" s="2"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 t="inlineStr">
        <is>
          <t>../../2018/jama.2018.14282/.ai_paper_validation/final_report_1_5_2.html</t>
        </is>
      </c>
      <c r="P72" s="2" t="inlineStr">
        <is>
          <t>2018/jama.2018.14282/.ai_paper_validation/final_report_1_5_2.md</t>
        </is>
      </c>
      <c r="Q72" s="2" t="inlineStr">
        <is>
          <t>C027</t>
        </is>
      </c>
      <c r="R72" s="2" t="inlineStr">
        <is>
          <t>Pending Human Adjudication</t>
        </is>
      </c>
      <c r="S72" s="2" t="inlineStr">
        <is>
          <t>Primary-hypothesis sentences label the intervention NIV while adjacent and repeated plan wording identifies HFNO as the experimental intervention.</t>
        </is>
      </c>
      <c r="T72" s="2" t="b">
        <v>0</v>
      </c>
      <c r="U72" s="2" t="inlineStr">
        <is>
          <t>planned_intervention_label</t>
        </is>
      </c>
      <c r="V72" s="2" t="inlineStr">
        <is>
          <t>plan_material</t>
        </is>
      </c>
      <c r="W72" s="2" t="inlineStr">
        <is>
          <t>Primary-hypothesis intervention is labelled NIV while plans identify HFNO</t>
        </is>
      </c>
      <c r="X72" s="2" t="inlineStr">
        <is>
          <t>2018</t>
        </is>
      </c>
      <c r="Y72" s="2" t="inlineStr">
        <is>
          <t>meta_report/consistency_reclassification_2026-09-04/reclassified_candidates.json</t>
        </is>
      </c>
      <c r="Z72" s="2" t="inlineStr">
        <is>
          <t>P_P</t>
        </is>
      </c>
      <c r="AA72" s="2" t="inlineStr">
        <is>
          <t>plan_material</t>
        </is>
      </c>
      <c r="AB72" s="2" t="inlineStr">
        <is>
          <t>retain</t>
        </is>
      </c>
    </row>
    <row r="73" ht="95" customHeight="1">
      <c r="A73" s="3" t="b">
        <v>0</v>
      </c>
      <c r="B73" s="3" t="inlineStr"/>
      <c r="C73" s="3" t="b">
        <v>1</v>
      </c>
      <c r="D73" s="3" t="inlineStr">
        <is>
          <t>Measure, label, or scale inconsistency</t>
        </is>
      </c>
      <c r="E73" s="3" t="b">
        <v>0</v>
      </c>
      <c r="F73" s="3" t="inlineStr">
        <is>
          <t>C028</t>
        </is>
      </c>
      <c r="G73" s="3" t="inlineStr">
        <is>
          <t>2018::jama.2018.14282::C028</t>
        </is>
      </c>
      <c r="H73" s="3" t="inlineStr"/>
      <c r="I73" s="3" t="inlineStr">
        <is>
          <t>DOC-002 — PDF p. 54; DOC-002 — PDF p. 82; DOC-002 — PDF p. 104</t>
        </is>
      </c>
      <c r="J73" s="3" t="b">
        <v>0</v>
      </c>
      <c r="K73" s="3" t="inlineStr">
        <is>
          <t>jama.2018.14282</t>
        </is>
      </c>
      <c r="L73" s="3" t="inlineStr"/>
      <c r="M73" s="3" t="inlineStr">
        <is>
          <t>P_P</t>
        </is>
      </c>
      <c r="N73" s="3"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3" t="inlineStr">
        <is>
          <t>../../2018/jama.2018.14282/.ai_paper_validation/final_report_1_5_2.html</t>
        </is>
      </c>
      <c r="P73" s="3" t="inlineStr">
        <is>
          <t>2018/jama.2018.14282/.ai_paper_validation/final_report_1_5_2.md</t>
        </is>
      </c>
      <c r="Q73" s="3" t="inlineStr">
        <is>
          <t>C028</t>
        </is>
      </c>
      <c r="R73" s="3" t="inlineStr">
        <is>
          <t>Pending Human Adjudication</t>
        </is>
      </c>
      <c r="S73" s="3" t="inlineStr">
        <is>
          <t>Plan passages classify patients by day-28 vital status but then specify a relative risk of hospital death without explicitly equating the endpoints.</t>
        </is>
      </c>
      <c r="T73" s="3" t="b">
        <v>0</v>
      </c>
      <c r="U73" s="3" t="inlineStr">
        <is>
          <t>planned_endpoint_horizon</t>
        </is>
      </c>
      <c r="V73" s="3" t="inlineStr">
        <is>
          <t>plan_material</t>
        </is>
      </c>
      <c r="W73" s="3" t="inlineStr">
        <is>
          <t>Planned primary outcome alternates between day-28 vital status and hospital death</t>
        </is>
      </c>
      <c r="X73" s="3" t="inlineStr">
        <is>
          <t>2018</t>
        </is>
      </c>
      <c r="Y73" s="3" t="inlineStr">
        <is>
          <t>meta_report/consistency_reclassification_2026-09-04/reclassified_candidates.json</t>
        </is>
      </c>
      <c r="Z73" s="3" t="inlineStr">
        <is>
          <t>P_P</t>
        </is>
      </c>
      <c r="AA73" s="3" t="inlineStr">
        <is>
          <t>plan_material</t>
        </is>
      </c>
      <c r="AB73" s="3" t="inlineStr">
        <is>
          <t>retain</t>
        </is>
      </c>
    </row>
    <row r="74" ht="95" customHeight="1">
      <c r="A74" s="2" t="b">
        <v>0</v>
      </c>
      <c r="B74" s="2" t="inlineStr"/>
      <c r="C74" s="2" t="b">
        <v>0</v>
      </c>
      <c r="D74" s="2" t="inlineStr">
        <is>
          <t>Numeric or arithmetic inconsistency</t>
        </is>
      </c>
      <c r="E74" s="2" t="b">
        <v>0</v>
      </c>
      <c r="F74" s="2" t="inlineStr">
        <is>
          <t>C001</t>
        </is>
      </c>
      <c r="G74" s="2" t="inlineStr">
        <is>
          <t>2018::jama.2018.17075::C001</t>
        </is>
      </c>
      <c r="H74" s="2" t="inlineStr"/>
      <c r="I74" s="2" t="inlineStr">
        <is>
          <t>jama_cooper_2018_oi_180132.pdf — PDF p. 5, Table 1, normothermia Injury Severity Score.</t>
        </is>
      </c>
      <c r="J74" s="2" t="b">
        <v>0</v>
      </c>
      <c r="K74" s="2" t="inlineStr">
        <is>
          <t>jama.2018.17075</t>
        </is>
      </c>
      <c r="L74" s="2" t="inlineStr"/>
      <c r="M74" s="2" t="inlineStr">
        <is>
          <t>S_W</t>
        </is>
      </c>
      <c r="N74" s="2" t="inlineStr">
        <is>
          <t>The normothermia Injury Severity Score median is lower than the lower endpoint of its printed IQR. The focal mismatch is within the main article.</t>
        </is>
      </c>
      <c r="O74" s="2" t="inlineStr">
        <is>
          <t>../../2018/jama.2018.17075/.ai_paper_validation/final_report_1_5_2.html</t>
        </is>
      </c>
      <c r="P74" s="2" t="inlineStr">
        <is>
          <t>2018/jama.2018.17075/.ai_paper_validation/final_report_1_5_2.md</t>
        </is>
      </c>
      <c r="Q74" s="2" t="inlineStr">
        <is>
          <t>C001</t>
        </is>
      </c>
      <c r="R74" s="2" t="inlineStr">
        <is>
          <t>Pending Human Adjudication</t>
        </is>
      </c>
      <c r="S74" s="2" t="inlineStr">
        <is>
          <t>The normothermia Injury Severity Score median is lower than the lower endpoint of its printed IQR.</t>
        </is>
      </c>
      <c r="T74" s="2" t="b">
        <v>1</v>
      </c>
      <c r="U74" s="2" t="inlineStr">
        <is>
          <t>median_iqr_order</t>
        </is>
      </c>
      <c r="V74" s="2" t="inlineStr">
        <is>
          <t>statistical_results</t>
        </is>
      </c>
      <c r="W74" s="2" t="inlineStr">
        <is>
          <t>Normothermia Injury Severity Score median is below its printed IQR lower endpoint</t>
        </is>
      </c>
      <c r="X74" s="2" t="inlineStr">
        <is>
          <t>2018</t>
        </is>
      </c>
      <c r="Y74" s="2" t="inlineStr">
        <is>
          <t>meta_report/consistency_reclassification_2026-09-04/reclassified_candidates.json</t>
        </is>
      </c>
      <c r="Z74" s="2" t="inlineStr">
        <is>
          <t>S_W</t>
        </is>
      </c>
      <c r="AA74" s="2" t="inlineStr">
        <is>
          <t>statistical_results</t>
        </is>
      </c>
      <c r="AB74" s="2" t="inlineStr">
        <is>
          <t>retain</t>
        </is>
      </c>
    </row>
    <row r="75" ht="95" customHeight="1">
      <c r="A75" s="3" t="b">
        <v>0</v>
      </c>
      <c r="B75" s="3" t="inlineStr"/>
      <c r="C75" s="3" t="b">
        <v>0</v>
      </c>
      <c r="D75" s="3" t="inlineStr">
        <is>
          <t>Cross-document numeric inconsistency</t>
        </is>
      </c>
      <c r="E75" s="3" t="b">
        <v>0</v>
      </c>
      <c r="F75" s="3" t="inlineStr">
        <is>
          <t>C002</t>
        </is>
      </c>
      <c r="G75" s="3" t="inlineStr">
        <is>
          <t>2018::jama.2018.17075::C002</t>
        </is>
      </c>
      <c r="H75" s="3" t="inlineStr"/>
      <c r="I75" s="3" t="inlineStr">
        <is>
          <t>jama_cooper_2018_oi_180132.pdf — PDF p. 1, abstract Results; PDF p. 5, Primary Outcome Results; PDF p. 7, Table 2 favorable outcome.</t>
        </is>
      </c>
      <c r="J75" s="3" t="b">
        <v>1</v>
      </c>
      <c r="K75" s="3" t="inlineStr">
        <is>
          <t>jama.2018.17075</t>
        </is>
      </c>
      <c r="L75" s="3" t="inlineStr"/>
      <c r="M75" s="3" t="inlineStr">
        <is>
          <t>S_W</t>
        </is>
      </c>
      <c r="N75" s="3" t="inlineStr">
        <is>
          <t>The abstract prints a positive primary risk difference while matched Results and Table 2 locations print a negative risk difference with the same displayed counts and CI. The focal mismatch is within the main article.</t>
        </is>
      </c>
      <c r="O75" s="3" t="inlineStr">
        <is>
          <t>../../2018/jama.2018.17075/.ai_paper_validation/final_report_1_5_2.html</t>
        </is>
      </c>
      <c r="P75" s="3" t="inlineStr">
        <is>
          <t>2018/jama.2018.17075/.ai_paper_validation/final_report_1_5_2.md</t>
        </is>
      </c>
      <c r="Q75" s="3" t="inlineStr">
        <is>
          <t>C002</t>
        </is>
      </c>
      <c r="R75" s="3" t="inlineStr">
        <is>
          <t>Pending Human Adjudication</t>
        </is>
      </c>
      <c r="S75" s="3" t="inlineStr">
        <is>
          <t>The abstract prints a positive primary risk difference while matched Results and Table 2 locations print a negative risk difference with the same displayed counts and CI.</t>
        </is>
      </c>
      <c r="T75" s="3" t="b">
        <v>1</v>
      </c>
      <c r="U75" s="3" t="inlineStr">
        <is>
          <t>repeated_effect_sign</t>
        </is>
      </c>
      <c r="V75" s="3" t="inlineStr">
        <is>
          <t>report_internal_inconsistency</t>
        </is>
      </c>
      <c r="W75" s="3" t="inlineStr">
        <is>
          <t>Primary risk difference has opposite signs in matched main-article locations</t>
        </is>
      </c>
      <c r="X75" s="3" t="inlineStr">
        <is>
          <t>2018</t>
        </is>
      </c>
      <c r="Y75" s="3" t="inlineStr">
        <is>
          <t>meta_report/consistency_reclassification_2026-09-04/reclassified_candidates.json</t>
        </is>
      </c>
      <c r="Z75" s="3" t="inlineStr">
        <is>
          <t>S_W</t>
        </is>
      </c>
      <c r="AA75" s="3" t="inlineStr">
        <is>
          <t>report_internal_inconsistency</t>
        </is>
      </c>
      <c r="AB75" s="3" t="inlineStr">
        <is>
          <t>retain</t>
        </is>
      </c>
    </row>
    <row r="76" ht="95" customHeight="1">
      <c r="A76" s="2" t="b">
        <v>0</v>
      </c>
      <c r="B76" s="2" t="inlineStr">
        <is>
          <t>Mixed main-versus-results-supplement P-value mismatch and within-main RR/count incompatibility. Adjacent intra-/extracranial bleeding rows may have swapped effect tokens, but they are distinct outcomes and are not merged as duplicate IDs.</t>
        </is>
      </c>
      <c r="C76" s="2" t="b">
        <v>0</v>
      </c>
      <c r="D76" s="2" t="inlineStr">
        <is>
          <t>Statistical reporting inconsistency</t>
        </is>
      </c>
      <c r="E76" s="2" t="b">
        <v>1</v>
      </c>
      <c r="F76" s="2" t="inlineStr">
        <is>
          <t>C003</t>
        </is>
      </c>
      <c r="G76" s="2" t="inlineStr">
        <is>
          <t>2018::jama.2018.17075::C003</t>
        </is>
      </c>
      <c r="H76" s="2" t="inlineStr"/>
      <c r="I76" s="2" t="inlineStr">
        <is>
          <t>jama_cooper_2018_oi_180132.pdf — PDF p. 7, Table 2, new or increased intracranial bleeding; joi180132supp2_prod.pdf — PDF p. 10, eTable 6, same outcome; jama_cooper_2018_oi_180132.pdf — PDF p. 3, Statistical Analysis.</t>
        </is>
      </c>
      <c r="J76" s="2" t="b">
        <v>0</v>
      </c>
      <c r="K76" s="2" t="inlineStr">
        <is>
          <t>jama.2018.17075</t>
        </is>
      </c>
      <c r="L76" s="2" t="inlineStr"/>
      <c r="M76" s="2" t="inlineStr">
        <is>
          <t>S_C</t>
        </is>
      </c>
      <c r="N76" s="2" t="inlineStr">
        <is>
          <t>The intracranial-bleeding Table 2 RR/CI/P display conflicts with its printed counts and with the matched supplement P value. The focal comparison is the main article versus a non-plan results supplement.</t>
        </is>
      </c>
      <c r="O76" s="2" t="inlineStr">
        <is>
          <t>../../2018/jama.2018.17075/.ai_paper_validation/final_report_1_5_2.html</t>
        </is>
      </c>
      <c r="P76" s="2" t="inlineStr">
        <is>
          <t>2018/jama.2018.17075/.ai_paper_validation/final_report_1_5_2.md</t>
        </is>
      </c>
      <c r="Q76" s="2" t="inlineStr">
        <is>
          <t>C003</t>
        </is>
      </c>
      <c r="R76" s="2" t="inlineStr">
        <is>
          <t>Pending Human Adjudication</t>
        </is>
      </c>
      <c r="S76" s="2" t="inlineStr">
        <is>
          <t>The intracranial-bleeding Table 2 RR/CI/P display conflicts with its printed counts and with the matched supplement P value.</t>
        </is>
      </c>
      <c r="T76" s="2" t="b">
        <v>1</v>
      </c>
      <c r="U76" s="2" t="inlineStr">
        <is>
          <t>bleeding_effect_and_p_attachment</t>
        </is>
      </c>
      <c r="V76" s="2" t="inlineStr">
        <is>
          <t>statistical_results</t>
        </is>
      </c>
      <c r="W76" s="2" t="inlineStr">
        <is>
          <t>Intracranial-bleeding effect and P-value reporting conflicts with matched evidence</t>
        </is>
      </c>
      <c r="X76" s="2" t="inlineStr">
        <is>
          <t>2018</t>
        </is>
      </c>
      <c r="Y76" s="2" t="inlineStr">
        <is>
          <t>meta_report/consistency_reclassification_2026-09-04/reclassified_candidates.json</t>
        </is>
      </c>
      <c r="Z76" s="2" t="inlineStr">
        <is>
          <t>S_C</t>
        </is>
      </c>
      <c r="AA76" s="2" t="inlineStr">
        <is>
          <t>statistical_results</t>
        </is>
      </c>
      <c r="AB76" s="2" t="inlineStr">
        <is>
          <t>retain</t>
        </is>
      </c>
    </row>
    <row r="77" ht="95" customHeight="1">
      <c r="A77" s="3" t="b">
        <v>0</v>
      </c>
      <c r="B77" s="3" t="inlineStr">
        <is>
          <t>Mixed main-versus-results-supplement P-value mismatch and within-main RR/count incompatibility. Adjacent intra-/extracranial bleeding rows may have swapped effect tokens, but they are distinct outcomes and are not merged as duplicate IDs.</t>
        </is>
      </c>
      <c r="C77" s="3" t="b">
        <v>0</v>
      </c>
      <c r="D77" s="3" t="inlineStr">
        <is>
          <t>Statistical reporting inconsistency</t>
        </is>
      </c>
      <c r="E77" s="3" t="b">
        <v>1</v>
      </c>
      <c r="F77" s="3" t="inlineStr">
        <is>
          <t>C004</t>
        </is>
      </c>
      <c r="G77" s="3" t="inlineStr">
        <is>
          <t>2018::jama.2018.17075::C004</t>
        </is>
      </c>
      <c r="H77" s="3" t="inlineStr"/>
      <c r="I77" s="3" t="inlineStr">
        <is>
          <t>jama_cooper_2018_oi_180132.pdf — PDF p. 7, Table 2, new significant extracranial bleeding; joi180132supp2_prod.pdf — PDF p. 10, eTable 6, same outcome; jama_cooper_2018_oi_180132.pdf — PDF p. 3, Statistical Analysis.</t>
        </is>
      </c>
      <c r="J77" s="3" t="b">
        <v>0</v>
      </c>
      <c r="K77" s="3" t="inlineStr">
        <is>
          <t>jama.2018.17075</t>
        </is>
      </c>
      <c r="L77" s="3" t="inlineStr"/>
      <c r="M77" s="3" t="inlineStr">
        <is>
          <t>S_C</t>
        </is>
      </c>
      <c r="N77" s="3" t="inlineStr">
        <is>
          <t>The extracranial-bleeding Table 2 RR/CI/P display conflicts with its printed counts and with the matched supplement P value. The focal comparison is the main article versus a non-plan results supplement.</t>
        </is>
      </c>
      <c r="O77" s="3" t="inlineStr">
        <is>
          <t>../../2018/jama.2018.17075/.ai_paper_validation/final_report_1_5_2.html</t>
        </is>
      </c>
      <c r="P77" s="3" t="inlineStr">
        <is>
          <t>2018/jama.2018.17075/.ai_paper_validation/final_report_1_5_2.md</t>
        </is>
      </c>
      <c r="Q77" s="3" t="inlineStr">
        <is>
          <t>C004</t>
        </is>
      </c>
      <c r="R77" s="3" t="inlineStr">
        <is>
          <t>Pending Human Adjudication</t>
        </is>
      </c>
      <c r="S77" s="3" t="inlineStr">
        <is>
          <t>The extracranial-bleeding Table 2 RR/CI/P display conflicts with its printed counts and with the matched supplement P value.</t>
        </is>
      </c>
      <c r="T77" s="3" t="b">
        <v>1</v>
      </c>
      <c r="U77" s="3" t="inlineStr">
        <is>
          <t>bleeding_effect_and_p_attachment</t>
        </is>
      </c>
      <c r="V77" s="3" t="inlineStr">
        <is>
          <t>statistical_results</t>
        </is>
      </c>
      <c r="W77" s="3" t="inlineStr">
        <is>
          <t>Extracranial-bleeding effect and P-value reporting conflicts with matched evidence</t>
        </is>
      </c>
      <c r="X77" s="3" t="inlineStr">
        <is>
          <t>2018</t>
        </is>
      </c>
      <c r="Y77" s="3" t="inlineStr">
        <is>
          <t>meta_report/consistency_reclassification_2026-09-04/reclassified_candidates.json</t>
        </is>
      </c>
      <c r="Z77" s="3" t="inlineStr">
        <is>
          <t>S_C</t>
        </is>
      </c>
      <c r="AA77" s="3" t="inlineStr">
        <is>
          <t>statistical_results</t>
        </is>
      </c>
      <c r="AB77" s="3" t="inlineStr">
        <is>
          <t>retain</t>
        </is>
      </c>
    </row>
    <row r="78" ht="95" customHeight="1">
      <c r="A78" s="2" t="b">
        <v>0</v>
      </c>
      <c r="B78" s="2" t="inlineStr"/>
      <c r="C78" s="2" t="b">
        <v>0</v>
      </c>
      <c r="D78" s="2" t="inlineStr">
        <is>
          <t>Measure, label, or scale inconsistency</t>
        </is>
      </c>
      <c r="E78" s="2" t="b">
        <v>0</v>
      </c>
      <c r="F78" s="2" t="inlineStr">
        <is>
          <t>C005</t>
        </is>
      </c>
      <c r="G78" s="2" t="inlineStr">
        <is>
          <t>2018::jama.2018.17075::C005</t>
        </is>
      </c>
      <c r="H78" s="2" t="inlineStr"/>
      <c r="I78" s="2" t="inlineStr">
        <is>
          <t>joi180132supp2_prod.pdf — PDF p. 18, eTable 10, CT Marshall classification, evacuated mass lesion V, normothermia.</t>
        </is>
      </c>
      <c r="J78" s="2" t="b">
        <v>0</v>
      </c>
      <c r="K78" s="2" t="inlineStr">
        <is>
          <t>jama.2018.17075</t>
        </is>
      </c>
      <c r="L78" s="2" t="inlineStr"/>
      <c r="M78" s="2" t="inlineStr">
        <is>
          <t>S_W</t>
        </is>
      </c>
      <c r="N78" s="2" t="inlineStr">
        <is>
          <t>An as-treated normothermia CT cell is inconsistent with its No. (%) header and displayed denominator. The focal mismatch is within one non-plan results supplement.</t>
        </is>
      </c>
      <c r="O78" s="2" t="inlineStr">
        <is>
          <t>../../2018/jama.2018.17075/.ai_paper_validation/final_report_1_5_2.html</t>
        </is>
      </c>
      <c r="P78" s="2" t="inlineStr">
        <is>
          <t>2018/jama.2018.17075/.ai_paper_validation/final_report_1_5_2.md</t>
        </is>
      </c>
      <c r="Q78" s="2" t="inlineStr">
        <is>
          <t>C005</t>
        </is>
      </c>
      <c r="R78" s="2" t="inlineStr">
        <is>
          <t>Pending Human Adjudication</t>
        </is>
      </c>
      <c r="S78" s="2" t="inlineStr">
        <is>
          <t>An as-treated normothermia CT cell is inconsistent with its No. (%) header and displayed denominator.</t>
        </is>
      </c>
      <c r="T78" s="2" t="b">
        <v>1</v>
      </c>
      <c r="U78" s="2" t="inlineStr">
        <is>
          <t>count_percentage_order</t>
        </is>
      </c>
      <c r="V78" s="2" t="inlineStr">
        <is>
          <t>report_internal_inconsistency</t>
        </is>
      </c>
      <c r="W78" s="2" t="inlineStr">
        <is>
          <t>As-treated evacuated-mass-lesion cell reverses count and percentage order</t>
        </is>
      </c>
      <c r="X78" s="2" t="inlineStr">
        <is>
          <t>2018</t>
        </is>
      </c>
      <c r="Y78" s="2" t="inlineStr">
        <is>
          <t>meta_report/consistency_reclassification_2026-09-04/reclassified_candidates.json</t>
        </is>
      </c>
      <c r="Z78" s="2" t="inlineStr">
        <is>
          <t>S_W</t>
        </is>
      </c>
      <c r="AA78" s="2" t="inlineStr">
        <is>
          <t>report_internal_inconsistency</t>
        </is>
      </c>
      <c r="AB78" s="2" t="inlineStr">
        <is>
          <t>retain</t>
        </is>
      </c>
    </row>
    <row r="79" ht="95" customHeight="1">
      <c r="A79" s="3" t="b">
        <v>0</v>
      </c>
      <c r="B79" s="3" t="inlineStr"/>
      <c r="C79" s="3" t="b">
        <v>0</v>
      </c>
      <c r="D79" s="3" t="inlineStr">
        <is>
          <t>Measure, label, or scale inconsistency</t>
        </is>
      </c>
      <c r="E79" s="3" t="b">
        <v>0</v>
      </c>
      <c r="F79" s="3" t="inlineStr">
        <is>
          <t>C006</t>
        </is>
      </c>
      <c r="G79" s="3" t="inlineStr">
        <is>
          <t>2018::jama.2018.17075::C006</t>
        </is>
      </c>
      <c r="H79" s="3" t="inlineStr"/>
      <c r="I79" s="3" t="inlineStr">
        <is>
          <t>joi180132supp2_prod.pdf — PDF p. 18, eTable 10, CT Marshall classification, non-evacuated mass lesion VI, normothermia.</t>
        </is>
      </c>
      <c r="J79" s="3" t="b">
        <v>0</v>
      </c>
      <c r="K79" s="3" t="inlineStr">
        <is>
          <t>jama.2018.17075</t>
        </is>
      </c>
      <c r="L79" s="3" t="inlineStr"/>
      <c r="M79" s="3" t="inlineStr">
        <is>
          <t>S_W</t>
        </is>
      </c>
      <c r="N79" s="3" t="inlineStr">
        <is>
          <t>An as-treated normothermia CT cell does not reconcile with its No. (%) header, printed denominator, or displayed category total. The focal mismatch is within one non-plan results supplement.</t>
        </is>
      </c>
      <c r="O79" s="3" t="inlineStr">
        <is>
          <t>../../2018/jama.2018.17075/.ai_paper_validation/final_report_1_5_2.html</t>
        </is>
      </c>
      <c r="P79" s="3" t="inlineStr">
        <is>
          <t>2018/jama.2018.17075/.ai_paper_validation/final_report_1_5_2.md</t>
        </is>
      </c>
      <c r="Q79" s="3" t="inlineStr">
        <is>
          <t>C006</t>
        </is>
      </c>
      <c r="R79" s="3" t="inlineStr">
        <is>
          <t>Pending Human Adjudication</t>
        </is>
      </c>
      <c r="S79" s="3" t="inlineStr">
        <is>
          <t>An as-treated normothermia CT cell does not reconcile with its No. (%) header, printed denominator, or displayed category total.</t>
        </is>
      </c>
      <c r="T79" s="3" t="b">
        <v>1</v>
      </c>
      <c r="U79" s="3" t="inlineStr">
        <is>
          <t>count_percentage_order</t>
        </is>
      </c>
      <c r="V79" s="3" t="inlineStr">
        <is>
          <t>report_internal_inconsistency</t>
        </is>
      </c>
      <c r="W79" s="3" t="inlineStr">
        <is>
          <t>As-treated non-evacuated-mass-lesion cell reverses count and percentage order</t>
        </is>
      </c>
      <c r="X79" s="3" t="inlineStr">
        <is>
          <t>2018</t>
        </is>
      </c>
      <c r="Y79" s="3" t="inlineStr">
        <is>
          <t>meta_report/consistency_reclassification_2026-09-04/reclassified_candidates.json</t>
        </is>
      </c>
      <c r="Z79" s="3" t="inlineStr">
        <is>
          <t>S_W</t>
        </is>
      </c>
      <c r="AA79" s="3" t="inlineStr">
        <is>
          <t>report_internal_inconsistency</t>
        </is>
      </c>
      <c r="AB79" s="3" t="inlineStr">
        <is>
          <t>retain</t>
        </is>
      </c>
    </row>
    <row r="80" ht="95" customHeight="1">
      <c r="A80" s="2" t="b">
        <v>0</v>
      </c>
      <c r="B80" s="2" t="inlineStr"/>
      <c r="C80" s="2" t="b">
        <v>0</v>
      </c>
      <c r="D80" s="2" t="inlineStr">
        <is>
          <t>Statistical reporting inconsistency</t>
        </is>
      </c>
      <c r="E80" s="2" t="b">
        <v>0</v>
      </c>
      <c r="F80" s="2" t="inlineStr">
        <is>
          <t>C007</t>
        </is>
      </c>
      <c r="G80" s="2" t="inlineStr">
        <is>
          <t>2018::jama.2018.17075::C007</t>
        </is>
      </c>
      <c r="H80" s="2" t="inlineStr"/>
      <c r="I80" s="2" t="inlineStr">
        <is>
          <t>joi180132supp2_prod.pdf — PDF p. 22, post-hoc adequate-cooling Results, final sentence.</t>
        </is>
      </c>
      <c r="J80" s="2" t="b">
        <v>0</v>
      </c>
      <c r="K80" s="2" t="inlineStr">
        <is>
          <t>jama.2018.17075</t>
        </is>
      </c>
      <c r="L80" s="2" t="inlineStr"/>
      <c r="M80" s="2" t="inlineStr">
        <is>
          <t>S_W</t>
        </is>
      </c>
      <c r="N80" s="2" t="inlineStr">
        <is>
          <t>The printed adjusted odds-ratio confidence-interval string does not provide two unambiguous endpoints. The focal mismatch is within one non-plan results supplement.</t>
        </is>
      </c>
      <c r="O80" s="2" t="inlineStr">
        <is>
          <t>../../2018/jama.2018.17075/.ai_paper_validation/final_report_1_5_2.html</t>
        </is>
      </c>
      <c r="P80" s="2" t="inlineStr">
        <is>
          <t>2018/jama.2018.17075/.ai_paper_validation/final_report_1_5_2.md</t>
        </is>
      </c>
      <c r="Q80" s="2" t="inlineStr">
        <is>
          <t>C007</t>
        </is>
      </c>
      <c r="R80" s="2" t="inlineStr">
        <is>
          <t>Pending Human Adjudication</t>
        </is>
      </c>
      <c r="S80" s="2" t="inlineStr">
        <is>
          <t>The printed adjusted odds-ratio confidence-interval string does not provide two unambiguous endpoints.</t>
        </is>
      </c>
      <c r="T80" s="2" t="b">
        <v>1</v>
      </c>
      <c r="U80" s="2" t="inlineStr">
        <is>
          <t>malformed_ci_string</t>
        </is>
      </c>
      <c r="V80" s="2" t="inlineStr">
        <is>
          <t>statistical_results</t>
        </is>
      </c>
      <c r="W80" s="2" t="inlineStr">
        <is>
          <t>Adjusted odds-ratio confidence-interval string is malformed</t>
        </is>
      </c>
      <c r="X80" s="2" t="inlineStr">
        <is>
          <t>2018</t>
        </is>
      </c>
      <c r="Y80" s="2" t="inlineStr">
        <is>
          <t>meta_report/consistency_reclassification_2026-09-04/reclassified_candidates.json</t>
        </is>
      </c>
      <c r="Z80" s="2" t="inlineStr">
        <is>
          <t>S_W</t>
        </is>
      </c>
      <c r="AA80" s="2" t="inlineStr">
        <is>
          <t>statistical_results</t>
        </is>
      </c>
      <c r="AB80" s="2" t="inlineStr">
        <is>
          <t>retain</t>
        </is>
      </c>
    </row>
    <row r="81" ht="95" customHeight="1">
      <c r="A81" s="3" t="b">
        <v>0</v>
      </c>
      <c r="B81" s="3" t="inlineStr"/>
      <c r="C81" s="3" t="b">
        <v>0</v>
      </c>
      <c r="D81" s="3" t="inlineStr">
        <is>
          <t>Denominator, proportion, or total inconsistency</t>
        </is>
      </c>
      <c r="E81" s="3" t="b">
        <v>0</v>
      </c>
      <c r="F81" s="3" t="inlineStr">
        <is>
          <t>C008</t>
        </is>
      </c>
      <c r="G81" s="3" t="inlineStr">
        <is>
          <t>2018::jama.2018.17075::C008</t>
        </is>
      </c>
      <c r="H81" s="3" t="inlineStr"/>
      <c r="I81" s="3" t="inlineStr">
        <is>
          <t>jama_cooper_2018_oi_180132.pdf — PDF p. 1, abstract Results; PDF p. 5, Table 1, Men and Women rows.</t>
        </is>
      </c>
      <c r="J81" s="3" t="b">
        <v>0</v>
      </c>
      <c r="K81" s="3" t="inlineStr">
        <is>
          <t>jama.2018.17075</t>
        </is>
      </c>
      <c r="L81" s="3" t="inlineStr"/>
      <c r="M81" s="3" t="inlineStr">
        <is>
          <t>S_W</t>
        </is>
      </c>
      <c r="N81" s="3" t="inlineStr">
        <is>
          <t>The abstract's male count conflicts with both its stated percentage and the Table 1 arm total. The focal mismatch is within the main article.</t>
        </is>
      </c>
      <c r="O81" s="3" t="inlineStr">
        <is>
          <t>../../2018/jama.2018.17075/.ai_paper_validation/final_report_1_5_2.html</t>
        </is>
      </c>
      <c r="P81" s="3" t="inlineStr">
        <is>
          <t>2018/jama.2018.17075/.ai_paper_validation/final_report_1_5_2.md</t>
        </is>
      </c>
      <c r="Q81" s="3" t="inlineStr">
        <is>
          <t>C008</t>
        </is>
      </c>
      <c r="R81" s="3" t="inlineStr">
        <is>
          <t>Pending Human Adjudication</t>
        </is>
      </c>
      <c r="S81" s="3" t="inlineStr">
        <is>
          <t>The abstract's male count conflicts with both its stated percentage and the Table 1 arm total.</t>
        </is>
      </c>
      <c r="T81" s="3" t="b">
        <v>1</v>
      </c>
      <c r="U81" s="3" t="inlineStr">
        <is>
          <t>sex_count_and_percentage</t>
        </is>
      </c>
      <c r="V81" s="3" t="inlineStr">
        <is>
          <t>statistical_results</t>
        </is>
      </c>
      <c r="W81" s="3" t="inlineStr">
        <is>
          <t>Abstract male count conflicts with its percentage and Table 1 total</t>
        </is>
      </c>
      <c r="X81" s="3" t="inlineStr">
        <is>
          <t>2018</t>
        </is>
      </c>
      <c r="Y81" s="3" t="inlineStr">
        <is>
          <t>meta_report/consistency_reclassification_2026-09-04/reclassified_candidates.json</t>
        </is>
      </c>
      <c r="Z81" s="3" t="inlineStr">
        <is>
          <t>S_W</t>
        </is>
      </c>
      <c r="AA81" s="3" t="inlineStr">
        <is>
          <t>statistical_results</t>
        </is>
      </c>
      <c r="AB81" s="3" t="inlineStr">
        <is>
          <t>retain</t>
        </is>
      </c>
    </row>
    <row r="82" ht="95" customHeight="1">
      <c r="A82" s="2" t="b">
        <v>0</v>
      </c>
      <c r="B82" s="2" t="inlineStr"/>
      <c r="C82" s="2" t="b">
        <v>0</v>
      </c>
      <c r="D82" s="2" t="inlineStr">
        <is>
          <t>Denominator, proportion, or total inconsistency</t>
        </is>
      </c>
      <c r="E82" s="2" t="b">
        <v>0</v>
      </c>
      <c r="F82" s="2" t="inlineStr">
        <is>
          <t>C001</t>
        </is>
      </c>
      <c r="G82" s="2" t="inlineStr">
        <is>
          <t>2018::jama.2018.18020::C001</t>
        </is>
      </c>
      <c r="H82" s="2" t="inlineStr"/>
      <c r="I82" s="2" t="inlineStr">
        <is>
          <t>jama_stunnenberg_2018_oi_180136.pdf — PDF p. 1, Abstract Results; jama_stunnenberg_2018_oi_180136.pdf — PDF p. 4, Baseline Data.</t>
        </is>
      </c>
      <c r="J82" s="2" t="b">
        <v>0</v>
      </c>
      <c r="K82" s="2" t="inlineStr">
        <is>
          <t>jama.2018.18020</t>
        </is>
      </c>
      <c r="L82" s="2" t="inlineStr"/>
      <c r="M82" s="2" t="inlineStr">
        <is>
          <t>S_W</t>
        </is>
      </c>
      <c r="N82" s="2" t="inlineStr">
        <is>
          <t>The abstract's 22% men is incompatible with its enrolled total and the later count of 22 men and 8 women. The focal mismatch is within the main article.</t>
        </is>
      </c>
      <c r="O82" s="2" t="inlineStr">
        <is>
          <t>../../2018/jama.2018.18020/.ai_paper_validation/final_report_1_5_2.html</t>
        </is>
      </c>
      <c r="P82" s="2" t="inlineStr">
        <is>
          <t>2018/jama.2018.18020/.ai_paper_validation/final_report_1_5_2.md</t>
        </is>
      </c>
      <c r="Q82" s="2" t="inlineStr">
        <is>
          <t>C001</t>
        </is>
      </c>
      <c r="R82" s="2" t="inlineStr">
        <is>
          <t>Pending Human Adjudication</t>
        </is>
      </c>
      <c r="S82" s="2" t="inlineStr">
        <is>
          <t>The abstract's 22% men is incompatible with its enrolled total and the later count of 22 men and 8 women.</t>
        </is>
      </c>
      <c r="T82" s="2" t="b">
        <v>1</v>
      </c>
      <c r="U82" s="2" t="inlineStr">
        <is>
          <t>sex_count_vs_percentage</t>
        </is>
      </c>
      <c r="V82" s="2" t="inlineStr">
        <is>
          <t>statistical_results</t>
        </is>
      </c>
      <c r="W82" s="2" t="inlineStr">
        <is>
          <t>Abstract sex percentage conflicts with the enrolled sex count</t>
        </is>
      </c>
      <c r="X82" s="2" t="inlineStr">
        <is>
          <t>2018</t>
        </is>
      </c>
      <c r="Y82" s="2" t="inlineStr">
        <is>
          <t>meta_report/consistency_reclassification_2026-09-04/reclassified_candidates.json</t>
        </is>
      </c>
      <c r="Z82" s="2" t="inlineStr">
        <is>
          <t>S_W</t>
        </is>
      </c>
      <c r="AA82" s="2" t="inlineStr">
        <is>
          <t>statistical_results</t>
        </is>
      </c>
      <c r="AB82" s="2" t="inlineStr">
        <is>
          <t>retain</t>
        </is>
      </c>
    </row>
    <row r="83" ht="95" customHeight="1">
      <c r="A83" s="3" t="b">
        <v>0</v>
      </c>
      <c r="B83" s="3" t="inlineStr"/>
      <c r="C83" s="3" t="b">
        <v>0</v>
      </c>
      <c r="D83" s="3" t="inlineStr">
        <is>
          <t>Measure, label, or scale inconsistency</t>
        </is>
      </c>
      <c r="E83" s="3" t="b">
        <v>0</v>
      </c>
      <c r="F83" s="3" t="inlineStr">
        <is>
          <t>C002</t>
        </is>
      </c>
      <c r="G83" s="3" t="inlineStr">
        <is>
          <t>2018::jama.2018.18020::C002</t>
        </is>
      </c>
      <c r="H83" s="3" t="inlineStr"/>
      <c r="I83" s="3" t="inlineStr">
        <is>
          <t>jama_stunnenberg_2018_oi_180136.pdf — PDF p. 5, Table 1 and footnote f; jama_stunnenberg_2018_oi_180136.pdf — PDF p. 8, Table 2 footnote g.</t>
        </is>
      </c>
      <c r="J83" s="3" t="b">
        <v>0</v>
      </c>
      <c r="K83" s="3" t="inlineStr">
        <is>
          <t>jama.2018.18020</t>
        </is>
      </c>
      <c r="L83" s="3" t="inlineStr"/>
      <c r="M83" s="3" t="inlineStr">
        <is>
          <t>S_W</t>
        </is>
      </c>
      <c r="N83" s="3" t="inlineStr">
        <is>
          <t>Table 1 reports INQoL upper IQR endpoints above the table's stated maximum of 100. The focal mismatch is within the main article.</t>
        </is>
      </c>
      <c r="O83" s="3" t="inlineStr">
        <is>
          <t>../../2018/jama.2018.18020/.ai_paper_validation/final_report_1_5_2.html</t>
        </is>
      </c>
      <c r="P83" s="3" t="inlineStr">
        <is>
          <t>2018/jama.2018.18020/.ai_paper_validation/final_report_1_5_2.md</t>
        </is>
      </c>
      <c r="Q83" s="3" t="inlineStr">
        <is>
          <t>C002</t>
        </is>
      </c>
      <c r="R83" s="3" t="inlineStr">
        <is>
          <t>Pending Human Adjudication</t>
        </is>
      </c>
      <c r="S83" s="3" t="inlineStr">
        <is>
          <t>Table 1 reports INQoL upper IQR endpoints above the table's stated maximum of 100.</t>
        </is>
      </c>
      <c r="T83" s="3" t="b">
        <v>1</v>
      </c>
      <c r="U83" s="3" t="inlineStr">
        <is>
          <t>score_scale_bound</t>
        </is>
      </c>
      <c r="V83" s="3" t="inlineStr">
        <is>
          <t>report_internal_inconsistency</t>
        </is>
      </c>
      <c r="W83" s="3" t="inlineStr">
        <is>
          <t>INQoL IQR endpoints exceed the stated 0-to-100 scale</t>
        </is>
      </c>
      <c r="X83" s="3" t="inlineStr">
        <is>
          <t>2018</t>
        </is>
      </c>
      <c r="Y83" s="3" t="inlineStr">
        <is>
          <t>meta_report/consistency_reclassification_2026-09-04/reclassified_candidates.json</t>
        </is>
      </c>
      <c r="Z83" s="3" t="inlineStr">
        <is>
          <t>S_W</t>
        </is>
      </c>
      <c r="AA83" s="3" t="inlineStr">
        <is>
          <t>report_internal_inconsistency</t>
        </is>
      </c>
      <c r="AB83" s="3" t="inlineStr">
        <is>
          <t>retain</t>
        </is>
      </c>
    </row>
    <row r="84" ht="95" customHeight="1">
      <c r="A84" s="2" t="b">
        <v>0</v>
      </c>
      <c r="B84" s="2" t="inlineStr"/>
      <c r="C84" s="2" t="b">
        <v>0</v>
      </c>
      <c r="D84" s="2" t="inlineStr">
        <is>
          <t>Measure, label, or scale inconsistency</t>
        </is>
      </c>
      <c r="E84" s="2" t="b">
        <v>0</v>
      </c>
      <c r="F84" s="2" t="inlineStr">
        <is>
          <t>C003</t>
        </is>
      </c>
      <c r="G84" s="2" t="inlineStr">
        <is>
          <t>2018::jama.2018.18020::C003</t>
        </is>
      </c>
      <c r="H84" s="2" t="inlineStr"/>
      <c r="I84" s="2" t="inlineStr">
        <is>
          <t>jama_stunnenberg_2018_oi_180136.pdf — PDF p. 7, Table 2 header and change-score rows; jama_stunnenberg_2018_oi_180136.pdf — PDF p. 8, Table 2 footnotes.</t>
        </is>
      </c>
      <c r="J84" s="2" t="b">
        <v>0</v>
      </c>
      <c r="K84" s="2" t="inlineStr">
        <is>
          <t>jama.2018.18020</t>
        </is>
      </c>
      <c r="L84" s="2" t="inlineStr"/>
      <c r="M84" s="2" t="inlineStr">
        <is>
          <t>S_W</t>
        </is>
      </c>
      <c r="N84" s="2" t="inlineStr">
        <is>
          <t>The Table 2 header states placebo minus mexiletine, whereas repeated displayed change rows follow mexiletine minus placebo. The focal mismatch is within the main article.</t>
        </is>
      </c>
      <c r="O84" s="2" t="inlineStr">
        <is>
          <t>../../2018/jama.2018.18020/.ai_paper_validation/final_report_1_5_2.html</t>
        </is>
      </c>
      <c r="P84" s="2" t="inlineStr">
        <is>
          <t>2018/jama.2018.18020/.ai_paper_validation/final_report_1_5_2.md</t>
        </is>
      </c>
      <c r="Q84" s="2" t="inlineStr">
        <is>
          <t>C003</t>
        </is>
      </c>
      <c r="R84" s="2" t="inlineStr">
        <is>
          <t>Pending Human Adjudication</t>
        </is>
      </c>
      <c r="S84" s="2" t="inlineStr">
        <is>
          <t>The Table 2 header states placebo minus mexiletine, whereas repeated displayed change rows follow mexiletine minus placebo.</t>
        </is>
      </c>
      <c r="T84" s="2" t="b">
        <v>1</v>
      </c>
      <c r="U84" s="2" t="inlineStr">
        <is>
          <t>contrast_direction</t>
        </is>
      </c>
      <c r="V84" s="2" t="inlineStr">
        <is>
          <t>report_internal_inconsistency</t>
        </is>
      </c>
      <c r="W84" s="2" t="inlineStr">
        <is>
          <t>Table 2 secondary-outcome contrast header is opposite to the displayed effect signs</t>
        </is>
      </c>
      <c r="X84" s="2" t="inlineStr">
        <is>
          <t>2018</t>
        </is>
      </c>
      <c r="Y84" s="2" t="inlineStr">
        <is>
          <t>meta_report/consistency_reclassification_2026-09-04/reclassified_candidates.json</t>
        </is>
      </c>
      <c r="Z84" s="2" t="inlineStr">
        <is>
          <t>S_W</t>
        </is>
      </c>
      <c r="AA84" s="2" t="inlineStr">
        <is>
          <t>report_internal_inconsistency</t>
        </is>
      </c>
      <c r="AB84" s="2" t="inlineStr">
        <is>
          <t>retain</t>
        </is>
      </c>
    </row>
    <row r="85" ht="95" customHeight="1">
      <c r="A85" s="3" t="b">
        <v>0</v>
      </c>
      <c r="B85" s="3" t="inlineStr">
        <is>
          <t>Conditional denominator: 31 treatment-set exposures, mentioned in the main article, could produce 6%; the table supplies neither analysis unit nor denominator.</t>
        </is>
      </c>
      <c r="C85" s="3" t="b">
        <v>0</v>
      </c>
      <c r="D85" s="3" t="inlineStr">
        <is>
          <t>Denominator, proportion, or total inconsistency</t>
        </is>
      </c>
      <c r="E85" s="3" t="b">
        <v>0</v>
      </c>
      <c r="F85" s="3" t="inlineStr">
        <is>
          <t>C004</t>
        </is>
      </c>
      <c r="G85" s="3" t="inlineStr">
        <is>
          <t>2018::jama.2018.18020::C004</t>
        </is>
      </c>
      <c r="H85" s="3" t="inlineStr"/>
      <c r="I85" s="3" t="inlineStr">
        <is>
          <t>joi180136supp2_prod.pdf — PDF p. 6, eTable 4; jama_stunnenberg_2018_oi_180136.pdf — PDF p. 8, Adverse Events.</t>
        </is>
      </c>
      <c r="J85" s="3" t="b">
        <v>0</v>
      </c>
      <c r="K85" s="3" t="inlineStr">
        <is>
          <t>jama.2018.18020</t>
        </is>
      </c>
      <c r="L85" s="3" t="inlineStr"/>
      <c r="M85" s="3" t="inlineStr">
        <is>
          <t>S_W</t>
        </is>
      </c>
      <c r="N85" s="3"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3" t="inlineStr">
        <is>
          <t>../../2018/jama.2018.18020/.ai_paper_validation/final_report_1_5_2.html</t>
        </is>
      </c>
      <c r="P85" s="3" t="inlineStr">
        <is>
          <t>2018/jama.2018.18020/.ai_paper_validation/final_report_1_5_2.md</t>
        </is>
      </c>
      <c r="Q85" s="3" t="inlineStr">
        <is>
          <t>C004</t>
        </is>
      </c>
      <c r="R85" s="3" t="inlineStr">
        <is>
          <t>Pending Human Adjudication</t>
        </is>
      </c>
      <c r="S85" s="3" t="inlineStr">
        <is>
          <t>eTable 4's placebo Any 2 (6%) is not compatible with the apparent 30-patient denominator and neighboring nearest-whole-percent displays.</t>
        </is>
      </c>
      <c r="T85" s="3" t="b">
        <v>1</v>
      </c>
      <c r="U85" s="3" t="inlineStr">
        <is>
          <t>adverse_event_denominator</t>
        </is>
      </c>
      <c r="V85" s="3" t="inlineStr">
        <is>
          <t>statistical_results</t>
        </is>
      </c>
      <c r="W85" s="3" t="inlineStr">
        <is>
          <t>Placebo “Any” adverse-reaction percentage does not reconcile with the apparent denominator</t>
        </is>
      </c>
      <c r="X85" s="3" t="inlineStr">
        <is>
          <t>2018</t>
        </is>
      </c>
      <c r="Y85" s="3" t="inlineStr">
        <is>
          <t>meta_report/consistency_reclassification_2026-09-04/reclassified_candidates.json</t>
        </is>
      </c>
      <c r="Z85" s="3" t="inlineStr">
        <is>
          <t>S_W</t>
        </is>
      </c>
      <c r="AA85" s="3" t="inlineStr">
        <is>
          <t>statistical_results</t>
        </is>
      </c>
      <c r="AB85" s="3" t="inlineStr">
        <is>
          <t>retain</t>
        </is>
      </c>
    </row>
    <row r="86" ht="95" customHeight="1">
      <c r="A86" s="2" t="b">
        <v>0</v>
      </c>
      <c r="B86" s="2" t="inlineStr"/>
      <c r="C86" s="2" t="b">
        <v>0</v>
      </c>
      <c r="D86" s="2" t="inlineStr">
        <is>
          <t>Measure, label, or scale inconsistency</t>
        </is>
      </c>
      <c r="E86" s="2" t="b">
        <v>0</v>
      </c>
      <c r="F86" s="2" t="inlineStr">
        <is>
          <t>C005</t>
        </is>
      </c>
      <c r="G86" s="2" t="inlineStr">
        <is>
          <t>2018::jama.2018.18020::C005</t>
        </is>
      </c>
      <c r="H86" s="2" t="inlineStr"/>
      <c r="I86" s="2" t="inlineStr">
        <is>
          <t>joi180136supp2_prod.pdf — PDF p. 11, eMethods 2 code/dictionary; joi180136supp2_prod.pdf — PDF p. 13, eMethods 3 code; joi180136supp2_prod.pdf — PDF p. 14, eMethods 3 dictionary.</t>
        </is>
      </c>
      <c r="J86" s="2" t="b">
        <v>0</v>
      </c>
      <c r="K86" s="2" t="inlineStr">
        <is>
          <t>jama.2018.18020</t>
        </is>
      </c>
      <c r="L86" s="2" t="inlineStr"/>
      <c r="M86" s="2" t="inlineStr">
        <is>
          <t>S_W</t>
        </is>
      </c>
      <c r="N86" s="2" t="inlineStr">
        <is>
          <t>The displayed Bayesian-code mappings and adjacent prose assign opposite treatment meanings to mu_mex[i] and mu_plac[i]. The focal mismatch is within one non-plan results supplement.</t>
        </is>
      </c>
      <c r="O86" s="2" t="inlineStr">
        <is>
          <t>../../2018/jama.2018.18020/.ai_paper_validation/final_report_1_5_2.html</t>
        </is>
      </c>
      <c r="P86" s="2" t="inlineStr">
        <is>
          <t>2018/jama.2018.18020/.ai_paper_validation/final_report_1_5_2.md</t>
        </is>
      </c>
      <c r="Q86" s="2" t="inlineStr">
        <is>
          <t>C005</t>
        </is>
      </c>
      <c r="R86" s="2" t="inlineStr">
        <is>
          <t>Pending Human Adjudication</t>
        </is>
      </c>
      <c r="S86" s="2" t="inlineStr">
        <is>
          <t>The displayed Bayesian-code mappings and adjacent prose assign opposite treatment meanings to mu_mex[i] and mu_plac[i].</t>
        </is>
      </c>
      <c r="T86" s="2" t="b">
        <v>1</v>
      </c>
      <c r="U86" s="2" t="inlineStr">
        <is>
          <t>parameter_treatment_label</t>
        </is>
      </c>
      <c r="V86" s="2" t="inlineStr">
        <is>
          <t>report_internal_inconsistency</t>
        </is>
      </c>
      <c r="W86" s="2" t="inlineStr">
        <is>
          <t>Bayesian parameter prose swaps mu_mex[i] and mu_plac[i] treatment labels</t>
        </is>
      </c>
      <c r="X86" s="2" t="inlineStr">
        <is>
          <t>2018</t>
        </is>
      </c>
      <c r="Y86" s="2" t="inlineStr">
        <is>
          <t>meta_report/consistency_reclassification_2026-09-04/reclassified_candidates.json</t>
        </is>
      </c>
      <c r="Z86" s="2" t="inlineStr">
        <is>
          <t>S_W</t>
        </is>
      </c>
      <c r="AA86" s="2" t="inlineStr">
        <is>
          <t>report_internal_inconsistency</t>
        </is>
      </c>
      <c r="AB86" s="2" t="inlineStr">
        <is>
          <t>retain</t>
        </is>
      </c>
    </row>
    <row r="87" ht="95" customHeight="1">
      <c r="A87" s="3" t="b">
        <v>0</v>
      </c>
      <c r="B87" s="3" t="inlineStr"/>
      <c r="C87" s="3" t="b">
        <v>0</v>
      </c>
      <c r="D87" s="3" t="inlineStr">
        <is>
          <t>Measure, label, or scale inconsistency</t>
        </is>
      </c>
      <c r="E87" s="3" t="b">
        <v>0</v>
      </c>
      <c r="F87" s="3" t="inlineStr">
        <is>
          <t>C006</t>
        </is>
      </c>
      <c r="G87" s="3" t="inlineStr">
        <is>
          <t>2018::jama.2018.18020::C006</t>
        </is>
      </c>
      <c r="H87" s="3" t="inlineStr"/>
      <c r="I87" s="3" t="inlineStr">
        <is>
          <t>joi180136supp2_prod.pdf — PDF p. 13, eMethods 3 code; joi180136supp2_prod.pdf — PDF p. 14, parameter dictionary.</t>
        </is>
      </c>
      <c r="J87" s="3" t="b">
        <v>0</v>
      </c>
      <c r="K87" s="3" t="inlineStr">
        <is>
          <t>jama.2018.18020</t>
        </is>
      </c>
      <c r="L87" s="3" t="inlineStr"/>
      <c r="M87" s="3" t="inlineStr">
        <is>
          <t>S_W</t>
        </is>
      </c>
      <c r="N87" s="3" t="inlineStr">
        <is>
          <t>The dictionary describes diff_CLCN1 as SCN4A although its displayed code components are CLCN1. The focal mismatch is within one non-plan results supplement.</t>
        </is>
      </c>
      <c r="O87" s="3" t="inlineStr">
        <is>
          <t>../../2018/jama.2018.18020/.ai_paper_validation/final_report_1_5_2.html</t>
        </is>
      </c>
      <c r="P87" s="3" t="inlineStr">
        <is>
          <t>2018/jama.2018.18020/.ai_paper_validation/final_report_1_5_2.md</t>
        </is>
      </c>
      <c r="Q87" s="3" t="inlineStr">
        <is>
          <t>C006</t>
        </is>
      </c>
      <c r="R87" s="3" t="inlineStr">
        <is>
          <t>Pending Human Adjudication</t>
        </is>
      </c>
      <c r="S87" s="3" t="inlineStr">
        <is>
          <t>The dictionary describes diff_CLCN1 as SCN4A although its displayed code components are CLCN1.</t>
        </is>
      </c>
      <c r="T87" s="3" t="b">
        <v>1</v>
      </c>
      <c r="U87" s="3" t="inlineStr">
        <is>
          <t>parameter_genotype_label</t>
        </is>
      </c>
      <c r="V87" s="3" t="inlineStr">
        <is>
          <t>report_internal_inconsistency</t>
        </is>
      </c>
      <c r="W87" s="3" t="inlineStr">
        <is>
          <t>diff_CLCN1 is described as an SCN4A contrast</t>
        </is>
      </c>
      <c r="X87" s="3" t="inlineStr">
        <is>
          <t>2018</t>
        </is>
      </c>
      <c r="Y87" s="3" t="inlineStr">
        <is>
          <t>meta_report/consistency_reclassification_2026-09-04/reclassified_candidates.json</t>
        </is>
      </c>
      <c r="Z87" s="3" t="inlineStr">
        <is>
          <t>S_W</t>
        </is>
      </c>
      <c r="AA87" s="3" t="inlineStr">
        <is>
          <t>report_internal_inconsistency</t>
        </is>
      </c>
      <c r="AB87" s="3" t="inlineStr">
        <is>
          <t>retain</t>
        </is>
      </c>
    </row>
    <row r="88" ht="95" customHeight="1">
      <c r="A88" s="2" t="b">
        <v>0</v>
      </c>
      <c r="B88" s="2" t="inlineStr"/>
      <c r="C88" s="2" t="b">
        <v>0</v>
      </c>
      <c r="D88" s="2" t="inlineStr">
        <is>
          <t>Measure, label, or scale inconsistency</t>
        </is>
      </c>
      <c r="E88" s="2" t="b">
        <v>0</v>
      </c>
      <c r="F88" s="2" t="inlineStr">
        <is>
          <t>C007</t>
        </is>
      </c>
      <c r="G88" s="2" t="inlineStr">
        <is>
          <t>2018::jama.2018.18020::C007</t>
        </is>
      </c>
      <c r="H88" s="2" t="inlineStr"/>
      <c r="I88" s="2" t="inlineStr">
        <is>
          <t>joi180136supp2_prod.pdf — PDF p. 11, eMethods 2 code; joi180136supp2_prod.pdf — PDF p. 12, eMethods 2 dictionary; joi180136supp2_prod.pdf — PDF p. 13, eMethods 3 code; joi180136supp2_prod.pdf — PDF p. 14, eMethods 3 dictionary.</t>
        </is>
      </c>
      <c r="J88" s="2" t="b">
        <v>0</v>
      </c>
      <c r="K88" s="2" t="inlineStr">
        <is>
          <t>jama.2018.18020</t>
        </is>
      </c>
      <c r="L88" s="2" t="inlineStr"/>
      <c r="M88" s="2" t="inlineStr">
        <is>
          <t>S_W</t>
        </is>
      </c>
      <c r="N88" s="2" t="inlineStr">
        <is>
          <t>Both parameter dictionaries describe sigma.mex as placebo variability despite the displayed mexiletine model branch. The focal mismatch is within one non-plan results supplement.</t>
        </is>
      </c>
      <c r="O88" s="2" t="inlineStr">
        <is>
          <t>../../2018/jama.2018.18020/.ai_paper_validation/final_report_1_5_2.html</t>
        </is>
      </c>
      <c r="P88" s="2" t="inlineStr">
        <is>
          <t>2018/jama.2018.18020/.ai_paper_validation/final_report_1_5_2.md</t>
        </is>
      </c>
      <c r="Q88" s="2" t="inlineStr">
        <is>
          <t>C007</t>
        </is>
      </c>
      <c r="R88" s="2" t="inlineStr">
        <is>
          <t>Pending Human Adjudication</t>
        </is>
      </c>
      <c r="S88" s="2" t="inlineStr">
        <is>
          <t>Both parameter dictionaries describe sigma.mex as placebo variability despite the displayed mexiletine model branch.</t>
        </is>
      </c>
      <c r="T88" s="2" t="b">
        <v>1</v>
      </c>
      <c r="U88" s="2" t="inlineStr">
        <is>
          <t>variance_treatment_label</t>
        </is>
      </c>
      <c r="V88" s="2" t="inlineStr">
        <is>
          <t>report_internal_inconsistency</t>
        </is>
      </c>
      <c r="W88" s="2" t="inlineStr">
        <is>
          <t>sigma.mex is described as placebo-period variability</t>
        </is>
      </c>
      <c r="X88" s="2" t="inlineStr">
        <is>
          <t>2018</t>
        </is>
      </c>
      <c r="Y88" s="2" t="inlineStr">
        <is>
          <t>meta_report/consistency_reclassification_2026-09-04/reclassified_candidates.json</t>
        </is>
      </c>
      <c r="Z88" s="2" t="inlineStr">
        <is>
          <t>S_W</t>
        </is>
      </c>
      <c r="AA88" s="2" t="inlineStr">
        <is>
          <t>report_internal_inconsistency</t>
        </is>
      </c>
      <c r="AB88" s="2" t="inlineStr">
        <is>
          <t>retain</t>
        </is>
      </c>
    </row>
    <row r="89" ht="95" customHeight="1">
      <c r="A89" s="3" t="b">
        <v>0</v>
      </c>
      <c r="B89" s="3" t="inlineStr">
        <is>
          <t>Boundary decision: S_W only; the supplementary gene definition is corroborating context rather than a separate mismatched reported result.</t>
        </is>
      </c>
      <c r="C89" s="3" t="b">
        <v>0</v>
      </c>
      <c r="D89" s="3" t="inlineStr">
        <is>
          <t>Measure, label, or scale inconsistency</t>
        </is>
      </c>
      <c r="E89" s="3" t="b">
        <v>0</v>
      </c>
      <c r="F89" s="3" t="inlineStr">
        <is>
          <t>C008</t>
        </is>
      </c>
      <c r="G89" s="3" t="inlineStr">
        <is>
          <t>2018::jama.2018.18020::C008</t>
        </is>
      </c>
      <c r="H89" s="3" t="inlineStr"/>
      <c r="I89" s="3" t="inlineStr">
        <is>
          <t>jama_stunnenberg_2018_oi_180136.pdf — PDF p. 4, Primary Outcome; jama_stunnenberg_2018_oi_180136.pdf — PDF p. 5, Table 1/Figure 2; jama_stunnenberg_2018_oi_180136.pdf — PDF p. 6, Figure 3; joi180136supp2_prod.pdf — PDF p. 4, eTable 2 footnote.</t>
        </is>
      </c>
      <c r="J89" s="3" t="b">
        <v>0</v>
      </c>
      <c r="K89" s="3" t="inlineStr">
        <is>
          <t>jama.2018.18020</t>
        </is>
      </c>
      <c r="L89" s="3" t="inlineStr"/>
      <c r="M89" s="3" t="inlineStr">
        <is>
          <t>S_W</t>
        </is>
      </c>
      <c r="N89" s="3" t="inlineStr">
        <is>
          <t>The main narrative attaches CLNC1 to the n=16 subgroup, while the same page gene definition and main figures use CLCN1. The results-supplement footnote corroborates the gene name, so the focal typo is within the main article.</t>
        </is>
      </c>
      <c r="O89" s="3" t="inlineStr">
        <is>
          <t>../../2018/jama.2018.18020/.ai_paper_validation/final_report_1_5_2.html</t>
        </is>
      </c>
      <c r="P89" s="3" t="inlineStr">
        <is>
          <t>2018/jama.2018.18020/.ai_paper_validation/final_report_1_5_2.md</t>
        </is>
      </c>
      <c r="Q89" s="3" t="inlineStr">
        <is>
          <t>C008</t>
        </is>
      </c>
      <c r="R89" s="3" t="inlineStr">
        <is>
          <t>Pending Human Adjudication</t>
        </is>
      </c>
      <c r="S89" s="3" t="inlineStr">
        <is>
          <t>A main-text subgroup result is labeled CLNC1 while matched displays and the supplement identify CLCN1.</t>
        </is>
      </c>
      <c r="T89" s="3" t="b">
        <v>1</v>
      </c>
      <c r="U89" s="3" t="inlineStr">
        <is>
          <t>genotype_symbol_typo</t>
        </is>
      </c>
      <c r="V89" s="3" t="inlineStr">
        <is>
          <t>report_internal_inconsistency</t>
        </is>
      </c>
      <c r="W89" s="3" t="inlineStr">
        <is>
          <t>Main text prints CLNC1 for the matched CLCN1 genotype subgroup</t>
        </is>
      </c>
      <c r="X89" s="3" t="inlineStr">
        <is>
          <t>2018</t>
        </is>
      </c>
      <c r="Y89" s="3" t="inlineStr">
        <is>
          <t>meta_report/consistency_reclassification_2026-09-04/reclassified_candidates.json</t>
        </is>
      </c>
      <c r="Z89" s="3" t="inlineStr">
        <is>
          <t>S_W</t>
        </is>
      </c>
      <c r="AA89" s="3" t="inlineStr">
        <is>
          <t>report_internal_inconsistency</t>
        </is>
      </c>
      <c r="AB89" s="3" t="inlineStr">
        <is>
          <t>retain</t>
        </is>
      </c>
    </row>
    <row r="90" ht="95" customHeight="1">
      <c r="A90" s="2" t="b">
        <v>0</v>
      </c>
      <c r="B90" s="2" t="inlineStr"/>
      <c r="C90" s="2" t="b">
        <v>0</v>
      </c>
      <c r="D90" s="2" t="inlineStr">
        <is>
          <t>Statistical reporting inconsistency</t>
        </is>
      </c>
      <c r="E90" s="2" t="b">
        <v>0</v>
      </c>
      <c r="F90" s="2" t="inlineStr">
        <is>
          <t>C009</t>
        </is>
      </c>
      <c r="G90" s="2" t="inlineStr">
        <is>
          <t>2018::jama.2018.18020::C009</t>
        </is>
      </c>
      <c r="H90" s="2" t="inlineStr"/>
      <c r="I90" s="2" t="inlineStr">
        <is>
          <t>jama_stunnenberg_2018_oi_180136.pdf — PDF p. 7, Table 2; jama_stunnenberg_2018_oi_180136.pdf — PDF p. 3, dependent-t method; jama_stunnenberg_2018_oi_180136.pdf — PDF p. 4, two-sided P-value convention.</t>
        </is>
      </c>
      <c r="J90" s="2" t="b">
        <v>0</v>
      </c>
      <c r="K90" s="2" t="inlineStr">
        <is>
          <t>jama.2018.18020</t>
        </is>
      </c>
      <c r="L90" s="2" t="inlineStr"/>
      <c r="M90" s="2" t="inlineStr">
        <is>
          <t>S_W</t>
        </is>
      </c>
      <c r="N90" s="2" t="inlineStr">
        <is>
          <t>The SF-36 mental-component effect, CI, P value, and printed dependent-t context do not reconcile under the table-level N=27 assumption. The focal mismatch is within the main article.</t>
        </is>
      </c>
      <c r="O90" s="2" t="inlineStr">
        <is>
          <t>../../2018/jama.2018.18020/.ai_paper_validation/final_report_1_5_2.html</t>
        </is>
      </c>
      <c r="P90" s="2" t="inlineStr">
        <is>
          <t>2018/jama.2018.18020/.ai_paper_validation/final_report_1_5_2.md</t>
        </is>
      </c>
      <c r="Q90" s="2" t="inlineStr">
        <is>
          <t>C009</t>
        </is>
      </c>
      <c r="R90" s="2" t="inlineStr">
        <is>
          <t>Pending Human Adjudication</t>
        </is>
      </c>
      <c r="S90" s="2" t="inlineStr">
        <is>
          <t>The SF-36 mental-component effect, CI, P value, and printed dependent-t context do not reconcile under the table-level N=27 assumption.</t>
        </is>
      </c>
      <c r="T90" s="2" t="b">
        <v>1</v>
      </c>
      <c r="U90" s="2" t="inlineStr">
        <is>
          <t>ci_p_compatibility</t>
        </is>
      </c>
      <c r="V90" s="2" t="inlineStr">
        <is>
          <t>statistical_results</t>
        </is>
      </c>
      <c r="W90" s="2" t="inlineStr">
        <is>
          <t>SF-36 mental-component P value conflicts with the dependent-t 95% CI</t>
        </is>
      </c>
      <c r="X90" s="2" t="inlineStr">
        <is>
          <t>2018</t>
        </is>
      </c>
      <c r="Y90" s="2" t="inlineStr">
        <is>
          <t>meta_report/consistency_reclassification_2026-09-04/reclassified_candidates.json</t>
        </is>
      </c>
      <c r="Z90" s="2" t="inlineStr">
        <is>
          <t>S_W</t>
        </is>
      </c>
      <c r="AA90" s="2" t="inlineStr">
        <is>
          <t>statistical_results</t>
        </is>
      </c>
      <c r="AB90" s="2" t="inlineStr">
        <is>
          <t>retain</t>
        </is>
      </c>
    </row>
    <row r="91" ht="95" customHeight="1">
      <c r="A91" s="3" t="b">
        <v>0</v>
      </c>
      <c r="B91" s="3" t="inlineStr"/>
      <c r="C91" s="3" t="b">
        <v>0</v>
      </c>
      <c r="D91" s="3" t="inlineStr">
        <is>
          <t>Statistical reporting inconsistency</t>
        </is>
      </c>
      <c r="E91" s="3" t="b">
        <v>0</v>
      </c>
      <c r="F91" s="3" t="inlineStr">
        <is>
          <t>C010</t>
        </is>
      </c>
      <c r="G91" s="3" t="inlineStr">
        <is>
          <t>2018::jama.2018.18020::C010</t>
        </is>
      </c>
      <c r="H91" s="3" t="inlineStr"/>
      <c r="I91" s="3" t="inlineStr">
        <is>
          <t>jama_stunnenberg_2018_oi_180136.pdf — PDF p. 7, Table 2 row; jama_stunnenberg_2018_oi_180136.pdf — PDF p. 8, Table 2 footnotes; jama_stunnenberg_2018_oi_180136.pdf — PDF p. 3, method; jama_stunnenberg_2018_oi_180136.pdf — PDF p. 4, sidedness.</t>
        </is>
      </c>
      <c r="J91" s="3" t="b">
        <v>0</v>
      </c>
      <c r="K91" s="3" t="inlineStr">
        <is>
          <t>jama.2018.18020</t>
        </is>
      </c>
      <c r="L91" s="3" t="inlineStr"/>
      <c r="M91" s="3" t="inlineStr">
        <is>
          <t>S_W</t>
        </is>
      </c>
      <c r="N91" s="3" t="inlineStr">
        <is>
          <t>The SCN4A fifth handgrip effect, zero-crossing CI, and P=.009 do not reconcile under the printed subgroup dependent-t context. The focal mismatch is within the main article.</t>
        </is>
      </c>
      <c r="O91" s="3" t="inlineStr">
        <is>
          <t>../../2018/jama.2018.18020/.ai_paper_validation/final_report_1_5_2.html</t>
        </is>
      </c>
      <c r="P91" s="3" t="inlineStr">
        <is>
          <t>2018/jama.2018.18020/.ai_paper_validation/final_report_1_5_2.md</t>
        </is>
      </c>
      <c r="Q91" s="3" t="inlineStr">
        <is>
          <t>C010</t>
        </is>
      </c>
      <c r="R91" s="3" t="inlineStr">
        <is>
          <t>Pending Human Adjudication</t>
        </is>
      </c>
      <c r="S91" s="3" t="inlineStr">
        <is>
          <t>The SCN4A fifth handgrip effect, zero-crossing CI, and P=.009 do not reconcile under the printed subgroup dependent-t context.</t>
        </is>
      </c>
      <c r="T91" s="3" t="b">
        <v>1</v>
      </c>
      <c r="U91" s="3" t="inlineStr">
        <is>
          <t>ci_p_compatibility</t>
        </is>
      </c>
      <c r="V91" s="3" t="inlineStr">
        <is>
          <t>statistical_results</t>
        </is>
      </c>
      <c r="W91" s="3" t="inlineStr">
        <is>
          <t>SCN4A fifth handgrip-action-myotonia P value conflicts with its 95% CI</t>
        </is>
      </c>
      <c r="X91" s="3" t="inlineStr">
        <is>
          <t>2018</t>
        </is>
      </c>
      <c r="Y91" s="3" t="inlineStr">
        <is>
          <t>meta_report/consistency_reclassification_2026-09-04/reclassified_candidates.json</t>
        </is>
      </c>
      <c r="Z91" s="3" t="inlineStr">
        <is>
          <t>S_W</t>
        </is>
      </c>
      <c r="AA91" s="3" t="inlineStr">
        <is>
          <t>statistical_results</t>
        </is>
      </c>
      <c r="AB91" s="3" t="inlineStr">
        <is>
          <t>retain</t>
        </is>
      </c>
    </row>
    <row r="92" ht="95" customHeight="1">
      <c r="A92" s="2" t="b">
        <v>0</v>
      </c>
      <c r="B92" s="2" t="inlineStr"/>
      <c r="C92" s="2" t="b">
        <v>0</v>
      </c>
      <c r="D92" s="2" t="inlineStr">
        <is>
          <t>Statistical reporting inconsistency</t>
        </is>
      </c>
      <c r="E92" s="2" t="b">
        <v>0</v>
      </c>
      <c r="F92" s="2" t="inlineStr">
        <is>
          <t>C011</t>
        </is>
      </c>
      <c r="G92" s="2" t="inlineStr">
        <is>
          <t>2018::jama.2018.18020::C011</t>
        </is>
      </c>
      <c r="H92" s="2" t="inlineStr"/>
      <c r="I9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 t="b">
        <v>0</v>
      </c>
      <c r="K92" s="2" t="inlineStr">
        <is>
          <t>jama.2018.18020</t>
        </is>
      </c>
      <c r="L92" s="2" t="inlineStr"/>
      <c r="M92" s="2" t="inlineStr">
        <is>
          <t>S_W</t>
        </is>
      </c>
      <c r="N92" s="2" t="inlineStr">
        <is>
          <t>The SCN4A fifth transient-paresis estimate, interval, and P value are mutually incompatible under the printed dependent-t context. The focal mismatch is within the main article.</t>
        </is>
      </c>
      <c r="O92" s="2" t="inlineStr">
        <is>
          <t>../../2018/jama.2018.18020/.ai_paper_validation/final_report_1_5_2.html</t>
        </is>
      </c>
      <c r="P92" s="2" t="inlineStr">
        <is>
          <t>2018/jama.2018.18020/.ai_paper_validation/final_report_1_5_2.md</t>
        </is>
      </c>
      <c r="Q92" s="2" t="inlineStr">
        <is>
          <t>C011</t>
        </is>
      </c>
      <c r="R92" s="2" t="inlineStr">
        <is>
          <t>Pending Human Adjudication</t>
        </is>
      </c>
      <c r="S92" s="2" t="inlineStr">
        <is>
          <t>The SCN4A fifth transient-paresis estimate, interval, and P value are mutually incompatible under the printed dependent-t context.</t>
        </is>
      </c>
      <c r="T92" s="2" t="b">
        <v>1</v>
      </c>
      <c r="U92" s="2" t="inlineStr">
        <is>
          <t>estimate_ci_p_compatibility</t>
        </is>
      </c>
      <c r="V92" s="2" t="inlineStr">
        <is>
          <t>statistical_results</t>
        </is>
      </c>
      <c r="W92" s="2" t="inlineStr">
        <is>
          <t>SCN4A fifth transient-paresis estimate, interval, and P value do not form a compatible dependent-t result</t>
        </is>
      </c>
      <c r="X92" s="2" t="inlineStr">
        <is>
          <t>2018</t>
        </is>
      </c>
      <c r="Y92" s="2" t="inlineStr">
        <is>
          <t>meta_report/consistency_reclassification_2026-09-04/reclassified_candidates.json</t>
        </is>
      </c>
      <c r="Z92" s="2" t="inlineStr">
        <is>
          <t>S_W</t>
        </is>
      </c>
      <c r="AA92" s="2" t="inlineStr">
        <is>
          <t>statistical_results</t>
        </is>
      </c>
      <c r="AB92" s="2" t="inlineStr">
        <is>
          <t>retain</t>
        </is>
      </c>
    </row>
    <row r="93" ht="95" customHeight="1">
      <c r="A93" s="3" t="b">
        <v>0</v>
      </c>
      <c r="B93" s="3" t="inlineStr"/>
      <c r="C93" s="3" t="b">
        <v>0</v>
      </c>
      <c r="D93" s="3" t="inlineStr">
        <is>
          <t>Statistical reporting inconsistency</t>
        </is>
      </c>
      <c r="E93" s="3" t="b">
        <v>0</v>
      </c>
      <c r="F93" s="3" t="inlineStr">
        <is>
          <t>C012</t>
        </is>
      </c>
      <c r="G93" s="3" t="inlineStr">
        <is>
          <t>2018::jama.2018.18020::C012</t>
        </is>
      </c>
      <c r="H93" s="3" t="inlineStr"/>
      <c r="I93" s="3" t="inlineStr">
        <is>
          <t>jama_stunnenberg_2018_oi_180136.pdf — PDF p. 8, Table 2 continuation and footnotes; jama_stunnenberg_2018_oi_180136.pdf — PDF p. 3, dependent-t method; jama_stunnenberg_2018_oi_180136.pdf — PDF p. 4, two-sided convention.</t>
        </is>
      </c>
      <c r="J93" s="3" t="b">
        <v>0</v>
      </c>
      <c r="K93" s="3" t="inlineStr">
        <is>
          <t>jama.2018.18020</t>
        </is>
      </c>
      <c r="L93" s="3" t="inlineStr"/>
      <c r="M93" s="3" t="inlineStr">
        <is>
          <t>S_W</t>
        </is>
      </c>
      <c r="N93" s="3" t="inlineStr">
        <is>
          <t>The myotonic-discharge effect, CI, and P&lt;.001 do not reconcile under the printed N=27 dependent-t context. The focal mismatch is within the main article.</t>
        </is>
      </c>
      <c r="O93" s="3" t="inlineStr">
        <is>
          <t>../../2018/jama.2018.18020/.ai_paper_validation/final_report_1_5_2.html</t>
        </is>
      </c>
      <c r="P93" s="3" t="inlineStr">
        <is>
          <t>2018/jama.2018.18020/.ai_paper_validation/final_report_1_5_2.md</t>
        </is>
      </c>
      <c r="Q93" s="3" t="inlineStr">
        <is>
          <t>C012</t>
        </is>
      </c>
      <c r="R93" s="3" t="inlineStr">
        <is>
          <t>Pending Human Adjudication</t>
        </is>
      </c>
      <c r="S93" s="3" t="inlineStr">
        <is>
          <t>The myotonic-discharge effect, CI, and P&lt;.001 do not reconcile under the printed N=27 dependent-t context.</t>
        </is>
      </c>
      <c r="T93" s="3" t="b">
        <v>1</v>
      </c>
      <c r="U93" s="3" t="inlineStr">
        <is>
          <t>ci_p_compatibility</t>
        </is>
      </c>
      <c r="V93" s="3" t="inlineStr">
        <is>
          <t>statistical_results</t>
        </is>
      </c>
      <c r="W93" s="3" t="inlineStr">
        <is>
          <t>Myotonic-discharge P value conflicts with the dependent-t 95% CI</t>
        </is>
      </c>
      <c r="X93" s="3" t="inlineStr">
        <is>
          <t>2018</t>
        </is>
      </c>
      <c r="Y93" s="3" t="inlineStr">
        <is>
          <t>meta_report/consistency_reclassification_2026-09-04/reclassified_candidates.json</t>
        </is>
      </c>
      <c r="Z93" s="3" t="inlineStr">
        <is>
          <t>S_W</t>
        </is>
      </c>
      <c r="AA93" s="3" t="inlineStr">
        <is>
          <t>statistical_results</t>
        </is>
      </c>
      <c r="AB93" s="3" t="inlineStr">
        <is>
          <t>retain</t>
        </is>
      </c>
    </row>
    <row r="94" ht="95" customHeight="1">
      <c r="A94" s="2" t="b">
        <v>0</v>
      </c>
      <c r="B94" s="2" t="inlineStr"/>
      <c r="C94" s="2" t="b">
        <v>0</v>
      </c>
      <c r="D94" s="2" t="inlineStr">
        <is>
          <t>Statistical reporting inconsistency</t>
        </is>
      </c>
      <c r="E94" s="2" t="b">
        <v>0</v>
      </c>
      <c r="F94" s="2" t="inlineStr">
        <is>
          <t>C013</t>
        </is>
      </c>
      <c r="G94" s="2" t="inlineStr">
        <is>
          <t>2018::jama.2018.18020::C013</t>
        </is>
      </c>
      <c r="H94" s="2" t="inlineStr"/>
      <c r="I94" s="2" t="inlineStr">
        <is>
          <t>jama_stunnenberg_2018_oi_180136.pdf — PDF p. 7, Table 2 first-attempt handgrip action-myotonia placebo-period change.</t>
        </is>
      </c>
      <c r="J94" s="2" t="b">
        <v>0</v>
      </c>
      <c r="K94" s="2" t="inlineStr">
        <is>
          <t>jama.2018.18020</t>
        </is>
      </c>
      <c r="L94" s="2" t="inlineStr"/>
      <c r="M94" s="2" t="inlineStr">
        <is>
          <t>S_W</t>
        </is>
      </c>
      <c r="N94" s="2" t="inlineStr">
        <is>
          <t>The first-attempt handgrip placebo-period cell prints an interval in reverse order that also excludes its printed point estimate. The focal mismatch is within the main article.</t>
        </is>
      </c>
      <c r="O94" s="2" t="inlineStr">
        <is>
          <t>../../2018/jama.2018.18020/.ai_paper_validation/final_report_1_5_2.html</t>
        </is>
      </c>
      <c r="P94" s="2" t="inlineStr">
        <is>
          <t>2018/jama.2018.18020/.ai_paper_validation/final_report_1_5_2.md</t>
        </is>
      </c>
      <c r="Q94" s="2" t="inlineStr">
        <is>
          <t>C013</t>
        </is>
      </c>
      <c r="R94" s="2" t="inlineStr">
        <is>
          <t>Pending Human Adjudication</t>
        </is>
      </c>
      <c r="S94" s="2" t="inlineStr">
        <is>
          <t>The first-attempt handgrip placebo-period cell prints an interval in reverse order that also excludes its printed point estimate.</t>
        </is>
      </c>
      <c r="T94" s="2" t="b">
        <v>1</v>
      </c>
      <c r="U94" s="2" t="inlineStr">
        <is>
          <t>interval_order_and_containment</t>
        </is>
      </c>
      <c r="V94" s="2" t="inlineStr">
        <is>
          <t>statistical_results</t>
        </is>
      </c>
      <c r="W94" s="2" t="inlineStr">
        <is>
          <t>First handgrip placebo-period interval is reversed and excludes its estimate</t>
        </is>
      </c>
      <c r="X94" s="2" t="inlineStr">
        <is>
          <t>2018</t>
        </is>
      </c>
      <c r="Y94" s="2" t="inlineStr">
        <is>
          <t>meta_report/consistency_reclassification_2026-09-04/reclassified_candidates.json</t>
        </is>
      </c>
      <c r="Z94" s="2" t="inlineStr">
        <is>
          <t>S_W</t>
        </is>
      </c>
      <c r="AA94" s="2" t="inlineStr">
        <is>
          <t>statistical_results</t>
        </is>
      </c>
      <c r="AB94" s="2" t="inlineStr">
        <is>
          <t>retain</t>
        </is>
      </c>
    </row>
    <row r="95" ht="95" customHeight="1">
      <c r="A95" s="3" t="b">
        <v>0</v>
      </c>
      <c r="B95" s="3" t="inlineStr"/>
      <c r="C95" s="3" t="b">
        <v>0</v>
      </c>
      <c r="D95" s="3" t="inlineStr">
        <is>
          <t>Statistical reporting inconsistency</t>
        </is>
      </c>
      <c r="E95" s="3" t="b">
        <v>0</v>
      </c>
      <c r="F95" s="3" t="inlineStr">
        <is>
          <t>C014</t>
        </is>
      </c>
      <c r="G95" s="3" t="inlineStr">
        <is>
          <t>2018::jama.2018.18020::C014</t>
        </is>
      </c>
      <c r="H95" s="3" t="inlineStr"/>
      <c r="I95" s="3" t="inlineStr">
        <is>
          <t>jama_stunnenberg_2018_oi_180136.pdf — PDF p. 7, Table 2 mean Timed Up&amp;Go placebo-period change.</t>
        </is>
      </c>
      <c r="J95" s="3" t="b">
        <v>0</v>
      </c>
      <c r="K95" s="3" t="inlineStr">
        <is>
          <t>jama.2018.18020</t>
        </is>
      </c>
      <c r="L95" s="3" t="inlineStr"/>
      <c r="M95" s="3" t="inlineStr">
        <is>
          <t>S_W</t>
        </is>
      </c>
      <c r="N95" s="3" t="inlineStr">
        <is>
          <t>The mean Timed Up&amp;Go placebo-period estimate exceeds the upper endpoint of its printed interval. The focal mismatch is within the main article.</t>
        </is>
      </c>
      <c r="O95" s="3" t="inlineStr">
        <is>
          <t>../../2018/jama.2018.18020/.ai_paper_validation/final_report_1_5_2.html</t>
        </is>
      </c>
      <c r="P95" s="3" t="inlineStr">
        <is>
          <t>2018/jama.2018.18020/.ai_paper_validation/final_report_1_5_2.md</t>
        </is>
      </c>
      <c r="Q95" s="3" t="inlineStr">
        <is>
          <t>C014</t>
        </is>
      </c>
      <c r="R95" s="3" t="inlineStr">
        <is>
          <t>Pending Human Adjudication</t>
        </is>
      </c>
      <c r="S95" s="3" t="inlineStr">
        <is>
          <t>The mean Timed Up&amp;Go placebo-period estimate exceeds the upper endpoint of its printed interval.</t>
        </is>
      </c>
      <c r="T95" s="3" t="b">
        <v>1</v>
      </c>
      <c r="U95" s="3" t="inlineStr">
        <is>
          <t>estimate_interval_containment</t>
        </is>
      </c>
      <c r="V95" s="3" t="inlineStr">
        <is>
          <t>statistical_results</t>
        </is>
      </c>
      <c r="W95" s="3" t="inlineStr">
        <is>
          <t>Mean Timed Up&amp;Go placebo-period estimate lies outside its interval</t>
        </is>
      </c>
      <c r="X95" s="3" t="inlineStr">
        <is>
          <t>2018</t>
        </is>
      </c>
      <c r="Y95" s="3" t="inlineStr">
        <is>
          <t>meta_report/consistency_reclassification_2026-09-04/reclassified_candidates.json</t>
        </is>
      </c>
      <c r="Z95" s="3" t="inlineStr">
        <is>
          <t>S_W</t>
        </is>
      </c>
      <c r="AA95" s="3" t="inlineStr">
        <is>
          <t>statistical_results</t>
        </is>
      </c>
      <c r="AB95" s="3" t="inlineStr">
        <is>
          <t>retain</t>
        </is>
      </c>
    </row>
    <row r="96" ht="95" customHeight="1">
      <c r="A96" s="2" t="b">
        <v>0</v>
      </c>
      <c r="B96" s="2" t="inlineStr">
        <is>
          <t>The clustered -1 to 4 interval cannot establish the intended unclustered endpoints.</t>
        </is>
      </c>
      <c r="C96" s="2" t="b">
        <v>0</v>
      </c>
      <c r="D96" s="2" t="inlineStr">
        <is>
          <t>Statistical reporting inconsistency</t>
        </is>
      </c>
      <c r="E96" s="2" t="b">
        <v>0</v>
      </c>
      <c r="F96" s="2" t="inlineStr">
        <is>
          <t>C001</t>
        </is>
      </c>
      <c r="G96" s="2" t="inlineStr">
        <is>
          <t>2018::jama.2018.6496::C001</t>
        </is>
      </c>
      <c r="H96" s="2" t="inlineStr"/>
      <c r="I96" s="2" t="inlineStr">
        <is>
          <t>DOC-001 Table 3 — PDF p. 7; DOC-003 eTable 1 — PDF p. 2; DOC-003 eTable 1 note — PDF p. 3; DOC-001 statistical-analysis methods — PDF p. 4.</t>
        </is>
      </c>
      <c r="J96" s="2" t="b">
        <v>0</v>
      </c>
      <c r="K96" s="2" t="inlineStr">
        <is>
          <t>jama.2018.6496</t>
        </is>
      </c>
      <c r="L96" s="2" t="inlineStr"/>
      <c r="M96" s="2" t="inlineStr">
        <is>
          <t>S_W</t>
        </is>
      </c>
      <c r="N96" s="2" t="inlineStr">
        <is>
          <t>The main Table 3 CI is printed 4 to -1, a reversed order inside one table. The supplement explicitly recalculates inference for physician clustering and therefore is distinct-model context, not a same-analysis cross-file mismatch.</t>
        </is>
      </c>
      <c r="O96" s="2" t="inlineStr">
        <is>
          <t>../../2018/jama.2018.6496/.ai_paper_validation/final_report_1_5_2.html</t>
        </is>
      </c>
      <c r="P96" s="2" t="inlineStr">
        <is>
          <t>2018/jama.2018.6496/.ai_paper_validation/final_report_1_5_2.md</t>
        </is>
      </c>
      <c r="Q96" s="2" t="inlineStr">
        <is>
          <t>C001</t>
        </is>
      </c>
      <c r="R96" s="2" t="inlineStr">
        <is>
          <t>Pending Human Adjudication</t>
        </is>
      </c>
      <c r="S96" s="2" t="inlineStr">
        <is>
          <t>DOC-001 Table 3 prints the all-patient first-attempt-duration confidence limits in descending order (4 to -1); the intended unclustered limits remain unresolved.</t>
        </is>
      </c>
      <c r="T96" s="2" t="b">
        <v>1</v>
      </c>
      <c r="U96" s="2" t="inlineStr">
        <is>
          <t>ci_endpoint_order</t>
        </is>
      </c>
      <c r="V96" s="2" t="inlineStr">
        <is>
          <t>statistical_results</t>
        </is>
      </c>
      <c r="W96" s="2" t="inlineStr">
        <is>
          <t>Reverse-ordered confidence-interval endpoints for all-patient first-attempt duration</t>
        </is>
      </c>
      <c r="X96" s="2" t="inlineStr">
        <is>
          <t>2018</t>
        </is>
      </c>
      <c r="Y96" s="2" t="inlineStr">
        <is>
          <t>meta_report/consistency_reclassification_2026-09-04/reclassified_candidates.json</t>
        </is>
      </c>
      <c r="Z96" s="2" t="inlineStr">
        <is>
          <t>S_W</t>
        </is>
      </c>
      <c r="AA96" s="2" t="inlineStr">
        <is>
          <t>statistical_results</t>
        </is>
      </c>
      <c r="AB96" s="2" t="inlineStr">
        <is>
          <t>retain</t>
        </is>
      </c>
    </row>
    <row r="97" ht="95" customHeight="1">
      <c r="A97" s="3" t="b">
        <v>0</v>
      </c>
      <c r="B97" s="3" t="inlineStr">
        <is>
          <t>Known first-attempt failures may be classifiable as composite failures without a valid hypoxemia waveform, allowing different denominators. The discrepancy remains conditional and within the main article.</t>
        </is>
      </c>
      <c r="C97" s="3" t="b">
        <v>0</v>
      </c>
      <c r="D97" s="3" t="inlineStr">
        <is>
          <t>Denominator, proportion, or total inconsistency</t>
        </is>
      </c>
      <c r="E97" s="3" t="b">
        <v>0</v>
      </c>
      <c r="F97" s="3" t="inlineStr">
        <is>
          <t>C002</t>
        </is>
      </c>
      <c r="G97" s="3" t="inlineStr">
        <is>
          <t>2018::jama.2018.6496::C002</t>
        </is>
      </c>
      <c r="H97" s="3" t="inlineStr"/>
      <c r="I97" s="3" t="inlineStr">
        <is>
          <t>DOC-001 Table 3 — PDF p. 7; DOC-001 Table 5 — PDF p. 9; DOC-002 protocol secondary outcomes — PDF p. 9; DOC-002 analytic issues — PDF p. 21.</t>
        </is>
      </c>
      <c r="J97" s="3" t="b">
        <v>0</v>
      </c>
      <c r="K97" s="3" t="inlineStr">
        <is>
          <t>jama.2018.6496</t>
        </is>
      </c>
      <c r="L97" s="3" t="inlineStr"/>
      <c r="M97" s="3" t="inlineStr">
        <is>
          <t>S_W</t>
        </is>
      </c>
      <c r="N97" s="3" t="inlineStr">
        <is>
          <t>Main Tables 3 and 5 use ETT+stylet denominators 366 and 364 for linked composite/hypoxemia outcomes. Protocol definitions explain the relationship and even support outcome-specific missingness; there is no independent inconsistency with the protocol.</t>
        </is>
      </c>
      <c r="O97" s="3" t="inlineStr">
        <is>
          <t>../../2018/jama.2018.6496/.ai_paper_validation/final_report_1_5_2.html</t>
        </is>
      </c>
      <c r="P97" s="3" t="inlineStr">
        <is>
          <t>2018/jama.2018.6496/.ai_paper_validation/final_report_1_5_2.md</t>
        </is>
      </c>
      <c r="Q97" s="3" t="inlineStr">
        <is>
          <t>C002</t>
        </is>
      </c>
      <c r="R97" s="3" t="inlineStr">
        <is>
          <t>Pending Human Adjudication</t>
        </is>
      </c>
      <c r="S97" s="3" t="inlineStr">
        <is>
          <t>The ETT+stylet denominators differ by two across linked waveform-dependent outcomes (366 versus 364), and the supplied aggregate sources do not establish whether the difference is intentional under an outcome-specific denominator rule.</t>
        </is>
      </c>
      <c r="T97" s="3" t="b">
        <v>1</v>
      </c>
      <c r="U97" s="3" t="inlineStr">
        <is>
          <t>linked_outcome_denominators</t>
        </is>
      </c>
      <c r="V97" s="3" t="inlineStr">
        <is>
          <t>statistical_results</t>
        </is>
      </c>
      <c r="W97" s="3" t="inlineStr">
        <is>
          <t>Two-patient ETT+stylet denominator difference across linked hypoxemia outcomes</t>
        </is>
      </c>
      <c r="X97" s="3" t="inlineStr">
        <is>
          <t>2018</t>
        </is>
      </c>
      <c r="Y97" s="3" t="inlineStr">
        <is>
          <t>meta_report/consistency_reclassification_2026-09-04/reclassified_candidates.json</t>
        </is>
      </c>
      <c r="Z97" s="3" t="inlineStr">
        <is>
          <t>S_W</t>
        </is>
      </c>
      <c r="AA97" s="3" t="inlineStr">
        <is>
          <t>statistical_results</t>
        </is>
      </c>
      <c r="AB97" s="3" t="inlineStr">
        <is>
          <t>retain</t>
        </is>
      </c>
    </row>
    <row r="98" ht="95" customHeight="1">
      <c r="A98" s="2" t="b">
        <v>0</v>
      </c>
      <c r="B98" s="2"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 t="b">
        <v>1</v>
      </c>
      <c r="D98" s="2" t="inlineStr">
        <is>
          <t>Measure, label, or scale inconsistency</t>
        </is>
      </c>
      <c r="E98" s="2" t="b">
        <v>1</v>
      </c>
      <c r="F98" s="2" t="inlineStr">
        <is>
          <t>C003</t>
        </is>
      </c>
      <c r="G98" s="2" t="inlineStr">
        <is>
          <t>2018::jama.2018.6496::C003</t>
        </is>
      </c>
      <c r="H98" s="2" t="inlineStr"/>
      <c r="I98" s="2" t="inlineStr">
        <is>
          <t>DOC-002 protocol secondary outcomes — PDF p. 9; DOC-002 protocol measurement procedure — PDF p. 10; DOC-001 Table 3 — PDF p. 7; DOC-001 Table 5 — PDF p. 9; DOC-003 eTable 1 note — PDF p. 3; DOC-003 postintubation form — PDF p. 10.</t>
        </is>
      </c>
      <c r="J98" s="2" t="b">
        <v>0</v>
      </c>
      <c r="K98" s="2" t="inlineStr">
        <is>
          <t>jama.2018.6496</t>
        </is>
      </c>
      <c r="L98" s="2" t="inlineStr">
        <is>
          <t>endpoint_definition_window_hierarchy</t>
        </is>
      </c>
      <c r="M98" s="2" t="inlineStr">
        <is>
          <t>P_R</t>
        </is>
      </c>
      <c r="N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 t="inlineStr">
        <is>
          <t>../../2018/jama.2018.6496/.ai_paper_validation/final_report_1_5_2.html</t>
        </is>
      </c>
      <c r="P98" s="2" t="inlineStr">
        <is>
          <t>2018/jama.2018.6496/.ai_paper_validation/final_report_1_5_2.md</t>
        </is>
      </c>
      <c r="Q98" s="2" t="inlineStr">
        <is>
          <t>C003</t>
        </is>
      </c>
      <c r="R98" s="2" t="inlineStr">
        <is>
          <t>Pending Human Adjudication</t>
        </is>
      </c>
      <c r="S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 t="b">
        <v>0</v>
      </c>
      <c r="U98" s="2" t="inlineStr">
        <is>
          <t>outcome_surveillance_window</t>
        </is>
      </c>
      <c r="V98" s="2" t="inlineStr">
        <is>
          <t>protocol_report</t>
        </is>
      </c>
      <c r="W98" s="2" t="inlineStr">
        <is>
          <t>Protocol and published hypoxemia observation windows use different endpoint events</t>
        </is>
      </c>
      <c r="X98" s="2" t="inlineStr">
        <is>
          <t>2018</t>
        </is>
      </c>
      <c r="Y98" s="2" t="inlineStr">
        <is>
          <t>meta_report/consistency_reclassification_2026-09-04/reclassified_candidates.json</t>
        </is>
      </c>
      <c r="Z98" s="2" t="inlineStr">
        <is>
          <t>P_R</t>
        </is>
      </c>
      <c r="AA98" s="2" t="inlineStr">
        <is>
          <t>protocol_report</t>
        </is>
      </c>
      <c r="AB98" s="2" t="inlineStr">
        <is>
          <t>retain</t>
        </is>
      </c>
    </row>
    <row r="99" ht="95" customHeight="1">
      <c r="A99" s="3" t="b">
        <v>0</v>
      </c>
      <c r="B99" s="3"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3" t="b">
        <v>1</v>
      </c>
      <c r="D99" s="3" t="inlineStr">
        <is>
          <t>Measure, label, or scale inconsistency</t>
        </is>
      </c>
      <c r="E99" s="3" t="b">
        <v>1</v>
      </c>
      <c r="F99" s="3" t="inlineStr">
        <is>
          <t>C004</t>
        </is>
      </c>
      <c r="G99" s="3" t="inlineStr">
        <is>
          <t>2018::jama.2018.6496::C004</t>
        </is>
      </c>
      <c r="H99" s="3" t="inlineStr"/>
      <c r="I99" s="3" t="inlineStr">
        <is>
          <t>DOC-002 protocol — PDF p. 9; DOC-001 outcome methods — PDF p. 3; DOC-001 Table 3 — PDF p. 7; DOC-003 eTable 1 note — PDF p. 3; DOC-003 data form — PDF p. 10.</t>
        </is>
      </c>
      <c r="J99" s="3" t="b">
        <v>0</v>
      </c>
      <c r="K99" s="3" t="inlineStr">
        <is>
          <t>jama.2018.6496</t>
        </is>
      </c>
      <c r="L99" s="3" t="inlineStr">
        <is>
          <t>endpoint_definition_window_hierarchy</t>
        </is>
      </c>
      <c r="M99" s="3" t="inlineStr">
        <is>
          <t>P_R</t>
        </is>
      </c>
      <c r="N99" s="3"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3" t="inlineStr">
        <is>
          <t>../../2018/jama.2018.6496/.ai_paper_validation/final_report_1_5_2.html</t>
        </is>
      </c>
      <c r="P99" s="3" t="inlineStr">
        <is>
          <t>2018/jama.2018.6496/.ai_paper_validation/final_report_1_5_2.md</t>
        </is>
      </c>
      <c r="Q99" s="3" t="inlineStr">
        <is>
          <t>C004</t>
        </is>
      </c>
      <c r="R99" s="3" t="inlineStr">
        <is>
          <t>Pending Human Adjudication</t>
        </is>
      </c>
      <c r="S99" s="3" t="inlineStr">
        <is>
          <t>The protocol defines first-attempt time to intubation through ETT-cuff inflation, whereas the published analyses use blade removal; the supplied package does not document how or why the measurement endpoint changed.</t>
        </is>
      </c>
      <c r="T99" s="3" t="b">
        <v>0</v>
      </c>
      <c r="U99" s="3" t="inlineStr">
        <is>
          <t>duration_endpoint_definition</t>
        </is>
      </c>
      <c r="V99" s="3" t="inlineStr">
        <is>
          <t>protocol_report</t>
        </is>
      </c>
      <c r="W99" s="3" t="inlineStr">
        <is>
          <t>Protocol and published first-attempt-duration measures use different endpoint events</t>
        </is>
      </c>
      <c r="X99" s="3" t="inlineStr">
        <is>
          <t>2018</t>
        </is>
      </c>
      <c r="Y99" s="3" t="inlineStr">
        <is>
          <t>meta_report/consistency_reclassification_2026-09-04/reclassified_candidates.json</t>
        </is>
      </c>
      <c r="Z99" s="3" t="inlineStr">
        <is>
          <t>P_R</t>
        </is>
      </c>
      <c r="AA99" s="3" t="inlineStr">
        <is>
          <t>protocol_report</t>
        </is>
      </c>
      <c r="AB99" s="3" t="inlineStr">
        <is>
          <t>retain</t>
        </is>
      </c>
    </row>
    <row r="100" ht="95" customHeight="1">
      <c r="A100" s="2" t="b">
        <v>0</v>
      </c>
      <c r="B100" s="2" t="inlineStr"/>
      <c r="C100" s="2" t="b">
        <v>0</v>
      </c>
      <c r="D100" s="2" t="inlineStr">
        <is>
          <t>Numeric or arithmetic inconsistency</t>
        </is>
      </c>
      <c r="E100" s="2" t="b">
        <v>0</v>
      </c>
      <c r="F100" s="2" t="inlineStr">
        <is>
          <t>C001</t>
        </is>
      </c>
      <c r="G100" s="2" t="inlineStr">
        <is>
          <t>2018::jama.2018.8802::C001</t>
        </is>
      </c>
      <c r="H100" s="2" t="inlineStr"/>
      <c r="I100" s="2" t="inlineStr">
        <is>
          <t>jama_wang_2018_oi_180070.pdf — PDF p. 6, Table 1, CAD/previous myocardial infarction, intervention column and Patients, No. header.</t>
        </is>
      </c>
      <c r="J100" s="2" t="b">
        <v>0</v>
      </c>
      <c r="K100" s="2" t="inlineStr">
        <is>
          <t>jama.2018.8802</t>
        </is>
      </c>
      <c r="L100" s="2" t="inlineStr"/>
      <c r="M100" s="2" t="inlineStr">
        <is>
          <t>S_W</t>
        </is>
      </c>
      <c r="N100" s="2" t="inlineStr">
        <is>
          <t>The intervention cell prints 311 (13.05) under a 2,400-patient column, but the displayed fraction does not yield 13.05%. The focal mismatch is within the main article.</t>
        </is>
      </c>
      <c r="O100" s="2" t="inlineStr">
        <is>
          <t>../../2018/jama.2018.8802/.ai_paper_validation/final_report_1_5_2.html</t>
        </is>
      </c>
      <c r="P100" s="2" t="inlineStr">
        <is>
          <t>2018/jama.2018.8802/.ai_paper_validation/final_report_1_5_2.md</t>
        </is>
      </c>
      <c r="Q100" s="2" t="inlineStr">
        <is>
          <t>C001</t>
        </is>
      </c>
      <c r="R100" s="2" t="inlineStr">
        <is>
          <t>Pending Human Adjudication</t>
        </is>
      </c>
      <c r="S100" s="2" t="inlineStr">
        <is>
          <t>The intervention cell prints 311 (13.05) under a 2,400-patient column, but the displayed fraction does not yield 13.05%.</t>
        </is>
      </c>
      <c r="T100" s="2" t="b">
        <v>1</v>
      </c>
      <c r="U100" s="2" t="inlineStr">
        <is>
          <t>count_percentage_arithmetic</t>
        </is>
      </c>
      <c r="V100" s="2" t="inlineStr">
        <is>
          <t>statistical_results</t>
        </is>
      </c>
      <c r="W100" s="2" t="inlineStr">
        <is>
          <t>Table 1 CAD/previous-myocardial-infarction percentage does not reproduce</t>
        </is>
      </c>
      <c r="X100" s="2" t="inlineStr">
        <is>
          <t>2018</t>
        </is>
      </c>
      <c r="Y100" s="2" t="inlineStr">
        <is>
          <t>meta_report/consistency_reclassification_2026-09-04/reclassified_candidates.json</t>
        </is>
      </c>
      <c r="Z100" s="2" t="inlineStr">
        <is>
          <t>S_W</t>
        </is>
      </c>
      <c r="AA100" s="2" t="inlineStr">
        <is>
          <t>statistical_results</t>
        </is>
      </c>
      <c r="AB100" s="2" t="inlineStr">
        <is>
          <t>retain</t>
        </is>
      </c>
    </row>
    <row r="101" ht="95" customHeight="1">
      <c r="A101" s="3" t="b">
        <v>0</v>
      </c>
      <c r="B101" s="3" t="inlineStr">
        <is>
          <t>Mixed planned/reported and submission-internal definition relationships. Labels may be abbreviations while the inclusive definition governed the denominators; participant-level LDL-at-100 data are absent.</t>
        </is>
      </c>
      <c r="C101" s="3" t="b">
        <v>1</v>
      </c>
      <c r="D101" s="3" t="inlineStr">
        <is>
          <t>Measure, label, or scale inconsistency</t>
        </is>
      </c>
      <c r="E101" s="3" t="b">
        <v>1</v>
      </c>
      <c r="F101" s="3" t="inlineStr">
        <is>
          <t>C002</t>
        </is>
      </c>
      <c r="G101" s="3" t="inlineStr">
        <is>
          <t>2018::jama.2018.8802::C002</t>
        </is>
      </c>
      <c r="H101" s="3" t="inlineStr"/>
      <c r="I101" s="3" t="inlineStr">
        <is>
          <t>jama_wang_2018_oi_180070.pdf — PDF p. 7, Table 2 lipid-lowering row; joi180070supp1_prod.pdf — PDF p. 15, definition; joi180070supp2_prod.pdf — PDF p. 3, eTable 1 definition; and joi180070supp2_prod.pdf — PDF p. 8, eTable 4 label.</t>
        </is>
      </c>
      <c r="J101" s="3" t="b">
        <v>0</v>
      </c>
      <c r="K101" s="3" t="inlineStr">
        <is>
          <t>jama.2018.8802</t>
        </is>
      </c>
      <c r="L101" s="3" t="inlineStr">
        <is>
          <t>population_recruitment_sites</t>
        </is>
      </c>
      <c r="M101" s="3" t="inlineStr">
        <is>
          <t>P_R</t>
        </is>
      </c>
      <c r="N101" s="3"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3" t="inlineStr">
        <is>
          <t>../../2018/jama.2018.8802/.ai_paper_validation/final_report_1_5_2.html</t>
        </is>
      </c>
      <c r="P101" s="3" t="inlineStr">
        <is>
          <t>2018/jama.2018.8802/.ai_paper_validation/final_report_1_5_2.md</t>
        </is>
      </c>
      <c r="Q101" s="3" t="inlineStr">
        <is>
          <t>C002</t>
        </is>
      </c>
      <c r="R101" s="3" t="inlineStr">
        <is>
          <t>Pending Human Adjudication</t>
        </is>
      </c>
      <c r="S101" s="3" t="inlineStr">
        <is>
          <t>The main and sensitivity result rows use LDL &gt;100 mg/dL, while supplied formal measure definitions use LDL ≥100 mg/dL.</t>
        </is>
      </c>
      <c r="T101" s="3" t="b">
        <v>1</v>
      </c>
      <c r="U101" s="3" t="inlineStr">
        <is>
          <t>eligibility_threshold</t>
        </is>
      </c>
      <c r="V101" s="3" t="inlineStr">
        <is>
          <t>protocol_report</t>
        </is>
      </c>
      <c r="W101" s="3" t="inlineStr">
        <is>
          <t>LDL eligibility boundary differs between result labels and supplied measure definition</t>
        </is>
      </c>
      <c r="X101" s="3" t="inlineStr">
        <is>
          <t>2018</t>
        </is>
      </c>
      <c r="Y101" s="3" t="inlineStr">
        <is>
          <t>meta_report/consistency_reclassification_2026-09-04/reclassified_candidates.json</t>
        </is>
      </c>
      <c r="Z101" s="3" t="inlineStr">
        <is>
          <t>P_R</t>
        </is>
      </c>
      <c r="AA101" s="3" t="inlineStr">
        <is>
          <t>protocol_report</t>
        </is>
      </c>
      <c r="AB101" s="3" t="inlineStr">
        <is>
          <t>retain</t>
        </is>
      </c>
    </row>
    <row r="102" ht="95" customHeight="1">
      <c r="A102" s="2" t="b">
        <v>0</v>
      </c>
      <c r="B102" s="2" t="inlineStr"/>
      <c r="C102" s="2" t="b">
        <v>0</v>
      </c>
      <c r="D102" s="2" t="inlineStr">
        <is>
          <t>Denominator, proportion, or total inconsistency</t>
        </is>
      </c>
      <c r="E102" s="2" t="b">
        <v>0</v>
      </c>
      <c r="F102" s="2" t="inlineStr">
        <is>
          <t>C003</t>
        </is>
      </c>
      <c r="G102" s="2" t="inlineStr">
        <is>
          <t>2018::jama.2018.8802::C003</t>
        </is>
      </c>
      <c r="H102" s="2" t="inlineStr"/>
      <c r="I102" s="2" t="inlineStr">
        <is>
          <t>joi180070supp2_prod.pdf — PDF p. 8, eTable 4, Antithrombotics, control cell.</t>
        </is>
      </c>
      <c r="J102" s="2" t="b">
        <v>0</v>
      </c>
      <c r="K102" s="2" t="inlineStr">
        <is>
          <t>jama.2018.8802</t>
        </is>
      </c>
      <c r="L102" s="2" t="inlineStr"/>
      <c r="M102" s="2" t="inlineStr">
        <is>
          <t>S_W</t>
        </is>
      </c>
      <c r="N102" s="2" t="inlineStr">
        <is>
          <t>The control cell prints 2141/2400 (89.3), but the fraction rounds to 89.2% at one decimal. The focal mismatch is within one non-plan results supplement.</t>
        </is>
      </c>
      <c r="O102" s="2" t="inlineStr">
        <is>
          <t>../../2018/jama.2018.8802/.ai_paper_validation/final_report_1_5_2.html</t>
        </is>
      </c>
      <c r="P102" s="2" t="inlineStr">
        <is>
          <t>2018/jama.2018.8802/.ai_paper_validation/final_report_1_5_2.md</t>
        </is>
      </c>
      <c r="Q102" s="2" t="inlineStr">
        <is>
          <t>C003</t>
        </is>
      </c>
      <c r="R102" s="2" t="inlineStr">
        <is>
          <t>Pending Human Adjudication</t>
        </is>
      </c>
      <c r="S102" s="2" t="inlineStr">
        <is>
          <t>The control cell prints 2141/2400 (89.3), but the fraction rounds to 89.2% at one decimal.</t>
        </is>
      </c>
      <c r="T102" s="2" t="b">
        <v>1</v>
      </c>
      <c r="U102" s="2" t="inlineStr">
        <is>
          <t>count_percentage_rounding</t>
        </is>
      </c>
      <c r="V102" s="2" t="inlineStr">
        <is>
          <t>statistical_results</t>
        </is>
      </c>
      <c r="W102" s="2" t="inlineStr">
        <is>
          <t>eTable 4 discharge-antithrombotics control percentage does not reproduce</t>
        </is>
      </c>
      <c r="X102" s="2" t="inlineStr">
        <is>
          <t>2018</t>
        </is>
      </c>
      <c r="Y102" s="2" t="inlineStr">
        <is>
          <t>meta_report/consistency_reclassification_2026-09-04/reclassified_candidates.json</t>
        </is>
      </c>
      <c r="Z102" s="2" t="inlineStr">
        <is>
          <t>S_W</t>
        </is>
      </c>
      <c r="AA102" s="2" t="inlineStr">
        <is>
          <t>statistical_results</t>
        </is>
      </c>
      <c r="AB102" s="2" t="inlineStr">
        <is>
          <t>retain</t>
        </is>
      </c>
    </row>
    <row r="103" ht="95" customHeight="1">
      <c r="A103" s="3" t="b">
        <v>0</v>
      </c>
      <c r="B103" s="3" t="inlineStr"/>
      <c r="C103" s="3" t="b">
        <v>0</v>
      </c>
      <c r="D103" s="3" t="inlineStr">
        <is>
          <t>Denominator, proportion, or total inconsistency</t>
        </is>
      </c>
      <c r="E103" s="3" t="b">
        <v>0</v>
      </c>
      <c r="F103" s="3" t="inlineStr">
        <is>
          <t>C004</t>
        </is>
      </c>
      <c r="G103" s="3" t="inlineStr">
        <is>
          <t>2018::jama.2018.8802::C004</t>
        </is>
      </c>
      <c r="H103" s="3" t="inlineStr"/>
      <c r="I103" s="3" t="inlineStr">
        <is>
          <t>joi180070supp2_prod.pdf — PDF p. 8, eTable 4, Anticoagulation for Atrial Fibrillation, control cell.</t>
        </is>
      </c>
      <c r="J103" s="3" t="b">
        <v>0</v>
      </c>
      <c r="K103" s="3" t="inlineStr">
        <is>
          <t>jama.2018.8802</t>
        </is>
      </c>
      <c r="L103" s="3" t="inlineStr"/>
      <c r="M103" s="3" t="inlineStr">
        <is>
          <t>S_W</t>
        </is>
      </c>
      <c r="N103" s="3" t="inlineStr">
        <is>
          <t>The control cell prints 39/174 (22.5), but the fraction rounds to 22.4% at one decimal. The focal mismatch is within one non-plan results supplement.</t>
        </is>
      </c>
      <c r="O103" s="3" t="inlineStr">
        <is>
          <t>../../2018/jama.2018.8802/.ai_paper_validation/final_report_1_5_2.html</t>
        </is>
      </c>
      <c r="P103" s="3" t="inlineStr">
        <is>
          <t>2018/jama.2018.8802/.ai_paper_validation/final_report_1_5_2.md</t>
        </is>
      </c>
      <c r="Q103" s="3" t="inlineStr">
        <is>
          <t>C004</t>
        </is>
      </c>
      <c r="R103" s="3" t="inlineStr">
        <is>
          <t>Pending Human Adjudication</t>
        </is>
      </c>
      <c r="S103" s="3" t="inlineStr">
        <is>
          <t>The control cell prints 39/174 (22.5), but the fraction rounds to 22.4% at one decimal.</t>
        </is>
      </c>
      <c r="T103" s="3" t="b">
        <v>1</v>
      </c>
      <c r="U103" s="3" t="inlineStr">
        <is>
          <t>count_percentage_rounding</t>
        </is>
      </c>
      <c r="V103" s="3" t="inlineStr">
        <is>
          <t>statistical_results</t>
        </is>
      </c>
      <c r="W103" s="3" t="inlineStr">
        <is>
          <t>eTable 4 AF-anticoagulation control percentage does not reproduce</t>
        </is>
      </c>
      <c r="X103" s="3" t="inlineStr">
        <is>
          <t>2018</t>
        </is>
      </c>
      <c r="Y103" s="3" t="inlineStr">
        <is>
          <t>meta_report/consistency_reclassification_2026-09-04/reclassified_candidates.json</t>
        </is>
      </c>
      <c r="Z103" s="3" t="inlineStr">
        <is>
          <t>S_W</t>
        </is>
      </c>
      <c r="AA103" s="3" t="inlineStr">
        <is>
          <t>statistical_results</t>
        </is>
      </c>
      <c r="AB103" s="3" t="inlineStr">
        <is>
          <t>retain</t>
        </is>
      </c>
    </row>
    <row r="104" ht="95" customHeight="1">
      <c r="A104" s="2" t="b">
        <v>0</v>
      </c>
      <c r="B104" s="2" t="inlineStr"/>
      <c r="C104" s="2" t="b">
        <v>0</v>
      </c>
      <c r="D104" s="2" t="inlineStr">
        <is>
          <t>Denominator, proportion, or total inconsistency</t>
        </is>
      </c>
      <c r="E104" s="2" t="b">
        <v>0</v>
      </c>
      <c r="F104" s="2" t="inlineStr">
        <is>
          <t>C005</t>
        </is>
      </c>
      <c r="G104" s="2" t="inlineStr">
        <is>
          <t>2018::jama.2018.8802::C005</t>
        </is>
      </c>
      <c r="H104" s="2" t="inlineStr"/>
      <c r="I104" s="2" t="inlineStr">
        <is>
          <t>joi180070supp2_prod.pdf — PDF p. 8, eTable 4, Lipid-lowering for LDL &gt;100 mg/dL, control cell.</t>
        </is>
      </c>
      <c r="J104" s="2" t="b">
        <v>0</v>
      </c>
      <c r="K104" s="2" t="inlineStr">
        <is>
          <t>jama.2018.8802</t>
        </is>
      </c>
      <c r="L104" s="2" t="inlineStr"/>
      <c r="M104" s="2" t="inlineStr">
        <is>
          <t>S_W</t>
        </is>
      </c>
      <c r="N104" s="2" t="inlineStr">
        <is>
          <t>The control cell prints 1439/1586 (90.8), but the fraction rounds to 90.7% at one decimal. The focal mismatch is within one non-plan results supplement.</t>
        </is>
      </c>
      <c r="O104" s="2" t="inlineStr">
        <is>
          <t>../../2018/jama.2018.8802/.ai_paper_validation/final_report_1_5_2.html</t>
        </is>
      </c>
      <c r="P104" s="2" t="inlineStr">
        <is>
          <t>2018/jama.2018.8802/.ai_paper_validation/final_report_1_5_2.md</t>
        </is>
      </c>
      <c r="Q104" s="2" t="inlineStr">
        <is>
          <t>C005</t>
        </is>
      </c>
      <c r="R104" s="2" t="inlineStr">
        <is>
          <t>Pending Human Adjudication</t>
        </is>
      </c>
      <c r="S104" s="2" t="inlineStr">
        <is>
          <t>The control cell prints 1439/1586 (90.8), but the fraction rounds to 90.7% at one decimal.</t>
        </is>
      </c>
      <c r="T104" s="2" t="b">
        <v>1</v>
      </c>
      <c r="U104" s="2" t="inlineStr">
        <is>
          <t>count_percentage_rounding</t>
        </is>
      </c>
      <c r="V104" s="2" t="inlineStr">
        <is>
          <t>statistical_results</t>
        </is>
      </c>
      <c r="W104" s="2" t="inlineStr">
        <is>
          <t>eTable 4 lipid-lowering control percentage does not reproduce</t>
        </is>
      </c>
      <c r="X104" s="2" t="inlineStr">
        <is>
          <t>2018</t>
        </is>
      </c>
      <c r="Y104" s="2" t="inlineStr">
        <is>
          <t>meta_report/consistency_reclassification_2026-09-04/reclassified_candidates.json</t>
        </is>
      </c>
      <c r="Z104" s="2" t="inlineStr">
        <is>
          <t>S_W</t>
        </is>
      </c>
      <c r="AA104" s="2" t="inlineStr">
        <is>
          <t>statistical_results</t>
        </is>
      </c>
      <c r="AB104" s="2" t="inlineStr">
        <is>
          <t>retain</t>
        </is>
      </c>
    </row>
    <row r="105" ht="95" customHeight="1">
      <c r="A105" s="3" t="b">
        <v>0</v>
      </c>
      <c r="B105" s="3" t="inlineStr"/>
      <c r="C105" s="3" t="b">
        <v>0</v>
      </c>
      <c r="D105" s="3" t="inlineStr">
        <is>
          <t>Denominator, proportion, or total inconsistency</t>
        </is>
      </c>
      <c r="E105" s="3" t="b">
        <v>0</v>
      </c>
      <c r="F105" s="3" t="inlineStr">
        <is>
          <t>C006</t>
        </is>
      </c>
      <c r="G105" s="3" t="inlineStr">
        <is>
          <t>2018::jama.2018.8802::C006</t>
        </is>
      </c>
      <c r="H105" s="3" t="inlineStr"/>
      <c r="I105" s="3" t="inlineStr">
        <is>
          <t>joi180070supp2_prod.pdf — PDF p. 8, eTable 4, Antidiabetic Medication, control cell.</t>
        </is>
      </c>
      <c r="J105" s="3" t="b">
        <v>0</v>
      </c>
      <c r="K105" s="3" t="inlineStr">
        <is>
          <t>jama.2018.8802</t>
        </is>
      </c>
      <c r="L105" s="3" t="inlineStr"/>
      <c r="M105" s="3" t="inlineStr">
        <is>
          <t>S_W</t>
        </is>
      </c>
      <c r="N105" s="3" t="inlineStr">
        <is>
          <t>The control cell prints 557/688 (81.1), but the fraction rounds to 81.0% at one decimal. The focal mismatch is within one non-plan results supplement.</t>
        </is>
      </c>
      <c r="O105" s="3" t="inlineStr">
        <is>
          <t>../../2018/jama.2018.8802/.ai_paper_validation/final_report_1_5_2.html</t>
        </is>
      </c>
      <c r="P105" s="3" t="inlineStr">
        <is>
          <t>2018/jama.2018.8802/.ai_paper_validation/final_report_1_5_2.md</t>
        </is>
      </c>
      <c r="Q105" s="3" t="inlineStr">
        <is>
          <t>C006</t>
        </is>
      </c>
      <c r="R105" s="3" t="inlineStr">
        <is>
          <t>Pending Human Adjudication</t>
        </is>
      </c>
      <c r="S105" s="3" t="inlineStr">
        <is>
          <t>The control cell prints 557/688 (81.1), but the fraction rounds to 81.0% at one decimal.</t>
        </is>
      </c>
      <c r="T105" s="3" t="b">
        <v>1</v>
      </c>
      <c r="U105" s="3" t="inlineStr">
        <is>
          <t>count_percentage_rounding</t>
        </is>
      </c>
      <c r="V105" s="3" t="inlineStr">
        <is>
          <t>statistical_results</t>
        </is>
      </c>
      <c r="W105" s="3" t="inlineStr">
        <is>
          <t>eTable 4 antidiabetic-medication control percentage does not reproduce</t>
        </is>
      </c>
      <c r="X105" s="3" t="inlineStr">
        <is>
          <t>2018</t>
        </is>
      </c>
      <c r="Y105" s="3" t="inlineStr">
        <is>
          <t>meta_report/consistency_reclassification_2026-09-04/reclassified_candidates.json</t>
        </is>
      </c>
      <c r="Z105" s="3" t="inlineStr">
        <is>
          <t>S_W</t>
        </is>
      </c>
      <c r="AA105" s="3" t="inlineStr">
        <is>
          <t>statistical_results</t>
        </is>
      </c>
      <c r="AB105" s="3" t="inlineStr">
        <is>
          <t>retain</t>
        </is>
      </c>
    </row>
    <row r="106" ht="95" customHeight="1">
      <c r="A106" s="2" t="b">
        <v>0</v>
      </c>
      <c r="B106" s="2" t="inlineStr">
        <is>
          <t>Twenty may be a target, with one cluster enrolling 21; the printed retrospective inclusion claim lacks that qualification. No additional plan discrepancy is counted.</t>
        </is>
      </c>
      <c r="C106" s="2" t="b">
        <v>0</v>
      </c>
      <c r="D106" s="2" t="inlineStr">
        <is>
          <t>Cross-document numeric inconsistency</t>
        </is>
      </c>
      <c r="E106" s="2" t="b">
        <v>1</v>
      </c>
      <c r="F106" s="2" t="inlineStr">
        <is>
          <t>C007</t>
        </is>
      </c>
      <c r="G106" s="2" t="inlineStr">
        <is>
          <t>2018::jama.2018.8802::C007</t>
        </is>
      </c>
      <c r="H106" s="2" t="inlineStr"/>
      <c r="I106"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 t="b">
        <v>1</v>
      </c>
      <c r="K106" s="2" t="inlineStr">
        <is>
          <t>jama.2018.8802</t>
        </is>
      </c>
      <c r="L106" s="2" t="inlineStr"/>
      <c r="M106" s="2" t="inlineStr">
        <is>
          <t>S_C</t>
        </is>
      </c>
      <c r="N106" s="2"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 t="inlineStr">
        <is>
          <t>../../2018/jama.2018.8802/.ai_paper_validation/final_report_1_5_2.html</t>
        </is>
      </c>
      <c r="P106" s="2" t="inlineStr">
        <is>
          <t>2018/jama.2018.8802/.ai_paper_validation/final_report_1_5_2.md</t>
        </is>
      </c>
      <c r="Q106" s="2" t="inlineStr">
        <is>
          <t>C007</t>
        </is>
      </c>
      <c r="R106" s="2" t="inlineStr">
        <is>
          <t>Pending Human Adjudication</t>
        </is>
      </c>
      <c r="S106" s="2" t="inlineStr">
        <is>
          <t>Table 1 reports 801 baseline-survey patients and 40 survey hospitals, while the supplement states that 20 patients per cluster were prospectively included, implying 800 under an exact fixed-count reading.</t>
        </is>
      </c>
      <c r="T106" s="2" t="b">
        <v>1</v>
      </c>
      <c r="U106" s="2" t="inlineStr">
        <is>
          <t>sampling_count_vs_total</t>
        </is>
      </c>
      <c r="V106" s="2" t="inlineStr">
        <is>
          <t>report_internal_inconsistency</t>
        </is>
      </c>
      <c r="W106" s="2" t="inlineStr">
        <is>
          <t>baseline-survey patient total does not reconcile with stated per-cluster inclusion</t>
        </is>
      </c>
      <c r="X106" s="2" t="inlineStr">
        <is>
          <t>2018</t>
        </is>
      </c>
      <c r="Y106" s="2" t="inlineStr">
        <is>
          <t>meta_report/consistency_reclassification_2026-09-04/reclassified_candidates.json</t>
        </is>
      </c>
      <c r="Z106" s="2" t="inlineStr">
        <is>
          <t>S_C</t>
        </is>
      </c>
      <c r="AA106" s="2" t="inlineStr">
        <is>
          <t>report_internal_inconsistency</t>
        </is>
      </c>
      <c r="AB106" s="2" t="inlineStr">
        <is>
          <t>retain</t>
        </is>
      </c>
    </row>
    <row r="107" ht="95" customHeight="1">
      <c r="A107" s="3" t="b">
        <v>0</v>
      </c>
      <c r="B107" s="3" t="inlineStr"/>
      <c r="C107" s="3" t="b">
        <v>0</v>
      </c>
      <c r="D107" s="3" t="inlineStr">
        <is>
          <t>Statistical reporting inconsistency</t>
        </is>
      </c>
      <c r="E107" s="3" t="b">
        <v>0</v>
      </c>
      <c r="F107" s="3" t="inlineStr">
        <is>
          <t>C008</t>
        </is>
      </c>
      <c r="G107" s="3" t="inlineStr">
        <is>
          <t>2018::jama.2018.8802::C008</t>
        </is>
      </c>
      <c r="H107" s="3" t="inlineStr"/>
      <c r="I107" s="3" t="inlineStr">
        <is>
          <t>jama_wang_2018_oi_180070.pdf — PDF p. 8, Table 3 Death / In hospital row, absolute-difference and adjacent P-value columns; jama_wang_2018_oi_180070.pdf — PDF p. 4, data-analysis statements.</t>
        </is>
      </c>
      <c r="J107" s="3" t="b">
        <v>0</v>
      </c>
      <c r="K107" s="3" t="inlineStr">
        <is>
          <t>jama.2018.8802</t>
        </is>
      </c>
      <c r="L107" s="3" t="inlineStr"/>
      <c r="M107" s="3" t="inlineStr">
        <is>
          <t>S_W</t>
        </is>
      </c>
      <c r="N107" s="3" t="inlineStr">
        <is>
          <t>The in-hospital-death adjusted absolute-difference 95% CI contains zero, while the adjacent absolute-difference P-value cell is .009 under the article's two-sided testing statement. The focal mismatch is within the main article.</t>
        </is>
      </c>
      <c r="O107" s="3" t="inlineStr">
        <is>
          <t>../../2018/jama.2018.8802/.ai_paper_validation/final_report_1_5_2.html</t>
        </is>
      </c>
      <c r="P107" s="3" t="inlineStr">
        <is>
          <t>2018/jama.2018.8802/.ai_paper_validation/final_report_1_5_2.md</t>
        </is>
      </c>
      <c r="Q107" s="3" t="inlineStr">
        <is>
          <t>C008</t>
        </is>
      </c>
      <c r="R107" s="3" t="inlineStr">
        <is>
          <t>Pending Human Adjudication</t>
        </is>
      </c>
      <c r="S107" s="3" t="inlineStr">
        <is>
          <t>The in-hospital-death adjusted absolute-difference 95% CI contains zero, while the adjacent absolute-difference P-value cell is .009 under the article's two-sided testing statement.</t>
        </is>
      </c>
      <c r="T107" s="3" t="b">
        <v>1</v>
      </c>
      <c r="U107" s="3" t="inlineStr">
        <is>
          <t>ci_p_compatibility</t>
        </is>
      </c>
      <c r="V107" s="3" t="inlineStr">
        <is>
          <t>statistical_results</t>
        </is>
      </c>
      <c r="W107" s="3" t="inlineStr">
        <is>
          <t>in-hospital death absolute-difference CI and P value do not reconcile</t>
        </is>
      </c>
      <c r="X107" s="3" t="inlineStr">
        <is>
          <t>2018</t>
        </is>
      </c>
      <c r="Y107" s="3" t="inlineStr">
        <is>
          <t>meta_report/consistency_reclassification_2026-09-04/reclassified_candidates.json</t>
        </is>
      </c>
      <c r="Z107" s="3" t="inlineStr">
        <is>
          <t>S_W</t>
        </is>
      </c>
      <c r="AA107" s="3" t="inlineStr">
        <is>
          <t>statistical_results</t>
        </is>
      </c>
      <c r="AB107" s="3" t="inlineStr">
        <is>
          <t>retain</t>
        </is>
      </c>
    </row>
    <row r="108" ht="95" customHeight="1">
      <c r="A108" s="2" t="b">
        <v>0</v>
      </c>
      <c r="B108"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 t="b">
        <v>0</v>
      </c>
      <c r="D108" s="2" t="inlineStr">
        <is>
          <t>Cross-document numeric inconsistency</t>
        </is>
      </c>
      <c r="E108" s="2" t="b">
        <v>1</v>
      </c>
      <c r="F108" s="2" t="inlineStr">
        <is>
          <t>C001</t>
        </is>
      </c>
      <c r="G108" s="2" t="inlineStr">
        <is>
          <t>2018::jama.2018.9128::C001</t>
        </is>
      </c>
      <c r="H108" s="2" t="inlineStr"/>
      <c r="I108" s="2" t="inlineStr">
        <is>
          <t>DOC-001 Figure 1 — PDF p. 3; DOC-001 Figure 2 — PDF p. 7; DOC-003 eTable 1 — PDF p. 2.</t>
        </is>
      </c>
      <c r="J108" s="2" t="b">
        <v>1</v>
      </c>
      <c r="K108" s="2" t="inlineStr">
        <is>
          <t>jama.2018.9128</t>
        </is>
      </c>
      <c r="L108" s="2" t="inlineStr"/>
      <c r="M108" s="2" t="inlineStr">
        <is>
          <t>S_C</t>
        </is>
      </c>
      <c r="N108" s="2" t="inlineStr">
        <is>
          <t>The intervention 3-month BMI count is 288 in the flow diagram and 279 in both the observed-BMI figure and eTable. The focal comparison is the main article versus a non-plan results supplement.</t>
        </is>
      </c>
      <c r="O108" s="2" t="inlineStr">
        <is>
          <t>../../2018/jama.2018.9128/.ai_paper_validation/final_report_1_5_2.html</t>
        </is>
      </c>
      <c r="P108" s="2" t="inlineStr">
        <is>
          <t>2018/jama.2018.9128/.ai_paper_validation/final_report_1_5_2.md</t>
        </is>
      </c>
      <c r="Q108" s="2" t="inlineStr">
        <is>
          <t>C001</t>
        </is>
      </c>
      <c r="R108" s="2" t="inlineStr">
        <is>
          <t>Pending Human Adjudication</t>
        </is>
      </c>
      <c r="S108" s="2" t="inlineStr">
        <is>
          <t>The intervention 3-month BMI count is 288 in the flow diagram and 279 in both the observed-BMI figure and eTable.</t>
        </is>
      </c>
      <c r="T108" s="2" t="b">
        <v>1</v>
      </c>
      <c r="U108" s="2" t="inlineStr">
        <is>
          <t>repeated_bmi_observation_count</t>
        </is>
      </c>
      <c r="V108" s="2" t="inlineStr">
        <is>
          <t>report_internal_inconsistency</t>
        </is>
      </c>
      <c r="W108" s="2" t="inlineStr">
        <is>
          <t>Intervention 3-month BMI-observation count differs across result displays</t>
        </is>
      </c>
      <c r="X108" s="2" t="inlineStr">
        <is>
          <t>2018</t>
        </is>
      </c>
      <c r="Y108" s="2" t="inlineStr">
        <is>
          <t>meta_report/consistency_reclassification_2026-09-04/reclassified_candidates.json</t>
        </is>
      </c>
      <c r="Z108" s="2" t="inlineStr">
        <is>
          <t>S_C</t>
        </is>
      </c>
      <c r="AA108" s="2" t="inlineStr">
        <is>
          <t>report_internal_inconsistency</t>
        </is>
      </c>
      <c r="AB108" s="2" t="inlineStr">
        <is>
          <t>retain</t>
        </is>
      </c>
    </row>
    <row r="109" ht="95" customHeight="1">
      <c r="A109" s="3" t="b">
        <v>0</v>
      </c>
      <c r="B109"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3" t="b">
        <v>0</v>
      </c>
      <c r="D109" s="3" t="inlineStr">
        <is>
          <t>Cross-document numeric inconsistency</t>
        </is>
      </c>
      <c r="E109" s="3" t="b">
        <v>1</v>
      </c>
      <c r="F109" s="3" t="inlineStr">
        <is>
          <t>C002</t>
        </is>
      </c>
      <c r="G109" s="3" t="inlineStr">
        <is>
          <t>2018::jama.2018.9128::C002</t>
        </is>
      </c>
      <c r="H109" s="3" t="inlineStr"/>
      <c r="I109" s="3" t="inlineStr">
        <is>
          <t>DOC-001 Figure 1 — PDF p. 3; DOC-001 Figure 2 — PDF p. 7; DOC-003 eTable 1 — PDF p. 2.</t>
        </is>
      </c>
      <c r="J109" s="3" t="b">
        <v>1</v>
      </c>
      <c r="K109" s="3" t="inlineStr">
        <is>
          <t>jama.2018.9128</t>
        </is>
      </c>
      <c r="L109" s="3" t="inlineStr"/>
      <c r="M109" s="3" t="inlineStr">
        <is>
          <t>S_C</t>
        </is>
      </c>
      <c r="N109" s="3" t="inlineStr">
        <is>
          <t>The control 3-month BMI count is 277 in the flow diagram and 271 in both the observed-BMI figure and eTable. The focal comparison is the main article versus a non-plan results supplement.</t>
        </is>
      </c>
      <c r="O109" s="3" t="inlineStr">
        <is>
          <t>../../2018/jama.2018.9128/.ai_paper_validation/final_report_1_5_2.html</t>
        </is>
      </c>
      <c r="P109" s="3" t="inlineStr">
        <is>
          <t>2018/jama.2018.9128/.ai_paper_validation/final_report_1_5_2.md</t>
        </is>
      </c>
      <c r="Q109" s="3" t="inlineStr">
        <is>
          <t>C002</t>
        </is>
      </c>
      <c r="R109" s="3" t="inlineStr">
        <is>
          <t>Pending Human Adjudication</t>
        </is>
      </c>
      <c r="S109" s="3" t="inlineStr">
        <is>
          <t>The control 3-month BMI count is 277 in the flow diagram and 271 in both the observed-BMI figure and eTable.</t>
        </is>
      </c>
      <c r="T109" s="3" t="b">
        <v>1</v>
      </c>
      <c r="U109" s="3" t="inlineStr">
        <is>
          <t>repeated_bmi_observation_count</t>
        </is>
      </c>
      <c r="V109" s="3" t="inlineStr">
        <is>
          <t>report_internal_inconsistency</t>
        </is>
      </c>
      <c r="W109" s="3" t="inlineStr">
        <is>
          <t>Control 3-month BMI-observation count differs across result displays</t>
        </is>
      </c>
      <c r="X109" s="3" t="inlineStr">
        <is>
          <t>2018</t>
        </is>
      </c>
      <c r="Y109" s="3" t="inlineStr">
        <is>
          <t>meta_report/consistency_reclassification_2026-09-04/reclassified_candidates.json</t>
        </is>
      </c>
      <c r="Z109" s="3" t="inlineStr">
        <is>
          <t>S_C</t>
        </is>
      </c>
      <c r="AA109" s="3" t="inlineStr">
        <is>
          <t>report_internal_inconsistency</t>
        </is>
      </c>
      <c r="AB109" s="3" t="inlineStr">
        <is>
          <t>retain</t>
        </is>
      </c>
    </row>
    <row r="110" ht="95" customHeight="1">
      <c r="A110" s="2" t="b">
        <v>0</v>
      </c>
      <c r="B11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 t="b">
        <v>0</v>
      </c>
      <c r="D110" s="2" t="inlineStr">
        <is>
          <t>Cross-document numeric inconsistency</t>
        </is>
      </c>
      <c r="E110" s="2" t="b">
        <v>1</v>
      </c>
      <c r="F110" s="2" t="inlineStr">
        <is>
          <t>C003</t>
        </is>
      </c>
      <c r="G110" s="2" t="inlineStr">
        <is>
          <t>2018::jama.2018.9128::C003</t>
        </is>
      </c>
      <c r="H110" s="2" t="inlineStr"/>
      <c r="I110" s="2" t="inlineStr">
        <is>
          <t>DOC-001 Figure 1 — PDF p. 3; DOC-001 Figure 2 — PDF p. 7; DOC-003 eTable 1 — PDF p. 2.</t>
        </is>
      </c>
      <c r="J110" s="2" t="b">
        <v>1</v>
      </c>
      <c r="K110" s="2" t="inlineStr">
        <is>
          <t>jama.2018.9128</t>
        </is>
      </c>
      <c r="L110" s="2" t="inlineStr"/>
      <c r="M110" s="2" t="inlineStr">
        <is>
          <t>S_C</t>
        </is>
      </c>
      <c r="N110" s="2" t="inlineStr">
        <is>
          <t>The intervention 9-month BMI count is 282 in the flow diagram and 280 in both the observed-BMI figure and eTable. The focal comparison is the main article versus a non-plan results supplement.</t>
        </is>
      </c>
      <c r="O110" s="2" t="inlineStr">
        <is>
          <t>../../2018/jama.2018.9128/.ai_paper_validation/final_report_1_5_2.html</t>
        </is>
      </c>
      <c r="P110" s="2" t="inlineStr">
        <is>
          <t>2018/jama.2018.9128/.ai_paper_validation/final_report_1_5_2.md</t>
        </is>
      </c>
      <c r="Q110" s="2" t="inlineStr">
        <is>
          <t>C003</t>
        </is>
      </c>
      <c r="R110" s="2" t="inlineStr">
        <is>
          <t>Pending Human Adjudication</t>
        </is>
      </c>
      <c r="S110" s="2" t="inlineStr">
        <is>
          <t>The intervention 9-month BMI count is 282 in the flow diagram and 280 in both the observed-BMI figure and eTable.</t>
        </is>
      </c>
      <c r="T110" s="2" t="b">
        <v>1</v>
      </c>
      <c r="U110" s="2" t="inlineStr">
        <is>
          <t>repeated_bmi_observation_count</t>
        </is>
      </c>
      <c r="V110" s="2" t="inlineStr">
        <is>
          <t>report_internal_inconsistency</t>
        </is>
      </c>
      <c r="W110" s="2" t="inlineStr">
        <is>
          <t>Intervention 9-month BMI-observation count differs across result displays</t>
        </is>
      </c>
      <c r="X110" s="2" t="inlineStr">
        <is>
          <t>2018</t>
        </is>
      </c>
      <c r="Y110" s="2" t="inlineStr">
        <is>
          <t>meta_report/consistency_reclassification_2026-09-04/reclassified_candidates.json</t>
        </is>
      </c>
      <c r="Z110" s="2" t="inlineStr">
        <is>
          <t>S_C</t>
        </is>
      </c>
      <c r="AA110" s="2" t="inlineStr">
        <is>
          <t>report_internal_inconsistency</t>
        </is>
      </c>
      <c r="AB110" s="2" t="inlineStr">
        <is>
          <t>retain</t>
        </is>
      </c>
    </row>
    <row r="111" ht="95" customHeight="1">
      <c r="A111" s="3" t="b">
        <v>0</v>
      </c>
      <c r="B111"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3" t="b">
        <v>0</v>
      </c>
      <c r="D111" s="3" t="inlineStr">
        <is>
          <t>Cross-document numeric inconsistency</t>
        </is>
      </c>
      <c r="E111" s="3" t="b">
        <v>1</v>
      </c>
      <c r="F111" s="3" t="inlineStr">
        <is>
          <t>C004</t>
        </is>
      </c>
      <c r="G111" s="3" t="inlineStr">
        <is>
          <t>2018::jama.2018.9128::C004</t>
        </is>
      </c>
      <c r="H111" s="3" t="inlineStr"/>
      <c r="I111" s="3" t="inlineStr">
        <is>
          <t>DOC-001 Figure 1 — PDF p. 3; DOC-001 Figure 2 — PDF p. 7; DOC-003 eTable 1 — PDF p. 2.</t>
        </is>
      </c>
      <c r="J111" s="3" t="b">
        <v>1</v>
      </c>
      <c r="K111" s="3" t="inlineStr">
        <is>
          <t>jama.2018.9128</t>
        </is>
      </c>
      <c r="L111" s="3" t="inlineStr"/>
      <c r="M111" s="3" t="inlineStr">
        <is>
          <t>S_C</t>
        </is>
      </c>
      <c r="N111" s="3" t="inlineStr">
        <is>
          <t>The intervention 12-month BMI count is 275 in the flow diagram and 274 in both the observed-BMI figure and eTable. The focal comparison is the main article versus a non-plan results supplement.</t>
        </is>
      </c>
      <c r="O111" s="3" t="inlineStr">
        <is>
          <t>../../2018/jama.2018.9128/.ai_paper_validation/final_report_1_5_2.html</t>
        </is>
      </c>
      <c r="P111" s="3" t="inlineStr">
        <is>
          <t>2018/jama.2018.9128/.ai_paper_validation/final_report_1_5_2.md</t>
        </is>
      </c>
      <c r="Q111" s="3" t="inlineStr">
        <is>
          <t>C004</t>
        </is>
      </c>
      <c r="R111" s="3" t="inlineStr">
        <is>
          <t>Pending Human Adjudication</t>
        </is>
      </c>
      <c r="S111" s="3" t="inlineStr">
        <is>
          <t>The intervention 12-month BMI count is 275 in the flow diagram and 274 in both the observed-BMI figure and eTable.</t>
        </is>
      </c>
      <c r="T111" s="3" t="b">
        <v>1</v>
      </c>
      <c r="U111" s="3" t="inlineStr">
        <is>
          <t>repeated_bmi_observation_count</t>
        </is>
      </c>
      <c r="V111" s="3" t="inlineStr">
        <is>
          <t>report_internal_inconsistency</t>
        </is>
      </c>
      <c r="W111" s="3" t="inlineStr">
        <is>
          <t>Intervention 12-month BMI-observation count differs across result displays</t>
        </is>
      </c>
      <c r="X111" s="3" t="inlineStr">
        <is>
          <t>2018</t>
        </is>
      </c>
      <c r="Y111" s="3" t="inlineStr">
        <is>
          <t>meta_report/consistency_reclassification_2026-09-04/reclassified_candidates.json</t>
        </is>
      </c>
      <c r="Z111" s="3" t="inlineStr">
        <is>
          <t>S_C</t>
        </is>
      </c>
      <c r="AA111" s="3" t="inlineStr">
        <is>
          <t>report_internal_inconsistency</t>
        </is>
      </c>
      <c r="AB111" s="3" t="inlineStr">
        <is>
          <t>retain</t>
        </is>
      </c>
    </row>
    <row r="112" ht="95" customHeight="1">
      <c r="A112" s="2" t="b">
        <v>0</v>
      </c>
      <c r="B112"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 t="b">
        <v>0</v>
      </c>
      <c r="D112" s="2" t="inlineStr">
        <is>
          <t>Cross-document numeric inconsistency</t>
        </is>
      </c>
      <c r="E112" s="2" t="b">
        <v>1</v>
      </c>
      <c r="F112" s="2" t="inlineStr">
        <is>
          <t>C005</t>
        </is>
      </c>
      <c r="G112" s="2" t="inlineStr">
        <is>
          <t>2018::jama.2018.9128::C005</t>
        </is>
      </c>
      <c r="H112" s="2" t="inlineStr"/>
      <c r="I112" s="2" t="inlineStr">
        <is>
          <t>DOC-001 Figure 1 — PDF p. 3; DOC-001 Figure 2 — PDF p. 7; DOC-003 eTable 1 — PDF p. 2.</t>
        </is>
      </c>
      <c r="J112" s="2" t="b">
        <v>1</v>
      </c>
      <c r="K112" s="2" t="inlineStr">
        <is>
          <t>jama.2018.9128</t>
        </is>
      </c>
      <c r="L112" s="2" t="inlineStr"/>
      <c r="M112" s="2" t="inlineStr">
        <is>
          <t>S_C</t>
        </is>
      </c>
      <c r="N112" s="2" t="inlineStr">
        <is>
          <t>The control 12-month BMI count is 276 in the flow diagram and 275 in both the observed-BMI figure and eTable. The focal comparison is the main article versus a non-plan results supplement.</t>
        </is>
      </c>
      <c r="O112" s="2" t="inlineStr">
        <is>
          <t>../../2018/jama.2018.9128/.ai_paper_validation/final_report_1_5_2.html</t>
        </is>
      </c>
      <c r="P112" s="2" t="inlineStr">
        <is>
          <t>2018/jama.2018.9128/.ai_paper_validation/final_report_1_5_2.md</t>
        </is>
      </c>
      <c r="Q112" s="2" t="inlineStr">
        <is>
          <t>C005</t>
        </is>
      </c>
      <c r="R112" s="2" t="inlineStr">
        <is>
          <t>Pending Human Adjudication</t>
        </is>
      </c>
      <c r="S112" s="2" t="inlineStr">
        <is>
          <t>The control 12-month BMI count is 276 in the flow diagram and 275 in both the observed-BMI figure and eTable.</t>
        </is>
      </c>
      <c r="T112" s="2" t="b">
        <v>1</v>
      </c>
      <c r="U112" s="2" t="inlineStr">
        <is>
          <t>repeated_bmi_observation_count</t>
        </is>
      </c>
      <c r="V112" s="2" t="inlineStr">
        <is>
          <t>report_internal_inconsistency</t>
        </is>
      </c>
      <c r="W112" s="2" t="inlineStr">
        <is>
          <t>Control 12-month BMI-observation count differs across result displays</t>
        </is>
      </c>
      <c r="X112" s="2" t="inlineStr">
        <is>
          <t>2018</t>
        </is>
      </c>
      <c r="Y112" s="2" t="inlineStr">
        <is>
          <t>meta_report/consistency_reclassification_2026-09-04/reclassified_candidates.json</t>
        </is>
      </c>
      <c r="Z112" s="2" t="inlineStr">
        <is>
          <t>S_C</t>
        </is>
      </c>
      <c r="AA112" s="2" t="inlineStr">
        <is>
          <t>report_internal_inconsistency</t>
        </is>
      </c>
      <c r="AB112" s="2" t="inlineStr">
        <is>
          <t>retain</t>
        </is>
      </c>
    </row>
    <row r="113" ht="95" customHeight="1">
      <c r="A113" s="3" t="b">
        <v>0</v>
      </c>
      <c r="B113"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3" t="b">
        <v>0</v>
      </c>
      <c r="D113" s="3" t="inlineStr">
        <is>
          <t>Cross-document numeric inconsistency</t>
        </is>
      </c>
      <c r="E113" s="3" t="b">
        <v>1</v>
      </c>
      <c r="F113" s="3" t="inlineStr">
        <is>
          <t>C006</t>
        </is>
      </c>
      <c r="G113" s="3" t="inlineStr">
        <is>
          <t>2018::jama.2018.9128::C006</t>
        </is>
      </c>
      <c r="H113" s="3" t="inlineStr"/>
      <c r="I113" s="3" t="inlineStr">
        <is>
          <t>DOC-001 Figure 1 — PDF p. 3; DOC-001 Figure 2 — PDF p. 7; DOC-003 eTable 1 — PDF p. 2.</t>
        </is>
      </c>
      <c r="J113" s="3" t="b">
        <v>1</v>
      </c>
      <c r="K113" s="3" t="inlineStr">
        <is>
          <t>jama.2018.9128</t>
        </is>
      </c>
      <c r="L113" s="3" t="inlineStr"/>
      <c r="M113" s="3" t="inlineStr">
        <is>
          <t>S_C</t>
        </is>
      </c>
      <c r="N113" s="3" t="inlineStr">
        <is>
          <t>The intervention 24-month BMI count is 280 in the flow diagram and 278 in both the observed-BMI figure and eTable. The focal comparison is the main article versus a non-plan results supplement.</t>
        </is>
      </c>
      <c r="O113" s="3" t="inlineStr">
        <is>
          <t>../../2018/jama.2018.9128/.ai_paper_validation/final_report_1_5_2.html</t>
        </is>
      </c>
      <c r="P113" s="3" t="inlineStr">
        <is>
          <t>2018/jama.2018.9128/.ai_paper_validation/final_report_1_5_2.md</t>
        </is>
      </c>
      <c r="Q113" s="3" t="inlineStr">
        <is>
          <t>C006</t>
        </is>
      </c>
      <c r="R113" s="3" t="inlineStr">
        <is>
          <t>Pending Human Adjudication</t>
        </is>
      </c>
      <c r="S113" s="3" t="inlineStr">
        <is>
          <t>The intervention 24-month BMI count is 280 in the flow diagram and 278 in both the observed-BMI figure and eTable.</t>
        </is>
      </c>
      <c r="T113" s="3" t="b">
        <v>1</v>
      </c>
      <c r="U113" s="3" t="inlineStr">
        <is>
          <t>repeated_bmi_observation_count</t>
        </is>
      </c>
      <c r="V113" s="3" t="inlineStr">
        <is>
          <t>report_internal_inconsistency</t>
        </is>
      </c>
      <c r="W113" s="3" t="inlineStr">
        <is>
          <t>Intervention 24-month BMI-observation count differs across result displays</t>
        </is>
      </c>
      <c r="X113" s="3" t="inlineStr">
        <is>
          <t>2018</t>
        </is>
      </c>
      <c r="Y113" s="3" t="inlineStr">
        <is>
          <t>meta_report/consistency_reclassification_2026-09-04/reclassified_candidates.json</t>
        </is>
      </c>
      <c r="Z113" s="3" t="inlineStr">
        <is>
          <t>S_C</t>
        </is>
      </c>
      <c r="AA113" s="3" t="inlineStr">
        <is>
          <t>report_internal_inconsistency</t>
        </is>
      </c>
      <c r="AB113" s="3" t="inlineStr">
        <is>
          <t>retain</t>
        </is>
      </c>
    </row>
    <row r="114" ht="95" customHeight="1">
      <c r="A114" s="2" t="b">
        <v>0</v>
      </c>
      <c r="B114"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 t="b">
        <v>0</v>
      </c>
      <c r="D114" s="2" t="inlineStr">
        <is>
          <t>Cross-document numeric inconsistency</t>
        </is>
      </c>
      <c r="E114" s="2" t="b">
        <v>1</v>
      </c>
      <c r="F114" s="2" t="inlineStr">
        <is>
          <t>C007</t>
        </is>
      </c>
      <c r="G114" s="2" t="inlineStr">
        <is>
          <t>2018::jama.2018.9128::C007</t>
        </is>
      </c>
      <c r="H114" s="2" t="inlineStr"/>
      <c r="I114" s="2" t="inlineStr">
        <is>
          <t>DOC-001 Figure 1 — PDF p. 3; DOC-001 Figure 2 — PDF p. 7; DOC-003 eTable 1 — PDF p. 2.</t>
        </is>
      </c>
      <c r="J114" s="2" t="b">
        <v>1</v>
      </c>
      <c r="K114" s="2" t="inlineStr">
        <is>
          <t>jama.2018.9128</t>
        </is>
      </c>
      <c r="L114" s="2" t="inlineStr"/>
      <c r="M114" s="2" t="inlineStr">
        <is>
          <t>S_C</t>
        </is>
      </c>
      <c r="N114" s="2" t="inlineStr">
        <is>
          <t>The control 24-month BMI count is 267 in the flow diagram and 266 in both the observed-BMI figure and eTable. The focal comparison is the main article versus a non-plan results supplement.</t>
        </is>
      </c>
      <c r="O114" s="2" t="inlineStr">
        <is>
          <t>../../2018/jama.2018.9128/.ai_paper_validation/final_report_1_5_2.html</t>
        </is>
      </c>
      <c r="P114" s="2" t="inlineStr">
        <is>
          <t>2018/jama.2018.9128/.ai_paper_validation/final_report_1_5_2.md</t>
        </is>
      </c>
      <c r="Q114" s="2" t="inlineStr">
        <is>
          <t>C007</t>
        </is>
      </c>
      <c r="R114" s="2" t="inlineStr">
        <is>
          <t>Pending Human Adjudication</t>
        </is>
      </c>
      <c r="S114" s="2" t="inlineStr">
        <is>
          <t>The control 24-month BMI count is 267 in the flow diagram and 266 in both the observed-BMI figure and eTable.</t>
        </is>
      </c>
      <c r="T114" s="2" t="b">
        <v>1</v>
      </c>
      <c r="U114" s="2" t="inlineStr">
        <is>
          <t>repeated_bmi_observation_count</t>
        </is>
      </c>
      <c r="V114" s="2" t="inlineStr">
        <is>
          <t>report_internal_inconsistency</t>
        </is>
      </c>
      <c r="W114" s="2" t="inlineStr">
        <is>
          <t>Control 24-month BMI-observation count differs across result displays</t>
        </is>
      </c>
      <c r="X114" s="2" t="inlineStr">
        <is>
          <t>2018</t>
        </is>
      </c>
      <c r="Y114" s="2" t="inlineStr">
        <is>
          <t>meta_report/consistency_reclassification_2026-09-04/reclassified_candidates.json</t>
        </is>
      </c>
      <c r="Z114" s="2" t="inlineStr">
        <is>
          <t>S_C</t>
        </is>
      </c>
      <c r="AA114" s="2" t="inlineStr">
        <is>
          <t>report_internal_inconsistency</t>
        </is>
      </c>
      <c r="AB114" s="2" t="inlineStr">
        <is>
          <t>retain</t>
        </is>
      </c>
    </row>
    <row r="115" ht="95" customHeight="1">
      <c r="A115" s="3" t="b">
        <v>0</v>
      </c>
      <c r="B115"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3" t="b">
        <v>0</v>
      </c>
      <c r="D115" s="3" t="inlineStr">
        <is>
          <t>Cross-document numeric inconsistency</t>
        </is>
      </c>
      <c r="E115" s="3" t="b">
        <v>1</v>
      </c>
      <c r="F115" s="3" t="inlineStr">
        <is>
          <t>C008</t>
        </is>
      </c>
      <c r="G115" s="3" t="inlineStr">
        <is>
          <t>2018::jama.2018.9128::C008</t>
        </is>
      </c>
      <c r="H115" s="3" t="inlineStr"/>
      <c r="I115" s="3" t="inlineStr">
        <is>
          <t>DOC-001 Figure 1 — PDF p. 3; DOC-001 Figure 2 — PDF p. 7; DOC-003 eTable 1 — PDF p. 2.</t>
        </is>
      </c>
      <c r="J115" s="3" t="b">
        <v>1</v>
      </c>
      <c r="K115" s="3" t="inlineStr">
        <is>
          <t>jama.2018.9128</t>
        </is>
      </c>
      <c r="L115" s="3" t="inlineStr"/>
      <c r="M115" s="3" t="inlineStr">
        <is>
          <t>S_C</t>
        </is>
      </c>
      <c r="N115" s="3" t="inlineStr">
        <is>
          <t>The intervention 36-month count is 278 retained/BMI collected in the flow diagram and 276 in both the observed-BMI figure and eTable. The focal comparison is the main article versus a non-plan results supplement.</t>
        </is>
      </c>
      <c r="O115" s="3" t="inlineStr">
        <is>
          <t>../../2018/jama.2018.9128/.ai_paper_validation/final_report_1_5_2.html</t>
        </is>
      </c>
      <c r="P115" s="3" t="inlineStr">
        <is>
          <t>2018/jama.2018.9128/.ai_paper_validation/final_report_1_5_2.md</t>
        </is>
      </c>
      <c r="Q115" s="3" t="inlineStr">
        <is>
          <t>C008</t>
        </is>
      </c>
      <c r="R115" s="3" t="inlineStr">
        <is>
          <t>Pending Human Adjudication</t>
        </is>
      </c>
      <c r="S115" s="3" t="inlineStr">
        <is>
          <t>The intervention 36-month count is 278 retained/BMI collected in the flow diagram and 276 in both the observed-BMI figure and eTable.</t>
        </is>
      </c>
      <c r="T115" s="3" t="b">
        <v>1</v>
      </c>
      <c r="U115" s="3" t="inlineStr">
        <is>
          <t>repeated_bmi_observation_count</t>
        </is>
      </c>
      <c r="V115" s="3" t="inlineStr">
        <is>
          <t>report_internal_inconsistency</t>
        </is>
      </c>
      <c r="W115" s="3" t="inlineStr">
        <is>
          <t>Intervention 36-month BMI-observation count differs across result displays</t>
        </is>
      </c>
      <c r="X115" s="3" t="inlineStr">
        <is>
          <t>2018</t>
        </is>
      </c>
      <c r="Y115" s="3" t="inlineStr">
        <is>
          <t>meta_report/consistency_reclassification_2026-09-04/reclassified_candidates.json</t>
        </is>
      </c>
      <c r="Z115" s="3" t="inlineStr">
        <is>
          <t>S_C</t>
        </is>
      </c>
      <c r="AA115" s="3" t="inlineStr">
        <is>
          <t>report_internal_inconsistency</t>
        </is>
      </c>
      <c r="AB115" s="3" t="inlineStr">
        <is>
          <t>retain</t>
        </is>
      </c>
    </row>
    <row r="116" ht="95" customHeight="1">
      <c r="A116" s="2" t="b">
        <v>0</v>
      </c>
      <c r="B116" s="2" t="inlineStr">
        <is>
          <t>P_P only; printed 24-month results do not establish that the primary model used that occasion.</t>
        </is>
      </c>
      <c r="C116" s="2" t="b">
        <v>1</v>
      </c>
      <c r="D116" s="2" t="inlineStr">
        <is>
          <t>Numeric or arithmetic inconsistency</t>
        </is>
      </c>
      <c r="E116" s="2" t="b">
        <v>0</v>
      </c>
      <c r="F116" s="2" t="inlineStr">
        <is>
          <t>C009</t>
        </is>
      </c>
      <c r="G116" s="2" t="inlineStr">
        <is>
          <t>2018::jama.2018.9128::C009</t>
        </is>
      </c>
      <c r="H116" s="2" t="inlineStr"/>
      <c r="I116" s="2" t="inlineStr">
        <is>
          <t>DOC-002 final SAP — PDF p. 110; DOC-002 protocol schedule — PDF p. 15; DOC-001 Methods — PDF p. 4; DOC-003 eTable 1 — PDF p. 2.</t>
        </is>
      </c>
      <c r="J116" s="2" t="b">
        <v>0</v>
      </c>
      <c r="K116" s="2" t="inlineStr">
        <is>
          <t>jama.2018.9128</t>
        </is>
      </c>
      <c r="L116" s="2" t="inlineStr"/>
      <c r="M116" s="2" t="inlineStr">
        <is>
          <t>P_P</t>
        </is>
      </c>
      <c r="N116" s="2" t="inlineStr">
        <is>
          <t>The final SAP says six timepoints but enumerates only five. The protocol schedule and article/eTable corroborate 24 months as the likely missing item; the focal contradiction is the SAP total versus its own list.</t>
        </is>
      </c>
      <c r="O116" s="2" t="inlineStr">
        <is>
          <t>../../2018/jama.2018.9128/.ai_paper_validation/final_report_1_5_2.html</t>
        </is>
      </c>
      <c r="P116" s="2" t="inlineStr">
        <is>
          <t>2018/jama.2018.9128/.ai_paper_validation/final_report_1_5_2.md</t>
        </is>
      </c>
      <c r="Q116" s="2" t="inlineStr">
        <is>
          <t>C009</t>
        </is>
      </c>
      <c r="R116" s="2" t="inlineStr">
        <is>
          <t>Pending Human Adjudication</t>
        </is>
      </c>
      <c r="S116" s="2" t="inlineStr">
        <is>
          <t>The final SAP states six time points but its parenthetical schedule lists only baseline, 3, 9, 12, and 36 months.</t>
        </is>
      </c>
      <c r="T116" s="2" t="b">
        <v>0</v>
      </c>
      <c r="U116" s="2" t="inlineStr">
        <is>
          <t>planned_schedule_list_count</t>
        </is>
      </c>
      <c r="V116" s="2" t="inlineStr">
        <is>
          <t>plan_material</t>
        </is>
      </c>
      <c r="W116" s="2" t="inlineStr">
        <is>
          <t>Final SAP says six assessment points but enumerates five</t>
        </is>
      </c>
      <c r="X116" s="2" t="inlineStr">
        <is>
          <t>2018</t>
        </is>
      </c>
      <c r="Y116" s="2" t="inlineStr">
        <is>
          <t>meta_report/consistency_reclassification_2026-09-04/reclassified_candidates.json</t>
        </is>
      </c>
      <c r="Z116" s="2" t="inlineStr">
        <is>
          <t>P_P</t>
        </is>
      </c>
      <c r="AA116" s="2" t="inlineStr">
        <is>
          <t>plan_material</t>
        </is>
      </c>
      <c r="AB116" s="2" t="inlineStr">
        <is>
          <t>retain</t>
        </is>
      </c>
    </row>
    <row r="117" ht="95" customHeight="1">
      <c r="A117" s="3" t="b">
        <v>0</v>
      </c>
      <c r="B117" s="3" t="inlineStr">
        <is>
          <t>A separately approved 48-month extension outside the six core visits could reconcile the wording; amendment chronology is absent.</t>
        </is>
      </c>
      <c r="C117" s="3" t="b">
        <v>1</v>
      </c>
      <c r="D117" s="3" t="inlineStr">
        <is>
          <t>Denominator, proportion, or total inconsistency</t>
        </is>
      </c>
      <c r="E117" s="3" t="b">
        <v>0</v>
      </c>
      <c r="F117" s="3" t="inlineStr">
        <is>
          <t>C010</t>
        </is>
      </c>
      <c r="G117" s="3" t="inlineStr">
        <is>
          <t>2018::jama.2018.9128::C010</t>
        </is>
      </c>
      <c r="H117" s="3" t="inlineStr"/>
      <c r="I117" s="3" t="inlineStr">
        <is>
          <t>DOC-002 revised protocol — PDF p. 64; DOC-001 Methods — PDF p. 4; DOC-003 eTable 1 — PDF p. 2.</t>
        </is>
      </c>
      <c r="J117" s="3" t="b">
        <v>0</v>
      </c>
      <c r="K117" s="3" t="inlineStr">
        <is>
          <t>jama.2018.9128</t>
        </is>
      </c>
      <c r="L117" s="3" t="inlineStr"/>
      <c r="M117" s="3" t="inlineStr">
        <is>
          <t>P_P</t>
        </is>
      </c>
      <c r="N117" s="3"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3" t="inlineStr">
        <is>
          <t>../../2018/jama.2018.9128/.ai_paper_validation/final_report_1_5_2.html</t>
        </is>
      </c>
      <c r="P117" s="3" t="inlineStr">
        <is>
          <t>2018/jama.2018.9128/.ai_paper_validation/final_report_1_5_2.md</t>
        </is>
      </c>
      <c r="Q117" s="3" t="inlineStr">
        <is>
          <t>C010</t>
        </is>
      </c>
      <c r="R117" s="3" t="inlineStr">
        <is>
          <t>Pending Human Adjudication</t>
        </is>
      </c>
      <c r="S117" s="3" t="inlineStr">
        <is>
          <t>The revised protocol calls the schedule six points/T1-T6 while listing seven occasions, including 48 months.</t>
        </is>
      </c>
      <c r="T117" s="3" t="b">
        <v>0</v>
      </c>
      <c r="U117" s="3" t="inlineStr">
        <is>
          <t>planned_schedule_list_count</t>
        </is>
      </c>
      <c r="V117" s="3" t="inlineStr">
        <is>
          <t>plan_material</t>
        </is>
      </c>
      <c r="W117" s="3" t="inlineStr">
        <is>
          <t>Revised protocol gives six points but lists seven including 48 months</t>
        </is>
      </c>
      <c r="X117" s="3" t="inlineStr">
        <is>
          <t>2018</t>
        </is>
      </c>
      <c r="Y117" s="3" t="inlineStr">
        <is>
          <t>meta_report/consistency_reclassification_2026-09-04/reclassified_candidates.json</t>
        </is>
      </c>
      <c r="Z117" s="3" t="inlineStr">
        <is>
          <t>P_P</t>
        </is>
      </c>
      <c r="AA117" s="3" t="inlineStr">
        <is>
          <t>plan_material</t>
        </is>
      </c>
      <c r="AB117" s="3" t="inlineStr">
        <is>
          <t>retain</t>
        </is>
      </c>
    </row>
    <row r="118" ht="95" customHeight="1">
      <c r="A118" s="2" t="b">
        <v>0</v>
      </c>
      <c r="B118" s="2" t="inlineStr">
        <is>
          <t>Mixed plan/report and plan-internal relationships. The original label may have been shorthand/typo or the scale may have changed; the amendment summary mentions model changes but does not explain this label transition.</t>
        </is>
      </c>
      <c r="C118" s="2" t="b">
        <v>1</v>
      </c>
      <c r="D118" s="2" t="inlineStr">
        <is>
          <t>Measure, label, or scale inconsistency</t>
        </is>
      </c>
      <c r="E118" s="2" t="b">
        <v>1</v>
      </c>
      <c r="F118" s="2" t="inlineStr">
        <is>
          <t>C011</t>
        </is>
      </c>
      <c r="G118" s="2" t="inlineStr">
        <is>
          <t>2018::jama.2018.9128::C011</t>
        </is>
      </c>
      <c r="H118" s="2" t="inlineStr"/>
      <c r="I118" s="2" t="inlineStr">
        <is>
          <t>DOC-002 original protocol — PDF p. 16; DOC-002 final SAP — PDF p. 110; DOC-001 Outcomes — PDF p. 3; DOC-003 eTable 1 — PDF p. 2.</t>
        </is>
      </c>
      <c r="J118" s="2" t="b">
        <v>0</v>
      </c>
      <c r="K118" s="2" t="inlineStr">
        <is>
          <t>jama.2018.9128</t>
        </is>
      </c>
      <c r="L118" s="2" t="inlineStr">
        <is>
          <t>endpoint_definition_window_hierarchy</t>
        </is>
      </c>
      <c r="M118" s="2" t="inlineStr">
        <is>
          <t>P_R</t>
        </is>
      </c>
      <c r="N118" s="2"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 t="inlineStr">
        <is>
          <t>../../2018/jama.2018.9128/.ai_paper_validation/final_report_1_5_2.html</t>
        </is>
      </c>
      <c r="P118" s="2" t="inlineStr">
        <is>
          <t>2018/jama.2018.9128/.ai_paper_validation/final_report_1_5_2.md</t>
        </is>
      </c>
      <c r="Q118" s="2" t="inlineStr">
        <is>
          <t>C011</t>
        </is>
      </c>
      <c r="R118" s="2" t="inlineStr">
        <is>
          <t>Pending Human Adjudication</t>
        </is>
      </c>
      <c r="S118" s="2" t="inlineStr">
        <is>
          <t>The original protocol labels the primary outcome BMI Percentile/BMI%, whereas the final SAP, article, and eTable report raw BMI in kg/m².</t>
        </is>
      </c>
      <c r="T118" s="2" t="b">
        <v>0</v>
      </c>
      <c r="U118" s="2" t="inlineStr">
        <is>
          <t>planned_vs_reported_outcome_scale</t>
        </is>
      </c>
      <c r="V118" s="2" t="inlineStr">
        <is>
          <t>protocol_report</t>
        </is>
      </c>
      <c r="W118" s="2" t="inlineStr">
        <is>
          <t>Original protocol labels primary outcome as BMI percentile/BMI% while results use BMI kg/m²</t>
        </is>
      </c>
      <c r="X118" s="2" t="inlineStr">
        <is>
          <t>2018</t>
        </is>
      </c>
      <c r="Y118" s="2" t="inlineStr">
        <is>
          <t>meta_report/consistency_reclassification_2026-09-04/reclassified_candidates.json</t>
        </is>
      </c>
      <c r="Z118" s="2" t="inlineStr">
        <is>
          <t>P_R</t>
        </is>
      </c>
      <c r="AA118" s="2" t="inlineStr">
        <is>
          <t>protocol_report</t>
        </is>
      </c>
      <c r="AB118" s="2" t="inlineStr">
        <is>
          <t>retain</t>
        </is>
      </c>
    </row>
    <row r="119" ht="95" customHeight="1">
      <c r="A119" s="3" t="b">
        <v>0</v>
      </c>
      <c r="B119" s="3" t="inlineStr">
        <is>
          <t>Mixed between-plan-version and report-versus-plan relationships. Successive amendments, ancillary components, baseline/48-month visits, and actual delivery could explain the differences; no mapping or delivery logs are supplied.</t>
        </is>
      </c>
      <c r="C119" s="3" t="b">
        <v>1</v>
      </c>
      <c r="D119" s="3" t="inlineStr">
        <is>
          <t>Cross-document numeric inconsistency</t>
        </is>
      </c>
      <c r="E119" s="3" t="b">
        <v>1</v>
      </c>
      <c r="F119" s="3" t="inlineStr">
        <is>
          <t>C012</t>
        </is>
      </c>
      <c r="G119" s="3" t="inlineStr">
        <is>
          <t>2018::jama.2018.9128::C012</t>
        </is>
      </c>
      <c r="H119" s="3" t="inlineStr"/>
      <c r="I119" s="3" t="inlineStr">
        <is>
          <t>DOC-002 original protocol — PDF p. 14; DOC-002 revised protocol — PDF p. 64; DOC-001 abstract — PDF p. 1; DOC-001 Methods — PDF p. 3.</t>
        </is>
      </c>
      <c r="J119" s="3" t="b">
        <v>1</v>
      </c>
      <c r="K119" s="3" t="inlineStr">
        <is>
          <t>jama.2018.9128</t>
        </is>
      </c>
      <c r="L119" s="3" t="inlineStr">
        <is>
          <t>intervention_delivery</t>
        </is>
      </c>
      <c r="M119" s="3" t="inlineStr">
        <is>
          <t>P_R</t>
        </is>
      </c>
      <c r="N119" s="3" t="inlineStr">
        <is>
          <t>Control exposure is 12x60 minutes in the original protocol, 7x45 in the revised protocol, and 6x30 in the article. The card expressly compares both plan versions and their relation to the reported intervention, so P_R and P_P apply.</t>
        </is>
      </c>
      <c r="O119" s="3" t="inlineStr">
        <is>
          <t>../../2018/jama.2018.9128/.ai_paper_validation/final_report_1_5_2.html</t>
        </is>
      </c>
      <c r="P119" s="3" t="inlineStr">
        <is>
          <t>2018/jama.2018.9128/.ai_paper_validation/final_report_1_5_2.md</t>
        </is>
      </c>
      <c r="Q119" s="3" t="inlineStr">
        <is>
          <t>C012</t>
        </is>
      </c>
      <c r="R119" s="3" t="inlineStr">
        <is>
          <t>Pending Human Adjudication</t>
        </is>
      </c>
      <c r="S119" s="3" t="inlineStr">
        <is>
          <t>The supplied original protocol, revised protocol, and article describe control exposure as 12×60, 7×45, and 6×30 minutes, respectively, without a supplied component mapping.</t>
        </is>
      </c>
      <c r="T119" s="3" t="b">
        <v>0</v>
      </c>
      <c r="U119" s="3" t="inlineStr">
        <is>
          <t>planned_vs_reported_control_exposure</t>
        </is>
      </c>
      <c r="V119" s="3" t="inlineStr">
        <is>
          <t>protocol_report</t>
        </is>
      </c>
      <c r="W119" s="3" t="inlineStr">
        <is>
          <t>Control-condition session count and duration differ across protocol versions and article</t>
        </is>
      </c>
      <c r="X119" s="3" t="inlineStr">
        <is>
          <t>2018</t>
        </is>
      </c>
      <c r="Y119" s="3" t="inlineStr">
        <is>
          <t>meta_report/consistency_reclassification_2026-09-04/reclassified_candidates.json</t>
        </is>
      </c>
      <c r="Z119" s="3" t="inlineStr">
        <is>
          <t>P_R</t>
        </is>
      </c>
      <c r="AA119" s="3" t="inlineStr">
        <is>
          <t>protocol_report</t>
        </is>
      </c>
      <c r="AB119" s="3" t="inlineStr">
        <is>
          <t>retain</t>
        </is>
      </c>
    </row>
    <row r="120" ht="95" customHeight="1">
      <c r="A120" s="2" t="b">
        <v>0</v>
      </c>
      <c r="B12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 t="b">
        <v>0</v>
      </c>
      <c r="D120" s="2" t="inlineStr">
        <is>
          <t>Cross-document numeric inconsistency</t>
        </is>
      </c>
      <c r="E120" s="2" t="b">
        <v>1</v>
      </c>
      <c r="F120" s="2" t="inlineStr">
        <is>
          <t>C013</t>
        </is>
      </c>
      <c r="G120" s="2" t="inlineStr">
        <is>
          <t>2018::jama.2018.9128::C013</t>
        </is>
      </c>
      <c r="H120" s="2" t="inlineStr"/>
      <c r="I120" s="2" t="inlineStr">
        <is>
          <t>DOC-001 Figure 1 — PDF p. 3; DOC-001 Figure 2 — PDF p. 7; DOC-003 eTable 1 — PDF p. 2.</t>
        </is>
      </c>
      <c r="J120" s="2" t="b">
        <v>1</v>
      </c>
      <c r="K120" s="2" t="inlineStr">
        <is>
          <t>jama.2018.9128</t>
        </is>
      </c>
      <c r="L120" s="2" t="inlineStr"/>
      <c r="M120" s="2" t="inlineStr">
        <is>
          <t>S_C</t>
        </is>
      </c>
      <c r="N120" s="2" t="inlineStr">
        <is>
          <t>The control 9-month BMI count is 282 in the flow diagram and 280 in both the observed-BMI figure and eTable. The focal comparison is the main article versus a non-plan results supplement.</t>
        </is>
      </c>
      <c r="O120" s="2" t="inlineStr">
        <is>
          <t>../../2018/jama.2018.9128/.ai_paper_validation/final_report_1_5_2.html</t>
        </is>
      </c>
      <c r="P120" s="2" t="inlineStr">
        <is>
          <t>2018/jama.2018.9128/.ai_paper_validation/final_report_1_5_2.md</t>
        </is>
      </c>
      <c r="Q120" s="2" t="inlineStr">
        <is>
          <t>C013</t>
        </is>
      </c>
      <c r="R120" s="2" t="inlineStr">
        <is>
          <t>Pending Human Adjudication</t>
        </is>
      </c>
      <c r="S120" s="2" t="inlineStr">
        <is>
          <t>The control 9-month BMI count is 282 in the flow diagram and 280 in both the observed-BMI figure and eTable.</t>
        </is>
      </c>
      <c r="T120" s="2" t="b">
        <v>1</v>
      </c>
      <c r="U120" s="2" t="inlineStr">
        <is>
          <t>repeated_bmi_observation_count</t>
        </is>
      </c>
      <c r="V120" s="2" t="inlineStr">
        <is>
          <t>report_internal_inconsistency</t>
        </is>
      </c>
      <c r="W120" s="2" t="inlineStr">
        <is>
          <t>Control 9-month BMI-observation count differs across result displays</t>
        </is>
      </c>
      <c r="X120" s="2" t="inlineStr">
        <is>
          <t>2018</t>
        </is>
      </c>
      <c r="Y120" s="2" t="inlineStr">
        <is>
          <t>meta_report/consistency_reclassification_2026-09-04/reclassified_candidates.json</t>
        </is>
      </c>
      <c r="Z120" s="2" t="inlineStr">
        <is>
          <t>S_C</t>
        </is>
      </c>
      <c r="AA120" s="2" t="inlineStr">
        <is>
          <t>report_internal_inconsistency</t>
        </is>
      </c>
      <c r="AB120"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120"/>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47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2018::jama.2017.21906::C001</t>
        </is>
      </c>
      <c r="B2" s="2" t="n">
        <v>0</v>
      </c>
      <c r="C2" s="2" t="inlineStr">
        <is>
          <t>Source evidence</t>
        </is>
      </c>
      <c r="D2" s="2" t="inlineStr">
        <is>
          <t>Table 2 prints adjusted risk difference 6.25% (95% CI, 4.10% to 8.40%) and OR 1.46 (1.29 to 1.65). The adjacent narrative prints 6.25% (4.10% to 8.10%) and OR 1.46 (1.29 to 1.65).</t>
        </is>
      </c>
    </row>
    <row r="3" ht="48" customHeight="1">
      <c r="A3" s="3" t="inlineStr">
        <is>
          <t>2018::jama.2017.21906::C001</t>
        </is>
      </c>
      <c r="B3" s="3" t="n">
        <v>1</v>
      </c>
      <c r="C3" s="3" t="inlineStr">
        <is>
          <t>Reported-versus-comparator</t>
        </is>
      </c>
      <c r="D3" s="3" t="inlineStr">
        <is>
          <t>Table upper endpoint 8.40% versus narrative upper endpoint 8.10%; the point estimate, lower endpoint, OR, and OR interval agree as printed.</t>
        </is>
      </c>
    </row>
    <row r="4" ht="48" customHeight="1">
      <c r="A4" s="2" t="inlineStr">
        <is>
          <t>2018::jama.2017.21906::C001</t>
        </is>
      </c>
      <c r="B4" s="2" t="n">
        <v>2</v>
      </c>
      <c r="C4" s="2" t="inlineStr">
        <is>
          <t>Calculation</t>
        </is>
      </c>
      <c r="D4" s="2" t="inlineStr">
        <is>
          <t>8.40 - 8.10 = 0.30 percentage point.</t>
        </is>
      </c>
    </row>
    <row r="5" ht="58" customHeight="1">
      <c r="A5" s="3" t="inlineStr">
        <is>
          <t>2018::jama.2017.21906::C001</t>
        </is>
      </c>
      <c r="B5" s="3" t="n">
        <v>3</v>
      </c>
      <c r="C5" s="3" t="inlineStr">
        <is>
          <t>Alternative source-grounded interpretations</t>
        </is>
      </c>
      <c r="D5" s="3" t="inlineStr">
        <is>
          <t>One occurrence may be a transcription/production error, or the narrative may use an unlabelled distinct output. The supplied package does not establish either explanation or which endpoint is supported by final model output.</t>
        </is>
      </c>
    </row>
    <row r="6" ht="48" customHeight="1">
      <c r="A6" s="2" t="inlineStr">
        <is>
          <t>2018::jama.2017.21906::C002</t>
        </is>
      </c>
      <c r="B6" s="2" t="n">
        <v>0</v>
      </c>
      <c r="C6" s="2" t="inlineStr">
        <is>
          <t>Source evidence</t>
        </is>
      </c>
      <c r="D6" s="2" t="inlineStr">
        <is>
          <t>Table 2 prints risk difference 6.69% (4.43% to 8.95%) and OR 1.48 (1.30 to 1.68). The narrative prints 6.63% with 4.43% to 8.95% and OR 1.47 with 1.30 to 1.68.</t>
        </is>
      </c>
    </row>
    <row r="7" ht="48" customHeight="1">
      <c r="A7" s="3" t="inlineStr">
        <is>
          <t>2018::jama.2017.21906::C002</t>
        </is>
      </c>
      <c r="B7" s="3" t="n">
        <v>1</v>
      </c>
      <c r="C7" s="3" t="inlineStr">
        <is>
          <t>Reported-versus-comparator</t>
        </is>
      </c>
      <c r="D7" s="3" t="inlineStr">
        <is>
          <t>Table 2 6.69%/1.48 versus narrative 6.63%/1.47, with both printed risk-difference and OR intervals identical.</t>
        </is>
      </c>
    </row>
    <row r="8" ht="48" customHeight="1">
      <c r="A8" s="2" t="inlineStr">
        <is>
          <t>2018::jama.2017.21906::C002</t>
        </is>
      </c>
      <c r="B8" s="2" t="n">
        <v>2</v>
      </c>
      <c r="C8" s="2" t="inlineStr">
        <is>
          <t>Calculation</t>
        </is>
      </c>
      <c r="D8" s="2" t="inlineStr">
        <is>
          <t>6.69 - 6.63 = 0.06 percentage point; 1.48 - 1.47 = 0.01.</t>
        </is>
      </c>
    </row>
    <row r="9" ht="48" customHeight="1">
      <c r="A9" s="3" t="inlineStr">
        <is>
          <t>2018::jama.2017.21906::C002</t>
        </is>
      </c>
      <c r="B9" s="3" t="n">
        <v>3</v>
      </c>
      <c r="C9" s="3" t="inlineStr">
        <is>
          <t>Alternative source-grounded interpretations</t>
        </is>
      </c>
      <c r="D9" s="3" t="inlineStr">
        <is>
          <t>A transcription/output-selection issue or an unlabelled distinct analytic run could explain the values. The package lacks unrounded output, code, and production history, so no cause is established.</t>
        </is>
      </c>
    </row>
    <row r="10" ht="48" customHeight="1">
      <c r="A10" s="2" t="inlineStr">
        <is>
          <t>2018::jama.2017.21906::C003</t>
        </is>
      </c>
      <c r="B10" s="2" t="n">
        <v>0</v>
      </c>
      <c r="C10" s="2" t="inlineStr">
        <is>
          <t>Source evidence</t>
        </is>
      </c>
      <c r="D10" s="2" t="inlineStr">
        <is>
          <t>The columns are Complete Follow Up (n=21,079), Missing Follow Up (n=295), and Difference (95% CI); footnote a states Difference = intervention minus control.</t>
        </is>
      </c>
    </row>
    <row r="11" ht="48" customHeight="1">
      <c r="A11" s="3" t="inlineStr">
        <is>
          <t>2018::jama.2017.21906::C003</t>
        </is>
      </c>
      <c r="B11" s="3" t="n">
        <v>1</v>
      </c>
      <c r="C11" s="3" t="inlineStr">
        <is>
          <t>Reported-versus-comparator</t>
        </is>
      </c>
      <c r="D11" s="3" t="inlineStr">
        <is>
          <t>The footnote names intervention/control, while the displayed comparison groups are complete/missing follow-up.</t>
        </is>
      </c>
    </row>
    <row r="12" ht="48" customHeight="1">
      <c r="A12" s="2" t="inlineStr">
        <is>
          <t>2018::jama.2017.21906::C003</t>
        </is>
      </c>
      <c r="B12" s="2" t="n">
        <v>2</v>
      </c>
      <c r="C12" s="2" t="inlineStr">
        <is>
          <t>Calculation</t>
        </is>
      </c>
      <c r="D12" s="2" t="inlineStr">
        <is>
          <t>Age: 60.0 - 60.6 = -0.6; male percentage: 71.2 - 75.8 = -4.6; initial troponin: 4.6 - 1.3 = 3.3.</t>
        </is>
      </c>
    </row>
    <row r="13" ht="48" customHeight="1">
      <c r="A13" s="3" t="inlineStr">
        <is>
          <t>2018::jama.2017.21906::C003</t>
        </is>
      </c>
      <c r="B13" s="3" t="n">
        <v>3</v>
      </c>
      <c r="C13" s="3" t="inlineStr">
        <is>
          <t>Alternative source-grounded interpretations</t>
        </is>
      </c>
      <c r="D13" s="3" t="inlineStr">
        <is>
          <t>The footnote may have been carried over from eTable 2, while eTable 1 may intentionally use missing minus complete. The source does not define every CI contrast or table-production history.</t>
        </is>
      </c>
    </row>
    <row r="14" ht="48" customHeight="1">
      <c r="A14" s="2" t="inlineStr">
        <is>
          <t>2018::jama.2017.21906::C004</t>
        </is>
      </c>
      <c r="B14" s="2" t="n">
        <v>0</v>
      </c>
      <c r="C14" s="2" t="inlineStr">
        <is>
          <t>Source evidence</t>
        </is>
      </c>
      <c r="D14" s="2" t="inlineStr">
        <is>
          <t>The SAP lists a priori age subgroups &lt;65 years and &gt;65 years. The article labels results prespecified and Figure 3 displays &lt;50, 50-69, and ≥70 years.</t>
        </is>
      </c>
    </row>
    <row r="15" ht="48" customHeight="1">
      <c r="A15" s="3" t="inlineStr">
        <is>
          <t>2018::jama.2017.21906::C004</t>
        </is>
      </c>
      <c r="B15" s="3" t="n">
        <v>1</v>
      </c>
      <c r="C15" s="3" t="inlineStr">
        <is>
          <t>Reported-versus-comparator</t>
        </is>
      </c>
      <c r="D15" s="3" t="inlineStr">
        <is>
          <t>Two SAP groups bounded at 65 versus three reported groups bounded at 50 and 70.</t>
        </is>
      </c>
    </row>
    <row r="16" ht="48" customHeight="1">
      <c r="A16" s="2" t="inlineStr">
        <is>
          <t>2018::jama.2017.21906::C004</t>
        </is>
      </c>
      <c r="B16" s="2" t="n">
        <v>2</v>
      </c>
      <c r="C16" s="2" t="inlineStr">
        <is>
          <t>Calculation</t>
        </is>
      </c>
      <c r="D16" s="2" t="inlineStr">
        <is>
          <t>The number of groups changes from 2 to 3; neither Figure 3 boundary is 65 years.</t>
        </is>
      </c>
    </row>
    <row r="17" ht="58" customHeight="1">
      <c r="A17" s="3" t="inlineStr">
        <is>
          <t>2018::jama.2017.21906::C004</t>
        </is>
      </c>
      <c r="B17" s="3" t="n">
        <v>3</v>
      </c>
      <c r="C17" s="3" t="inlineStr">
        <is>
          <t>Alternative source-grounded interpretations</t>
        </is>
      </c>
      <c r="D17" s="3" t="inlineStr">
        <is>
          <t>A final/amended plan could have authorized the Figure 3 categories, or the article could refer to a broader prespecification record. No such record is supplied. The SAP's literal wording also leaves age 65 unspecified.</t>
        </is>
      </c>
    </row>
    <row r="18" ht="48" customHeight="1">
      <c r="A18" s="2" t="inlineStr">
        <is>
          <t>2018::jama.2017.21906::C005</t>
        </is>
      </c>
      <c r="B18" s="2" t="n">
        <v>0</v>
      </c>
      <c r="C18" s="2" t="inlineStr">
        <is>
          <t>Source evidence</t>
        </is>
      </c>
      <c r="D18" s="2" t="inlineStr">
        <is>
          <t>Article/Table 3/eTable 5 list aspirin, an ADP-receptor antagonist, anticoagulant, and beta-blocker. eTable 6 uses the same composite name but lists heparin as the fourth component.</t>
        </is>
      </c>
    </row>
    <row r="19" ht="48" customHeight="1">
      <c r="A19" s="3" t="inlineStr">
        <is>
          <t>2018::jama.2017.21906::C005</t>
        </is>
      </c>
      <c r="B19" s="3" t="n">
        <v>1</v>
      </c>
      <c r="C19" s="3" t="inlineStr">
        <is>
          <t>Reported-versus-comparator</t>
        </is>
      </c>
      <c r="D19" s="3" t="inlineStr">
        <is>
          <t>Three components match; the fourth is anticoagulant versus heparin.</t>
        </is>
      </c>
    </row>
    <row r="20" ht="48" customHeight="1">
      <c r="A20" s="2" t="inlineStr">
        <is>
          <t>2018::jama.2017.21906::C005</t>
        </is>
      </c>
      <c r="B20" s="2" t="n">
        <v>2</v>
      </c>
      <c r="C20" s="2" t="inlineStr">
        <is>
          <t>Calculation</t>
        </is>
      </c>
      <c r="D20" s="2" t="inlineStr">
        <is>
          <t>Set comparison: aspirin, ADP-receptor antagonist, and beta-blocker are shared; the fourth printed label differs.</t>
        </is>
      </c>
    </row>
    <row r="21" ht="48" customHeight="1">
      <c r="A21" s="3" t="inlineStr">
        <is>
          <t>2018::jama.2017.21906::C005</t>
        </is>
      </c>
      <c r="B21" s="3" t="n">
        <v>3</v>
      </c>
      <c r="C21" s="3" t="inlineStr">
        <is>
          <t>Alternative source-grounded interpretations</t>
        </is>
      </c>
      <c r="D21" s="3" t="inlineStr">
        <is>
          <t>If heparin was the only qualifying anticoagulant in analyzed records, the labels may be extensionally equivalent. Medication coding, eligibility rules, and table-generation code are absent.</t>
        </is>
      </c>
    </row>
    <row r="22" ht="58" customHeight="1">
      <c r="A22" s="2" t="inlineStr">
        <is>
          <t>2018::jama.2017.21906::C006</t>
        </is>
      </c>
      <c r="B22" s="2" t="n">
        <v>0</v>
      </c>
      <c r="C22" s="2" t="inlineStr">
        <is>
          <t>Source evidence</t>
        </is>
      </c>
      <c r="D22" s="2"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48" customHeight="1">
      <c r="A23" s="3" t="inlineStr">
        <is>
          <t>2018::jama.2017.21906::C006</t>
        </is>
      </c>
      <c r="B23" s="3" t="n">
        <v>1</v>
      </c>
      <c r="C23" s="3" t="inlineStr">
        <is>
          <t>Reported-versus-comparator</t>
        </is>
      </c>
      <c r="D23" s="3" t="inlineStr">
        <is>
          <t>Article/Figure 3 includes hospital type; the supplied SAP list includes toolkit-component use and does not name hospital type.</t>
        </is>
      </c>
    </row>
    <row r="24" ht="48" customHeight="1">
      <c r="A24" s="2" t="inlineStr">
        <is>
          <t>2018::jama.2017.21906::C006</t>
        </is>
      </c>
      <c r="B24" s="2" t="n">
        <v>2</v>
      </c>
      <c r="C24" s="2" t="inlineStr">
        <is>
          <t>Calculation</t>
        </is>
      </c>
      <c r="D24" s="2" t="inlineStr">
        <is>
          <t>9 + 12 + 42 = 63 hospitals. This confirms an implemented full hospital partition, not prespecification.</t>
        </is>
      </c>
    </row>
    <row r="25" ht="48" customHeight="1">
      <c r="A25" s="3" t="inlineStr">
        <is>
          <t>2018::jama.2017.21906::C006</t>
        </is>
      </c>
      <c r="B25" s="3" t="n">
        <v>3</v>
      </c>
      <c r="C25" s="3" t="inlineStr">
        <is>
          <t>Alternative source-grounded interpretations</t>
        </is>
      </c>
      <c r="D25" s="3" t="inlineStr">
        <is>
          <t>A separate or amended plan could have added hospital type and changed/omitted toolkit-component use before analysis. No such record is included.</t>
        </is>
      </c>
    </row>
    <row r="26" ht="48" customHeight="1">
      <c r="A26" s="2" t="inlineStr">
        <is>
          <t>2018::jama.2018.0156::C001</t>
        </is>
      </c>
      <c r="B26" s="2" t="n">
        <v>0</v>
      </c>
      <c r="C26" s="2" t="inlineStr">
        <is>
          <t>Source evidence</t>
        </is>
      </c>
      <c r="D26" s="2" t="inlineStr">
        <is>
          <t>Noninferiority requires a BMV-minus-ETI lower endpoint greater than -1.00%; the result prints -1.64% and says it was “greater than the threshold,” then says noninferiority was not demonstrated.</t>
        </is>
      </c>
    </row>
    <row r="27" ht="48" customHeight="1">
      <c r="A27" s="3" t="inlineStr">
        <is>
          <t>2018::jama.2018.0156::C001</t>
        </is>
      </c>
      <c r="B27" s="3" t="n">
        <v>1</v>
      </c>
      <c r="C27" s="3" t="inlineStr">
        <is>
          <t>Reported-versus-comparator</t>
        </is>
      </c>
      <c r="D27" s="3" t="inlineStr">
        <is>
          <t>Reported “greater”; comparator -1.64% versus -1.00% under the stated strict rule.</t>
        </is>
      </c>
    </row>
    <row r="28" ht="48" customHeight="1">
      <c r="A28" s="2" t="inlineStr">
        <is>
          <t>2018::jama.2018.0156::C001</t>
        </is>
      </c>
      <c r="B28" s="2" t="n">
        <v>2</v>
      </c>
      <c r="C28" s="2" t="inlineStr">
        <is>
          <t>Calculation</t>
        </is>
      </c>
      <c r="D28" s="2" t="inlineStr">
        <is>
          <t>-1.64% &lt; -1.00%; difference -0.64 percentage points.</t>
        </is>
      </c>
    </row>
    <row r="29" ht="48" customHeight="1">
      <c r="A29" s="3" t="inlineStr">
        <is>
          <t>2018::jama.2018.0156::C001</t>
        </is>
      </c>
      <c r="B29" s="3" t="n">
        <v>3</v>
      </c>
      <c r="C29" s="3" t="inlineStr">
        <is>
          <t>Alternative source-grounded interpretations</t>
        </is>
      </c>
      <c r="D29" s="3" t="inlineStr">
        <is>
          <t>A direction word may be reversed or omitted; intended replacement wording is not supplied, while the conclusion is source-consistent.</t>
        </is>
      </c>
    </row>
    <row r="30" ht="48" customHeight="1">
      <c r="A30" s="2" t="inlineStr">
        <is>
          <t>2018::jama.2018.0156::C002</t>
        </is>
      </c>
      <c r="B30" s="2" t="n">
        <v>0</v>
      </c>
      <c r="C30" s="2" t="inlineStr">
        <is>
          <t>Source evidence</t>
        </is>
      </c>
      <c r="D30" s="2" t="inlineStr">
        <is>
          <t>The outcome is the “number of pauses” lasting more than 2 seconds; BMV is 27, ETI 16, and the difference is printed as 11 seconds (95% CI 7 to 15).</t>
        </is>
      </c>
    </row>
    <row r="31" ht="48" customHeight="1">
      <c r="A31" s="3" t="inlineStr">
        <is>
          <t>2018::jama.2018.0156::C002</t>
        </is>
      </c>
      <c r="B31" s="3" t="n">
        <v>1</v>
      </c>
      <c r="C31" s="3" t="inlineStr">
        <is>
          <t>Reported-versus-comparator</t>
        </is>
      </c>
      <c r="D31" s="3" t="inlineStr">
        <is>
          <t>Reported 11 seconds; comparator is a difference in the stated number of qualifying pauses.</t>
        </is>
      </c>
    </row>
    <row r="32" ht="48" customHeight="1">
      <c r="A32" s="2" t="inlineStr">
        <is>
          <t>2018::jama.2018.0156::C002</t>
        </is>
      </c>
      <c r="B32" s="2" t="n">
        <v>2</v>
      </c>
      <c r="C32" s="2" t="inlineStr">
        <is>
          <t>Calculation</t>
        </is>
      </c>
      <c r="D32" s="2" t="inlineStr">
        <is>
          <t>27 - 16 = 11 qualifying pauses under the printed wording.</t>
        </is>
      </c>
    </row>
    <row r="33" ht="48" customHeight="1">
      <c r="A33" s="3" t="inlineStr">
        <is>
          <t>2018::jama.2018.0156::C002</t>
        </is>
      </c>
      <c r="B33" s="3" t="n">
        <v>3</v>
      </c>
      <c r="C33" s="3" t="inlineStr">
        <is>
          <t>Alternative source-grounded interpretations</t>
        </is>
      </c>
      <c r="D33" s="3" t="inlineStr">
        <is>
          <t>The source does not say whether values are totals, means, medians, or another summary; a time interpretation conflicts with “number of pauses.”</t>
        </is>
      </c>
    </row>
    <row r="34" ht="48" customHeight="1">
      <c r="A34" s="2" t="inlineStr">
        <is>
          <t>2018::jama.2018.0156::C003</t>
        </is>
      </c>
      <c r="B34" s="2" t="n">
        <v>0</v>
      </c>
      <c r="C34" s="2" t="inlineStr">
        <is>
          <t>Source evidence</t>
        </is>
      </c>
      <c r="D34" s="2" t="inlineStr">
        <is>
          <t>BMV is 54/995 (5.4%), ETI 51/943 (5.4%), and BMV-minus-ETI is 0.1 percentage points.</t>
        </is>
      </c>
    </row>
    <row r="35" ht="48" customHeight="1">
      <c r="A35" s="3" t="inlineStr">
        <is>
          <t>2018::jama.2018.0156::C003</t>
        </is>
      </c>
      <c r="B35" s="3" t="n">
        <v>1</v>
      </c>
      <c r="C35" s="3" t="inlineStr">
        <is>
          <t>Reported-versus-comparator</t>
        </is>
      </c>
      <c r="D35" s="3" t="inlineStr">
        <is>
          <t>Reported 0.1; comparator from printed inputs is 0.0189 percentage points, ordinarily 0.0 to one decimal.</t>
        </is>
      </c>
    </row>
    <row r="36" ht="48" customHeight="1">
      <c r="A36" s="2" t="inlineStr">
        <is>
          <t>2018::jama.2018.0156::C003</t>
        </is>
      </c>
      <c r="B36" s="2" t="n">
        <v>2</v>
      </c>
      <c r="C36" s="2" t="inlineStr">
        <is>
          <t>Calculation</t>
        </is>
      </c>
      <c r="D36" s="2" t="inlineStr">
        <is>
          <t>100 × (54/995 - 51/943) = 0.0189 percentage points, rounding to 0.0.</t>
        </is>
      </c>
    </row>
    <row r="37" ht="48" customHeight="1">
      <c r="A37" s="3" t="inlineStr">
        <is>
          <t>2018::jama.2018.0156::C003</t>
        </is>
      </c>
      <c r="B37" s="3" t="n">
        <v>3</v>
      </c>
      <c r="C37" s="3" t="inlineStr">
        <is>
          <t>Alternative source-grounded interpretations</t>
        </is>
      </c>
      <c r="D37" s="3" t="inlineStr">
        <is>
          <t>An unstated retained estimator, denominator, adjustment, weighting, or rounding procedure could explain the display; no correction is adjudicated.</t>
        </is>
      </c>
    </row>
    <row r="38" ht="48" customHeight="1">
      <c r="A38" s="2" t="inlineStr">
        <is>
          <t>2018::jama.2018.0156::C004</t>
        </is>
      </c>
      <c r="B38" s="2" t="n">
        <v>0</v>
      </c>
      <c r="C38" s="2" t="inlineStr">
        <is>
          <t>Source evidence</t>
        </is>
      </c>
      <c r="D38" s="2" t="inlineStr">
        <is>
          <t>The column prints difference 0.1, 95% CI -10 to 9.7, and P=.99 for 54/995 versus 51/943.</t>
        </is>
      </c>
    </row>
    <row r="39" ht="48" customHeight="1">
      <c r="A39" s="3" t="inlineStr">
        <is>
          <t>2018::jama.2018.0156::C004</t>
        </is>
      </c>
      <c r="B39" s="3" t="n">
        <v>1</v>
      </c>
      <c r="C39" s="3" t="inlineStr">
        <is>
          <t>Reported-versus-comparator</t>
        </is>
      </c>
      <c r="D39" s="3" t="inlineStr">
        <is>
          <t>Reported interval -10 to 9.7 percentage points; diagnostic ordinary unpooled-binomial comparator is about -2.00 to 2.04 points.</t>
        </is>
      </c>
    </row>
    <row r="40" ht="48" customHeight="1">
      <c r="A40" s="2" t="inlineStr">
        <is>
          <t>2018::jama.2018.0156::C004</t>
        </is>
      </c>
      <c r="B40" s="2" t="n">
        <v>2</v>
      </c>
      <c r="C40" s="2" t="inlineStr">
        <is>
          <t>Calculation</t>
        </is>
      </c>
      <c r="D40" s="2" t="inlineStr">
        <is>
          <t>Diagnostic SE 1.028756 points; with difference 0.018864, Wald 95% interval -1.997498 to 2.035226 points.</t>
        </is>
      </c>
    </row>
    <row r="41" ht="48" customHeight="1">
      <c r="A41" s="3" t="inlineStr">
        <is>
          <t>2018::jama.2018.0156::C004</t>
        </is>
      </c>
      <c r="B41" s="3" t="n">
        <v>3</v>
      </c>
      <c r="C41" s="3" t="inlineStr">
        <is>
          <t>Alternative source-grounded interpretations</t>
        </is>
      </c>
      <c r="D41" s="3" t="inlineStr">
        <is>
          <t>Nonstandard method, retained data, adjustment, correction, or decimal production issue may explain the display; exact construction is absent.</t>
        </is>
      </c>
    </row>
    <row r="42" ht="48" customHeight="1">
      <c r="A42" s="2" t="inlineStr">
        <is>
          <t>2018::jama.2018.0156::C005</t>
        </is>
      </c>
      <c r="B42" s="2" t="n">
        <v>0</v>
      </c>
      <c r="C42" s="2" t="inlineStr">
        <is>
          <t>Source evidence</t>
        </is>
      </c>
      <c r="D42" s="2" t="inlineStr">
        <is>
          <t>BMV 342/995 (34.4%), ETI 377/943 (30.0%), and BMV-minus-ETI -5.6 points are printed.</t>
        </is>
      </c>
    </row>
    <row r="43" ht="48" customHeight="1">
      <c r="A43" s="3" t="inlineStr">
        <is>
          <t>2018::jama.2018.0156::C005</t>
        </is>
      </c>
      <c r="B43" s="3" t="n">
        <v>1</v>
      </c>
      <c r="C43" s="3" t="inlineStr">
        <is>
          <t>Reported-versus-comparator</t>
        </is>
      </c>
      <c r="D43" s="3" t="inlineStr">
        <is>
          <t>Reported ETI 30.0%; 377/943 = 39.979% (rounds 40.0%), and count-derived contrast is negative while displayed percentages imply positive.</t>
        </is>
      </c>
    </row>
    <row r="44" ht="48" customHeight="1">
      <c r="A44" s="2" t="inlineStr">
        <is>
          <t>2018::jama.2018.0156::C005</t>
        </is>
      </c>
      <c r="B44" s="2" t="n">
        <v>2</v>
      </c>
      <c r="C44" s="2" t="inlineStr">
        <is>
          <t>Calculation</t>
        </is>
      </c>
      <c r="D44" s="2" t="inlineStr">
        <is>
          <t>100 × 377/943 = 39.979%; 100 × (342/995 - 377/943) = -5.607 points, matching -5.6; printed percentages give +4.4 points.</t>
        </is>
      </c>
    </row>
    <row r="45" ht="48" customHeight="1">
      <c r="A45" s="3" t="inlineStr">
        <is>
          <t>2018::jama.2018.0156::C005</t>
        </is>
      </c>
      <c r="B45" s="3" t="n">
        <v>3</v>
      </c>
      <c r="C45" s="3" t="inlineStr">
        <is>
          <t>Alternative source-grounded interpretations</t>
        </is>
      </c>
      <c r="D45" s="3" t="inlineStr">
        <is>
          <t>The source does not establish which printed value or retained estimator was intended; no correction is adjudicated.</t>
        </is>
      </c>
    </row>
    <row r="46" ht="48" customHeight="1">
      <c r="A46" s="2" t="inlineStr">
        <is>
          <t>2018::jama.2018.0156::C006</t>
        </is>
      </c>
      <c r="B46" s="2" t="n">
        <v>0</v>
      </c>
      <c r="C46" s="2" t="inlineStr">
        <is>
          <t>Source evidence</t>
        </is>
      </c>
      <c r="D46" s="2" t="inlineStr">
        <is>
          <t>Methods state 20 EMS centres (15 France, 5 Belgium); eTable 1 has 21 nonempty investigator-centre rows, whose arm totals reconcile to 1018 and 1022.</t>
        </is>
      </c>
    </row>
    <row r="47" ht="48" customHeight="1">
      <c r="A47" s="3" t="inlineStr">
        <is>
          <t>2018::jama.2018.0156::C006</t>
        </is>
      </c>
      <c r="B47" s="3" t="n">
        <v>1</v>
      </c>
      <c r="C47" s="3" t="inlineStr">
        <is>
          <t>Reported-versus-comparator</t>
        </is>
      </c>
      <c r="D47" s="3" t="inlineStr">
        <is>
          <t>Reported count 20; comparator 21 displayed rows.</t>
        </is>
      </c>
    </row>
    <row r="48" ht="48" customHeight="1">
      <c r="A48" s="2" t="inlineStr">
        <is>
          <t>2018::jama.2018.0156::C006</t>
        </is>
      </c>
      <c r="B48" s="2" t="n">
        <v>2</v>
      </c>
      <c r="C48" s="2" t="inlineStr">
        <is>
          <t>Calculation</t>
        </is>
      </c>
      <c r="D48" s="2" t="inlineStr">
        <is>
          <t>15 + 5 = 20; eTable rows = 21.</t>
        </is>
      </c>
    </row>
    <row r="49" ht="48" customHeight="1">
      <c r="A49" s="3" t="inlineStr">
        <is>
          <t>2018::jama.2018.0156::C006</t>
        </is>
      </c>
      <c r="B49" s="3" t="n">
        <v>3</v>
      </c>
      <c r="C49" s="3" t="inlineStr">
        <is>
          <t>Alternative source-grounded interpretations</t>
        </is>
      </c>
      <c r="D49" s="3" t="inlineStr">
        <is>
          <t>One EMS centre may map to multiple investigator-centre records; no crosswalk is supplied.</t>
        </is>
      </c>
    </row>
    <row r="50" ht="48" customHeight="1">
      <c r="A50" s="2" t="inlineStr">
        <is>
          <t>2018::jama.2018.0156::C007</t>
        </is>
      </c>
      <c r="B50" s="2" t="n">
        <v>0</v>
      </c>
      <c r="C50" s="2" t="inlineStr">
        <is>
          <t>Source evidence</t>
        </is>
      </c>
      <c r="D50" s="2" t="inlineStr">
        <is>
          <t>Article: favourable outcome CPC 1 or 2. Amendment: a baseline-disabled survivor is favourable if survival retains the same disability degree.</t>
        </is>
      </c>
    </row>
    <row r="51" ht="48" customHeight="1">
      <c r="A51" s="3" t="inlineStr">
        <is>
          <t>2018::jama.2018.0156::C007</t>
        </is>
      </c>
      <c r="B51" s="3" t="n">
        <v>1</v>
      </c>
      <c r="C51" s="3" t="inlineStr">
        <is>
          <t>Reported-versus-comparator</t>
        </is>
      </c>
      <c r="D51" s="3" t="inlineStr">
        <is>
          <t>Reported CPC-1-or-2 description; comparator is the additional amendment qualification.</t>
        </is>
      </c>
    </row>
    <row r="52" ht="48" customHeight="1">
      <c r="A52" s="2" t="inlineStr">
        <is>
          <t>2018::jama.2018.0156::C007</t>
        </is>
      </c>
      <c r="B52" s="2" t="n">
        <v>2</v>
      </c>
      <c r="C52" s="2" t="inlineStr">
        <is>
          <t>Calculation</t>
        </is>
      </c>
      <c r="D52" s="2" t="inlineStr">
        <is>
          <t>No aggregate calculation: a survivor can satisfy the amendment qualification without a literal CPC-1-or-2-only classification.</t>
        </is>
      </c>
    </row>
    <row r="53" ht="48" customHeight="1">
      <c r="A53" s="3" t="inlineStr">
        <is>
          <t>2018::jama.2018.0156::C007</t>
        </is>
      </c>
      <c r="B53" s="3" t="n">
        <v>3</v>
      </c>
      <c r="C53" s="3" t="inlineStr">
        <is>
          <t>Alternative source-grounded interpretations</t>
        </is>
      </c>
      <c r="D53" s="3" t="inlineStr">
        <is>
          <t>Article wording may be abbreviated or no participant may require the qualification; final coding and affected count are absent.</t>
        </is>
      </c>
    </row>
    <row r="54" ht="48" customHeight="1">
      <c r="A54" s="2" t="inlineStr">
        <is>
          <t>2018::jama.2018.0156::C008</t>
        </is>
      </c>
      <c r="B54" s="2" t="n">
        <v>0</v>
      </c>
      <c r="C54" s="2" t="inlineStr">
        <is>
          <t>Source evidence</t>
        </is>
      </c>
      <c r="D54" s="2" t="inlineStr">
        <is>
          <t>Amended protocol technique failure includes 28-day mortality, regurgitation, or failure to ventilate/intubate. Article prints ETI failure 21/996 (2.1%) and ITT ETI deaths 54/1022.</t>
        </is>
      </c>
    </row>
    <row r="55" ht="48" customHeight="1">
      <c r="A55" s="3" t="inlineStr">
        <is>
          <t>2018::jama.2018.0156::C008</t>
        </is>
      </c>
      <c r="B55" s="3" t="n">
        <v>1</v>
      </c>
      <c r="C55" s="3" t="inlineStr">
        <is>
          <t>Reported-versus-comparator</t>
        </is>
      </c>
      <c r="D55" s="3" t="inlineStr">
        <is>
          <t>Reported 21/996; conditional conservative comparator is at least 27 before other composite components.</t>
        </is>
      </c>
    </row>
    <row r="56" ht="48" customHeight="1">
      <c r="A56" s="2" t="inlineStr">
        <is>
          <t>2018::jama.2018.0156::C008</t>
        </is>
      </c>
      <c r="B56" s="2" t="n">
        <v>2</v>
      </c>
      <c r="C56" s="2" t="inlineStr">
        <is>
          <t>Calculation</t>
        </is>
      </c>
      <c r="D56" s="2" t="inlineStr">
        <is>
          <t>54 - 24 - 3 = 27, and 27 &gt; 21.</t>
        </is>
      </c>
    </row>
    <row r="57" ht="48" customHeight="1">
      <c r="A57" s="3" t="inlineStr">
        <is>
          <t>2018::jama.2018.0156::C008</t>
        </is>
      </c>
      <c r="B57" s="3" t="n">
        <v>3</v>
      </c>
      <c r="C57" s="3" t="inlineStr">
        <is>
          <t>Alternative source-grounded interpretations</t>
        </is>
      </c>
      <c r="D57" s="3" t="inlineStr">
        <is>
          <t>Article row may be narrower, use another final definition, or use actual-treatment population; aggregate displays do not establish participant alignment.</t>
        </is>
      </c>
    </row>
    <row r="58" ht="48" customHeight="1">
      <c r="A58" s="2" t="inlineStr">
        <is>
          <t>2018::jama.2018.0948::C001</t>
        </is>
      </c>
      <c r="B58" s="2" t="n">
        <v>0</v>
      </c>
      <c r="C58" s="2" t="inlineStr">
        <is>
          <t>Source evidence</t>
        </is>
      </c>
      <c r="D58" s="2" t="inlineStr">
        <is>
          <t>The article says 60 mL/kg or greater within 12 hours; Supplement 1 and Supplement 3 say &gt;60 mL/kg for the matched component.</t>
        </is>
      </c>
    </row>
    <row r="59" ht="48" customHeight="1">
      <c r="A59" s="3" t="inlineStr">
        <is>
          <t>2018::jama.2018.0948::C001</t>
        </is>
      </c>
      <c r="B59" s="3" t="n">
        <v>1</v>
      </c>
      <c r="C59" s="3" t="inlineStr">
        <is>
          <t>Reported-versus-comparator</t>
        </is>
      </c>
      <c r="D59" s="3" t="inlineStr">
        <is>
          <t>x &gt;= 60 versus x &gt; 60 on the same unit and 12-hour window.</t>
        </is>
      </c>
    </row>
    <row r="60" ht="48" customHeight="1">
      <c r="A60" s="2" t="inlineStr">
        <is>
          <t>2018::jama.2018.0948::C001</t>
        </is>
      </c>
      <c r="B60" s="2" t="n">
        <v>2</v>
      </c>
      <c r="C60" s="2" t="inlineStr">
        <is>
          <t>Calculation</t>
        </is>
      </c>
      <c r="D60" s="2" t="inlineStr">
        <is>
          <t>At x = 60, x &gt;= 60 is true and x &gt; 60 is false; Table 5 also leaves 60 outside its printed &lt;60 and &gt;60 bands.</t>
        </is>
      </c>
    </row>
    <row r="61" ht="48" customHeight="1">
      <c r="A61" s="3" t="inlineStr">
        <is>
          <t>2018::jama.2018.0948::C001</t>
        </is>
      </c>
      <c r="B61" s="3" t="n">
        <v>3</v>
      </c>
      <c r="C61" s="3" t="inlineStr">
        <is>
          <t>Alternative source-grounded interpretations</t>
        </is>
      </c>
      <c r="D61" s="3" t="inlineStr">
        <is>
          <t>The article may paraphrase a strict operational rule, or the support sources may retain a strict sign while an inclusive rule was applied; supplied sources do not decide.</t>
        </is>
      </c>
    </row>
    <row r="62" ht="48" customHeight="1">
      <c r="A62" s="2" t="inlineStr">
        <is>
          <t>2018::jama.2018.0948::C002</t>
        </is>
      </c>
      <c r="B62" s="2" t="n">
        <v>0</v>
      </c>
      <c r="C62" s="2" t="inlineStr">
        <is>
          <t>Source evidence</t>
        </is>
      </c>
      <c r="D62" s="2" t="inlineStr">
        <is>
          <t>The matched 18% reduction from 5.1 deaths/1,000 is 0.9 per 1,000 and 0.09% at matched locations, while Supplement 1 p. 29 says 0.9%.</t>
        </is>
      </c>
    </row>
    <row r="63" ht="48" customHeight="1">
      <c r="A63" s="3" t="inlineStr">
        <is>
          <t>2018::jama.2018.0948::C002</t>
        </is>
      </c>
      <c r="B63" s="3" t="n">
        <v>1</v>
      </c>
      <c r="C63" s="3" t="inlineStr">
        <is>
          <t>Reported-versus-comparator</t>
        </is>
      </c>
      <c r="D63" s="3" t="inlineStr">
        <is>
          <t>0.9% versus the corresponding 0.9 per 1,000 = 0.09%.</t>
        </is>
      </c>
    </row>
    <row r="64" ht="48" customHeight="1">
      <c r="A64" s="2" t="inlineStr">
        <is>
          <t>2018::jama.2018.0948::C002</t>
        </is>
      </c>
      <c r="B64" s="2" t="n">
        <v>2</v>
      </c>
      <c r="C64" s="2" t="inlineStr">
        <is>
          <t>Calculation</t>
        </is>
      </c>
      <c r="D64" s="2" t="inlineStr">
        <is>
          <t>5.1 × 0.178 = 0.9078 per 1,000 = 0.09078%, conventionally 0.09%; 0.9% equals 9 per 1,000 and is tenfold larger.</t>
        </is>
      </c>
    </row>
    <row r="65" ht="48" customHeight="1">
      <c r="A65" s="3" t="inlineStr">
        <is>
          <t>2018::jama.2018.0948::C002</t>
        </is>
      </c>
      <c r="B65" s="3" t="n">
        <v>3</v>
      </c>
      <c r="C65" s="3" t="inlineStr">
        <is>
          <t>Alternative source-grounded interpretations</t>
        </is>
      </c>
      <c r="D65" s="3" t="inlineStr">
        <is>
          <t>P. 29 may have intended 0.09% or 0.9 per 1,000; the package does not establish editorial intent.</t>
        </is>
      </c>
    </row>
    <row r="66" ht="48" customHeight="1">
      <c r="A66" s="2" t="inlineStr">
        <is>
          <t>2018::jama.2018.0948::C003</t>
        </is>
      </c>
      <c r="B66" s="2" t="n">
        <v>0</v>
      </c>
      <c r="C66" s="2" t="inlineStr">
        <is>
          <t>Source evidence</t>
        </is>
      </c>
      <c r="D66" s="2" t="inlineStr">
        <is>
          <t>P. 11 defines cardiac arrest without preceding DNR as 6 or 7; Table 5 maps CPR to 6 and death to 7; Table 6 names events including cardiac arrest as scale 4 or 5.</t>
        </is>
      </c>
    </row>
    <row r="67" ht="48" customHeight="1">
      <c r="A67" s="3" t="inlineStr">
        <is>
          <t>2018::jama.2018.0948::C003</t>
        </is>
      </c>
      <c r="B67" s="3" t="n">
        <v>1</v>
      </c>
      <c r="C67" s="3" t="inlineStr">
        <is>
          <t>Reported-versus-comparator</t>
        </is>
      </c>
      <c r="D67" s="3" t="inlineStr">
        <is>
          <t>{4,5} versus {6,7} under the named seven-category Children’s Resuscitation Intensity Scale.</t>
        </is>
      </c>
    </row>
    <row r="68" ht="48" customHeight="1">
      <c r="A68" s="2" t="inlineStr">
        <is>
          <t>2018::jama.2018.0948::C003</t>
        </is>
      </c>
      <c r="B68" s="2" t="n">
        <v>2</v>
      </c>
      <c r="C68" s="2" t="inlineStr">
        <is>
          <t>Calculation</t>
        </is>
      </c>
      <c r="D68" s="2" t="inlineStr">
        <is>
          <t>{4,5} ∩ {6,7} = ∅; the labels cannot reconcile under one unchanged scale.</t>
        </is>
      </c>
    </row>
    <row r="69" ht="48" customHeight="1">
      <c r="A69" s="3" t="inlineStr">
        <is>
          <t>2018::jama.2018.0948::C003</t>
        </is>
      </c>
      <c r="B69" s="3" t="n">
        <v>3</v>
      </c>
      <c r="C69" s="3" t="inlineStr">
        <is>
          <t>Alternative source-grounded interpretations</t>
        </is>
      </c>
      <c r="D69" s="3" t="inlineStr">
        <is>
          <t>P. 27 could refer to a different, undefined scale; a residual or transcription explanation is inferential.</t>
        </is>
      </c>
    </row>
    <row r="70" ht="48" customHeight="1">
      <c r="A70" s="2" t="inlineStr">
        <is>
          <t>2018::jama.2018.0948::C004</t>
        </is>
      </c>
      <c r="B70" s="2" t="n">
        <v>0</v>
      </c>
      <c r="C70" s="2" t="inlineStr">
        <is>
          <t>Source evidence</t>
        </is>
      </c>
      <c r="D70" s="2" t="inlineStr">
        <is>
          <t>P. 11 prints &gt;4 but immediately includes ratings 4, 5, and 6; Table 7 says 4 or more, Supplement 3 says 4–6, and the article describes rating 4 as more than likely preventable.</t>
        </is>
      </c>
    </row>
    <row r="71" ht="48" customHeight="1">
      <c r="A71" s="3" t="inlineStr">
        <is>
          <t>2018::jama.2018.0948::C004</t>
        </is>
      </c>
      <c r="B71" s="3" t="n">
        <v>1</v>
      </c>
      <c r="C71" s="3" t="inlineStr">
        <is>
          <t>Reported-versus-comparator</t>
        </is>
      </c>
      <c r="D71" s="3" t="inlineStr">
        <is>
          <t>&gt;4 versus &gt;=4 on the stated six-point scale.</t>
        </is>
      </c>
    </row>
    <row r="72" ht="48" customHeight="1">
      <c r="A72" s="2" t="inlineStr">
        <is>
          <t>2018::jama.2018.0948::C004</t>
        </is>
      </c>
      <c r="B72" s="2" t="n">
        <v>2</v>
      </c>
      <c r="C72" s="2" t="inlineStr">
        <is>
          <t>Calculation</t>
        </is>
      </c>
      <c r="D72" s="2" t="inlineStr">
        <is>
          <t>4 &gt; 4 is false, whereas 4 &gt;= 4 is true; the printed definitions classify rating 4 differently.</t>
        </is>
      </c>
    </row>
    <row r="73" ht="48" customHeight="1">
      <c r="A73" s="3" t="inlineStr">
        <is>
          <t>2018::jama.2018.0948::C004</t>
        </is>
      </c>
      <c r="B73" s="3" t="n">
        <v>3</v>
      </c>
      <c r="C73" s="3" t="inlineStr">
        <is>
          <t>Alternative source-grounded interpretations</t>
        </is>
      </c>
      <c r="D73" s="3" t="inlineStr">
        <is>
          <t>Table 7/final reporting may state the operative rule, or p. 11 may reflect a stricter intended threshold; sources do not decide.</t>
        </is>
      </c>
    </row>
    <row r="74" ht="48" customHeight="1">
      <c r="A74" s="2" t="inlineStr">
        <is>
          <t>2018::jama.2018.0948::C005</t>
        </is>
      </c>
      <c r="B74" s="2" t="n">
        <v>0</v>
      </c>
      <c r="C74" s="2" t="inlineStr">
        <is>
          <t>Source evidence</t>
        </is>
      </c>
      <c r="D74" s="2" t="inlineStr">
        <is>
          <t>P. 14 says 1,052 urgent ICU admissions per year; p. 30 says 1,052 urgent PICU admissions occurred in two years after 31 January 2007.</t>
        </is>
      </c>
    </row>
    <row r="75" ht="48" customHeight="1">
      <c r="A75" s="3" t="inlineStr">
        <is>
          <t>2018::jama.2018.0948::C005</t>
        </is>
      </c>
      <c r="B75" s="3" t="n">
        <v>1</v>
      </c>
      <c r="C75" s="3" t="inlineStr">
        <is>
          <t>Reported-versus-comparator</t>
        </is>
      </c>
      <c r="D75" s="3" t="inlineStr">
        <is>
          <t>One identical reference count with annual versus two-year period labels.</t>
        </is>
      </c>
    </row>
    <row r="76" ht="58" customHeight="1">
      <c r="A76" s="2" t="inlineStr">
        <is>
          <t>2018::jama.2018.0948::C005</t>
        </is>
      </c>
      <c r="B76" s="2" t="n">
        <v>2</v>
      </c>
      <c r="C76" s="2" t="inlineStr">
        <is>
          <t>Calculation</t>
        </is>
      </c>
      <c r="D76" s="2" t="inlineStr">
        <is>
          <t>If unannualized over two years, 1052 / 2 = 526 per year. Diagnostic reconstruction using printed assumptions is 1052 × .40 / (55,963 × 4) × 1,000 = 1.88, approximately 2 per 1,000; this does not establish an exact patient-day denominator.</t>
        </is>
      </c>
    </row>
    <row r="77" ht="48" customHeight="1">
      <c r="A77" s="3" t="inlineStr">
        <is>
          <t>2018::jama.2018.0948::C005</t>
        </is>
      </c>
      <c r="B77" s="3" t="n">
        <v>3</v>
      </c>
      <c r="C77" s="3" t="inlineStr">
        <is>
          <t>Alternative source-grounded interpretations</t>
        </is>
      </c>
      <c r="D77" s="3" t="inlineStr">
        <is>
          <t>P. 14 may annualize another dataset, or p. 30 may describe a broader window; no year-stratified data or exact patient-days are supplied.</t>
        </is>
      </c>
    </row>
    <row r="78" ht="48" customHeight="1">
      <c r="A78" s="2" t="inlineStr">
        <is>
          <t>2018::jama.2018.0948::C006</t>
        </is>
      </c>
      <c r="B78" s="2" t="n">
        <v>0</v>
      </c>
      <c r="C78" s="2" t="inlineStr">
        <is>
          <t>Source evidence</t>
        </is>
      </c>
      <c r="D78" s="2" t="inlineStr">
        <is>
          <t>The paragraph prints 8.13 calls/1,000 patient-days, maximum relative risk reduction 0.181, and a corresponding absolute reduction of 1.45 calls/1,000 patient-days.</t>
        </is>
      </c>
    </row>
    <row r="79" ht="48" customHeight="1">
      <c r="A79" s="3" t="inlineStr">
        <is>
          <t>2018::jama.2018.0948::C006</t>
        </is>
      </c>
      <c r="B79" s="3" t="n">
        <v>1</v>
      </c>
      <c r="C79" s="3" t="inlineStr">
        <is>
          <t>Reported-versus-comparator</t>
        </is>
      </c>
      <c r="D79" s="3" t="inlineStr">
        <is>
          <t>Printed 1.45 versus the product of printed inputs.</t>
        </is>
      </c>
    </row>
    <row r="80" ht="48" customHeight="1">
      <c r="A80" s="2" t="inlineStr">
        <is>
          <t>2018::jama.2018.0948::C006</t>
        </is>
      </c>
      <c r="B80" s="2" t="n">
        <v>2</v>
      </c>
      <c r="C80" s="2" t="inlineStr">
        <is>
          <t>Calculation</t>
        </is>
      </c>
      <c r="D80" s="2" t="inlineStr">
        <is>
          <t>8.13 × .181 = 1.47153, conventionally 1.47. Display bounds 8.125 × .1805 = 1.4665625 through values below 8.135 × .1815 = 1.4765025 do not overlap the 1.445 to below 1.455 range displaying as 1.45.</t>
        </is>
      </c>
    </row>
    <row r="81" ht="48" customHeight="1">
      <c r="A81" s="3" t="inlineStr">
        <is>
          <t>2018::jama.2018.0948::C006</t>
        </is>
      </c>
      <c r="B81" s="3" t="n">
        <v>3</v>
      </c>
      <c r="C81" s="3" t="inlineStr">
        <is>
          <t>Alternative source-grounded interpretations</t>
        </is>
      </c>
      <c r="D81" s="3" t="inlineStr">
        <is>
          <t>More precise undisplayed inputs, a transcription step, or a nonstandard display method could explain the value; none is supplied.</t>
        </is>
      </c>
    </row>
    <row r="82" ht="48" customHeight="1">
      <c r="A82" s="2" t="inlineStr">
        <is>
          <t>2018::jama.2018.0948::C007</t>
        </is>
      </c>
      <c r="B82" s="2" t="n">
        <v>0</v>
      </c>
      <c r="C82" s="2" t="inlineStr">
        <is>
          <t>Source evidence</t>
        </is>
      </c>
      <c r="D82" s="2" t="inlineStr">
        <is>
          <t>The four-hospital table prints 1,052 unplanned PICU admissions, 7,300 PICU discharges, 55,963 hospital discharges, 14.5%, and 18 per 1,000.</t>
        </is>
      </c>
    </row>
    <row r="83" ht="48" customHeight="1">
      <c r="A83" s="3" t="inlineStr">
        <is>
          <t>2018::jama.2018.0948::C007</t>
        </is>
      </c>
      <c r="B83" s="3" t="n">
        <v>1</v>
      </c>
      <c r="C83" s="3" t="inlineStr">
        <is>
          <t>Reported-versus-comparator</t>
        </is>
      </c>
      <c r="D83" s="3" t="inlineStr">
        <is>
          <t>Printed 14.5% and 18 per 1,000 versus rates calculated from the displayed integers.</t>
        </is>
      </c>
    </row>
    <row r="84" ht="58" customHeight="1">
      <c r="A84" s="2" t="inlineStr">
        <is>
          <t>2018::jama.2018.0948::C007</t>
        </is>
      </c>
      <c r="B84" s="2" t="n">
        <v>2</v>
      </c>
      <c r="C84" s="2" t="inlineStr">
        <is>
          <t>Calculation</t>
        </is>
      </c>
      <c r="D84" s="2" t="inlineStr">
        <is>
          <t>1052/7300 × 100 = 14.4109589%, conventionally 14.4%; 1052/55963 × 1,000 = 18.7977778, conventionally 19. The printed denominators fall outside the respective nearest-rounding denominator ranges 7,231–7,280 and 56,865–60,114.</t>
        </is>
      </c>
    </row>
    <row r="85" ht="48" customHeight="1">
      <c r="A85" s="3" t="inlineStr">
        <is>
          <t>2018::jama.2018.0948::C007</t>
        </is>
      </c>
      <c r="B85" s="3" t="n">
        <v>3</v>
      </c>
      <c r="C85" s="3" t="inlineStr">
        <is>
          <t>Alternative source-grounded interpretations</t>
        </is>
      </c>
      <c r="D85" s="3" t="inlineStr">
        <is>
          <t>Undisplayed denominators, weighting, extraction history, or a display convention could explain one or both rates; truncation could explain 18 but not 14.5 from 14.4109589.</t>
        </is>
      </c>
    </row>
    <row r="86" ht="48" customHeight="1">
      <c r="A86" s="2" t="inlineStr">
        <is>
          <t>2018::jama.2018.14280::C001</t>
        </is>
      </c>
      <c r="B86" s="2" t="n">
        <v>0</v>
      </c>
      <c r="C86" s="2" t="inlineStr">
        <is>
          <t>Source evidence</t>
        </is>
      </c>
      <c r="D86" s="2" t="inlineStr">
        <is>
          <t>Supplement 3 — PDF p. 6 prints 8 (5-1) cm H2O; the note defines median (interquartile range).</t>
        </is>
      </c>
    </row>
    <row r="87" ht="48" customHeight="1">
      <c r="A87" s="3" t="inlineStr">
        <is>
          <t>2018::jama.2018.14280::C001</t>
        </is>
      </c>
      <c r="B87" s="3" t="n">
        <v>1</v>
      </c>
      <c r="C87" s="3" t="inlineStr">
        <is>
          <t>Reported-versus-comparator</t>
        </is>
      </c>
      <c r="D87" s="3" t="inlineStr">
        <is>
          <t>Reported median/IQR 8 (5-1) versus the ordering required for lower quartile, median, upper quartile.</t>
        </is>
      </c>
    </row>
    <row r="88" ht="48" customHeight="1">
      <c r="A88" s="2" t="inlineStr">
        <is>
          <t>2018::jama.2018.14280::C001</t>
        </is>
      </c>
      <c r="B88" s="2" t="n">
        <v>2</v>
      </c>
      <c r="C88" s="2" t="inlineStr">
        <is>
          <t>Calculation</t>
        </is>
      </c>
      <c r="D88" s="2" t="inlineStr">
        <is>
          <t>5 &lt;= 8 is true; 8 &lt;= 1 is false.</t>
        </is>
      </c>
    </row>
    <row r="89" ht="48" customHeight="1">
      <c r="A89" s="3" t="inlineStr">
        <is>
          <t>2018::jama.2018.14280::C001</t>
        </is>
      </c>
      <c r="B89" s="3" t="n">
        <v>3</v>
      </c>
      <c r="C89" s="3" t="inlineStr">
        <is>
          <t>Alternative source-grounded interpretations</t>
        </is>
      </c>
      <c r="D89" s="3" t="inlineStr">
        <is>
          <t>The final endpoint may be truncated or mistyped; no supplied source gives a replacement.</t>
        </is>
      </c>
    </row>
    <row r="90" ht="48" customHeight="1">
      <c r="A90" s="2" t="inlineStr">
        <is>
          <t>2018::jama.2018.14280::C002</t>
        </is>
      </c>
      <c r="B90" s="2" t="n">
        <v>0</v>
      </c>
      <c r="C90" s="2" t="inlineStr">
        <is>
          <t>Source evidence</t>
        </is>
      </c>
      <c r="D90" s="2" t="inlineStr">
        <is>
          <t>Main article — PDF p. 5 prints 292 (61.6) and 290 (60.3) under n=477 and n=484.</t>
        </is>
      </c>
    </row>
    <row r="91" ht="48" customHeight="1">
      <c r="A91" s="3" t="inlineStr">
        <is>
          <t>2018::jama.2018.14280::C002</t>
        </is>
      </c>
      <c r="B91" s="3" t="n">
        <v>1</v>
      </c>
      <c r="C91" s="3" t="inlineStr">
        <is>
          <t>Reported-versus-comparator</t>
        </is>
      </c>
      <c r="D91" s="3" t="inlineStr">
        <is>
          <t>61.6%/60.3% versus percentages calculated from displayed arm totals.</t>
        </is>
      </c>
    </row>
    <row r="92" ht="48" customHeight="1">
      <c r="A92" s="2" t="inlineStr">
        <is>
          <t>2018::jama.2018.14280::C002</t>
        </is>
      </c>
      <c r="B92" s="2" t="n">
        <v>2</v>
      </c>
      <c r="C92" s="2" t="inlineStr">
        <is>
          <t>Calculation</t>
        </is>
      </c>
      <c r="D92" s="2" t="inlineStr">
        <is>
          <t>292/477=61.2%, 290/484=59.9%; 292/474=61.6%, 290/481=60.3%.</t>
        </is>
      </c>
    </row>
    <row r="93" ht="48" customHeight="1">
      <c r="A93" s="3" t="inlineStr">
        <is>
          <t>2018::jama.2018.14280::C002</t>
        </is>
      </c>
      <c r="B93" s="3" t="n">
        <v>3</v>
      </c>
      <c r="C93" s="3" t="inlineStr">
        <is>
          <t>Alternative source-grounded interpretations</t>
        </is>
      </c>
      <c r="D93" s="3" t="inlineStr">
        <is>
          <t>Available-case denominators 474 and 481 may have been used but are not printed.</t>
        </is>
      </c>
    </row>
    <row r="94" ht="48" customHeight="1">
      <c r="A94" s="2" t="inlineStr">
        <is>
          <t>2018::jama.2018.14280::C003</t>
        </is>
      </c>
      <c r="B94" s="2" t="n">
        <v>0</v>
      </c>
      <c r="C94" s="2" t="inlineStr">
        <is>
          <t>Source evidence</t>
        </is>
      </c>
      <c r="D94" s="2" t="inlineStr">
        <is>
          <t>Main article — PDF p. 5 prints 82 (17.6) and 74 (15.5) under n=477 and n=484.</t>
        </is>
      </c>
    </row>
    <row r="95" ht="48" customHeight="1">
      <c r="A95" s="3" t="inlineStr">
        <is>
          <t>2018::jama.2018.14280::C003</t>
        </is>
      </c>
      <c r="B95" s="3" t="n">
        <v>1</v>
      </c>
      <c r="C95" s="3" t="inlineStr">
        <is>
          <t>Reported-versus-comparator</t>
        </is>
      </c>
      <c r="D95" s="3" t="inlineStr">
        <is>
          <t>17.6%/15.5% versus header-total calculations.</t>
        </is>
      </c>
    </row>
    <row r="96" ht="48" customHeight="1">
      <c r="A96" s="2" t="inlineStr">
        <is>
          <t>2018::jama.2018.14280::C003</t>
        </is>
      </c>
      <c r="B96" s="2" t="n">
        <v>2</v>
      </c>
      <c r="C96" s="2" t="inlineStr">
        <is>
          <t>Calculation</t>
        </is>
      </c>
      <c r="D96" s="2" t="inlineStr">
        <is>
          <t>82/477=17.2%; 74/484=15.3%, not the displayed values.</t>
        </is>
      </c>
    </row>
    <row r="97" ht="48" customHeight="1">
      <c r="A97" s="3" t="inlineStr">
        <is>
          <t>2018::jama.2018.14280::C003</t>
        </is>
      </c>
      <c r="B97" s="3" t="n">
        <v>3</v>
      </c>
      <c r="C97" s="3" t="inlineStr">
        <is>
          <t>Alternative source-grounded interpretations</t>
        </is>
      </c>
      <c r="D97" s="3" t="inlineStr">
        <is>
          <t>Smaller available-case denominators may have been used; exact denominators are not supplied.</t>
        </is>
      </c>
    </row>
    <row r="98" ht="48" customHeight="1">
      <c r="A98" s="2" t="inlineStr">
        <is>
          <t>2018::jama.2018.14280::C004</t>
        </is>
      </c>
      <c r="B98" s="2" t="n">
        <v>0</v>
      </c>
      <c r="C98" s="2" t="inlineStr">
        <is>
          <t>Source evidence</t>
        </is>
      </c>
      <c r="D98" s="2" t="inlineStr">
        <is>
          <t>Main article — PDF p. 5 lists never/current/previous/unknown tobacco categories.</t>
        </is>
      </c>
    </row>
    <row r="99" ht="48" customHeight="1">
      <c r="A99" s="3" t="inlineStr">
        <is>
          <t>2018::jama.2018.14280::C004</t>
        </is>
      </c>
      <c r="B99" s="3" t="n">
        <v>1</v>
      </c>
      <c r="C99" s="3" t="inlineStr">
        <is>
          <t>Reported-versus-comparator</t>
        </is>
      </c>
      <c r="D99" s="3" t="inlineStr">
        <is>
          <t>Four category counts versus Table 1 arm headers.</t>
        </is>
      </c>
    </row>
    <row r="100" ht="48" customHeight="1">
      <c r="A100" s="2" t="inlineStr">
        <is>
          <t>2018::jama.2018.14280::C004</t>
        </is>
      </c>
      <c r="B100" s="2" t="n">
        <v>2</v>
      </c>
      <c r="C100" s="2" t="inlineStr">
        <is>
          <t>Calculation</t>
        </is>
      </c>
      <c r="D100" s="2" t="inlineStr">
        <is>
          <t>Low 106+97+75+197=475; intermediate 111+97+80+194=482; 106/475=22.3%, 111/482=23.0%.</t>
        </is>
      </c>
    </row>
    <row r="101" ht="48" customHeight="1">
      <c r="A101" s="3" t="inlineStr">
        <is>
          <t>2018::jama.2018.14280::C004</t>
        </is>
      </c>
      <c r="B101" s="3" t="n">
        <v>3</v>
      </c>
      <c r="C101" s="3" t="inlineStr">
        <is>
          <t>Alternative source-grounded interpretations</t>
        </is>
      </c>
      <c r="D101" s="3" t="inlineStr">
        <is>
          <t>475/482 available records may be intended despite an Unknown category.</t>
        </is>
      </c>
    </row>
    <row r="102" ht="48" customHeight="1">
      <c r="A102" s="2" t="inlineStr">
        <is>
          <t>2018::jama.2018.14280::C005</t>
        </is>
      </c>
      <c r="B102" s="2" t="n">
        <v>0</v>
      </c>
      <c r="C102" s="2" t="inlineStr">
        <is>
          <t>Source evidence</t>
        </is>
      </c>
      <c r="D102" s="2" t="inlineStr">
        <is>
          <t>Main article — PDF p. 5 prints the five alcohol-use categories.</t>
        </is>
      </c>
    </row>
    <row r="103" ht="48" customHeight="1">
      <c r="A103" s="3" t="inlineStr">
        <is>
          <t>2018::jama.2018.14280::C005</t>
        </is>
      </c>
      <c r="B103" s="3" t="n">
        <v>1</v>
      </c>
      <c r="C103" s="3" t="inlineStr">
        <is>
          <t>Reported-versus-comparator</t>
        </is>
      </c>
      <c r="D103" s="3" t="inlineStr">
        <is>
          <t>Category totals and percentage bases versus n=477/n=484 headers.</t>
        </is>
      </c>
    </row>
    <row r="104" ht="48" customHeight="1">
      <c r="A104" s="2" t="inlineStr">
        <is>
          <t>2018::jama.2018.14280::C005</t>
        </is>
      </c>
      <c r="B104" s="2" t="n">
        <v>2</v>
      </c>
      <c r="C104" s="2" t="inlineStr">
        <is>
          <t>Calculation</t>
        </is>
      </c>
      <c r="D104" s="2" t="inlineStr">
        <is>
          <t>Low 121+47+26+59+222=475; intermediate 92+61+30+56+243=482; 121/475=25.5%, 92/482=19.1%.</t>
        </is>
      </c>
    </row>
    <row r="105" ht="48" customHeight="1">
      <c r="A105" s="3" t="inlineStr">
        <is>
          <t>2018::jama.2018.14280::C005</t>
        </is>
      </c>
      <c r="B105" s="3" t="n">
        <v>3</v>
      </c>
      <c r="C105" s="3" t="inlineStr">
        <is>
          <t>Alternative source-grounded interpretations</t>
        </is>
      </c>
      <c r="D105" s="3" t="inlineStr">
        <is>
          <t>Variable-specific available-case bases may have been intended.</t>
        </is>
      </c>
    </row>
    <row r="106" ht="48" customHeight="1">
      <c r="A106" s="2" t="inlineStr">
        <is>
          <t>2018::jama.2018.14280::C006</t>
        </is>
      </c>
      <c r="B106" s="2" t="n">
        <v>0</v>
      </c>
      <c r="C106" s="2" t="inlineStr">
        <is>
          <t>Source evidence</t>
        </is>
      </c>
      <c r="D106" s="2" t="inlineStr">
        <is>
          <t>Main article — PDF p. 5 prints surgical 82 (17.3), medical 393 (82.7), and intermediate 79 (16.4), 403 (83.6).</t>
        </is>
      </c>
    </row>
    <row r="107" ht="48" customHeight="1">
      <c r="A107" s="3" t="inlineStr">
        <is>
          <t>2018::jama.2018.14280::C006</t>
        </is>
      </c>
      <c r="B107" s="3" t="n">
        <v>1</v>
      </c>
      <c r="C107" s="3" t="inlineStr">
        <is>
          <t>Reported-versus-comparator</t>
        </is>
      </c>
      <c r="D107" s="3" t="inlineStr">
        <is>
          <t>Binary-category totals versus Table 1 arm headers.</t>
        </is>
      </c>
    </row>
    <row r="108" ht="48" customHeight="1">
      <c r="A108" s="2" t="inlineStr">
        <is>
          <t>2018::jama.2018.14280::C006</t>
        </is>
      </c>
      <c r="B108" s="2" t="n">
        <v>2</v>
      </c>
      <c r="C108" s="2" t="inlineStr">
        <is>
          <t>Calculation</t>
        </is>
      </c>
      <c r="D108" s="2" t="inlineStr">
        <is>
          <t>82+393=475, 79+403=482; 82/475=17.3%, 79/482=16.4%.</t>
        </is>
      </c>
    </row>
    <row r="109" ht="48" customHeight="1">
      <c r="A109" s="3" t="inlineStr">
        <is>
          <t>2018::jama.2018.14280::C006</t>
        </is>
      </c>
      <c r="B109" s="3" t="n">
        <v>3</v>
      </c>
      <c r="C109" s="3" t="inlineStr">
        <is>
          <t>Alternative source-grounded interpretations</t>
        </is>
      </c>
      <c r="D109" s="3" t="inlineStr">
        <is>
          <t>Surgical/medical status may exist only for 475/482 patients.</t>
        </is>
      </c>
    </row>
    <row r="110" ht="48" customHeight="1">
      <c r="A110" s="2" t="inlineStr">
        <is>
          <t>2018::jama.2018.14280::C007</t>
        </is>
      </c>
      <c r="B110" s="2" t="n">
        <v>0</v>
      </c>
      <c r="C110" s="2" t="inlineStr">
        <is>
          <t>Source evidence</t>
        </is>
      </c>
      <c r="D110" s="2" t="inlineStr">
        <is>
          <t>Supplement 3 — PDF p. 8 prints 320 (70.6) and 333 (72.1) under headers 477/484.</t>
        </is>
      </c>
    </row>
    <row r="111" ht="48" customHeight="1">
      <c r="A111" s="3" t="inlineStr">
        <is>
          <t>2018::jama.2018.14280::C007</t>
        </is>
      </c>
      <c r="B111" s="3" t="n">
        <v>1</v>
      </c>
      <c r="C111" s="3" t="inlineStr">
        <is>
          <t>Reported-versus-comparator</t>
        </is>
      </c>
      <c r="D111" s="3" t="inlineStr">
        <is>
          <t>Printed percentages versus arm-header and recovered available-case denominators.</t>
        </is>
      </c>
    </row>
    <row r="112" ht="48" customHeight="1">
      <c r="A112" s="2" t="inlineStr">
        <is>
          <t>2018::jama.2018.14280::C007</t>
        </is>
      </c>
      <c r="B112" s="2" t="n">
        <v>2</v>
      </c>
      <c r="C112" s="2" t="inlineStr">
        <is>
          <t>Calculation</t>
        </is>
      </c>
      <c r="D112" s="2" t="inlineStr">
        <is>
          <t>320/477=67.1%, 333/484=68.8%; 320/453=70.6%, 333/462=72.1%.</t>
        </is>
      </c>
    </row>
    <row r="113" ht="48" customHeight="1">
      <c r="A113" s="3" t="inlineStr">
        <is>
          <t>2018::jama.2018.14280::C007</t>
        </is>
      </c>
      <c r="B113" s="3" t="n">
        <v>3</v>
      </c>
      <c r="C113" s="3" t="inlineStr">
        <is>
          <t>Alternative source-grounded interpretations</t>
        </is>
      </c>
      <c r="D113" s="3" t="inlineStr">
        <is>
          <t>A complete-case subset may apply; eTable 4 uses reduced denominators elsewhere.</t>
        </is>
      </c>
    </row>
    <row r="114" ht="48" customHeight="1">
      <c r="A114" s="2" t="inlineStr">
        <is>
          <t>2018::jama.2018.14280::C008</t>
        </is>
      </c>
      <c r="B114" s="2" t="n">
        <v>0</v>
      </c>
      <c r="C114" s="2" t="inlineStr">
        <is>
          <t>Source evidence</t>
        </is>
      </c>
      <c r="D114" s="2" t="inlineStr">
        <is>
          <t>Supplement 3 — PDF p. 8 prints 277 (61.1) and 273 (59.1).</t>
        </is>
      </c>
    </row>
    <row r="115" ht="48" customHeight="1">
      <c r="A115" s="3" t="inlineStr">
        <is>
          <t>2018::jama.2018.14280::C008</t>
        </is>
      </c>
      <c r="B115" s="3" t="n">
        <v>1</v>
      </c>
      <c r="C115" s="3" t="inlineStr">
        <is>
          <t>Reported-versus-comparator</t>
        </is>
      </c>
      <c r="D115" s="3" t="inlineStr">
        <is>
          <t>Printed percentages versus header and recovered denominator calculations.</t>
        </is>
      </c>
    </row>
    <row r="116" ht="48" customHeight="1">
      <c r="A116" s="2" t="inlineStr">
        <is>
          <t>2018::jama.2018.14280::C008</t>
        </is>
      </c>
      <c r="B116" s="2" t="n">
        <v>2</v>
      </c>
      <c r="C116" s="2" t="inlineStr">
        <is>
          <t>Calculation</t>
        </is>
      </c>
      <c r="D116" s="2" t="inlineStr">
        <is>
          <t>277/477=58.1%, 273/484=56.4%; 277/453=61.1%, 273/462=59.1%.</t>
        </is>
      </c>
    </row>
    <row r="117" ht="48" customHeight="1">
      <c r="A117" s="3" t="inlineStr">
        <is>
          <t>2018::jama.2018.14280::C008</t>
        </is>
      </c>
      <c r="B117" s="3" t="n">
        <v>3</v>
      </c>
      <c r="C117" s="3" t="inlineStr">
        <is>
          <t>Alternative source-grounded interpretations</t>
        </is>
      </c>
      <c r="D117" s="3" t="inlineStr">
        <is>
          <t>A 453/462 complete-case population may be intended.</t>
        </is>
      </c>
    </row>
    <row r="118" ht="48" customHeight="1">
      <c r="A118" s="2" t="inlineStr">
        <is>
          <t>2018::jama.2018.14280::C009</t>
        </is>
      </c>
      <c r="B118" s="2" t="n">
        <v>0</v>
      </c>
      <c r="C118" s="2" t="inlineStr">
        <is>
          <t>Source evidence</t>
        </is>
      </c>
      <c r="D118" s="2" t="inlineStr">
        <is>
          <t>Supplement 3 — PDF p. 8 prints 53 (11.7) and 60 (13.0).</t>
        </is>
      </c>
    </row>
    <row r="119" ht="48" customHeight="1">
      <c r="A119" s="3" t="inlineStr">
        <is>
          <t>2018::jama.2018.14280::C009</t>
        </is>
      </c>
      <c r="B119" s="3" t="n">
        <v>1</v>
      </c>
      <c r="C119" s="3" t="inlineStr">
        <is>
          <t>Reported-versus-comparator</t>
        </is>
      </c>
      <c r="D119" s="3" t="inlineStr">
        <is>
          <t>Printed percentages versus arm-header and recovered denominator calculations.</t>
        </is>
      </c>
    </row>
    <row r="120" ht="48" customHeight="1">
      <c r="A120" s="2" t="inlineStr">
        <is>
          <t>2018::jama.2018.14280::C009</t>
        </is>
      </c>
      <c r="B120" s="2" t="n">
        <v>2</v>
      </c>
      <c r="C120" s="2" t="inlineStr">
        <is>
          <t>Calculation</t>
        </is>
      </c>
      <c r="D120" s="2" t="inlineStr">
        <is>
          <t>53/477=11.1%, 60/484=12.4%; 53/453=11.7%, 60/462=13.0%.</t>
        </is>
      </c>
    </row>
    <row r="121" ht="48" customHeight="1">
      <c r="A121" s="3" t="inlineStr">
        <is>
          <t>2018::jama.2018.14280::C009</t>
        </is>
      </c>
      <c r="B121" s="3" t="n">
        <v>3</v>
      </c>
      <c r="C121" s="3" t="inlineStr">
        <is>
          <t>Alternative source-grounded interpretations</t>
        </is>
      </c>
      <c r="D121" s="3" t="inlineStr">
        <is>
          <t>A 453/462 available-case subset may be used.</t>
        </is>
      </c>
    </row>
    <row r="122" ht="48" customHeight="1">
      <c r="A122" s="2" t="inlineStr">
        <is>
          <t>2018::jama.2018.14280::C010</t>
        </is>
      </c>
      <c r="B122" s="2" t="n">
        <v>0</v>
      </c>
      <c r="C122" s="2" t="inlineStr">
        <is>
          <t>Source evidence</t>
        </is>
      </c>
      <c r="D122" s="2" t="inlineStr">
        <is>
          <t>Supplement 3 — PDF p. 8 prints 363 (80.0) and 353 (76.4).</t>
        </is>
      </c>
    </row>
    <row r="123" ht="48" customHeight="1">
      <c r="A123" s="3" t="inlineStr">
        <is>
          <t>2018::jama.2018.14280::C010</t>
        </is>
      </c>
      <c r="B123" s="3" t="n">
        <v>1</v>
      </c>
      <c r="C123" s="3" t="inlineStr">
        <is>
          <t>Reported-versus-comparator</t>
        </is>
      </c>
      <c r="D123" s="3" t="inlineStr">
        <is>
          <t>Printed percentages versus header and recoverable denominator calculations.</t>
        </is>
      </c>
    </row>
    <row r="124" ht="48" customHeight="1">
      <c r="A124" s="2" t="inlineStr">
        <is>
          <t>2018::jama.2018.14280::C010</t>
        </is>
      </c>
      <c r="B124" s="2" t="n">
        <v>2</v>
      </c>
      <c r="C124" s="2" t="inlineStr">
        <is>
          <t>Calculation</t>
        </is>
      </c>
      <c r="D124" s="2" t="inlineStr">
        <is>
          <t>363/477=76.1%, 353/484=72.9%; 363/454=80.0%, 353/462=76.4%.</t>
        </is>
      </c>
    </row>
    <row r="125" ht="48" customHeight="1">
      <c r="A125" s="3" t="inlineStr">
        <is>
          <t>2018::jama.2018.14280::C010</t>
        </is>
      </c>
      <c r="B125" s="3" t="n">
        <v>3</v>
      </c>
      <c r="C125" s="3" t="inlineStr">
        <is>
          <t>Alternative source-grounded interpretations</t>
        </is>
      </c>
      <c r="D125" s="3" t="inlineStr">
        <is>
          <t>Different available-case subsets may have been used; the source does not state whether nearby subsets are shared.</t>
        </is>
      </c>
    </row>
    <row r="126" ht="48" customHeight="1">
      <c r="A126" s="2" t="inlineStr">
        <is>
          <t>2018::jama.2018.14280::C011</t>
        </is>
      </c>
      <c r="B126" s="2" t="n">
        <v>0</v>
      </c>
      <c r="C126" s="2" t="inlineStr">
        <is>
          <t>Source evidence</t>
        </is>
      </c>
      <c r="D126" s="2" t="inlineStr">
        <is>
          <t>Main article Methods — PDF p. 4, Table 2 — PDF p. 6, and SAP — PDF p. 13.</t>
        </is>
      </c>
    </row>
    <row r="127" ht="48" customHeight="1">
      <c r="A127" s="3" t="inlineStr">
        <is>
          <t>2018::jama.2018.14280::C011</t>
        </is>
      </c>
      <c r="B127" s="3" t="n">
        <v>1</v>
      </c>
      <c r="C127" s="3" t="inlineStr">
        <is>
          <t>Reported-versus-comparator</t>
        </is>
      </c>
      <c r="D127" s="3" t="inlineStr">
        <is>
          <t>Methods says mortality rates were compared with Kaplan-Meier/Cox HRs; Table 2/SAP specify RR for ICU/hospital mortality and HR for 28/90-day mortality.</t>
        </is>
      </c>
    </row>
    <row r="128" ht="48" customHeight="1">
      <c r="A128" s="2" t="inlineStr">
        <is>
          <t>2018::jama.2018.14280::C011</t>
        </is>
      </c>
      <c r="B128" s="2" t="n">
        <v>2</v>
      </c>
      <c r="C128" s="2" t="inlineStr">
        <is>
          <t>Calculation</t>
        </is>
      </c>
      <c r="D128" s="2" t="inlineStr">
        <is>
          <t>Semantic comparison: Methods -&gt; HR/Cox if read broadly; Table 2 and SAP -&gt; RR/Wald for ICU/hospital mortality.</t>
        </is>
      </c>
    </row>
    <row r="129" ht="48" customHeight="1">
      <c r="A129" s="3" t="inlineStr">
        <is>
          <t>2018::jama.2018.14280::C011</t>
        </is>
      </c>
      <c r="B129" s="3" t="n">
        <v>3</v>
      </c>
      <c r="C129" s="3" t="inlineStr">
        <is>
          <t>Alternative source-grounded interpretations</t>
        </is>
      </c>
      <c r="D129" s="3" t="inlineStr">
        <is>
          <t>The Methods sentence may be overbroad and intended Cox only for time-indexed mortality.</t>
        </is>
      </c>
    </row>
    <row r="130" ht="48" customHeight="1">
      <c r="A130" s="2" t="inlineStr">
        <is>
          <t>2018::jama.2018.14280::C012</t>
        </is>
      </c>
      <c r="B130" s="2" t="n">
        <v>0</v>
      </c>
      <c r="C130" s="2" t="inlineStr">
        <is>
          <t>Source evidence</t>
        </is>
      </c>
      <c r="D130" s="2" t="inlineStr">
        <is>
          <t>Main article — PDF p. 6 prints low 132/450 (29.3), intermediate 115/458 (25.1), and RR, 1.11 (0.96-1.27).</t>
        </is>
      </c>
    </row>
    <row r="131" ht="48" customHeight="1">
      <c r="A131" s="3" t="inlineStr">
        <is>
          <t>2018::jama.2018.14280::C012</t>
        </is>
      </c>
      <c r="B131" s="3" t="n">
        <v>1</v>
      </c>
      <c r="C131" s="3" t="inlineStr">
        <is>
          <t>Reported-versus-comparator</t>
        </is>
      </c>
      <c r="D131" s="3" t="inlineStr">
        <is>
          <t>Reported RR 1.11 versus crude ratio of printed risks.</t>
        </is>
      </c>
    </row>
    <row r="132" ht="48" customHeight="1">
      <c r="A132" s="2" t="inlineStr">
        <is>
          <t>2018::jama.2018.14280::C012</t>
        </is>
      </c>
      <c r="B132" s="2" t="n">
        <v>2</v>
      </c>
      <c r="C132" s="2" t="inlineStr">
        <is>
          <t>Calculation</t>
        </is>
      </c>
      <c r="D132" s="2" t="inlineStr">
        <is>
          <t>(132/450)/(115/458)=1.168231884, rounding to 1.17, not 1.11.</t>
        </is>
      </c>
    </row>
    <row r="133" ht="48" customHeight="1">
      <c r="A133" s="3" t="inlineStr">
        <is>
          <t>2018::jama.2018.14280::C012</t>
        </is>
      </c>
      <c r="B133" s="3" t="n">
        <v>3</v>
      </c>
      <c r="C133" s="3" t="inlineStr">
        <is>
          <t>Alternative source-grounded interpretations</t>
        </is>
      </c>
      <c r="D133" s="3" t="inlineStr">
        <is>
          <t>A non-crude estimator, different population, weighting, or strata may underlie 1.11.</t>
        </is>
      </c>
    </row>
    <row r="134" ht="48" customHeight="1">
      <c r="A134" s="2" t="inlineStr">
        <is>
          <t>2018::jama.2018.14280::C013</t>
        </is>
      </c>
      <c r="B134" s="2" t="n">
        <v>0</v>
      </c>
      <c r="C134" s="2" t="inlineStr">
        <is>
          <t>Source evidence</t>
        </is>
      </c>
      <c r="D134" s="2" t="inlineStr">
        <is>
          <t>Main article — PDF p. 6 prints low 151/477 (31.7), intermediate 140/484 (28.9), and RR 1.06.</t>
        </is>
      </c>
    </row>
    <row r="135" ht="48" customHeight="1">
      <c r="A135" s="3" t="inlineStr">
        <is>
          <t>2018::jama.2018.14280::C013</t>
        </is>
      </c>
      <c r="B135" s="3" t="n">
        <v>1</v>
      </c>
      <c r="C135" s="3" t="inlineStr">
        <is>
          <t>Reported-versus-comparator</t>
        </is>
      </c>
      <c r="D135" s="3" t="inlineStr">
        <is>
          <t>Reported RR 1.06 versus displayed-risk ratio.</t>
        </is>
      </c>
    </row>
    <row r="136" ht="48" customHeight="1">
      <c r="A136" s="2" t="inlineStr">
        <is>
          <t>2018::jama.2018.14280::C013</t>
        </is>
      </c>
      <c r="B136" s="2" t="n">
        <v>2</v>
      </c>
      <c r="C136" s="2" t="inlineStr">
        <is>
          <t>Calculation</t>
        </is>
      </c>
      <c r="D136" s="2" t="inlineStr">
        <is>
          <t>(151/477)/(140/484)=1.094399521, rounding to 1.09, not 1.06.</t>
        </is>
      </c>
    </row>
    <row r="137" ht="48" customHeight="1">
      <c r="A137" s="3" t="inlineStr">
        <is>
          <t>2018::jama.2018.14280::C013</t>
        </is>
      </c>
      <c r="B137" s="3" t="n">
        <v>3</v>
      </c>
      <c r="C137" s="3" t="inlineStr">
        <is>
          <t>Alternative source-grounded interpretations</t>
        </is>
      </c>
      <c r="D137" s="3" t="inlineStr">
        <is>
          <t>A differently defined estimator or analysis population may underlie the printed RR.</t>
        </is>
      </c>
    </row>
    <row r="138" ht="48" customHeight="1">
      <c r="A138" s="2" t="inlineStr">
        <is>
          <t>2018::jama.2018.14280::C014</t>
        </is>
      </c>
      <c r="B138" s="2" t="n">
        <v>0</v>
      </c>
      <c r="C138" s="2" t="inlineStr">
        <is>
          <t>Source evidence</t>
        </is>
      </c>
      <c r="D138" s="2" t="inlineStr">
        <is>
          <t>Main article — PDF p. 6 prints 17/448 (3.8), 23/462 (5.0), and RR 0.86.</t>
        </is>
      </c>
    </row>
    <row r="139" ht="48" customHeight="1">
      <c r="A139" s="3" t="inlineStr">
        <is>
          <t>2018::jama.2018.14280::C014</t>
        </is>
      </c>
      <c r="B139" s="3" t="n">
        <v>1</v>
      </c>
      <c r="C139" s="3" t="inlineStr">
        <is>
          <t>Reported-versus-comparator</t>
        </is>
      </c>
      <c r="D139" s="3" t="inlineStr">
        <is>
          <t>Reported RR 0.86 versus printed-risk ratio.</t>
        </is>
      </c>
    </row>
    <row r="140" ht="48" customHeight="1">
      <c r="A140" s="2" t="inlineStr">
        <is>
          <t>2018::jama.2018.14280::C014</t>
        </is>
      </c>
      <c r="B140" s="2" t="n">
        <v>2</v>
      </c>
      <c r="C140" s="2" t="inlineStr">
        <is>
          <t>Calculation</t>
        </is>
      </c>
      <c r="D140" s="2" t="inlineStr">
        <is>
          <t>(17/448)/(23/462)=0.762228261, rounding to 0.76, not 0.86.</t>
        </is>
      </c>
    </row>
    <row r="141" ht="48" customHeight="1">
      <c r="A141" s="3" t="inlineStr">
        <is>
          <t>2018::jama.2018.14280::C014</t>
        </is>
      </c>
      <c r="B141" s="3" t="n">
        <v>3</v>
      </c>
      <c r="C141" s="3" t="inlineStr">
        <is>
          <t>Alternative source-grounded interpretations</t>
        </is>
      </c>
      <c r="D141" s="3" t="inlineStr">
        <is>
          <t>A model- or test-derived RR beyond displayed margins may have been used but is not described.</t>
        </is>
      </c>
    </row>
    <row r="142" ht="48" customHeight="1">
      <c r="A142" s="2" t="inlineStr">
        <is>
          <t>2018::jama.2018.14280::C015</t>
        </is>
      </c>
      <c r="B142" s="2" t="n">
        <v>0</v>
      </c>
      <c r="C142" s="2" t="inlineStr">
        <is>
          <t>Source evidence</t>
        </is>
      </c>
      <c r="D142" s="2" t="inlineStr">
        <is>
          <t>Main article — PDF p. 6 prints 19/450 (4.2), 17/462 (3.7), and RR 1.07.</t>
        </is>
      </c>
    </row>
    <row r="143" ht="48" customHeight="1">
      <c r="A143" s="3" t="inlineStr">
        <is>
          <t>2018::jama.2018.14280::C015</t>
        </is>
      </c>
      <c r="B143" s="3" t="n">
        <v>1</v>
      </c>
      <c r="C143" s="3" t="inlineStr">
        <is>
          <t>Reported-versus-comparator</t>
        </is>
      </c>
      <c r="D143" s="3" t="inlineStr">
        <is>
          <t>Reported RR 1.07 versus printed-risk ratio.</t>
        </is>
      </c>
    </row>
    <row r="144" ht="48" customHeight="1">
      <c r="A144" s="2" t="inlineStr">
        <is>
          <t>2018::jama.2018.14280::C015</t>
        </is>
      </c>
      <c r="B144" s="2" t="n">
        <v>2</v>
      </c>
      <c r="C144" s="2" t="inlineStr">
        <is>
          <t>Calculation</t>
        </is>
      </c>
      <c r="D144" s="2" t="inlineStr">
        <is>
          <t>(19/450)/(17/462)=1.147450980, rounding to 1.15, not 1.07.</t>
        </is>
      </c>
    </row>
    <row r="145" ht="48" customHeight="1">
      <c r="A145" s="3" t="inlineStr">
        <is>
          <t>2018::jama.2018.14280::C015</t>
        </is>
      </c>
      <c r="B145" s="3" t="n">
        <v>3</v>
      </c>
      <c r="C145" s="3" t="inlineStr">
        <is>
          <t>Alternative source-grounded interpretations</t>
        </is>
      </c>
      <c r="D145" s="3" t="inlineStr">
        <is>
          <t>A procedure using information beyond displayed margins is possible but not described.</t>
        </is>
      </c>
    </row>
    <row r="146" ht="48" customHeight="1">
      <c r="A146" s="2" t="inlineStr">
        <is>
          <t>2018::jama.2018.14280::C016</t>
        </is>
      </c>
      <c r="B146" s="2" t="n">
        <v>0</v>
      </c>
      <c r="C146" s="2" t="inlineStr">
        <is>
          <t>Source evidence</t>
        </is>
      </c>
      <c r="D146" s="2" t="inlineStr">
        <is>
          <t>Main article — PDF p. 6 prints 8/448 (1.8), 6/462 (1.3), and RR 1.16.</t>
        </is>
      </c>
    </row>
    <row r="147" ht="48" customHeight="1">
      <c r="A147" s="3" t="inlineStr">
        <is>
          <t>2018::jama.2018.14280::C016</t>
        </is>
      </c>
      <c r="B147" s="3" t="n">
        <v>1</v>
      </c>
      <c r="C147" s="3" t="inlineStr">
        <is>
          <t>Reported-versus-comparator</t>
        </is>
      </c>
      <c r="D147" s="3" t="inlineStr">
        <is>
          <t>Reported RR 1.16 versus printed-risk ratio.</t>
        </is>
      </c>
    </row>
    <row r="148" ht="48" customHeight="1">
      <c r="A148" s="2" t="inlineStr">
        <is>
          <t>2018::jama.2018.14280::C016</t>
        </is>
      </c>
      <c r="B148" s="2" t="n">
        <v>2</v>
      </c>
      <c r="C148" s="2" t="inlineStr">
        <is>
          <t>Calculation</t>
        </is>
      </c>
      <c r="D148" s="2" t="inlineStr">
        <is>
          <t>(8/448)/(6/462)=1.375, rounding to 1.38, not 1.16.</t>
        </is>
      </c>
    </row>
    <row r="149" ht="48" customHeight="1">
      <c r="A149" s="3" t="inlineStr">
        <is>
          <t>2018::jama.2018.14280::C016</t>
        </is>
      </c>
      <c r="B149" s="3" t="n">
        <v>3</v>
      </c>
      <c r="C149" s="3" t="inlineStr">
        <is>
          <t>Alternative source-grounded interpretations</t>
        </is>
      </c>
      <c r="D149" s="3" t="inlineStr">
        <is>
          <t>A model or test using unprinted information may produce a different effect.</t>
        </is>
      </c>
    </row>
    <row r="150" ht="48" customHeight="1">
      <c r="A150" s="2" t="inlineStr">
        <is>
          <t>2018::jama.2018.14280::C017</t>
        </is>
      </c>
      <c r="B150" s="2" t="n">
        <v>0</v>
      </c>
      <c r="C150" s="2" t="inlineStr">
        <is>
          <t>Source evidence</t>
        </is>
      </c>
      <c r="D150" s="2" t="inlineStr">
        <is>
          <t>Main article — PDF p. 6 prints 51/449 (11.4), 52/464 (11.2), and RR 1.00.</t>
        </is>
      </c>
    </row>
    <row r="151" ht="48" customHeight="1">
      <c r="A151" s="3" t="inlineStr">
        <is>
          <t>2018::jama.2018.14280::C017</t>
        </is>
      </c>
      <c r="B151" s="3" t="n">
        <v>1</v>
      </c>
      <c r="C151" s="3" t="inlineStr">
        <is>
          <t>Reported-versus-comparator</t>
        </is>
      </c>
      <c r="D151" s="3" t="inlineStr">
        <is>
          <t>Reported RR 1.00 versus printed-risk ratio.</t>
        </is>
      </c>
    </row>
    <row r="152" ht="48" customHeight="1">
      <c r="A152" s="2" t="inlineStr">
        <is>
          <t>2018::jama.2018.14280::C017</t>
        </is>
      </c>
      <c r="B152" s="2" t="n">
        <v>2</v>
      </c>
      <c r="C152" s="2" t="inlineStr">
        <is>
          <t>Calculation</t>
        </is>
      </c>
      <c r="D152" s="2" t="inlineStr">
        <is>
          <t>(51/449)/(52/464)=1.013534350, rounding to 1.01, not 1.00.</t>
        </is>
      </c>
    </row>
    <row r="153" ht="48" customHeight="1">
      <c r="A153" s="3" t="inlineStr">
        <is>
          <t>2018::jama.2018.14280::C017</t>
        </is>
      </c>
      <c r="B153" s="3" t="n">
        <v>3</v>
      </c>
      <c r="C153" s="3" t="inlineStr">
        <is>
          <t>Alternative source-grounded interpretations</t>
        </is>
      </c>
      <c r="D153" s="3" t="inlineStr">
        <is>
          <t>A separately estimated or more heavily rounded effect could print as 1.00, but the source does not disclose the computation.</t>
        </is>
      </c>
    </row>
    <row r="154" ht="48" customHeight="1">
      <c r="A154" s="2" t="inlineStr">
        <is>
          <t>2018::jama.2018.14280::C018</t>
        </is>
      </c>
      <c r="B154" s="2" t="n">
        <v>0</v>
      </c>
      <c r="C154" s="2" t="inlineStr">
        <is>
          <t>Source evidence</t>
        </is>
      </c>
      <c r="D154" s="2" t="inlineStr">
        <is>
          <t>Main article — PDF p. 6 prints 20/448 (4.5), 28/463 (6.0), and RR 0.84.</t>
        </is>
      </c>
    </row>
    <row r="155" ht="48" customHeight="1">
      <c r="A155" s="3" t="inlineStr">
        <is>
          <t>2018::jama.2018.14280::C018</t>
        </is>
      </c>
      <c r="B155" s="3" t="n">
        <v>1</v>
      </c>
      <c r="C155" s="3" t="inlineStr">
        <is>
          <t>Reported-versus-comparator</t>
        </is>
      </c>
      <c r="D155" s="3" t="inlineStr">
        <is>
          <t>Reported RR 0.84 versus printed-risk ratio.</t>
        </is>
      </c>
    </row>
    <row r="156" ht="48" customHeight="1">
      <c r="A156" s="2" t="inlineStr">
        <is>
          <t>2018::jama.2018.14280::C018</t>
        </is>
      </c>
      <c r="B156" s="2" t="n">
        <v>2</v>
      </c>
      <c r="C156" s="2" t="inlineStr">
        <is>
          <t>Calculation</t>
        </is>
      </c>
      <c r="D156" s="2" t="inlineStr">
        <is>
          <t>(20/448)/(28/463)=0.738201531, rounding to 0.74, not 0.84.</t>
        </is>
      </c>
    </row>
    <row r="157" ht="48" customHeight="1">
      <c r="A157" s="3" t="inlineStr">
        <is>
          <t>2018::jama.2018.14280::C018</t>
        </is>
      </c>
      <c r="B157" s="3" t="n">
        <v>3</v>
      </c>
      <c r="C157" s="3" t="inlineStr">
        <is>
          <t>Alternative source-grounded interpretations</t>
        </is>
      </c>
      <c r="D157" s="3" t="inlineStr">
        <is>
          <t>An unspecified procedure beyond the margins could yield the printed RR.</t>
        </is>
      </c>
    </row>
    <row r="158" ht="48" customHeight="1">
      <c r="A158" s="2" t="inlineStr">
        <is>
          <t>2018::jama.2018.14280::C019</t>
        </is>
      </c>
      <c r="B158" s="2" t="n">
        <v>0</v>
      </c>
      <c r="C158" s="2" t="inlineStr">
        <is>
          <t>Source evidence</t>
        </is>
      </c>
      <c r="D158" s="2" t="inlineStr">
        <is>
          <t>Main article — PDF p. 6 prints 12/448 (2.7), 16/463 (3.5), and RR 0.87.</t>
        </is>
      </c>
    </row>
    <row r="159" ht="48" customHeight="1">
      <c r="A159" s="3" t="inlineStr">
        <is>
          <t>2018::jama.2018.14280::C019</t>
        </is>
      </c>
      <c r="B159" s="3" t="n">
        <v>1</v>
      </c>
      <c r="C159" s="3" t="inlineStr">
        <is>
          <t>Reported-versus-comparator</t>
        </is>
      </c>
      <c r="D159" s="3" t="inlineStr">
        <is>
          <t>Reported RR 0.87 versus printed-risk ratio.</t>
        </is>
      </c>
    </row>
    <row r="160" ht="48" customHeight="1">
      <c r="A160" s="2" t="inlineStr">
        <is>
          <t>2018::jama.2018.14280::C019</t>
        </is>
      </c>
      <c r="B160" s="2" t="n">
        <v>2</v>
      </c>
      <c r="C160" s="2" t="inlineStr">
        <is>
          <t>Calculation</t>
        </is>
      </c>
      <c r="D160" s="2" t="inlineStr">
        <is>
          <t>(12/448)/(16/463)=0.775111607, rounding to 0.78, not 0.87.</t>
        </is>
      </c>
    </row>
    <row r="161" ht="48" customHeight="1">
      <c r="A161" s="3" t="inlineStr">
        <is>
          <t>2018::jama.2018.14280::C019</t>
        </is>
      </c>
      <c r="B161" s="3" t="n">
        <v>3</v>
      </c>
      <c r="C161" s="3" t="inlineStr">
        <is>
          <t>Alternative source-grounded interpretations</t>
        </is>
      </c>
      <c r="D161" s="3" t="inlineStr">
        <is>
          <t>A non-crude RR may differ from table margins, but no implementation is identified.</t>
        </is>
      </c>
    </row>
    <row r="162" ht="48" customHeight="1">
      <c r="A162" s="2" t="inlineStr">
        <is>
          <t>2018::jama.2018.14280::C020</t>
        </is>
      </c>
      <c r="B162" s="2" t="n">
        <v>0</v>
      </c>
      <c r="C162" s="2" t="inlineStr">
        <is>
          <t>Source evidence</t>
        </is>
      </c>
      <c r="D162" s="2" t="inlineStr">
        <is>
          <t>Main article — PDF p. 6 prints 149/343 (43.4), 132/361 (36.6), and RR 1.15.</t>
        </is>
      </c>
    </row>
    <row r="163" ht="48" customHeight="1">
      <c r="A163" s="3" t="inlineStr">
        <is>
          <t>2018::jama.2018.14280::C020</t>
        </is>
      </c>
      <c r="B163" s="3" t="n">
        <v>1</v>
      </c>
      <c r="C163" s="3" t="inlineStr">
        <is>
          <t>Reported-versus-comparator</t>
        </is>
      </c>
      <c r="D163" s="3" t="inlineStr">
        <is>
          <t>Reported RR 1.15 versus printed-risk ratio.</t>
        </is>
      </c>
    </row>
    <row r="164" ht="48" customHeight="1">
      <c r="A164" s="2" t="inlineStr">
        <is>
          <t>2018::jama.2018.14280::C020</t>
        </is>
      </c>
      <c r="B164" s="2" t="n">
        <v>2</v>
      </c>
      <c r="C164" s="2" t="inlineStr">
        <is>
          <t>Calculation</t>
        </is>
      </c>
      <c r="D164" s="2" t="inlineStr">
        <is>
          <t>(149/343)/(132/361)=1.188024560, rounding to 1.19, not 1.15.</t>
        </is>
      </c>
    </row>
    <row r="165" ht="48" customHeight="1">
      <c r="A165" s="3" t="inlineStr">
        <is>
          <t>2018::jama.2018.14280::C020</t>
        </is>
      </c>
      <c r="B165" s="3" t="n">
        <v>3</v>
      </c>
      <c r="C165" s="3" t="inlineStr">
        <is>
          <t>Alternative source-grounded interpretations</t>
        </is>
      </c>
      <c r="D165" s="3" t="inlineStr">
        <is>
          <t>A non-crude analysis or population not fully represented by margins may yield another RR.</t>
        </is>
      </c>
    </row>
    <row r="166" ht="48" customHeight="1">
      <c r="A166" s="2" t="inlineStr">
        <is>
          <t>2018::jama.2018.14280::C021</t>
        </is>
      </c>
      <c r="B166" s="2" t="n">
        <v>0</v>
      </c>
      <c r="C166" s="2" t="inlineStr">
        <is>
          <t>Source evidence</t>
        </is>
      </c>
      <c r="D166" s="2" t="inlineStr">
        <is>
          <t>Main article — PDF p. 6 prints 54/477 (11.3), 52/484 (10.7), and RR 1.03.</t>
        </is>
      </c>
    </row>
    <row r="167" ht="48" customHeight="1">
      <c r="A167" s="3" t="inlineStr">
        <is>
          <t>2018::jama.2018.14280::C021</t>
        </is>
      </c>
      <c r="B167" s="3" t="n">
        <v>1</v>
      </c>
      <c r="C167" s="3" t="inlineStr">
        <is>
          <t>Reported-versus-comparator</t>
        </is>
      </c>
      <c r="D167" s="3" t="inlineStr">
        <is>
          <t>Reported RR 1.03 versus printed-risk ratio.</t>
        </is>
      </c>
    </row>
    <row r="168" ht="48" customHeight="1">
      <c r="A168" s="2" t="inlineStr">
        <is>
          <t>2018::jama.2018.14280::C021</t>
        </is>
      </c>
      <c r="B168" s="2" t="n">
        <v>2</v>
      </c>
      <c r="C168" s="2" t="inlineStr">
        <is>
          <t>Calculation</t>
        </is>
      </c>
      <c r="D168" s="2" t="inlineStr">
        <is>
          <t>(54/477)/(52/484)=1.053701016, rounding to 1.05, not 1.03.</t>
        </is>
      </c>
    </row>
    <row r="169" ht="48" customHeight="1">
      <c r="A169" s="3" t="inlineStr">
        <is>
          <t>2018::jama.2018.14280::C021</t>
        </is>
      </c>
      <c r="B169" s="3" t="n">
        <v>3</v>
      </c>
      <c r="C169" s="3" t="inlineStr">
        <is>
          <t>Alternative source-grounded interpretations</t>
        </is>
      </c>
      <c r="D169" s="3" t="inlineStr">
        <is>
          <t>A procedure not reducible to displayed margins may have been used, but it is not specified.</t>
        </is>
      </c>
    </row>
    <row r="170" ht="48" customHeight="1">
      <c r="A170" s="2" t="inlineStr">
        <is>
          <t>2018::jama.2018.14280::C022</t>
        </is>
      </c>
      <c r="B170" s="2" t="n">
        <v>0</v>
      </c>
      <c r="C170" s="2" t="inlineStr">
        <is>
          <t>Source evidence</t>
        </is>
      </c>
      <c r="D170" s="2" t="inlineStr">
        <is>
          <t>Main article — PDF p. 6 prints inside-ICU -2.50 [IQR, -4.63 to -0.36] and outside-ICU 1.45 [IQR, -0.52 to 3.43]; Supplement 3 — PDF p. 9 labels the identical values Mean Difference (95% CI).</t>
        </is>
      </c>
    </row>
    <row r="171" ht="48" customHeight="1">
      <c r="A171" s="3" t="inlineStr">
        <is>
          <t>2018::jama.2018.14280::C022</t>
        </is>
      </c>
      <c r="B171" s="3" t="n">
        <v>1</v>
      </c>
      <c r="C171" s="3" t="inlineStr">
        <is>
          <t>Reported-versus-comparator</t>
        </is>
      </c>
      <c r="D171" s="3" t="inlineStr">
        <is>
          <t>Main-text IQR labels versus eTable 5 95% CI labels for identical point estimates and endpoints.</t>
        </is>
      </c>
    </row>
    <row r="172" ht="48" customHeight="1">
      <c r="A172" s="2" t="inlineStr">
        <is>
          <t>2018::jama.2018.14280::C022</t>
        </is>
      </c>
      <c r="B172" s="2" t="n">
        <v>2</v>
      </c>
      <c r="C172" s="2" t="inlineStr">
        <is>
          <t>Calculation</t>
        </is>
      </c>
      <c r="D172" s="2" t="inlineStr">
        <is>
          <t>Both sources show -2.50 (-4.63 to -0.36) and 1.45 (-0.52 to 3.43); only IQR versus 95% CI differs.</t>
        </is>
      </c>
    </row>
    <row r="173" ht="48" customHeight="1">
      <c r="A173" s="3" t="inlineStr">
        <is>
          <t>2018::jama.2018.14280::C022</t>
        </is>
      </c>
      <c r="B173" s="3" t="n">
        <v>3</v>
      </c>
      <c r="C173" s="3" t="inlineStr">
        <is>
          <t>Alternative source-grounded interpretations</t>
        </is>
      </c>
      <c r="D173" s="3" t="inlineStr">
        <is>
          <t>The narrative label may be a transcription error; the supplied sources do not establish intended wording.</t>
        </is>
      </c>
    </row>
    <row r="174" ht="48" customHeight="1">
      <c r="A174" s="2" t="inlineStr">
        <is>
          <t>2018::jama.2018.14280::C023</t>
        </is>
      </c>
      <c r="B174" s="2" t="n">
        <v>0</v>
      </c>
      <c r="C174" s="2" t="inlineStr">
        <is>
          <t>Source evidence</t>
        </is>
      </c>
      <c r="D174" s="2" t="inlineStr">
        <is>
          <t>Main article abstract — PDF p. 1 and Results/Patients — PDF p. 5 print August 20, 2017. SAP abstract — PDF p. 3 and SAP introduction — PDF p. 5 print August 22, 2017.</t>
        </is>
      </c>
    </row>
    <row r="175" ht="48" customHeight="1">
      <c r="A175" s="3" t="inlineStr">
        <is>
          <t>2018::jama.2018.14280::C023</t>
        </is>
      </c>
      <c r="B175" s="3" t="n">
        <v>1</v>
      </c>
      <c r="C175" s="3" t="inlineStr">
        <is>
          <t>Reported-versus-comparator</t>
        </is>
      </c>
      <c r="D175" s="3" t="inlineStr">
        <is>
          <t>Main-article enrollment end date August 20, 2017 versus SAP enrollment-completion date August 22, 2017.</t>
        </is>
      </c>
    </row>
    <row r="176" ht="48" customHeight="1">
      <c r="A176" s="2" t="inlineStr">
        <is>
          <t>2018::jama.2018.14280::C023</t>
        </is>
      </c>
      <c r="B176" s="2" t="n">
        <v>2</v>
      </c>
      <c r="C176" s="2" t="inlineStr">
        <is>
          <t>Calculation</t>
        </is>
      </c>
      <c r="D176" s="2" t="inlineStr">
        <is>
          <t>August 22, 2017 is two calendar days after August 20, 2017.</t>
        </is>
      </c>
    </row>
    <row r="177" ht="48" customHeight="1">
      <c r="A177" s="3" t="inlineStr">
        <is>
          <t>2018::jama.2018.14280::C023</t>
        </is>
      </c>
      <c r="B177" s="3" t="n">
        <v>3</v>
      </c>
      <c r="C177" s="3" t="inlineStr">
        <is>
          <t>Alternative source-grounded interpretations</t>
        </is>
      </c>
      <c r="D177" s="3" t="inlineStr">
        <is>
          <t>August 20 may be the last screened/enrolled/randomized patient and August 22 administrative completion; the supplied sources do not define distinct events.</t>
        </is>
      </c>
    </row>
    <row r="178" ht="48" customHeight="1">
      <c r="A178" s="2" t="inlineStr">
        <is>
          <t>2018::jama.2018.14282::C001</t>
        </is>
      </c>
      <c r="B178" s="2" t="n">
        <v>0</v>
      </c>
      <c r="C178" s="2" t="inlineStr">
        <is>
          <t>Source evidence</t>
        </is>
      </c>
      <c r="D178" s="2" t="inlineStr">
        <is>
          <t>Standard Oxygen Therapy n=388, men 247 (63.6).</t>
        </is>
      </c>
    </row>
    <row r="179" ht="48" customHeight="1">
      <c r="A179" s="3" t="inlineStr">
        <is>
          <t>2018::jama.2018.14282::C001</t>
        </is>
      </c>
      <c r="B179" s="3" t="n">
        <v>1</v>
      </c>
      <c r="C179" s="3" t="inlineStr">
        <is>
          <t>Reported-versus-comparator</t>
        </is>
      </c>
      <c r="D179" s="3" t="inlineStr">
        <is>
          <t>Reported 63.6% versus 63.7% from 247/388.</t>
        </is>
      </c>
    </row>
    <row r="180" ht="48" customHeight="1">
      <c r="A180" s="2" t="inlineStr">
        <is>
          <t>2018::jama.2018.14282::C001</t>
        </is>
      </c>
      <c r="B180" s="2" t="n">
        <v>2</v>
      </c>
      <c r="C180" s="2" t="inlineStr">
        <is>
          <t>Calculation</t>
        </is>
      </c>
      <c r="D180" s="2" t="inlineStr">
        <is>
          <t>247/388×100=63.6598%; nearest one decimal=63.7%.</t>
        </is>
      </c>
    </row>
    <row r="181" ht="48" customHeight="1">
      <c r="A181" s="3" t="inlineStr">
        <is>
          <t>2018::jama.2018.14282::C001</t>
        </is>
      </c>
      <c r="B181" s="3" t="n">
        <v>3</v>
      </c>
      <c r="C181" s="3" t="inlineStr">
        <is>
          <t>Alternative source-grounded interpretations</t>
        </is>
      </c>
      <c r="D181" s="3" t="inlineStr">
        <is>
          <t>An unstated denominator or rounding convention could explain the display.</t>
        </is>
      </c>
    </row>
    <row r="182" ht="48" customHeight="1">
      <c r="A182" s="2" t="inlineStr">
        <is>
          <t>2018::jama.2018.14282::C002</t>
        </is>
      </c>
      <c r="B182" s="2" t="n">
        <v>0</v>
      </c>
      <c r="C182" s="2" t="inlineStr">
        <is>
          <t>Source evidence</t>
        </is>
      </c>
      <c r="D182" s="2" t="inlineStr">
        <is>
          <t>Standard Oxygen Therapy n=388, women 141 (36.4).</t>
        </is>
      </c>
    </row>
    <row r="183" ht="48" customHeight="1">
      <c r="A183" s="3" t="inlineStr">
        <is>
          <t>2018::jama.2018.14282::C002</t>
        </is>
      </c>
      <c r="B183" s="3" t="n">
        <v>1</v>
      </c>
      <c r="C183" s="3" t="inlineStr">
        <is>
          <t>Reported-versus-comparator</t>
        </is>
      </c>
      <c r="D183" s="3" t="inlineStr">
        <is>
          <t>Reported 36.4% versus 36.3% from 141/388.</t>
        </is>
      </c>
    </row>
    <row r="184" ht="48" customHeight="1">
      <c r="A184" s="2" t="inlineStr">
        <is>
          <t>2018::jama.2018.14282::C002</t>
        </is>
      </c>
      <c r="B184" s="2" t="n">
        <v>2</v>
      </c>
      <c r="C184" s="2" t="inlineStr">
        <is>
          <t>Calculation</t>
        </is>
      </c>
      <c r="D184" s="2" t="inlineStr">
        <is>
          <t>141/388×100=36.3402%; nearest one decimal=36.3%.</t>
        </is>
      </c>
    </row>
    <row r="185" ht="48" customHeight="1">
      <c r="A185" s="3" t="inlineStr">
        <is>
          <t>2018::jama.2018.14282::C002</t>
        </is>
      </c>
      <c r="B185" s="3" t="n">
        <v>3</v>
      </c>
      <c r="C185" s="3" t="inlineStr">
        <is>
          <t>Alternative source-grounded interpretations</t>
        </is>
      </c>
      <c r="D185" s="3" t="inlineStr">
        <is>
          <t>An unstated denominator or rounding convention could explain the display.</t>
        </is>
      </c>
    </row>
    <row r="186" ht="48" customHeight="1">
      <c r="A186" s="2" t="inlineStr">
        <is>
          <t>2018::jama.2018.14282::C003</t>
        </is>
      </c>
      <c r="B186" s="2" t="n">
        <v>0</v>
      </c>
      <c r="C186" s="2" t="inlineStr">
        <is>
          <t>Source evidence</t>
        </is>
      </c>
      <c r="D186" s="2" t="inlineStr">
        <is>
          <t>Standard Oxygen Therapy n=388, heart failure 27 (6.9).</t>
        </is>
      </c>
    </row>
    <row r="187" ht="48" customHeight="1">
      <c r="A187" s="3" t="inlineStr">
        <is>
          <t>2018::jama.2018.14282::C003</t>
        </is>
      </c>
      <c r="B187" s="3" t="n">
        <v>1</v>
      </c>
      <c r="C187" s="3" t="inlineStr">
        <is>
          <t>Reported-versus-comparator</t>
        </is>
      </c>
      <c r="D187" s="3" t="inlineStr">
        <is>
          <t>Reported 6.9% versus 7.0% from 27/388.</t>
        </is>
      </c>
    </row>
    <row r="188" ht="48" customHeight="1">
      <c r="A188" s="2" t="inlineStr">
        <is>
          <t>2018::jama.2018.14282::C003</t>
        </is>
      </c>
      <c r="B188" s="2" t="n">
        <v>2</v>
      </c>
      <c r="C188" s="2" t="inlineStr">
        <is>
          <t>Calculation</t>
        </is>
      </c>
      <c r="D188" s="2" t="inlineStr">
        <is>
          <t>27/388×100=6.9588%; nearest one decimal=7.0%.</t>
        </is>
      </c>
    </row>
    <row r="189" ht="48" customHeight="1">
      <c r="A189" s="3" t="inlineStr">
        <is>
          <t>2018::jama.2018.14282::C003</t>
        </is>
      </c>
      <c r="B189" s="3" t="n">
        <v>3</v>
      </c>
      <c r="C189" s="3" t="inlineStr">
        <is>
          <t>Alternative source-grounded interpretations</t>
        </is>
      </c>
      <c r="D189" s="3" t="inlineStr">
        <is>
          <t>A row-specific denominator or another rounding convention is not documented.</t>
        </is>
      </c>
    </row>
    <row r="190" ht="48" customHeight="1">
      <c r="A190" s="2" t="inlineStr">
        <is>
          <t>2018::jama.2018.14282::C004</t>
        </is>
      </c>
      <c r="B190" s="2" t="n">
        <v>0</v>
      </c>
      <c r="C190" s="2" t="inlineStr">
        <is>
          <t>Source evidence</t>
        </is>
      </c>
      <c r="D190" s="2" t="inlineStr">
        <is>
          <t>High-Flow Oxygen Therapy n=388, liver disease 45 (13.3).</t>
        </is>
      </c>
    </row>
    <row r="191" ht="48" customHeight="1">
      <c r="A191" s="3" t="inlineStr">
        <is>
          <t>2018::jama.2018.14282::C004</t>
        </is>
      </c>
      <c r="B191" s="3" t="n">
        <v>1</v>
      </c>
      <c r="C191" s="3" t="inlineStr">
        <is>
          <t>Reported-versus-comparator</t>
        </is>
      </c>
      <c r="D191" s="3" t="inlineStr">
        <is>
          <t>Reported 13.3% versus 11.6% from 45/388.</t>
        </is>
      </c>
    </row>
    <row r="192" ht="48" customHeight="1">
      <c r="A192" s="2" t="inlineStr">
        <is>
          <t>2018::jama.2018.14282::C004</t>
        </is>
      </c>
      <c r="B192" s="2" t="n">
        <v>2</v>
      </c>
      <c r="C192" s="2" t="inlineStr">
        <is>
          <t>Calculation</t>
        </is>
      </c>
      <c r="D192" s="2" t="inlineStr">
        <is>
          <t>45/388×100=11.5979%; nearest one decimal=11.6%.</t>
        </is>
      </c>
    </row>
    <row r="193" ht="48" customHeight="1">
      <c r="A193" s="3" t="inlineStr">
        <is>
          <t>2018::jama.2018.14282::C004</t>
        </is>
      </c>
      <c r="B193" s="3" t="n">
        <v>3</v>
      </c>
      <c r="C193" s="3" t="inlineStr">
        <is>
          <t>Alternative source-grounded interpretations</t>
        </is>
      </c>
      <c r="D193" s="3" t="inlineStr">
        <is>
          <t>A different population, transcription, or column-placement issue could explain the pair; none is identified in the source.</t>
        </is>
      </c>
    </row>
    <row r="194" ht="48" customHeight="1">
      <c r="A194" s="2" t="inlineStr">
        <is>
          <t>2018::jama.2018.14282::C005</t>
        </is>
      </c>
      <c r="B194" s="2" t="n">
        <v>0</v>
      </c>
      <c r="C194" s="2" t="inlineStr">
        <is>
          <t>Source evidence</t>
        </is>
      </c>
      <c r="D194" s="2" t="inlineStr">
        <is>
          <t>Standard Oxygen Therapy n=388, kidney disease 69 (20.4).</t>
        </is>
      </c>
    </row>
    <row r="195" ht="48" customHeight="1">
      <c r="A195" s="3" t="inlineStr">
        <is>
          <t>2018::jama.2018.14282::C005</t>
        </is>
      </c>
      <c r="B195" s="3" t="n">
        <v>1</v>
      </c>
      <c r="C195" s="3" t="inlineStr">
        <is>
          <t>Reported-versus-comparator</t>
        </is>
      </c>
      <c r="D195" s="3" t="inlineStr">
        <is>
          <t>Reported 20.4% versus 17.8% from 69/388.</t>
        </is>
      </c>
    </row>
    <row r="196" ht="48" customHeight="1">
      <c r="A196" s="2" t="inlineStr">
        <is>
          <t>2018::jama.2018.14282::C005</t>
        </is>
      </c>
      <c r="B196" s="2" t="n">
        <v>2</v>
      </c>
      <c r="C196" s="2" t="inlineStr">
        <is>
          <t>Calculation</t>
        </is>
      </c>
      <c r="D196" s="2" t="inlineStr">
        <is>
          <t>69/388×100=17.7835%; nearest one decimal=17.8%.</t>
        </is>
      </c>
    </row>
    <row r="197" ht="48" customHeight="1">
      <c r="A197" s="3" t="inlineStr">
        <is>
          <t>2018::jama.2018.14282::C005</t>
        </is>
      </c>
      <c r="B197" s="3" t="n">
        <v>3</v>
      </c>
      <c r="C197" s="3" t="inlineStr">
        <is>
          <t>Alternative source-grounded interpretations</t>
        </is>
      </c>
      <c r="D197" s="3" t="inlineStr">
        <is>
          <t>A different population, transcription, or column-placement issue is possible but not identified.</t>
        </is>
      </c>
    </row>
    <row r="198" ht="48" customHeight="1">
      <c r="A198" s="2" t="inlineStr">
        <is>
          <t>2018::jama.2018.14282::C006</t>
        </is>
      </c>
      <c r="B198" s="2" t="n">
        <v>0</v>
      </c>
      <c r="C198" s="2" t="inlineStr">
        <is>
          <t>Source evidence</t>
        </is>
      </c>
      <c r="D198" s="2" t="inlineStr">
        <is>
          <t>Non-transplant-related reasons, Standard Oxygen Therapy n=388, 98 (25.2).</t>
        </is>
      </c>
    </row>
    <row r="199" ht="48" customHeight="1">
      <c r="A199" s="3" t="inlineStr">
        <is>
          <t>2018::jama.2018.14282::C006</t>
        </is>
      </c>
      <c r="B199" s="3" t="n">
        <v>1</v>
      </c>
      <c r="C199" s="3" t="inlineStr">
        <is>
          <t>Reported-versus-comparator</t>
        </is>
      </c>
      <c r="D199" s="3" t="inlineStr">
        <is>
          <t>Reported 25.2% versus 25.3% from 98/388.</t>
        </is>
      </c>
    </row>
    <row r="200" ht="48" customHeight="1">
      <c r="A200" s="2" t="inlineStr">
        <is>
          <t>2018::jama.2018.14282::C006</t>
        </is>
      </c>
      <c r="B200" s="2" t="n">
        <v>2</v>
      </c>
      <c r="C200" s="2" t="inlineStr">
        <is>
          <t>Calculation</t>
        </is>
      </c>
      <c r="D200" s="2" t="inlineStr">
        <is>
          <t>98/388×100=25.2577%; nearest one decimal=25.3%; child counts 98+37=135 reconcile to the parent.</t>
        </is>
      </c>
    </row>
    <row r="201" ht="48" customHeight="1">
      <c r="A201" s="3" t="inlineStr">
        <is>
          <t>2018::jama.2018.14282::C006</t>
        </is>
      </c>
      <c r="B201" s="3" t="n">
        <v>3</v>
      </c>
      <c r="C201" s="3" t="inlineStr">
        <is>
          <t>Alternative source-grounded interpretations</t>
        </is>
      </c>
      <c r="D201" s="3" t="inlineStr">
        <is>
          <t>An undocumented adjustment across child percentages is possible; the count subtotal is coherent.</t>
        </is>
      </c>
    </row>
    <row r="202" ht="48" customHeight="1">
      <c r="A202" s="2" t="inlineStr">
        <is>
          <t>2018::jama.2018.14282::C007</t>
        </is>
      </c>
      <c r="B202" s="2" t="n">
        <v>0</v>
      </c>
      <c r="C202" s="2" t="inlineStr">
        <is>
          <t>Source evidence</t>
        </is>
      </c>
      <c r="D202" s="2" t="inlineStr">
        <is>
          <t>High-flow arm n=388, randomization ≥3 days after, 20 (5.1).</t>
        </is>
      </c>
    </row>
    <row r="203" ht="48" customHeight="1">
      <c r="A203" s="3" t="inlineStr">
        <is>
          <t>2018::jama.2018.14282::C007</t>
        </is>
      </c>
      <c r="B203" s="3" t="n">
        <v>1</v>
      </c>
      <c r="C203" s="3" t="inlineStr">
        <is>
          <t>Reported-versus-comparator</t>
        </is>
      </c>
      <c r="D203" s="3" t="inlineStr">
        <is>
          <t>Reported 5.1% versus 5.2% from 20/388.</t>
        </is>
      </c>
    </row>
    <row r="204" ht="48" customHeight="1">
      <c r="A204" s="2" t="inlineStr">
        <is>
          <t>2018::jama.2018.14282::C007</t>
        </is>
      </c>
      <c r="B204" s="2" t="n">
        <v>2</v>
      </c>
      <c r="C204" s="2" t="inlineStr">
        <is>
          <t>Calculation</t>
        </is>
      </c>
      <c r="D204" s="2" t="inlineStr">
        <is>
          <t>20/388×100=5.1546%; nearest one decimal=5.2%; timing counts sum to 388.</t>
        </is>
      </c>
    </row>
    <row r="205" ht="48" customHeight="1">
      <c r="A205" s="3" t="inlineStr">
        <is>
          <t>2018::jama.2018.14282::C007</t>
        </is>
      </c>
      <c r="B205" s="3" t="n">
        <v>3</v>
      </c>
      <c r="C205" s="3" t="inlineStr">
        <is>
          <t>Alternative source-grounded interpretations</t>
        </is>
      </c>
      <c r="D205" s="3" t="inlineStr">
        <is>
          <t>An undocumented category-level adjustment could explain the display.</t>
        </is>
      </c>
    </row>
    <row r="206" ht="48" customHeight="1">
      <c r="A206" s="2" t="inlineStr">
        <is>
          <t>2018::jama.2018.14282::C008</t>
        </is>
      </c>
      <c r="B206" s="2" t="n">
        <v>0</v>
      </c>
      <c r="C206" s="2" t="inlineStr">
        <is>
          <t>Source evidence</t>
        </is>
      </c>
      <c r="D206" s="2" t="inlineStr">
        <is>
          <t>Standard arm n=388, randomization ≥3 days after, 20 (5.1).</t>
        </is>
      </c>
    </row>
    <row r="207" ht="48" customHeight="1">
      <c r="A207" s="3" t="inlineStr">
        <is>
          <t>2018::jama.2018.14282::C008</t>
        </is>
      </c>
      <c r="B207" s="3" t="n">
        <v>1</v>
      </c>
      <c r="C207" s="3" t="inlineStr">
        <is>
          <t>Reported-versus-comparator</t>
        </is>
      </c>
      <c r="D207" s="3" t="inlineStr">
        <is>
          <t>Reported 5.1% versus 5.2% from 20/388.</t>
        </is>
      </c>
    </row>
    <row r="208" ht="48" customHeight="1">
      <c r="A208" s="2" t="inlineStr">
        <is>
          <t>2018::jama.2018.14282::C008</t>
        </is>
      </c>
      <c r="B208" s="2" t="n">
        <v>2</v>
      </c>
      <c r="C208" s="2" t="inlineStr">
        <is>
          <t>Calculation</t>
        </is>
      </c>
      <c r="D208" s="2" t="inlineStr">
        <is>
          <t>20/388×100=5.1546%; nearest one decimal=5.2%; timing counts sum to 388.</t>
        </is>
      </c>
    </row>
    <row r="209" ht="48" customHeight="1">
      <c r="A209" s="3" t="inlineStr">
        <is>
          <t>2018::jama.2018.14282::C008</t>
        </is>
      </c>
      <c r="B209" s="3" t="n">
        <v>3</v>
      </c>
      <c r="C209" s="3" t="inlineStr">
        <is>
          <t>Alternative source-grounded interpretations</t>
        </is>
      </c>
      <c r="D209" s="3" t="inlineStr">
        <is>
          <t>An undocumented category-level adjustment could explain the display.</t>
        </is>
      </c>
    </row>
    <row r="210" ht="48" customHeight="1">
      <c r="A210" s="2" t="inlineStr">
        <is>
          <t>2018::jama.2018.14282::C009</t>
        </is>
      </c>
      <c r="B210" s="2" t="n">
        <v>0</v>
      </c>
      <c r="C210" s="2" t="inlineStr">
        <is>
          <t>Source evidence</t>
        </is>
      </c>
      <c r="D210" s="2" t="inlineStr">
        <is>
          <t>Standard arm n=388, vasopressors 39 (10.0).</t>
        </is>
      </c>
    </row>
    <row r="211" ht="48" customHeight="1">
      <c r="A211" s="3" t="inlineStr">
        <is>
          <t>2018::jama.2018.14282::C009</t>
        </is>
      </c>
      <c r="B211" s="3" t="n">
        <v>1</v>
      </c>
      <c r="C211" s="3" t="inlineStr">
        <is>
          <t>Reported-versus-comparator</t>
        </is>
      </c>
      <c r="D211" s="3" t="inlineStr">
        <is>
          <t>Reported 10.0% versus 10.1% from 39/388.</t>
        </is>
      </c>
    </row>
    <row r="212" ht="48" customHeight="1">
      <c r="A212" s="2" t="inlineStr">
        <is>
          <t>2018::jama.2018.14282::C009</t>
        </is>
      </c>
      <c r="B212" s="2" t="n">
        <v>2</v>
      </c>
      <c r="C212" s="2" t="inlineStr">
        <is>
          <t>Calculation</t>
        </is>
      </c>
      <c r="D212" s="2" t="inlineStr">
        <is>
          <t>39/388×100=10.0515%; nearest one decimal=10.1%.</t>
        </is>
      </c>
    </row>
    <row r="213" ht="48" customHeight="1">
      <c r="A213" s="3" t="inlineStr">
        <is>
          <t>2018::jama.2018.14282::C009</t>
        </is>
      </c>
      <c r="B213" s="3" t="n">
        <v>3</v>
      </c>
      <c r="C213" s="3" t="inlineStr">
        <is>
          <t>Alternative source-grounded interpretations</t>
        </is>
      </c>
      <c r="D213" s="3" t="inlineStr">
        <is>
          <t>Truncation or a hidden denominator could explain the last-place difference, but neither is documented.</t>
        </is>
      </c>
    </row>
    <row r="214" ht="48" customHeight="1">
      <c r="A214" s="2" t="inlineStr">
        <is>
          <t>2018::jama.2018.14282::C010</t>
        </is>
      </c>
      <c r="B214" s="2" t="n">
        <v>0</v>
      </c>
      <c r="C214" s="2" t="inlineStr">
        <is>
          <t>Source evidence</t>
        </is>
      </c>
      <c r="D214" s="2" t="inlineStr">
        <is>
          <t>High-flow arm n=388, do not intubate 13 (3.3).</t>
        </is>
      </c>
    </row>
    <row r="215" ht="48" customHeight="1">
      <c r="A215" s="3" t="inlineStr">
        <is>
          <t>2018::jama.2018.14282::C010</t>
        </is>
      </c>
      <c r="B215" s="3" t="n">
        <v>1</v>
      </c>
      <c r="C215" s="3" t="inlineStr">
        <is>
          <t>Reported-versus-comparator</t>
        </is>
      </c>
      <c r="D215" s="3" t="inlineStr">
        <is>
          <t>Reported 3.3% versus 3.4% from 13/388.</t>
        </is>
      </c>
    </row>
    <row r="216" ht="48" customHeight="1">
      <c r="A216" s="2" t="inlineStr">
        <is>
          <t>2018::jama.2018.14282::C010</t>
        </is>
      </c>
      <c r="B216" s="2" t="n">
        <v>2</v>
      </c>
      <c r="C216" s="2" t="inlineStr">
        <is>
          <t>Calculation</t>
        </is>
      </c>
      <c r="D216" s="2" t="inlineStr">
        <is>
          <t>13/388×100=3.3505%; nearest one decimal=3.4%.</t>
        </is>
      </c>
    </row>
    <row r="217" ht="48" customHeight="1">
      <c r="A217" s="3" t="inlineStr">
        <is>
          <t>2018::jama.2018.14282::C010</t>
        </is>
      </c>
      <c r="B217" s="3" t="n">
        <v>3</v>
      </c>
      <c r="C217" s="3" t="inlineStr">
        <is>
          <t>Alternative source-grounded interpretations</t>
        </is>
      </c>
      <c r="D217" s="3" t="inlineStr">
        <is>
          <t>Decimal truncation could reproduce 3.3%, but no uniform truncation policy is supplied.</t>
        </is>
      </c>
    </row>
    <row r="218" ht="48" customHeight="1">
      <c r="A218" s="2" t="inlineStr">
        <is>
          <t>2018::jama.2018.14282::C011</t>
        </is>
      </c>
      <c r="B218" s="2" t="n">
        <v>0</v>
      </c>
      <c r="C218" s="2" t="inlineStr">
        <is>
          <t>Source evidence</t>
        </is>
      </c>
      <c r="D218" s="2" t="inlineStr">
        <is>
          <t>High-flow arm n=388, do not resuscitate 3 (0.7).</t>
        </is>
      </c>
    </row>
    <row r="219" ht="48" customHeight="1">
      <c r="A219" s="3" t="inlineStr">
        <is>
          <t>2018::jama.2018.14282::C011</t>
        </is>
      </c>
      <c r="B219" s="3" t="n">
        <v>1</v>
      </c>
      <c r="C219" s="3" t="inlineStr">
        <is>
          <t>Reported-versus-comparator</t>
        </is>
      </c>
      <c r="D219" s="3" t="inlineStr">
        <is>
          <t>Reported 0.7% versus 0.8% from 3/388.</t>
        </is>
      </c>
    </row>
    <row r="220" ht="48" customHeight="1">
      <c r="A220" s="2" t="inlineStr">
        <is>
          <t>2018::jama.2018.14282::C011</t>
        </is>
      </c>
      <c r="B220" s="2" t="n">
        <v>2</v>
      </c>
      <c r="C220" s="2" t="inlineStr">
        <is>
          <t>Calculation</t>
        </is>
      </c>
      <c r="D220" s="2" t="inlineStr">
        <is>
          <t>3/388×100=0.7732%; nearest one decimal=0.8%.</t>
        </is>
      </c>
    </row>
    <row r="221" ht="48" customHeight="1">
      <c r="A221" s="3" t="inlineStr">
        <is>
          <t>2018::jama.2018.14282::C011</t>
        </is>
      </c>
      <c r="B221" s="3" t="n">
        <v>3</v>
      </c>
      <c r="C221" s="3" t="inlineStr">
        <is>
          <t>Alternative source-grounded interpretations</t>
        </is>
      </c>
      <c r="D221" s="3" t="inlineStr">
        <is>
          <t>Truncation is possible but unstated.</t>
        </is>
      </c>
    </row>
    <row r="222" ht="48" customHeight="1">
      <c r="A222" s="2" t="inlineStr">
        <is>
          <t>2018::jama.2018.14282::C012</t>
        </is>
      </c>
      <c r="B222" s="2" t="n">
        <v>0</v>
      </c>
      <c r="C222" s="2" t="inlineStr">
        <is>
          <t>Source evidence</t>
        </is>
      </c>
      <c r="D222" s="2" t="inlineStr">
        <is>
          <t>Standard arm n=388, do not resuscitate 1 (0.2).</t>
        </is>
      </c>
    </row>
    <row r="223" ht="48" customHeight="1">
      <c r="A223" s="3" t="inlineStr">
        <is>
          <t>2018::jama.2018.14282::C012</t>
        </is>
      </c>
      <c r="B223" s="3" t="n">
        <v>1</v>
      </c>
      <c r="C223" s="3" t="inlineStr">
        <is>
          <t>Reported-versus-comparator</t>
        </is>
      </c>
      <c r="D223" s="3" t="inlineStr">
        <is>
          <t>Reported 0.2% versus 0.3% from 1/388.</t>
        </is>
      </c>
    </row>
    <row r="224" ht="48" customHeight="1">
      <c r="A224" s="2" t="inlineStr">
        <is>
          <t>2018::jama.2018.14282::C012</t>
        </is>
      </c>
      <c r="B224" s="2" t="n">
        <v>2</v>
      </c>
      <c r="C224" s="2" t="inlineStr">
        <is>
          <t>Calculation</t>
        </is>
      </c>
      <c r="D224" s="2" t="inlineStr">
        <is>
          <t>1/388×100=0.2577%; nearest one decimal=0.3%.</t>
        </is>
      </c>
    </row>
    <row r="225" ht="48" customHeight="1">
      <c r="A225" s="3" t="inlineStr">
        <is>
          <t>2018::jama.2018.14282::C012</t>
        </is>
      </c>
      <c r="B225" s="3" t="n">
        <v>3</v>
      </c>
      <c r="C225" s="3" t="inlineStr">
        <is>
          <t>Alternative source-grounded interpretations</t>
        </is>
      </c>
      <c r="D225" s="3" t="inlineStr">
        <is>
          <t>Truncation is possible but unstated.</t>
        </is>
      </c>
    </row>
    <row r="226" ht="48" customHeight="1">
      <c r="A226" s="2" t="inlineStr">
        <is>
          <t>2018::jama.2018.14282::C013</t>
        </is>
      </c>
      <c r="B226" s="2" t="n">
        <v>0</v>
      </c>
      <c r="C226" s="2" t="inlineStr">
        <is>
          <t>Source evidence</t>
        </is>
      </c>
      <c r="D226" s="2" t="inlineStr">
        <is>
          <t>Standard arm n=388, unknown goals of care 27 (6.9).</t>
        </is>
      </c>
    </row>
    <row r="227" ht="48" customHeight="1">
      <c r="A227" s="3" t="inlineStr">
        <is>
          <t>2018::jama.2018.14282::C013</t>
        </is>
      </c>
      <c r="B227" s="3" t="n">
        <v>1</v>
      </c>
      <c r="C227" s="3" t="inlineStr">
        <is>
          <t>Reported-versus-comparator</t>
        </is>
      </c>
      <c r="D227" s="3" t="inlineStr">
        <is>
          <t>Reported 6.9% versus 7.0% from 27/388.</t>
        </is>
      </c>
    </row>
    <row r="228" ht="48" customHeight="1">
      <c r="A228" s="2" t="inlineStr">
        <is>
          <t>2018::jama.2018.14282::C013</t>
        </is>
      </c>
      <c r="B228" s="2" t="n">
        <v>2</v>
      </c>
      <c r="C228" s="2" t="inlineStr">
        <is>
          <t>Calculation</t>
        </is>
      </c>
      <c r="D228" s="2" t="inlineStr">
        <is>
          <t>27/388×100=6.9588%; nearest one decimal=7.0%; all five goals-of-care counts sum to 388.</t>
        </is>
      </c>
    </row>
    <row r="229" ht="48" customHeight="1">
      <c r="A229" s="3" t="inlineStr">
        <is>
          <t>2018::jama.2018.14282::C013</t>
        </is>
      </c>
      <c r="B229" s="3" t="n">
        <v>3</v>
      </c>
      <c r="C229" s="3" t="inlineStr">
        <is>
          <t>Alternative source-grounded interpretations</t>
        </is>
      </c>
      <c r="D229" s="3" t="inlineStr">
        <is>
          <t>An adjusted display across exhaustive categories is possible; the count distribution is complete.</t>
        </is>
      </c>
    </row>
    <row r="230" ht="48" customHeight="1">
      <c r="A230" s="2" t="inlineStr">
        <is>
          <t>2018::jama.2018.14282::C014</t>
        </is>
      </c>
      <c r="B230" s="2" t="n">
        <v>0</v>
      </c>
      <c r="C230" s="2" t="inlineStr">
        <is>
          <t>Source evidence</t>
        </is>
      </c>
      <c r="D230" s="2" t="inlineStr">
        <is>
          <t>High-flow arm n=388, received standard oxygen before randomization 311 (80.1).</t>
        </is>
      </c>
    </row>
    <row r="231" ht="48" customHeight="1">
      <c r="A231" s="3" t="inlineStr">
        <is>
          <t>2018::jama.2018.14282::C014</t>
        </is>
      </c>
      <c r="B231" s="3" t="n">
        <v>1</v>
      </c>
      <c r="C231" s="3" t="inlineStr">
        <is>
          <t>Reported-versus-comparator</t>
        </is>
      </c>
      <c r="D231" s="3" t="inlineStr">
        <is>
          <t>Reported 80.1% versus 80.2% from 311/388.</t>
        </is>
      </c>
    </row>
    <row r="232" ht="48" customHeight="1">
      <c r="A232" s="2" t="inlineStr">
        <is>
          <t>2018::jama.2018.14282::C014</t>
        </is>
      </c>
      <c r="B232" s="2" t="n">
        <v>2</v>
      </c>
      <c r="C232" s="2" t="inlineStr">
        <is>
          <t>Calculation</t>
        </is>
      </c>
      <c r="D232" s="2" t="inlineStr">
        <is>
          <t>311/388×100=80.1546%; nearest one decimal=80.2%.</t>
        </is>
      </c>
    </row>
    <row r="233" ht="48" customHeight="1">
      <c r="A233" s="3" t="inlineStr">
        <is>
          <t>2018::jama.2018.14282::C014</t>
        </is>
      </c>
      <c r="B233" s="3" t="n">
        <v>3</v>
      </c>
      <c r="C233" s="3" t="inlineStr">
        <is>
          <t>Alternative source-grounded interpretations</t>
        </is>
      </c>
      <c r="D233" s="3" t="inlineStr">
        <is>
          <t>A data-availability denominator is conceivable, but no missingness count or alternate denominator is printed.</t>
        </is>
      </c>
    </row>
    <row r="234" ht="48" customHeight="1">
      <c r="A234" s="2" t="inlineStr">
        <is>
          <t>2018::jama.2018.14282::C015</t>
        </is>
      </c>
      <c r="B234" s="2" t="n">
        <v>0</v>
      </c>
      <c r="C234" s="2" t="inlineStr">
        <is>
          <t>Source evidence</t>
        </is>
      </c>
      <c r="D234" s="2" t="inlineStr">
        <is>
          <t>High-flow arm n=388, ICU-acquired infection 39 (10.0).</t>
        </is>
      </c>
    </row>
    <row r="235" ht="48" customHeight="1">
      <c r="A235" s="3" t="inlineStr">
        <is>
          <t>2018::jama.2018.14282::C015</t>
        </is>
      </c>
      <c r="B235" s="3" t="n">
        <v>1</v>
      </c>
      <c r="C235" s="3" t="inlineStr">
        <is>
          <t>Reported-versus-comparator</t>
        </is>
      </c>
      <c r="D235" s="3" t="inlineStr">
        <is>
          <t>Reported 10.0% versus 10.1% from 39/388.</t>
        </is>
      </c>
    </row>
    <row r="236" ht="48" customHeight="1">
      <c r="A236" s="2" t="inlineStr">
        <is>
          <t>2018::jama.2018.14282::C015</t>
        </is>
      </c>
      <c r="B236" s="2" t="n">
        <v>2</v>
      </c>
      <c r="C236" s="2" t="inlineStr">
        <is>
          <t>Calculation</t>
        </is>
      </c>
      <c r="D236" s="2" t="inlineStr">
        <is>
          <t>39/388×100=10.0515%; nearest one decimal=10.1%; standard comparator 41/388=10.6% reconciles.</t>
        </is>
      </c>
    </row>
    <row r="237" ht="48" customHeight="1">
      <c r="A237" s="3" t="inlineStr">
        <is>
          <t>2018::jama.2018.14282::C015</t>
        </is>
      </c>
      <c r="B237" s="3" t="n">
        <v>3</v>
      </c>
      <c r="C237" s="3" t="inlineStr">
        <is>
          <t>Alternative source-grounded interpretations</t>
        </is>
      </c>
      <c r="D237" s="3" t="inlineStr">
        <is>
          <t>An infection-at-risk denominator is possible but not supplied in Table 2.</t>
        </is>
      </c>
    </row>
    <row r="238" ht="48" customHeight="1">
      <c r="A238" s="2" t="inlineStr">
        <is>
          <t>2018::jama.2018.14282::C016</t>
        </is>
      </c>
      <c r="B238" s="2" t="n">
        <v>0</v>
      </c>
      <c r="C238" s="2" t="inlineStr">
        <is>
          <t>Source evidence</t>
        </is>
      </c>
      <c r="D238" s="2" t="inlineStr">
        <is>
          <t>Standard arm n=388, hospital mortality 162 (41.7).</t>
        </is>
      </c>
    </row>
    <row r="239" ht="48" customHeight="1">
      <c r="A239" s="3" t="inlineStr">
        <is>
          <t>2018::jama.2018.14282::C016</t>
        </is>
      </c>
      <c r="B239" s="3" t="n">
        <v>1</v>
      </c>
      <c r="C239" s="3" t="inlineStr">
        <is>
          <t>Reported-versus-comparator</t>
        </is>
      </c>
      <c r="D239" s="3" t="inlineStr">
        <is>
          <t>Reported 41.7% versus 41.8% from 162/388.</t>
        </is>
      </c>
    </row>
    <row r="240" ht="48" customHeight="1">
      <c r="A240" s="2" t="inlineStr">
        <is>
          <t>2018::jama.2018.14282::C016</t>
        </is>
      </c>
      <c r="B240" s="2" t="n">
        <v>2</v>
      </c>
      <c r="C240" s="2" t="inlineStr">
        <is>
          <t>Calculation</t>
        </is>
      </c>
      <c r="D240" s="2" t="inlineStr">
        <is>
          <t>162/388×100=41.7526%; nearest one decimal=41.8%.</t>
        </is>
      </c>
    </row>
    <row r="241" ht="48" customHeight="1">
      <c r="A241" s="3" t="inlineStr">
        <is>
          <t>2018::jama.2018.14282::C016</t>
        </is>
      </c>
      <c r="B241" s="3" t="n">
        <v>3</v>
      </c>
      <c r="C241" s="3" t="inlineStr">
        <is>
          <t>Alternative source-grounded interpretations</t>
        </is>
      </c>
      <c r="D241" s="3" t="inlineStr">
        <is>
          <t>An alternate hospital-disposition denominator is not supplied; no loss to follow-up is printed.</t>
        </is>
      </c>
    </row>
    <row r="242" ht="48" customHeight="1">
      <c r="A242" s="2" t="inlineStr">
        <is>
          <t>2018::jama.2018.14282::C017</t>
        </is>
      </c>
      <c r="B242" s="2" t="n">
        <v>0</v>
      </c>
      <c r="C242" s="2" t="inlineStr">
        <is>
          <t>Source evidence</t>
        </is>
      </c>
      <c r="D242" s="2" t="inlineStr">
        <is>
          <t>Both occurrences report 25 versus 26/min, difference −1.8, and lower endpoint −3.2; the abstract upper endpoint is −0.2 and results upper endpoint is −0.3.</t>
        </is>
      </c>
    </row>
    <row r="243" ht="48" customHeight="1">
      <c r="A243" s="3" t="inlineStr">
        <is>
          <t>2018::jama.2018.14282::C017</t>
        </is>
      </c>
      <c r="B243" s="3" t="n">
        <v>1</v>
      </c>
      <c r="C243" s="3" t="inlineStr">
        <is>
          <t>Reported-versus-comparator</t>
        </is>
      </c>
      <c r="D243" s="3" t="inlineStr">
        <is>
          <t>Abstract 95% CI upper endpoint −0.2/min versus results −0.3/min.</t>
        </is>
      </c>
    </row>
    <row r="244" ht="48" customHeight="1">
      <c r="A244" s="2" t="inlineStr">
        <is>
          <t>2018::jama.2018.14282::C017</t>
        </is>
      </c>
      <c r="B244" s="2" t="n">
        <v>2</v>
      </c>
      <c r="C244" s="2" t="inlineStr">
        <is>
          <t>Calculation</t>
        </is>
      </c>
      <c r="D244" s="2" t="inlineStr">
        <is>
          <t>The printed endpoint difference is 0.1/min.</t>
        </is>
      </c>
    </row>
    <row r="245" ht="48" customHeight="1">
      <c r="A245" s="3" t="inlineStr">
        <is>
          <t>2018::jama.2018.14282::C017</t>
        </is>
      </c>
      <c r="B245" s="3" t="n">
        <v>3</v>
      </c>
      <c r="C245" s="3" t="inlineStr">
        <is>
          <t>Alternative source-grounded interpretations</t>
        </is>
      </c>
      <c r="D245" s="3" t="inlineStr">
        <is>
          <t>Separately rounded or calculated intervals are possible, but unrounded endpoints, model identity, and the display rule are not supplied.</t>
        </is>
      </c>
    </row>
    <row r="246" ht="48" customHeight="1">
      <c r="A246" s="2" t="inlineStr">
        <is>
          <t>2018::jama.2018.14282::C018</t>
        </is>
      </c>
      <c r="B246" s="2" t="n">
        <v>0</v>
      </c>
      <c r="C246" s="2" t="inlineStr">
        <is>
          <t>Source evidence</t>
        </is>
      </c>
      <c r="D246" s="2" t="inlineStr">
        <is>
          <t>The paragraph begins In the overall population and reports 153 patients (19.7%) randomized to high-flow and 31 patients (4.0%) randomized to standard oxygen.</t>
        </is>
      </c>
    </row>
    <row r="247" ht="48" customHeight="1">
      <c r="A247" s="3" t="inlineStr">
        <is>
          <t>2018::jama.2018.14282::C018</t>
        </is>
      </c>
      <c r="B247" s="3" t="n">
        <v>1</v>
      </c>
      <c r="C247" s="3" t="inlineStr">
        <is>
          <t>Reported-versus-comparator</t>
        </is>
      </c>
      <c r="D247" s="3" t="inlineStr">
        <is>
          <t>Reported 19.7% and 4.0% equal 153/776 and 31/776; within-arm values would be 39.4% and 8.0% using 388 per arm.</t>
        </is>
      </c>
    </row>
    <row r="248" ht="48" customHeight="1">
      <c r="A248" s="2" t="inlineStr">
        <is>
          <t>2018::jama.2018.14282::C018</t>
        </is>
      </c>
      <c r="B248" s="2" t="n">
        <v>2</v>
      </c>
      <c r="C248" s="2" t="inlineStr">
        <is>
          <t>Calculation</t>
        </is>
      </c>
      <c r="D248" s="2" t="inlineStr">
        <is>
          <t>153/776=19.7%; 31/776=4.0%; 153/388=39.4%; 31/388=8.0%.</t>
        </is>
      </c>
    </row>
    <row r="249" ht="48" customHeight="1">
      <c r="A249" s="3" t="inlineStr">
        <is>
          <t>2018::jama.2018.14282::C018</t>
        </is>
      </c>
      <c r="B249" s="3" t="n">
        <v>3</v>
      </c>
      <c r="C249" s="3" t="inlineStr">
        <is>
          <t>Alternative source-grounded interpretations</t>
        </is>
      </c>
      <c r="D249" s="3" t="inlineStr">
        <is>
          <t>The introductory overall-population phrase supports intentional overall denominators; the remaining issue is possible within-arm-risk misreading.</t>
        </is>
      </c>
    </row>
    <row r="250" ht="48" customHeight="1">
      <c r="A250" s="2" t="inlineStr">
        <is>
          <t>2018::jama.2018.14282::C019</t>
        </is>
      </c>
      <c r="B250" s="2" t="n">
        <v>0</v>
      </c>
      <c r="C250" s="2" t="inlineStr">
        <is>
          <t>Source evidence</t>
        </is>
      </c>
      <c r="D250" s="2" t="inlineStr">
        <is>
          <t>High-flow N=388, invasive mechanical ventilation 39 (10.0).</t>
        </is>
      </c>
    </row>
    <row r="251" ht="48" customHeight="1">
      <c r="A251" s="3" t="inlineStr">
        <is>
          <t>2018::jama.2018.14282::C019</t>
        </is>
      </c>
      <c r="B251" s="3" t="n">
        <v>1</v>
      </c>
      <c r="C251" s="3" t="inlineStr">
        <is>
          <t>Reported-versus-comparator</t>
        </is>
      </c>
      <c r="D251" s="3" t="inlineStr">
        <is>
          <t>Reported 10.0% versus 10.1% from 39/388.</t>
        </is>
      </c>
    </row>
    <row r="252" ht="48" customHeight="1">
      <c r="A252" s="2" t="inlineStr">
        <is>
          <t>2018::jama.2018.14282::C019</t>
        </is>
      </c>
      <c r="B252" s="2" t="n">
        <v>2</v>
      </c>
      <c r="C252" s="2" t="inlineStr">
        <is>
          <t>Calculation</t>
        </is>
      </c>
      <c r="D252" s="2" t="inlineStr">
        <is>
          <t>39/388×100=10.0515%; nearest one decimal=10.1%; 39+349=388.</t>
        </is>
      </c>
    </row>
    <row r="253" ht="48" customHeight="1">
      <c r="A253" s="3" t="inlineStr">
        <is>
          <t>2018::jama.2018.14282::C019</t>
        </is>
      </c>
      <c r="B253" s="3" t="n">
        <v>3</v>
      </c>
      <c r="C253" s="3" t="inlineStr">
        <is>
          <t>Alternative source-grounded interpretations</t>
        </is>
      </c>
      <c r="D253" s="3" t="inlineStr">
        <is>
          <t>A six-hour evaluable denominator or truncation is possible but not printed.</t>
        </is>
      </c>
    </row>
    <row r="254" ht="48" customHeight="1">
      <c r="A254" s="2" t="inlineStr">
        <is>
          <t>2018::jama.2018.14282::C020</t>
        </is>
      </c>
      <c r="B254" s="2" t="n">
        <v>0</v>
      </c>
      <c r="C254" s="2" t="inlineStr">
        <is>
          <t>Source evidence</t>
        </is>
      </c>
      <c r="D254" s="2" t="inlineStr">
        <is>
          <t>Standard arm N=388, invasive mechanical ventilation 46 (11.8).</t>
        </is>
      </c>
    </row>
    <row r="255" ht="48" customHeight="1">
      <c r="A255" s="3" t="inlineStr">
        <is>
          <t>2018::jama.2018.14282::C020</t>
        </is>
      </c>
      <c r="B255" s="3" t="n">
        <v>1</v>
      </c>
      <c r="C255" s="3" t="inlineStr">
        <is>
          <t>Reported-versus-comparator</t>
        </is>
      </c>
      <c r="D255" s="3" t="inlineStr">
        <is>
          <t>Reported 11.8% versus 11.9% from 46/388.</t>
        </is>
      </c>
    </row>
    <row r="256" ht="48" customHeight="1">
      <c r="A256" s="2" t="inlineStr">
        <is>
          <t>2018::jama.2018.14282::C020</t>
        </is>
      </c>
      <c r="B256" s="2" t="n">
        <v>2</v>
      </c>
      <c r="C256" s="2" t="inlineStr">
        <is>
          <t>Calculation</t>
        </is>
      </c>
      <c r="D256" s="2" t="inlineStr">
        <is>
          <t>46/388×100=11.8557%; nearest one decimal=11.9%; 46+342=388.</t>
        </is>
      </c>
    </row>
    <row r="257" ht="48" customHeight="1">
      <c r="A257" s="3" t="inlineStr">
        <is>
          <t>2018::jama.2018.14282::C020</t>
        </is>
      </c>
      <c r="B257" s="3" t="n">
        <v>3</v>
      </c>
      <c r="C257" s="3" t="inlineStr">
        <is>
          <t>Alternative source-grounded interpretations</t>
        </is>
      </c>
      <c r="D257" s="3" t="inlineStr">
        <is>
          <t>The 11.8%/88.2% pair totals 100.0%, supporting a possible forced-complement rule that is not documented.</t>
        </is>
      </c>
    </row>
    <row r="258" ht="48" customHeight="1">
      <c r="A258" s="2" t="inlineStr">
        <is>
          <t>2018::jama.2018.14282::C021</t>
        </is>
      </c>
      <c r="B258" s="2" t="n">
        <v>0</v>
      </c>
      <c r="C258" s="2" t="inlineStr">
        <is>
          <t>Source evidence</t>
        </is>
      </c>
      <c r="D258" s="2" t="inlineStr">
        <is>
          <t>Standard arm N=388, standard oxygen only 342 (88.2).</t>
        </is>
      </c>
    </row>
    <row r="259" ht="48" customHeight="1">
      <c r="A259" s="3" t="inlineStr">
        <is>
          <t>2018::jama.2018.14282::C021</t>
        </is>
      </c>
      <c r="B259" s="3" t="n">
        <v>1</v>
      </c>
      <c r="C259" s="3" t="inlineStr">
        <is>
          <t>Reported-versus-comparator</t>
        </is>
      </c>
      <c r="D259" s="3" t="inlineStr">
        <is>
          <t>Reported 88.2% versus 88.1% from 342/388.</t>
        </is>
      </c>
    </row>
    <row r="260" ht="48" customHeight="1">
      <c r="A260" s="2" t="inlineStr">
        <is>
          <t>2018::jama.2018.14282::C021</t>
        </is>
      </c>
      <c r="B260" s="2" t="n">
        <v>2</v>
      </c>
      <c r="C260" s="2" t="inlineStr">
        <is>
          <t>Calculation</t>
        </is>
      </c>
      <c r="D260" s="2" t="inlineStr">
        <is>
          <t>342/388×100=88.1443%; nearest one decimal=88.1%; 342+46=388.</t>
        </is>
      </c>
    </row>
    <row r="261" ht="48" customHeight="1">
      <c r="A261" s="3" t="inlineStr">
        <is>
          <t>2018::jama.2018.14282::C021</t>
        </is>
      </c>
      <c r="B261" s="3" t="n">
        <v>3</v>
      </c>
      <c r="C261" s="3" t="inlineStr">
        <is>
          <t>Alternative source-grounded interpretations</t>
        </is>
      </c>
      <c r="D261" s="3" t="inlineStr">
        <is>
          <t>88.2% is exactly the complement of printed 11.8%, so a forced complementary display is possible but not confirmed.</t>
        </is>
      </c>
    </row>
    <row r="262" ht="48" customHeight="1">
      <c r="A262" s="2" t="inlineStr">
        <is>
          <t>2018::jama.2018.14282::C022</t>
        </is>
      </c>
      <c r="B262" s="2" t="n">
        <v>0</v>
      </c>
      <c r="C262" s="2" t="inlineStr">
        <is>
          <t>Source evidence</t>
        </is>
      </c>
      <c r="D262" s="2" t="inlineStr">
        <is>
          <t>Methods specify death without IMV as a competing risk and Gray testing; the eFigure prints P (log Rank test) = 0.17, matching the main P=.17.</t>
        </is>
      </c>
    </row>
    <row r="263" ht="48" customHeight="1">
      <c r="A263" s="3" t="inlineStr">
        <is>
          <t>2018::jama.2018.14282::C022</t>
        </is>
      </c>
      <c r="B263" s="3" t="n">
        <v>1</v>
      </c>
      <c r="C263" s="3" t="inlineStr">
        <is>
          <t>Reported-versus-comparator</t>
        </is>
      </c>
      <c r="D263" s="3" t="inlineStr">
        <is>
          <t>Gray test/competing-risk description versus log Rank test label for a matched result.</t>
        </is>
      </c>
    </row>
    <row r="264" ht="48" customHeight="1">
      <c r="A264" s="2" t="inlineStr">
        <is>
          <t>2018::jama.2018.14282::C022</t>
        </is>
      </c>
      <c r="B264" s="2" t="n">
        <v>2</v>
      </c>
      <c r="C264" s="2" t="inlineStr">
        <is>
          <t>Calculation</t>
        </is>
      </c>
      <c r="D264" s="2" t="inlineStr">
        <is>
          <t>No reconstruction is used; Gray and log-rank are distinct named tests.</t>
        </is>
      </c>
    </row>
    <row r="265" ht="48" customHeight="1">
      <c r="A265" s="3" t="inlineStr">
        <is>
          <t>2018::jama.2018.14282::C022</t>
        </is>
      </c>
      <c r="B265" s="3" t="n">
        <v>3</v>
      </c>
      <c r="C265" s="3" t="inlineStr">
        <is>
          <t>Alternative source-grounded interpretations</t>
        </is>
      </c>
      <c r="D265" s="3" t="inlineStr">
        <is>
          <t>Separate tests could both round to .17; test statistics, event/censoring data, and generating output are absent.</t>
        </is>
      </c>
    </row>
    <row r="266" ht="48" customHeight="1">
      <c r="A266" s="2" t="inlineStr">
        <is>
          <t>2018::jama.2018.14282::C023</t>
        </is>
      </c>
      <c r="B266" s="2" t="n">
        <v>0</v>
      </c>
      <c r="C266" s="2" t="inlineStr">
        <is>
          <t>Source evidence</t>
        </is>
      </c>
      <c r="D266" s="2" t="inlineStr">
        <is>
          <t>Same 138/388 versus 140/388 day-28 deaths: Table/narrative HR 0.98 (0.77–1.24); Figure 3A HR 1.02 (0.81–1.29), with Favors High-Flow left and Favors Standard right.</t>
        </is>
      </c>
    </row>
    <row r="267" ht="48" customHeight="1">
      <c r="A267" s="3" t="inlineStr">
        <is>
          <t>2018::jama.2018.14282::C023</t>
        </is>
      </c>
      <c r="B267" s="3" t="n">
        <v>1</v>
      </c>
      <c r="C267" s="3" t="inlineStr">
        <is>
          <t>Reported-versus-comparator</t>
        </is>
      </c>
      <c r="D267" s="3" t="inlineStr">
        <is>
          <t>Table/narrative 0.98 (0.77–1.24) versus Figure 3A 1.02 (0.81–1.29).</t>
        </is>
      </c>
    </row>
    <row r="268" ht="48" customHeight="1">
      <c r="A268" s="2" t="inlineStr">
        <is>
          <t>2018::jama.2018.14282::C023</t>
        </is>
      </c>
      <c r="B268" s="2" t="n">
        <v>2</v>
      </c>
      <c r="C268" s="2" t="inlineStr">
        <is>
          <t>Calculation</t>
        </is>
      </c>
      <c r="D268" s="2" t="inlineStr">
        <is>
          <t>1/0.98=1.020 and 1/1.24=0.806 reproduce 1.02 and 0.81; 1/0.77=1.299 rounds to 1.30, not 1.29.</t>
        </is>
      </c>
    </row>
    <row r="269" ht="48" customHeight="1">
      <c r="A269" s="3" t="inlineStr">
        <is>
          <t>2018::jama.2018.14282::C023</t>
        </is>
      </c>
      <c r="B269" s="3" t="n">
        <v>3</v>
      </c>
      <c r="C269" s="3" t="inlineStr">
        <is>
          <t>Alternative source-grounded interpretations</t>
        </is>
      </c>
      <c r="D269" s="3" t="inlineStr">
        <is>
          <t>Opposite orientation is compatible with hidden precision; exact reciprocal identity from all rounded values is not established, and reference group/unrounded values are absent.</t>
        </is>
      </c>
    </row>
    <row r="270" ht="48" customHeight="1">
      <c r="A270" s="2" t="inlineStr">
        <is>
          <t>2018::jama.2018.14282::C024</t>
        </is>
      </c>
      <c r="B270" s="2" t="n">
        <v>0</v>
      </c>
      <c r="C270" s="2" t="inlineStr">
        <is>
          <t>Source evidence</t>
        </is>
      </c>
      <c r="D270" s="2" t="inlineStr">
        <is>
          <t>Same 150/388 versus 170/388 IMV events: Table/narrative cause-specific HR 0.85 (0.68–1.06); Figure 3B HR 1.17 (0.94–1.46) under the same favor labels.</t>
        </is>
      </c>
    </row>
    <row r="271" ht="48" customHeight="1">
      <c r="A271" s="3" t="inlineStr">
        <is>
          <t>2018::jama.2018.14282::C024</t>
        </is>
      </c>
      <c r="B271" s="3" t="n">
        <v>1</v>
      </c>
      <c r="C271" s="3" t="inlineStr">
        <is>
          <t>Reported-versus-comparator</t>
        </is>
      </c>
      <c r="D271" s="3" t="inlineStr">
        <is>
          <t>Table/narrative 0.85 (0.68–1.06) versus Figure 3B 1.17 (0.94–1.46).</t>
        </is>
      </c>
    </row>
    <row r="272" ht="48" customHeight="1">
      <c r="A272" s="2" t="inlineStr">
        <is>
          <t>2018::jama.2018.14282::C024</t>
        </is>
      </c>
      <c r="B272" s="2" t="n">
        <v>2</v>
      </c>
      <c r="C272" s="2" t="inlineStr">
        <is>
          <t>Calculation</t>
        </is>
      </c>
      <c r="D272" s="2" t="inlineStr">
        <is>
          <t>1/1.06=0.943 gives 0.94; 1/0.85=1.176 gives 1.18 and 1/0.68=1.471 gives 1.47, not 1.17 and 1.46.</t>
        </is>
      </c>
    </row>
    <row r="273" ht="48" customHeight="1">
      <c r="A273" s="3" t="inlineStr">
        <is>
          <t>2018::jama.2018.14282::C024</t>
        </is>
      </c>
      <c r="B273" s="3" t="n">
        <v>3</v>
      </c>
      <c r="C273" s="3" t="inlineStr">
        <is>
          <t>Alternative source-grounded interpretations</t>
        </is>
      </c>
      <c r="D273" s="3" t="inlineStr">
        <is>
          <t>Hidden precision can support opposite orientation, but exact reciprocity cannot be derived from all rounded inputs; figure-specific reference group and estimand are absent.</t>
        </is>
      </c>
    </row>
    <row r="274" ht="58" customHeight="1">
      <c r="A274" s="2" t="inlineStr">
        <is>
          <t>2018::jama.2018.14282::C025</t>
        </is>
      </c>
      <c r="B274" s="2" t="n">
        <v>0</v>
      </c>
      <c r="C274" s="2" t="inlineStr">
        <is>
          <t>Source evidence</t>
        </is>
      </c>
      <c r="D274" s="2" t="inlineStr">
        <is>
          <t>DOC-001 prints 779 patients (389 in each group); DOC-002 prints 778 with 389 per group under matching revised-superiority assumptions. The abstract sentence begins on p.90 and completes with 778 patients overall on p.91.</t>
        </is>
      </c>
    </row>
    <row r="275" ht="48" customHeight="1">
      <c r="A275" s="3" t="inlineStr">
        <is>
          <t>2018::jama.2018.14282::C025</t>
        </is>
      </c>
      <c r="B275" s="3" t="n">
        <v>1</v>
      </c>
      <c r="C275" s="3" t="inlineStr">
        <is>
          <t>Reported-versus-comparator</t>
        </is>
      </c>
      <c r="D275" s="3" t="inlineStr">
        <is>
          <t>Main 779 total with 389 each versus protocol/SAP 778 total with 389 each.</t>
        </is>
      </c>
    </row>
    <row r="276" ht="48" customHeight="1">
      <c r="A276" s="2" t="inlineStr">
        <is>
          <t>2018::jama.2018.14282::C025</t>
        </is>
      </c>
      <c r="B276" s="2" t="n">
        <v>2</v>
      </c>
      <c r="C276" s="2" t="inlineStr">
        <is>
          <t>Calculation</t>
        </is>
      </c>
      <c r="D276" s="2" t="inlineStr">
        <is>
          <t>389+389=778, not 779.</t>
        </is>
      </c>
    </row>
    <row r="277" ht="48" customHeight="1">
      <c r="A277" s="3" t="inlineStr">
        <is>
          <t>2018::jama.2018.14282::C025</t>
        </is>
      </c>
      <c r="B277" s="3" t="n">
        <v>3</v>
      </c>
      <c r="C277" s="3" t="inlineStr">
        <is>
          <t>Alternative source-grounded interpretations</t>
        </is>
      </c>
      <c r="D277" s="3" t="inlineStr">
        <is>
          <t>An earlier unequal or rounded target is possible but not supplied; version history is absent.</t>
        </is>
      </c>
    </row>
    <row r="278" ht="48" customHeight="1">
      <c r="A278" s="2" t="inlineStr">
        <is>
          <t>2018::jama.2018.14282::C026</t>
        </is>
      </c>
      <c r="B278" s="2" t="n">
        <v>0</v>
      </c>
      <c r="C278" s="2" t="inlineStr">
        <is>
          <t>Source evidence</t>
        </is>
      </c>
      <c r="D278" s="2" t="inlineStr">
        <is>
          <t>Figure 4 axis is Difference in Efficacy (New Treatment Minus Active Control) with margin on the negative side; text says noninferiority occurs if lower 95% CI boundary is less than 9%.</t>
        </is>
      </c>
    </row>
    <row r="279" ht="48" customHeight="1">
      <c r="A279" s="3" t="inlineStr">
        <is>
          <t>2018::jama.2018.14282::C026</t>
        </is>
      </c>
      <c r="B279" s="3" t="n">
        <v>1</v>
      </c>
      <c r="C279" s="3" t="inlineStr">
        <is>
          <t>Reported-versus-comparator</t>
        </is>
      </c>
      <c r="D279" s="3" t="inlineStr">
        <is>
          <t>Positive less than 9% wording versus negative-side margin on the printed scale.</t>
        </is>
      </c>
    </row>
    <row r="280" ht="48" customHeight="1">
      <c r="A280" s="2" t="inlineStr">
        <is>
          <t>2018::jama.2018.14282::C026</t>
        </is>
      </c>
      <c r="B280" s="2" t="n">
        <v>2</v>
      </c>
      <c r="C280" s="2" t="inlineStr">
        <is>
          <t>Calculation</t>
        </is>
      </c>
      <c r="D280" s="2" t="inlineStr">
        <is>
          <t>No numerical reconstruction is used; the positive bound/inequality is not mapped to the plotted signed scale.</t>
        </is>
      </c>
    </row>
    <row r="281" ht="48" customHeight="1">
      <c r="A281" s="3" t="inlineStr">
        <is>
          <t>2018::jama.2018.14282::C026</t>
        </is>
      </c>
      <c r="B281" s="3" t="n">
        <v>3</v>
      </c>
      <c r="C281" s="3" t="inlineStr">
        <is>
          <t>Alternative source-grounded interpretations</t>
        </is>
      </c>
      <c r="D281" s="3" t="inlineStr">
        <is>
          <t>A missing minus sign, opposite risk scale, or inequality could explain it; signed estimand and prespecified rule are absent.</t>
        </is>
      </c>
    </row>
    <row r="282" ht="48" customHeight="1">
      <c r="A282" s="2" t="inlineStr">
        <is>
          <t>2018::jama.2018.14282::C027</t>
        </is>
      </c>
      <c r="B282" s="2" t="n">
        <v>0</v>
      </c>
      <c r="C282" s="2" t="inlineStr">
        <is>
          <t>Source evidence</t>
        </is>
      </c>
      <c r="D282" s="2" t="inlineStr">
        <is>
          <t>Primary-hypothesis sentences say noninferiority/superiority of NIV; adjacent and repeated plan wording identifies HFNO against standard oxygen.</t>
        </is>
      </c>
    </row>
    <row r="283" ht="48" customHeight="1">
      <c r="A283" s="3" t="inlineStr">
        <is>
          <t>2018::jama.2018.14282::C027</t>
        </is>
      </c>
      <c r="B283" s="3" t="n">
        <v>1</v>
      </c>
      <c r="C283" s="3" t="inlineStr">
        <is>
          <t>Reported-versus-comparator</t>
        </is>
      </c>
      <c r="D283" s="3" t="inlineStr">
        <is>
          <t>NIV primary-hypothesis label versus HFNO experimental-intervention definition.</t>
        </is>
      </c>
    </row>
    <row r="284" ht="48" customHeight="1">
      <c r="A284" s="2" t="inlineStr">
        <is>
          <t>2018::jama.2018.14282::C027</t>
        </is>
      </c>
      <c r="B284" s="2" t="n">
        <v>2</v>
      </c>
      <c r="C284" s="2" t="inlineStr">
        <is>
          <t>Calculation</t>
        </is>
      </c>
      <c r="D284" s="2" t="inlineStr">
        <is>
          <t>Not applicable; this is a source-text label comparison.</t>
        </is>
      </c>
    </row>
    <row r="285" ht="48" customHeight="1">
      <c r="A285" s="3" t="inlineStr">
        <is>
          <t>2018::jama.2018.14282::C027</t>
        </is>
      </c>
      <c r="B285" s="3" t="n">
        <v>3</v>
      </c>
      <c r="C285" s="3" t="inlineStr">
        <is>
          <t>Alternative source-grounded interpretations</t>
        </is>
      </c>
      <c r="D285" s="3" t="inlineStr">
        <is>
          <t>NIV may be a carried-forward label, but no cited passage defines it as equivalent to HFNO in the primary hypothesis.</t>
        </is>
      </c>
    </row>
    <row r="286" ht="48" customHeight="1">
      <c r="A286" s="2" t="inlineStr">
        <is>
          <t>2018::jama.2018.14282::C028</t>
        </is>
      </c>
      <c r="B286" s="2" t="n">
        <v>0</v>
      </c>
      <c r="C286" s="2" t="inlineStr">
        <is>
          <t>Source evidence</t>
        </is>
      </c>
      <c r="D286" s="2" t="inlineStr">
        <is>
          <t>Each plan occurrence says patients are followed to day 28 and classified alive/dead, then specifies a relative risk of hospital death.</t>
        </is>
      </c>
    </row>
    <row r="287" ht="48" customHeight="1">
      <c r="A287" s="3" t="inlineStr">
        <is>
          <t>2018::jama.2018.14282::C028</t>
        </is>
      </c>
      <c r="B287" s="3" t="n">
        <v>1</v>
      </c>
      <c r="C287" s="3" t="inlineStr">
        <is>
          <t>Reported-versus-comparator</t>
        </is>
      </c>
      <c r="D287" s="3" t="inlineStr">
        <is>
          <t>Day-28 all-cause vital-status endpoint versus hospital-death label.</t>
        </is>
      </c>
    </row>
    <row r="288" ht="48" customHeight="1">
      <c r="A288" s="2" t="inlineStr">
        <is>
          <t>2018::jama.2018.14282::C028</t>
        </is>
      </c>
      <c r="B288" s="2" t="n">
        <v>2</v>
      </c>
      <c r="C288" s="2" t="inlineStr">
        <is>
          <t>Calculation</t>
        </is>
      </c>
      <c r="D288" s="2" t="inlineStr">
        <is>
          <t>Not applicable; the endpoints/time horizons are distinct unless explicitly equated.</t>
        </is>
      </c>
    </row>
    <row r="289" ht="48" customHeight="1">
      <c r="A289" s="3" t="inlineStr">
        <is>
          <t>2018::jama.2018.14282::C028</t>
        </is>
      </c>
      <c r="B289" s="3" t="n">
        <v>3</v>
      </c>
      <c r="C289" s="3" t="inlineStr">
        <is>
          <t>Alternative source-grounded interpretations</t>
        </is>
      </c>
      <c r="D289" s="3" t="inlineStr">
        <is>
          <t>Hospital death may be shorthand for day-28 death during admission, but hospital-death definition, discharge handling, post-discharge deaths, and equivalence are not supplied.</t>
        </is>
      </c>
    </row>
    <row r="290" ht="48" customHeight="1">
      <c r="A290" s="2" t="inlineStr">
        <is>
          <t>2018::jama.2018.17075::C001</t>
        </is>
      </c>
      <c r="B290" s="2" t="n">
        <v>0</v>
      </c>
      <c r="C290" s="2" t="inlineStr">
        <is>
          <t>Source evidence</t>
        </is>
      </c>
      <c r="D290" s="2" t="inlineStr">
        <is>
          <t>The median (IQR) cell prints 20.0 (20.5-35.0) for normothermia.</t>
        </is>
      </c>
    </row>
    <row r="291" ht="48" customHeight="1">
      <c r="A291" s="3" t="inlineStr">
        <is>
          <t>2018::jama.2018.17075::C001</t>
        </is>
      </c>
      <c r="B291" s="3" t="n">
        <v>1</v>
      </c>
      <c r="C291" s="3" t="inlineStr">
        <is>
          <t>Reported-versus-comparator</t>
        </is>
      </c>
      <c r="D291" s="3" t="inlineStr">
        <is>
          <t>Reported median 20.0; comparator IQR lower endpoint 20.5 under the same explicit median (IQR) label.</t>
        </is>
      </c>
    </row>
    <row r="292" ht="48" customHeight="1">
      <c r="A292" s="2" t="inlineStr">
        <is>
          <t>2018::jama.2018.17075::C001</t>
        </is>
      </c>
      <c r="B292" s="2" t="n">
        <v>2</v>
      </c>
      <c r="C292" s="2" t="inlineStr">
        <is>
          <t>Calculation</t>
        </is>
      </c>
      <c r="D292" s="2" t="inlineStr">
        <is>
          <t>20.5 - 20.0 = 0.5 Injury Severity Score points; the labelled lower endpoint exceeds the labelled median.</t>
        </is>
      </c>
    </row>
    <row r="293" ht="58" customHeight="1">
      <c r="A293" s="3" t="inlineStr">
        <is>
          <t>2018::jama.2018.17075::C001</t>
        </is>
      </c>
      <c r="B293" s="3" t="n">
        <v>3</v>
      </c>
      <c r="C293" s="3" t="inlineStr">
        <is>
          <t>Alternative source-grounded interpretations</t>
        </is>
      </c>
      <c r="D293" s="3" t="inlineStr">
        <is>
          <t>An unstated convention could theoretically alter the reading, but the cell label, parentheses, and parallel hypothermia median/IQR layout support the ordinary interpretation. No alternative definition is printed.</t>
        </is>
      </c>
    </row>
    <row r="294" ht="48" customHeight="1">
      <c r="A294" s="2" t="inlineStr">
        <is>
          <t>2018::jama.2018.17075::C002</t>
        </is>
      </c>
      <c r="B294" s="2" t="n">
        <v>0</v>
      </c>
      <c r="C294" s="2" t="inlineStr">
        <is>
          <t>Source evidence</t>
        </is>
      </c>
      <c r="D294" s="2" t="inlineStr">
        <is>
          <t>All locations report hypothermia 117/240 (48.8%), normothermia 111/226 (49.1%), and CI -9.4 to 8.7. The abstract prints risk difference 0.4%; Results and Table 2 print -0.4 percentage points.</t>
        </is>
      </c>
    </row>
    <row r="295" ht="48" customHeight="1">
      <c r="A295" s="3" t="inlineStr">
        <is>
          <t>2018::jama.2018.17075::C002</t>
        </is>
      </c>
      <c r="B295" s="3" t="n">
        <v>1</v>
      </c>
      <c r="C295" s="3" t="inlineStr">
        <is>
          <t>Reported-versus-comparator</t>
        </is>
      </c>
      <c r="D295" s="3" t="inlineStr">
        <is>
          <t>Reported abstract point estimate +0.4%; matched comparator Results/Table 2 point estimate -0.4, with the same group order and CI.</t>
        </is>
      </c>
    </row>
    <row r="296" ht="48" customHeight="1">
      <c r="A296" s="2" t="inlineStr">
        <is>
          <t>2018::jama.2018.17075::C002</t>
        </is>
      </c>
      <c r="B296" s="2" t="n">
        <v>2</v>
      </c>
      <c r="C296" s="2" t="inlineStr">
        <is>
          <t>Calculation</t>
        </is>
      </c>
      <c r="D296" s="2" t="inlineStr">
        <is>
          <t>(117/240 - 111/226) x 100 = -0.3650 percentage points, rounding to -0.4.</t>
        </is>
      </c>
    </row>
    <row r="297" ht="48" customHeight="1">
      <c r="A297" s="3" t="inlineStr">
        <is>
          <t>2018::jama.2018.17075::C002</t>
        </is>
      </c>
      <c r="B297" s="3" t="n">
        <v>3</v>
      </c>
      <c r="C297" s="3" t="inlineStr">
        <is>
          <t>Alternative source-grounded interpretations</t>
        </is>
      </c>
      <c r="D297" s="3" t="inlineStr">
        <is>
          <t>A reversed abstract contrast could produce approximately +0.4, but a correspondingly reversed CI would ordinarily be -8.7 to 9.4; the unchanged printed abstract CI does not fully reconcile that reading.</t>
        </is>
      </c>
    </row>
    <row r="298" ht="48" customHeight="1">
      <c r="A298" s="2" t="inlineStr">
        <is>
          <t>2018::jama.2018.17075::C003</t>
        </is>
      </c>
      <c r="B298" s="2" t="n">
        <v>0</v>
      </c>
      <c r="C298" s="2" t="inlineStr">
        <is>
          <t>Source evidence</t>
        </is>
      </c>
      <c r="D298" s="2" t="inlineStr">
        <is>
          <t>Both result locations print 47/260 (18.1%) versus 37/240 (15.4%). Table 2 prints RR 1.23 (0.43-3.5), P=.70; eTable 6 prints P=.43.</t>
        </is>
      </c>
    </row>
    <row r="299" ht="48" customHeight="1">
      <c r="A299" s="3" t="inlineStr">
        <is>
          <t>2018::jama.2018.17075::C003</t>
        </is>
      </c>
      <c r="B299" s="3" t="n">
        <v>1</v>
      </c>
      <c r="C299" s="3" t="inlineStr">
        <is>
          <t>Reported-versus-comparator</t>
        </is>
      </c>
      <c r="D299" s="3" t="inlineStr">
        <is>
          <t>Reported Table 2 RR 1.23 and P=.70; comparator printed-proportion RR is approximately 1.17, and the matched eTable P is .43.</t>
        </is>
      </c>
    </row>
    <row r="300" ht="58" customHeight="1">
      <c r="A300" s="2" t="inlineStr">
        <is>
          <t>2018::jama.2018.17075::C003</t>
        </is>
      </c>
      <c r="B300" s="2" t="n">
        <v>2</v>
      </c>
      <c r="C300" s="2" t="inlineStr">
        <is>
          <t>Calculation</t>
        </is>
      </c>
      <c r="D300" s="2" t="inlineStr">
        <is>
          <t>(47/260)/(37/240) = 1.1726, rounding to 1.17, not 1.23. A diagnostic log-scale CI is approximately 0.79-1.74 and an uncorrected two-proportion comparison approximately P=.43; these diagnostics do not replace the reported analysis.</t>
        </is>
      </c>
    </row>
    <row r="301" ht="58" customHeight="1">
      <c r="A301" s="3" t="inlineStr">
        <is>
          <t>2018::jama.2018.17075::C003</t>
        </is>
      </c>
      <c r="B301" s="3" t="n">
        <v>3</v>
      </c>
      <c r="C301" s="3" t="inlineStr">
        <is>
          <t>Alternative source-grounded interpretations</t>
        </is>
      </c>
      <c r="D301" s="3" t="inlineStr">
        <is>
          <t>A differently modelled effect is conceivable, but Table 2 is labelled Relative Risk and no row-specific adjusted analysis is identified. The neighboring row is a possible source-grounded token-assignment hypothesis only.</t>
        </is>
      </c>
    </row>
    <row r="302" ht="48" customHeight="1">
      <c r="A302" s="2" t="inlineStr">
        <is>
          <t>2018::jama.2018.17075::C004</t>
        </is>
      </c>
      <c r="B302" s="2" t="n">
        <v>0</v>
      </c>
      <c r="C302" s="2" t="inlineStr">
        <is>
          <t>Source evidence</t>
        </is>
      </c>
      <c r="D302" s="2" t="inlineStr">
        <is>
          <t>Both result locations print 8/260 (3.1%) versus 6/240 (2.5%). Table 2 prints RR 1.17 (0.79-1.74), P=.43; eTable 6 prints P=.70.</t>
        </is>
      </c>
    </row>
    <row r="303" ht="48" customHeight="1">
      <c r="A303" s="3" t="inlineStr">
        <is>
          <t>2018::jama.2018.17075::C004</t>
        </is>
      </c>
      <c r="B303" s="3" t="n">
        <v>1</v>
      </c>
      <c r="C303" s="3" t="inlineStr">
        <is>
          <t>Reported-versus-comparator</t>
        </is>
      </c>
      <c r="D303" s="3" t="inlineStr">
        <is>
          <t>Reported Table 2 RR 1.17 and P=.43; comparator printed-proportion RR is approximately 1.23, and the matched eTable P is .70.</t>
        </is>
      </c>
    </row>
    <row r="304" ht="58" customHeight="1">
      <c r="A304" s="2" t="inlineStr">
        <is>
          <t>2018::jama.2018.17075::C004</t>
        </is>
      </c>
      <c r="B304" s="2" t="n">
        <v>2</v>
      </c>
      <c r="C304" s="2" t="inlineStr">
        <is>
          <t>Calculation</t>
        </is>
      </c>
      <c r="D304" s="2" t="inlineStr">
        <is>
          <t>(8/260)/(6/240) = 1.2308, rounding to 1.23, not 1.17. A diagnostic log-scale CI is approximately 0.43-3.50 and an uncorrected two-proportion comparison approximately P=.70; these diagnostics do not reconstruct the reported analysis.</t>
        </is>
      </c>
    </row>
    <row r="305" ht="58" customHeight="1">
      <c r="A305" s="3" t="inlineStr">
        <is>
          <t>2018::jama.2018.17075::C004</t>
        </is>
      </c>
      <c r="B305" s="3" t="n">
        <v>3</v>
      </c>
      <c r="C305" s="3" t="inlineStr">
        <is>
          <t>Alternative source-grounded interpretations</t>
        </is>
      </c>
      <c r="D305" s="3"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48" customHeight="1">
      <c r="A306" s="2" t="inlineStr">
        <is>
          <t>2018::jama.2018.17075::C005</t>
        </is>
      </c>
      <c r="B306" s="2" t="n">
        <v>0</v>
      </c>
      <c r="C306" s="2" t="inlineStr">
        <is>
          <t>Source evidence</t>
        </is>
      </c>
      <c r="D306" s="2" t="inlineStr">
        <is>
          <t>Under No. (%), normothermia (n=196) prints 34.7 (68); surrounding cells use count followed by percentage.</t>
        </is>
      </c>
    </row>
    <row r="307" ht="48" customHeight="1">
      <c r="A307" s="3" t="inlineStr">
        <is>
          <t>2018::jama.2018.17075::C005</t>
        </is>
      </c>
      <c r="B307" s="3" t="n">
        <v>1</v>
      </c>
      <c r="C307" s="3" t="inlineStr">
        <is>
          <t>Reported-versus-comparator</t>
        </is>
      </c>
      <c r="D307" s="3" t="inlineStr">
        <is>
          <t>Reported token order 34.7 (68) versus the count-first header and denominator relationship represented by 68/196.</t>
        </is>
      </c>
    </row>
    <row r="308" ht="48" customHeight="1">
      <c r="A308" s="2" t="inlineStr">
        <is>
          <t>2018::jama.2018.17075::C005</t>
        </is>
      </c>
      <c r="B308" s="2" t="n">
        <v>2</v>
      </c>
      <c r="C308" s="2" t="inlineStr">
        <is>
          <t>Calculation</t>
        </is>
      </c>
      <c r="D308" s="2" t="inlineStr">
        <is>
          <t>68/196 x 100 = 34.6939%, rounding to 34.7%; 34.7 is noninteger in the count position. With the adjacent reconciled category reading, the five CT counts can close at 3 + 108 + 15 + 68 + 2 = 196.</t>
        </is>
      </c>
    </row>
    <row r="309" ht="48" customHeight="1">
      <c r="A309" s="3" t="inlineStr">
        <is>
          <t>2018::jama.2018.17075::C005</t>
        </is>
      </c>
      <c r="B309" s="3" t="n">
        <v>3</v>
      </c>
      <c r="C309" s="3" t="inlineStr">
        <is>
          <t>Alternative source-grounded interpretations</t>
        </is>
      </c>
      <c r="D309" s="3" t="inlineStr">
        <is>
          <t>A percentage-first convention would reconcile this one cell, but conflicts with No. (%) and surrounding count-first cells; no row-specific exception is printed.</t>
        </is>
      </c>
    </row>
    <row r="310" ht="48" customHeight="1">
      <c r="A310" s="2" t="inlineStr">
        <is>
          <t>2018::jama.2018.17075::C006</t>
        </is>
      </c>
      <c r="B310" s="2" t="n">
        <v>0</v>
      </c>
      <c r="C310" s="2" t="inlineStr">
        <is>
          <t>Source evidence</t>
        </is>
      </c>
      <c r="D310" s="2" t="inlineStr">
        <is>
          <t>Under No. (%), normothermia (n=196) prints 1 (2); other CT rows print 3 (1.5), 108 (55.1), 15 (7.7), and the adjacent cell 34.7 (68).</t>
        </is>
      </c>
    </row>
    <row r="311" ht="48" customHeight="1">
      <c r="A311" s="3" t="inlineStr">
        <is>
          <t>2018::jama.2018.17075::C006</t>
        </is>
      </c>
      <c r="B311" s="3" t="n">
        <v>1</v>
      </c>
      <c r="C311" s="3" t="inlineStr">
        <is>
          <t>Reported-versus-comparator</t>
        </is>
      </c>
      <c r="D311" s="3" t="inlineStr">
        <is>
          <t>Reported literal count/percentage 1 (2) versus 1/196 and the count-total relationship across the five displayed categories.</t>
        </is>
      </c>
    </row>
    <row r="312" ht="48" customHeight="1">
      <c r="A312" s="2" t="inlineStr">
        <is>
          <t>2018::jama.2018.17075::C006</t>
        </is>
      </c>
      <c r="B312" s="2" t="n">
        <v>2</v>
      </c>
      <c r="C312" s="2" t="inlineStr">
        <is>
          <t>Calculation</t>
        </is>
      </c>
      <c r="D312" s="2" t="inlineStr">
        <is>
          <t>1/196 x 100 = 0.5102%, not 2%. Reading count 2 and percentage 1 gives 2/196 x 100 = 1.0204%, and 3 + 108 + 15 + 68 + 2 = 196; literal count 1 produces 195.</t>
        </is>
      </c>
    </row>
    <row r="313" ht="48" customHeight="1">
      <c r="A313" s="3" t="inlineStr">
        <is>
          <t>2018::jama.2018.17075::C006</t>
        </is>
      </c>
      <c r="B313" s="3" t="n">
        <v>3</v>
      </c>
      <c r="C313" s="3" t="inlineStr">
        <is>
          <t>Alternative source-grounded interpretations</t>
        </is>
      </c>
      <c r="D313" s="3" t="inlineStr">
        <is>
          <t>A row-specific denominator of 50 could make 1 (2) arithmetically possible, but the table prints n=196, no row-specific denominator/missingness note, and five exhaustive categories.</t>
        </is>
      </c>
    </row>
    <row r="314" ht="48" customHeight="1">
      <c r="A314" s="2" t="inlineStr">
        <is>
          <t>2018::jama.2018.17075::C007</t>
        </is>
      </c>
      <c r="B314" s="2" t="n">
        <v>0</v>
      </c>
      <c r="C314" s="2" t="inlineStr">
        <is>
          <t>Source evidence</t>
        </is>
      </c>
      <c r="D314" s="2" t="inlineStr">
        <is>
          <t>The source prints adjusted odds ratio hypothermia vs normothermia; 0.95 (0.55-275 1.64) P = .84.</t>
        </is>
      </c>
    </row>
    <row r="315" ht="48" customHeight="1">
      <c r="A315" s="3" t="inlineStr">
        <is>
          <t>2018::jama.2018.17075::C007</t>
        </is>
      </c>
      <c r="B315" s="3" t="n">
        <v>1</v>
      </c>
      <c r="C315" s="3" t="inlineStr">
        <is>
          <t>Reported-versus-comparator</t>
        </is>
      </c>
      <c r="D315" s="3" t="inlineStr">
        <is>
          <t>Reported parenthesized sequence 0.55-275 1.64 versus the same page's explicit odds-ratio (95% CI) convention requiring two identifiable endpoints; the unadjusted example is 0.91 (0.59-1.41) P=.68.</t>
        </is>
      </c>
    </row>
    <row r="316" ht="48" customHeight="1">
      <c r="A316" s="2" t="inlineStr">
        <is>
          <t>2018::jama.2018.17075::C007</t>
        </is>
      </c>
      <c r="B316" s="2" t="n">
        <v>2</v>
      </c>
      <c r="C316" s="2" t="inlineStr">
        <is>
          <t>Calculation</t>
        </is>
      </c>
      <c r="D316" s="2" t="inlineStr">
        <is>
          <t>The ordered sequence is 0.55, 275, 1.64. Although point estimate 0.95 lies between 0.55 and 1.64, no source-based calculation identifies the role of 275 or licenses removal of it.</t>
        </is>
      </c>
    </row>
    <row r="317" ht="48" customHeight="1">
      <c r="A317" s="3" t="inlineStr">
        <is>
          <t>2018::jama.2018.17075::C007</t>
        </is>
      </c>
      <c r="B317" s="3" t="n">
        <v>3</v>
      </c>
      <c r="C317" s="3" t="inlineStr">
        <is>
          <t>Alternative source-grounded interpretations</t>
        </is>
      </c>
      <c r="D317" s="3" t="inlineStr">
        <is>
          <t>The same-page syntax supports a possible 0.55-1.64 interval with an extraneous token, but the PDF does not define 275; punctuation or digits may instead be missing.</t>
        </is>
      </c>
    </row>
    <row r="318" ht="48" customHeight="1">
      <c r="A318" s="2" t="inlineStr">
        <is>
          <t>2018::jama.2018.17075::C008</t>
        </is>
      </c>
      <c r="B318" s="2" t="n">
        <v>0</v>
      </c>
      <c r="C318" s="2" t="inlineStr">
        <is>
          <t>Source evidence</t>
        </is>
      </c>
      <c r="D318" s="2" t="inlineStr">
        <is>
          <t>The abstract states 500 provided ongoing consent and 402 men [80.2%]. Table 1 gives hypothermia 207 (79.6) and normothermia 194 (80.8) men, and women 53 (20.4) and 46 (19.2).</t>
        </is>
      </c>
    </row>
    <row r="319" ht="48" customHeight="1">
      <c r="A319" s="3" t="inlineStr">
        <is>
          <t>2018::jama.2018.17075::C008</t>
        </is>
      </c>
      <c r="B319" s="3" t="n">
        <v>1</v>
      </c>
      <c r="C319" s="3" t="inlineStr">
        <is>
          <t>Reported-versus-comparator</t>
        </is>
      </c>
      <c r="D319" s="3" t="inlineStr">
        <is>
          <t>Reported abstract 402/500 (80.2%) versus the arithmetic percentage 80.4% and Table 1 male subtotal 207+194=401, which is 80.2% of 500.</t>
        </is>
      </c>
    </row>
    <row r="320" ht="48" customHeight="1">
      <c r="A320" s="2" t="inlineStr">
        <is>
          <t>2018::jama.2018.17075::C008</t>
        </is>
      </c>
      <c r="B320" s="2" t="n">
        <v>2</v>
      </c>
      <c r="C320" s="2" t="inlineStr">
        <is>
          <t>Calculation</t>
        </is>
      </c>
      <c r="D320" s="2" t="inlineStr">
        <is>
          <t>402/500 x 100 = 80.4%. 207 + 194 = 401; 401/500 x 100 = 80.2%; sex-category totals close as 401 + 53 + 46 = 500.</t>
        </is>
      </c>
    </row>
    <row r="321" ht="48" customHeight="1">
      <c r="A321" s="3" t="inlineStr">
        <is>
          <t>2018::jama.2018.17075::C008</t>
        </is>
      </c>
      <c r="B321" s="3" t="n">
        <v>3</v>
      </c>
      <c r="C321" s="3" t="inlineStr">
        <is>
          <t>Alternative source-grounded interpretations</t>
        </is>
      </c>
      <c r="D321" s="3" t="inlineStr">
        <is>
          <t>A denominator near 501 could approximate 402 at 80.2%, but the abstract anchors the text to 500 and Table 1 reports all 500 without a missingness note.</t>
        </is>
      </c>
    </row>
    <row r="322" ht="48" customHeight="1">
      <c r="A322" s="2" t="inlineStr">
        <is>
          <t>2018::jama.2018.18020::C001</t>
        </is>
      </c>
      <c r="B322" s="2" t="n">
        <v>0</v>
      </c>
      <c r="C322" s="2" t="inlineStr">
        <is>
          <t>Source evidence</t>
        </is>
      </c>
      <c r="D322" s="2" t="inlineStr">
        <is>
          <t>The abstract prints 30 enrolled patients and 22% men; Baseline Data prints 22 men and 8 women.</t>
        </is>
      </c>
    </row>
    <row r="323" ht="48" customHeight="1">
      <c r="A323" s="3" t="inlineStr">
        <is>
          <t>2018::jama.2018.18020::C001</t>
        </is>
      </c>
      <c r="B323" s="3" t="n">
        <v>1</v>
      </c>
      <c r="C323" s="3" t="inlineStr">
        <is>
          <t>Reported-versus-comparator</t>
        </is>
      </c>
      <c r="D323" s="3" t="inlineStr">
        <is>
          <t>Reported 22% men versus comparator 22/30 men.</t>
        </is>
      </c>
    </row>
    <row r="324" ht="48" customHeight="1">
      <c r="A324" s="2" t="inlineStr">
        <is>
          <t>2018::jama.2018.18020::C001</t>
        </is>
      </c>
      <c r="B324" s="2" t="n">
        <v>2</v>
      </c>
      <c r="C324" s="2" t="inlineStr">
        <is>
          <t>Calculation</t>
        </is>
      </c>
      <c r="D324" s="2" t="inlineStr">
        <is>
          <t>22 + 8 = 30; 22/30 × 100 = 73.33%; 22% × 30 = 6.6, not 22 patients.</t>
        </is>
      </c>
    </row>
    <row r="325" ht="48" customHeight="1">
      <c r="A325" s="3" t="inlineStr">
        <is>
          <t>2018::jama.2018.18020::C001</t>
        </is>
      </c>
      <c r="B325" s="3" t="n">
        <v>3</v>
      </c>
      <c r="C325" s="3" t="inlineStr">
        <is>
          <t>Alternative source-grounded interpretations</t>
        </is>
      </c>
      <c r="D325" s="3" t="inlineStr">
        <is>
          <t>The abstract may have intended 22 men or approximately 73% men; enrollment-level data and proof history are unavailable.</t>
        </is>
      </c>
    </row>
    <row r="326" ht="48" customHeight="1">
      <c r="A326" s="2" t="inlineStr">
        <is>
          <t>2018::jama.2018.18020::C002</t>
        </is>
      </c>
      <c r="B326" s="2" t="n">
        <v>0</v>
      </c>
      <c r="C326" s="2" t="inlineStr">
        <is>
          <t>Source evidence</t>
        </is>
      </c>
      <c r="D326" s="2" t="inlineStr">
        <is>
          <t>CLCN1 is 84.0 (74.5-110.3) and SCN4A is 98.0 (56.0-120.0) while the footnote states Scale, 0 to 100.</t>
        </is>
      </c>
    </row>
    <row r="327" ht="48" customHeight="1">
      <c r="A327" s="3" t="inlineStr">
        <is>
          <t>2018::jama.2018.18020::C002</t>
        </is>
      </c>
      <c r="B327" s="3" t="n">
        <v>1</v>
      </c>
      <c r="C327" s="3" t="inlineStr">
        <is>
          <t>Reported-versus-comparator</t>
        </is>
      </c>
      <c r="D327" s="3" t="inlineStr">
        <is>
          <t>Reported upper endpoints 110.3 and 120.0 versus stated upper scale bound 100.</t>
        </is>
      </c>
    </row>
    <row r="328" ht="48" customHeight="1">
      <c r="A328" s="2" t="inlineStr">
        <is>
          <t>2018::jama.2018.18020::C002</t>
        </is>
      </c>
      <c r="B328" s="2" t="n">
        <v>2</v>
      </c>
      <c r="C328" s="2" t="inlineStr">
        <is>
          <t>Calculation</t>
        </is>
      </c>
      <c r="D328" s="2" t="inlineStr">
        <is>
          <t>110.3 - 100 = 10.3 and 120.0 - 100 = 20.0; a bounded score's quantile cannot exceed its bound.</t>
        </is>
      </c>
    </row>
    <row r="329" ht="48" customHeight="1">
      <c r="A329" s="3" t="inlineStr">
        <is>
          <t>2018::jama.2018.18020::C002</t>
        </is>
      </c>
      <c r="B329" s="3" t="n">
        <v>3</v>
      </c>
      <c r="C329" s="3" t="inlineStr">
        <is>
          <t>Alternative source-grounded interpretations</t>
        </is>
      </c>
      <c r="D329" s="3" t="inlineStr">
        <is>
          <t>The footnote may be incomplete or the displayed values may use an undocumented summed/transformed scale.</t>
        </is>
      </c>
    </row>
    <row r="330" ht="48" customHeight="1">
      <c r="A330" s="2" t="inlineStr">
        <is>
          <t>2018::jama.2018.18020::C003</t>
        </is>
      </c>
      <c r="B330" s="2" t="n">
        <v>0</v>
      </c>
      <c r="C330" s="2" t="inlineStr">
        <is>
          <t>Source evidence</t>
        </is>
      </c>
      <c r="D330" s="2" t="inlineStr">
        <is>
          <t>The header says Treatment Effect (Placebo-Mexiletine); effects include -14.22 and -2.85 under rows whose period changes are -7.22/-21.44 and 0.46/-2.39.</t>
        </is>
      </c>
    </row>
    <row r="331" ht="48" customHeight="1">
      <c r="A331" s="3" t="inlineStr">
        <is>
          <t>2018::jama.2018.18020::C003</t>
        </is>
      </c>
      <c r="B331" s="3" t="n">
        <v>1</v>
      </c>
      <c r="C331" s="3" t="inlineStr">
        <is>
          <t>Reported-versus-comparator</t>
        </is>
      </c>
      <c r="D331" s="3" t="inlineStr">
        <is>
          <t>Printed placebo-minus-mexiletine header versus row arithmetic consistent with mexiletine-minus-placebo.</t>
        </is>
      </c>
    </row>
    <row r="332" ht="48" customHeight="1">
      <c r="A332" s="2" t="inlineStr">
        <is>
          <t>2018::jama.2018.18020::C003</t>
        </is>
      </c>
      <c r="B332" s="2" t="n">
        <v>2</v>
      </c>
      <c r="C332" s="2" t="inlineStr">
        <is>
          <t>Calculation</t>
        </is>
      </c>
      <c r="D332" s="2" t="inlineStr">
        <is>
          <t>-21.44 - (-7.22) = -14.22; -2.39 - 0.46 = -2.85; reversing the subtraction reverses both signs.</t>
        </is>
      </c>
    </row>
    <row r="333" ht="48" customHeight="1">
      <c r="A333" s="3" t="inlineStr">
        <is>
          <t>2018::jama.2018.18020::C003</t>
        </is>
      </c>
      <c r="B333" s="3" t="n">
        <v>3</v>
      </c>
      <c r="C333" s="3" t="inlineStr">
        <is>
          <t>Alternative source-grounded interpretations</t>
        </is>
      </c>
      <c r="D333" s="3" t="inlineStr">
        <is>
          <t>The header may be reversed, or an undocumented favorable-direction convention may be applied; unrounded paired data are absent.</t>
        </is>
      </c>
    </row>
    <row r="334" ht="48" customHeight="1">
      <c r="A334" s="2" t="inlineStr">
        <is>
          <t>2018::jama.2018.18020::C004</t>
        </is>
      </c>
      <c r="B334" s="2" t="n">
        <v>0</v>
      </c>
      <c r="C334" s="2" t="inlineStr">
        <is>
          <t>Source evidence</t>
        </is>
      </c>
      <c r="D334" s="2" t="inlineStr">
        <is>
          <t>eTable 4 prints placebo Any 2 (6%), mexiletine Any 27 (90%), and count-2 rows displayed as 7%; main text prints 21 of 30 patients (70%).</t>
        </is>
      </c>
    </row>
    <row r="335" ht="48" customHeight="1">
      <c r="A335" s="3" t="inlineStr">
        <is>
          <t>2018::jama.2018.18020::C004</t>
        </is>
      </c>
      <c r="B335" s="3" t="n">
        <v>1</v>
      </c>
      <c r="C335" s="3" t="inlineStr">
        <is>
          <t>Reported-versus-comparator</t>
        </is>
      </c>
      <c r="D335" s="3" t="inlineStr">
        <is>
          <t>Reported 2 (6%) versus the apparent 30-patient denominator and surrounding count/percentage convention.</t>
        </is>
      </c>
    </row>
    <row r="336" ht="48" customHeight="1">
      <c r="A336" s="2" t="inlineStr">
        <is>
          <t>2018::jama.2018.18020::C004</t>
        </is>
      </c>
      <c r="B336" s="2" t="n">
        <v>2</v>
      </c>
      <c r="C336" s="2" t="inlineStr">
        <is>
          <t>Calculation</t>
        </is>
      </c>
      <c r="D336" s="2" t="inlineStr">
        <is>
          <t>2/30 × 100 = 6.67%, ordinarily 7%; a denominator of 31 gives 6.45%, which can round to 6%.</t>
        </is>
      </c>
    </row>
    <row r="337" ht="48" customHeight="1">
      <c r="A337" s="3" t="inlineStr">
        <is>
          <t>2018::jama.2018.18020::C004</t>
        </is>
      </c>
      <c r="B337" s="3" t="n">
        <v>3</v>
      </c>
      <c r="C337" s="3" t="inlineStr">
        <is>
          <t>Alternative source-grounded interpretations</t>
        </is>
      </c>
      <c r="D337" s="3" t="inlineStr">
        <is>
          <t>The row may use 31 treatment-set exposures or truncation; eTable 4 does not print a denominator, unit, or rounding rule.</t>
        </is>
      </c>
    </row>
    <row r="338" ht="48" customHeight="1">
      <c r="A338" s="2" t="inlineStr">
        <is>
          <t>2018::jama.2018.18020::C005</t>
        </is>
      </c>
      <c r="B338" s="2" t="n">
        <v>0</v>
      </c>
      <c r="C338" s="2" t="inlineStr">
        <is>
          <t>Source evidence</t>
        </is>
      </c>
      <c r="D338" s="2" t="inlineStr">
        <is>
          <t>Code maps Stiff_Plac to mu_plac and Stiff_Mex to mu_mex; dictionaries describe mu_mex[i] as placebo and mu_plac[i] as mexiletine.</t>
        </is>
      </c>
    </row>
    <row r="339" ht="48" customHeight="1">
      <c r="A339" s="3" t="inlineStr">
        <is>
          <t>2018::jama.2018.18020::C005</t>
        </is>
      </c>
      <c r="B339" s="3" t="n">
        <v>1</v>
      </c>
      <c r="C339" s="3" t="inlineStr">
        <is>
          <t>Reported-versus-comparator</t>
        </is>
      </c>
      <c r="D339" s="3" t="inlineStr">
        <is>
          <t>Prose treatment labels versus likelihood/data-to-parameter mappings and named population parameters.</t>
        </is>
      </c>
    </row>
    <row r="340" ht="48" customHeight="1">
      <c r="A340" s="2" t="inlineStr">
        <is>
          <t>2018::jama.2018.18020::C005</t>
        </is>
      </c>
      <c r="B340" s="2" t="n">
        <v>2</v>
      </c>
      <c r="C340" s="2" t="inlineStr">
        <is>
          <t>Calculation</t>
        </is>
      </c>
      <c r="D340" s="2" t="inlineStr">
        <is>
          <t>Stiff_Plac -&gt; mu_plac and Stiff_Mex -&gt; mu_mex; diff_patient &lt;- mu_plac[i] - mu_mex[i] follows that code mapping.</t>
        </is>
      </c>
    </row>
    <row r="341" ht="48" customHeight="1">
      <c r="A341" s="3" t="inlineStr">
        <is>
          <t>2018::jama.2018.18020::C005</t>
        </is>
      </c>
      <c r="B341" s="3" t="n">
        <v>3</v>
      </c>
      <c r="C341" s="3" t="inlineStr">
        <is>
          <t>Alternative source-grounded interpretations</t>
        </is>
      </c>
      <c r="D341" s="3" t="inlineStr">
        <is>
          <t>Two prose rows may be transposed while executed code/output remained correct; executed files and logs are not supplied.</t>
        </is>
      </c>
    </row>
    <row r="342" ht="48" customHeight="1">
      <c r="A342" s="2" t="inlineStr">
        <is>
          <t>2018::jama.2018.18020::C006</t>
        </is>
      </c>
      <c r="B342" s="2" t="n">
        <v>0</v>
      </c>
      <c r="C342" s="2" t="inlineStr">
        <is>
          <t>Source evidence</t>
        </is>
      </c>
      <c r="D342" s="2" t="inlineStr">
        <is>
          <t>Code defines diff_CLCN1 &lt;- mu.plac_CLCN1 - mu.mex_CLCN1; the dictionary says mu.plac-mu.mex for SCN4A patients.</t>
        </is>
      </c>
    </row>
    <row r="343" ht="48" customHeight="1">
      <c r="A343" s="3" t="inlineStr">
        <is>
          <t>2018::jama.2018.18020::C006</t>
        </is>
      </c>
      <c r="B343" s="3" t="n">
        <v>1</v>
      </c>
      <c r="C343" s="3" t="inlineStr">
        <is>
          <t>Reported-versus-comparator</t>
        </is>
      </c>
      <c r="D343" s="3" t="inlineStr">
        <is>
          <t>SCN4A prose description versus the CLCN1 parameter suffix and both CLCN1 code components.</t>
        </is>
      </c>
    </row>
    <row r="344" ht="48" customHeight="1">
      <c r="A344" s="2" t="inlineStr">
        <is>
          <t>2018::jama.2018.18020::C006</t>
        </is>
      </c>
      <c r="B344" s="2" t="n">
        <v>2</v>
      </c>
      <c r="C344" s="2" t="inlineStr">
        <is>
          <t>Calculation</t>
        </is>
      </c>
      <c r="D344" s="2" t="inlineStr">
        <is>
          <t>Substituting the displayed components produces the CLCN1 placebo-minus-mexiletine contrast, not an SCN4A contrast.</t>
        </is>
      </c>
    </row>
    <row r="345" ht="48" customHeight="1">
      <c r="A345" s="3" t="inlineStr">
        <is>
          <t>2018::jama.2018.18020::C006</t>
        </is>
      </c>
      <c r="B345" s="3" t="n">
        <v>3</v>
      </c>
      <c r="C345" s="3" t="inlineStr">
        <is>
          <t>Alternative source-grounded interpretations</t>
        </is>
      </c>
      <c r="D345" s="3" t="inlineStr">
        <is>
          <t>The row may be a copy-forward of the preceding SCN4A description; executed output is unavailable.</t>
        </is>
      </c>
    </row>
    <row r="346" ht="48" customHeight="1">
      <c r="A346" s="2" t="inlineStr">
        <is>
          <t>2018::jama.2018.18020::C007</t>
        </is>
      </c>
      <c r="B346" s="2" t="n">
        <v>0</v>
      </c>
      <c r="C346" s="2" t="inlineStr">
        <is>
          <t>Source evidence</t>
        </is>
      </c>
      <c r="D346" s="2" t="inlineStr">
        <is>
          <t>tau.mex &lt;- 1/(sigma.mex*sigma.mex) is used with mu_mex and Stiff_Mex, while prose calls sigma.mex placebo-period variability.</t>
        </is>
      </c>
    </row>
    <row r="347" ht="48" customHeight="1">
      <c r="A347" s="3" t="inlineStr">
        <is>
          <t>2018::jama.2018.18020::C007</t>
        </is>
      </c>
      <c r="B347" s="3" t="n">
        <v>1</v>
      </c>
      <c r="C347" s="3" t="inlineStr">
        <is>
          <t>Reported-versus-comparator</t>
        </is>
      </c>
      <c r="D347" s="3" t="inlineStr">
        <is>
          <t>Placebo wording versus .mex likelihood branch, mean parameter, and parallel .plac parameter.</t>
        </is>
      </c>
    </row>
    <row r="348" ht="48" customHeight="1">
      <c r="A348" s="2" t="inlineStr">
        <is>
          <t>2018::jama.2018.18020::C007</t>
        </is>
      </c>
      <c r="B348" s="2" t="n">
        <v>2</v>
      </c>
      <c r="C348" s="2" t="inlineStr">
        <is>
          <t>Calculation</t>
        </is>
      </c>
      <c r="D348" s="2" t="inlineStr">
        <is>
          <t>tau.mex = 1/sigma.mex^2 supplies precision for mu_mex, which is used for Stiff_Mex.</t>
        </is>
      </c>
    </row>
    <row r="349" ht="48" customHeight="1">
      <c r="A349" s="3" t="inlineStr">
        <is>
          <t>2018::jama.2018.18020::C007</t>
        </is>
      </c>
      <c r="B349" s="3" t="n">
        <v>3</v>
      </c>
      <c r="C349" s="3" t="inlineStr">
        <is>
          <t>Alternative source-grounded interpretations</t>
        </is>
      </c>
      <c r="D349" s="3" t="inlineStr">
        <is>
          <t>The wording may be repeated copy-forward text while code remains correct; executed models/logs are not supplied.</t>
        </is>
      </c>
    </row>
    <row r="350" ht="48" customHeight="1">
      <c r="A350" s="2" t="inlineStr">
        <is>
          <t>2018::jama.2018.18020::C008</t>
        </is>
      </c>
      <c r="B350" s="2" t="n">
        <v>0</v>
      </c>
      <c r="C350" s="2" t="inlineStr">
        <is>
          <t>Source evidence</t>
        </is>
      </c>
      <c r="D350" s="2" t="inlineStr">
        <is>
          <t>Page 4 assigns 3.84 (95% CrI 2.52-5.16; n=16) to CLNC1; matched displays and gene definition use CLCN1.</t>
        </is>
      </c>
    </row>
    <row r="351" ht="48" customHeight="1">
      <c r="A351" s="3" t="inlineStr">
        <is>
          <t>2018::jama.2018.18020::C008</t>
        </is>
      </c>
      <c r="B351" s="3" t="n">
        <v>1</v>
      </c>
      <c r="C351" s="3" t="inlineStr">
        <is>
          <t>Reported-versus-comparator</t>
        </is>
      </c>
      <c r="D351" s="3" t="inlineStr">
        <is>
          <t>CLNC1 in narrative versus CLCN1 in matched subgroup displays with identical estimate, interval, and n.</t>
        </is>
      </c>
    </row>
    <row r="352" ht="48" customHeight="1">
      <c r="A352" s="2" t="inlineStr">
        <is>
          <t>2018::jama.2018.18020::C008</t>
        </is>
      </c>
      <c r="B352" s="2" t="n">
        <v>2</v>
      </c>
      <c r="C352" s="2" t="inlineStr">
        <is>
          <t>Calculation</t>
        </is>
      </c>
      <c r="D352" s="2" t="inlineStr">
        <is>
          <t>The numeric keys 3.84, 2.52-5.16, and n=16 identify one subgroup; only the gene-symbol character order differs.</t>
        </is>
      </c>
    </row>
    <row r="353" ht="48" customHeight="1">
      <c r="A353" s="3" t="inlineStr">
        <is>
          <t>2018::jama.2018.18020::C008</t>
        </is>
      </c>
      <c r="B353" s="3" t="n">
        <v>3</v>
      </c>
      <c r="C353" s="3" t="inlineStr">
        <is>
          <t>Alternative source-grounded interpretations</t>
        </is>
      </c>
      <c r="D353" s="3" t="inlineStr">
        <is>
          <t>This may be a local typographical transposition; supplied evidence does not establish an effect on analysis.</t>
        </is>
      </c>
    </row>
    <row r="354" ht="48" customHeight="1">
      <c r="A354" s="2" t="inlineStr">
        <is>
          <t>2018::jama.2018.18020::C009</t>
        </is>
      </c>
      <c r="B354" s="2" t="n">
        <v>0</v>
      </c>
      <c r="C354" s="2" t="inlineStr">
        <is>
          <t>Source evidence</t>
        </is>
      </c>
      <c r="D354" s="2" t="inlineStr">
        <is>
          <t>The row reports effect 6.78, 95% CI 1.64 to 11.92, and P=.001; Table 2 states N=27 and dependent t tests for non-IVR secondary outcomes.</t>
        </is>
      </c>
    </row>
    <row r="355" ht="48" customHeight="1">
      <c r="A355" s="3" t="inlineStr">
        <is>
          <t>2018::jama.2018.18020::C009</t>
        </is>
      </c>
      <c r="B355" s="3" t="n">
        <v>1</v>
      </c>
      <c r="C355" s="3" t="inlineStr">
        <is>
          <t>Reported-versus-comparator</t>
        </is>
      </c>
      <c r="D355" s="3" t="inlineStr">
        <is>
          <t>Reported .001 versus CI-derived two-sided diagnostic under df=26.</t>
        </is>
      </c>
    </row>
    <row r="356" ht="48" customHeight="1">
      <c r="A356" s="2" t="inlineStr">
        <is>
          <t>2018::jama.2018.18020::C009</t>
        </is>
      </c>
      <c r="B356" s="2" t="n">
        <v>2</v>
      </c>
      <c r="C356" s="2" t="inlineStr">
        <is>
          <t>Calculation</t>
        </is>
      </c>
      <c r="D356" s="2" t="inlineStr">
        <is>
          <t>Half-width 5.14 gives SE about 5.14/2.056 = 2.50; t ≈ 6.78/2.50 = 2.71; two-sided P is about .012, not .001.</t>
        </is>
      </c>
    </row>
    <row r="357" ht="48" customHeight="1">
      <c r="A357" s="3" t="inlineStr">
        <is>
          <t>2018::jama.2018.18020::C009</t>
        </is>
      </c>
      <c r="B357" s="3" t="n">
        <v>3</v>
      </c>
      <c r="C357" s="3" t="inlineStr">
        <is>
          <t>Alternative source-grounded interpretations</t>
        </is>
      </c>
      <c r="D357" s="3" t="inlineStr">
        <is>
          <t>Row-specific paired n, CI construction, or inferential procedure could differ but are not supplied.</t>
        </is>
      </c>
    </row>
    <row r="358" ht="48" customHeight="1">
      <c r="A358" s="2" t="inlineStr">
        <is>
          <t>2018::jama.2018.18020::C010</t>
        </is>
      </c>
      <c r="B358" s="2" t="n">
        <v>0</v>
      </c>
      <c r="C358" s="2" t="inlineStr">
        <is>
          <t>Source evidence</t>
        </is>
      </c>
      <c r="D358" s="2" t="inlineStr">
        <is>
          <t>The row prints -1.96, 95% CI -3.41 to 0.51, P=.009; subgroup n=11 and dependent t test are stated.</t>
        </is>
      </c>
    </row>
    <row r="359" ht="48" customHeight="1">
      <c r="A359" s="3" t="inlineStr">
        <is>
          <t>2018::jama.2018.18020::C010</t>
        </is>
      </c>
      <c r="B359" s="3" t="n">
        <v>1</v>
      </c>
      <c r="C359" s="3" t="inlineStr">
        <is>
          <t>Reported-versus-comparator</t>
        </is>
      </c>
      <c r="D359" s="3" t="inlineStr">
        <is>
          <t>Reported .009 versus a CI that crosses zero and the conditional df=10 diagnostic.</t>
        </is>
      </c>
    </row>
    <row r="360" ht="48" customHeight="1">
      <c r="A360" s="2" t="inlineStr">
        <is>
          <t>2018::jama.2018.18020::C010</t>
        </is>
      </c>
      <c r="B360" s="2" t="n">
        <v>2</v>
      </c>
      <c r="C360" s="2" t="inlineStr">
        <is>
          <t>Calculation</t>
        </is>
      </c>
      <c r="D360" s="2" t="inlineStr">
        <is>
          <t>CI half-width 1.96 with df=10 gives SE about 1.96/2.228 = 0.88; |t| ≈ 1.96/0.88 = 2.23, two-sided P about .05.</t>
        </is>
      </c>
    </row>
    <row r="361" ht="48" customHeight="1">
      <c r="A361" s="3" t="inlineStr">
        <is>
          <t>2018::jama.2018.18020::C010</t>
        </is>
      </c>
      <c r="B361" s="3" t="n">
        <v>3</v>
      </c>
      <c r="C361" s="3" t="inlineStr">
        <is>
          <t>Alternative source-grounded interpretations</t>
        </is>
      </c>
      <c r="D361" s="3" t="inlineStr">
        <is>
          <t>A P value, endpoint, subgroup n, or CI/test definition may differ from the table-level rule.</t>
        </is>
      </c>
    </row>
    <row r="362" ht="48" customHeight="1">
      <c r="A362" s="2" t="inlineStr">
        <is>
          <t>2018::jama.2018.18020::C011</t>
        </is>
      </c>
      <c r="B362" s="2" t="n">
        <v>0</v>
      </c>
      <c r="C362" s="2" t="inlineStr">
        <is>
          <t>Source evidence</t>
        </is>
      </c>
      <c r="D362" s="2" t="inlineStr">
        <is>
          <t>The row prints 13.71, 95% CI -1.96 to 25.47, and P=.02; subgroup n=11 and dependent t test are stated.</t>
        </is>
      </c>
    </row>
    <row r="363" ht="48" customHeight="1">
      <c r="A363" s="3" t="inlineStr">
        <is>
          <t>2018::jama.2018.18020::C011</t>
        </is>
      </c>
      <c r="B363" s="3" t="n">
        <v>1</v>
      </c>
      <c r="C363" s="3" t="inlineStr">
        <is>
          <t>Reported-versus-comparator</t>
        </is>
      </c>
      <c r="D363" s="3" t="inlineStr">
        <is>
          <t>Reported estimate/CI/P versus interval midpoint, zero crossing, and conditional df=10 diagnostic.</t>
        </is>
      </c>
    </row>
    <row r="364" ht="48" customHeight="1">
      <c r="A364" s="2" t="inlineStr">
        <is>
          <t>2018::jama.2018.18020::C011</t>
        </is>
      </c>
      <c r="B364" s="2" t="n">
        <v>2</v>
      </c>
      <c r="C364" s="2" t="inlineStr">
        <is>
          <t>Calculation</t>
        </is>
      </c>
      <c r="D364" s="2" t="inlineStr">
        <is>
          <t>Midpoint is (-1.96 + 25.47)/2 = 11.755, not 13.71; CI crosses zero; half-width 13.715 gives a two-sided diagnostic near .05, not .02.</t>
        </is>
      </c>
    </row>
    <row r="365" ht="48" customHeight="1">
      <c r="A365" s="3" t="inlineStr">
        <is>
          <t>2018::jama.2018.18020::C011</t>
        </is>
      </c>
      <c r="B365" s="3" t="n">
        <v>3</v>
      </c>
      <c r="C365" s="3" t="inlineStr">
        <is>
          <t>Alternative source-grounded interpretations</t>
        </is>
      </c>
      <c r="D365" s="3" t="inlineStr">
        <is>
          <t>A lower-endpoint sign/transcription, P value, n, or procedure may be different; raw output is absent.</t>
        </is>
      </c>
    </row>
    <row r="366" ht="48" customHeight="1">
      <c r="A366" s="2" t="inlineStr">
        <is>
          <t>2018::jama.2018.18020::C012</t>
        </is>
      </c>
      <c r="B366" s="2" t="n">
        <v>0</v>
      </c>
      <c r="C366" s="2" t="inlineStr">
        <is>
          <t>Source evidence</t>
        </is>
      </c>
      <c r="D366" s="2" t="inlineStr">
        <is>
          <t>The row reports effect 0.67, 95% CI 0.23 to 1.11, and P&lt;.001; Table 2 states N=27 and dependent t tests for non-IVR outcomes.</t>
        </is>
      </c>
    </row>
    <row r="367" ht="48" customHeight="1">
      <c r="A367" s="3" t="inlineStr">
        <is>
          <t>2018::jama.2018.18020::C012</t>
        </is>
      </c>
      <c r="B367" s="3" t="n">
        <v>1</v>
      </c>
      <c r="C367" s="3" t="inlineStr">
        <is>
          <t>Reported-versus-comparator</t>
        </is>
      </c>
      <c r="D367" s="3" t="inlineStr">
        <is>
          <t>Reported P&lt;.001 versus a CI-derived two-sided diagnostic under df=26.</t>
        </is>
      </c>
    </row>
    <row r="368" ht="48" customHeight="1">
      <c r="A368" s="2" t="inlineStr">
        <is>
          <t>2018::jama.2018.18020::C012</t>
        </is>
      </c>
      <c r="B368" s="2" t="n">
        <v>2</v>
      </c>
      <c r="C368" s="2" t="inlineStr">
        <is>
          <t>Calculation</t>
        </is>
      </c>
      <c r="D368" s="2" t="inlineStr">
        <is>
          <t>Half-width .44 gives SE about .44/2.056 = .214; t ≈ .67/.214 = 3.13; two-sided P about .004, not below .001.</t>
        </is>
      </c>
    </row>
    <row r="369" ht="48" customHeight="1">
      <c r="A369" s="3" t="inlineStr">
        <is>
          <t>2018::jama.2018.18020::C012</t>
        </is>
      </c>
      <c r="B369" s="3" t="n">
        <v>3</v>
      </c>
      <c r="C369" s="3" t="inlineStr">
        <is>
          <t>Alternative source-grounded interpretations</t>
        </is>
      </c>
      <c r="D369" s="3" t="inlineStr">
        <is>
          <t>Row-specific n, paired-difference variability, or exact CI/P calculation may differ but are not printed.</t>
        </is>
      </c>
    </row>
    <row r="370" ht="48" customHeight="1">
      <c r="A370" s="2" t="inlineStr">
        <is>
          <t>2018::jama.2018.18020::C013</t>
        </is>
      </c>
      <c r="B370" s="2" t="n">
        <v>0</v>
      </c>
      <c r="C370" s="2" t="inlineStr">
        <is>
          <t>Source evidence</t>
        </is>
      </c>
      <c r="D370" s="2" t="inlineStr">
        <is>
          <t>The cell prints 0.46 (-0.30 to -1.23).</t>
        </is>
      </c>
    </row>
    <row r="371" ht="48" customHeight="1">
      <c r="A371" s="3" t="inlineStr">
        <is>
          <t>2018::jama.2018.18020::C013</t>
        </is>
      </c>
      <c r="B371" s="3" t="n">
        <v>1</v>
      </c>
      <c r="C371" s="3" t="inlineStr">
        <is>
          <t>Reported-versus-comparator</t>
        </is>
      </c>
      <c r="D371" s="3" t="inlineStr">
        <is>
          <t>Printed estimate 0.46 versus printed endpoints -0.30 and -1.23.</t>
        </is>
      </c>
    </row>
    <row r="372" ht="48" customHeight="1">
      <c r="A372" s="2" t="inlineStr">
        <is>
          <t>2018::jama.2018.18020::C013</t>
        </is>
      </c>
      <c r="B372" s="2" t="n">
        <v>2</v>
      </c>
      <c r="C372" s="2" t="inlineStr">
        <is>
          <t>Calculation</t>
        </is>
      </c>
      <c r="D372" s="2" t="inlineStr">
        <is>
          <t>-0.30 &gt; -1.23; even when ordered as -1.23 to -0.30, 0.46 is outside. The same row gives -2.39 - 0.46 = -2.85 for the observed treatment-effect direction.</t>
        </is>
      </c>
    </row>
    <row r="373" ht="48" customHeight="1">
      <c r="A373" s="3" t="inlineStr">
        <is>
          <t>2018::jama.2018.18020::C013</t>
        </is>
      </c>
      <c r="B373" s="3" t="n">
        <v>3</v>
      </c>
      <c r="C373" s="3" t="inlineStr">
        <is>
          <t>Alternative source-grounded interpretations</t>
        </is>
      </c>
      <c r="D373" s="3" t="inlineStr">
        <is>
          <t>Endpoints may be transposed, or an endpoint sign/value or point estimate may be misprinted.</t>
        </is>
      </c>
    </row>
    <row r="374" ht="48" customHeight="1">
      <c r="A374" s="2" t="inlineStr">
        <is>
          <t>2018::jama.2018.18020::C014</t>
        </is>
      </c>
      <c r="B374" s="2" t="n">
        <v>0</v>
      </c>
      <c r="C374" s="2" t="inlineStr">
        <is>
          <t>Source evidence</t>
        </is>
      </c>
      <c r="D374" s="2" t="inlineStr">
        <is>
          <t>The cell prints 0.07 (-0.67 to 0.01).</t>
        </is>
      </c>
    </row>
    <row r="375" ht="48" customHeight="1">
      <c r="A375" s="3" t="inlineStr">
        <is>
          <t>2018::jama.2018.18020::C014</t>
        </is>
      </c>
      <c r="B375" s="3" t="n">
        <v>1</v>
      </c>
      <c r="C375" s="3" t="inlineStr">
        <is>
          <t>Reported-versus-comparator</t>
        </is>
      </c>
      <c r="D375" s="3" t="inlineStr">
        <is>
          <t>Printed estimate 0.07 versus ordered interval -0.67 to 0.01.</t>
        </is>
      </c>
    </row>
    <row r="376" ht="48" customHeight="1">
      <c r="A376" s="2" t="inlineStr">
        <is>
          <t>2018::jama.2018.18020::C014</t>
        </is>
      </c>
      <c r="B376" s="2" t="n">
        <v>2</v>
      </c>
      <c r="C376" s="2" t="inlineStr">
        <is>
          <t>Calculation</t>
        </is>
      </c>
      <c r="D376" s="2" t="inlineStr">
        <is>
          <t>0.07 &gt; 0.01; the estimate exceeds the printed upper endpoint by 0.06. Same-row arithmetic gives -1.05 - 0.07 = -1.12 under the observed table direction.</t>
        </is>
      </c>
    </row>
    <row r="377" ht="48" customHeight="1">
      <c r="A377" s="3" t="inlineStr">
        <is>
          <t>2018::jama.2018.18020::C014</t>
        </is>
      </c>
      <c r="B377" s="3" t="n">
        <v>3</v>
      </c>
      <c r="C377" s="3" t="inlineStr">
        <is>
          <t>Alternative source-grounded interpretations</t>
        </is>
      </c>
      <c r="D377" s="3" t="inlineStr">
        <is>
          <t>An endpoint digit, estimate sign/value, or other table field may be transcribed incorrectly.</t>
        </is>
      </c>
    </row>
    <row r="378" ht="74" customHeight="1">
      <c r="A378" s="2" t="inlineStr">
        <is>
          <t>2018::jama.2018.6496::C001</t>
        </is>
      </c>
      <c r="B378" s="2" t="n">
        <v>0</v>
      </c>
      <c r="C378" s="2" t="inlineStr">
        <is>
          <t>Source evidence</t>
        </is>
      </c>
      <c r="D378" s="2"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58" customHeight="1">
      <c r="A379" s="3" t="inlineStr">
        <is>
          <t>2018::jama.2018.6496::C001</t>
        </is>
      </c>
      <c r="B379" s="3" t="n">
        <v>1</v>
      </c>
      <c r="C379" s="3" t="inlineStr">
        <is>
          <t>Reported-versus-comparator</t>
        </is>
      </c>
      <c r="D379" s="3" t="inlineStr">
        <is>
          <t>The reported main-table interval is 4 to -1; the applicable lower-to-upper display convention requires a lower endpoint not greater than the upper endpoint. The clustered interval is contextual distinct-model evidence, not an unclustered replacement.</t>
        </is>
      </c>
    </row>
    <row r="380" ht="48" customHeight="1">
      <c r="A380" s="2" t="inlineStr">
        <is>
          <t>2018::jama.2018.6496::C001</t>
        </is>
      </c>
      <c r="B380" s="2" t="n">
        <v>2</v>
      </c>
      <c r="C380" s="2" t="inlineStr">
        <is>
          <t>Calculation</t>
        </is>
      </c>
      <c r="D380" s="2" t="inlineStr">
        <is>
          <t>4 &gt; -1; the displayed sequence is decreasing. Reordering to -1 to 4 is only a diagnostic possibility, not an assigned correction.</t>
        </is>
      </c>
    </row>
    <row r="381" ht="58" customHeight="1">
      <c r="A381" s="3" t="inlineStr">
        <is>
          <t>2018::jama.2018.6496::C001</t>
        </is>
      </c>
      <c r="B381" s="3" t="n">
        <v>3</v>
      </c>
      <c r="C381" s="3" t="inlineStr">
        <is>
          <t>Alternative source-grounded interpretations</t>
        </is>
      </c>
      <c r="D381" s="3"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74" customHeight="1">
      <c r="A382" s="2" t="inlineStr">
        <is>
          <t>2018::jama.2018.6496::C002</t>
        </is>
      </c>
      <c r="B382" s="2" t="n">
        <v>0</v>
      </c>
      <c r="C382" s="2" t="inlineStr">
        <is>
          <t>Source evidence</t>
        </is>
      </c>
      <c r="D382" s="2"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58" customHeight="1">
      <c r="A383" s="3" t="inlineStr">
        <is>
          <t>2018::jama.2018.6496::C002</t>
        </is>
      </c>
      <c r="B383" s="3" t="n">
        <v>1</v>
      </c>
      <c r="C383" s="3" t="inlineStr">
        <is>
          <t>Reported-versus-comparator</t>
        </is>
      </c>
      <c r="D383" s="3"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48" customHeight="1">
      <c r="A384" s="2" t="inlineStr">
        <is>
          <t>2018::jama.2018.6496::C002</t>
        </is>
      </c>
      <c r="B384" s="2" t="n">
        <v>2</v>
      </c>
      <c r="C384" s="2" t="inlineStr">
        <is>
          <t>Calculation</t>
        </is>
      </c>
      <c r="D384" s="2" t="inlineStr">
        <is>
          <t>366 - 364 = 2. Relative to the randomized ETT+stylet total, 376 - 366 = 10 and 376 - 364 = 12. Aggregate counts cannot identify the two patients.</t>
        </is>
      </c>
    </row>
    <row r="385" ht="74" customHeight="1">
      <c r="A385" s="3" t="inlineStr">
        <is>
          <t>2018::jama.2018.6496::C002</t>
        </is>
      </c>
      <c r="B385" s="3" t="n">
        <v>3</v>
      </c>
      <c r="C385" s="3" t="inlineStr">
        <is>
          <t>Alternative source-grounded interpretations</t>
        </is>
      </c>
      <c r="D385" s="3"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74" customHeight="1">
      <c r="A386" s="2" t="inlineStr">
        <is>
          <t>2018::jama.2018.6496::C003</t>
        </is>
      </c>
      <c r="B386" s="2" t="n">
        <v>0</v>
      </c>
      <c r="C386" s="2" t="inlineStr">
        <is>
          <t>Source evidence</t>
        </is>
      </c>
      <c r="D386" s="2"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58" customHeight="1">
      <c r="A387" s="3" t="inlineStr">
        <is>
          <t>2018::jama.2018.6496::C003</t>
        </is>
      </c>
      <c r="B387" s="3" t="n">
        <v>1</v>
      </c>
      <c r="C387" s="3" t="inlineStr">
        <is>
          <t>Reported-versus-comparator</t>
        </is>
      </c>
      <c r="D387" s="3" t="inlineStr">
        <is>
          <t>The threshold and starting event agree. The planned endpoint is one minute after cuff inflation; the published endpoint is one minute after attempt completion/blade removal. These are nonidentical named procedural events.</t>
        </is>
      </c>
    </row>
    <row r="388" ht="48" customHeight="1">
      <c r="A388" s="2" t="inlineStr">
        <is>
          <t>2018::jama.2018.6496::C003</t>
        </is>
      </c>
      <c r="B388" s="2" t="n">
        <v>2</v>
      </c>
      <c r="C388" s="2" t="inlineStr">
        <is>
          <t>Calculation</t>
        </is>
      </c>
      <c r="D388" s="2" t="inlineStr">
        <is>
          <t>No numeric recalculation is applicable. The reproducible comparison is one minute after ETT-cuff inflation versus one minute after attempt completion/blade removal.</t>
        </is>
      </c>
    </row>
    <row r="389" ht="58" customHeight="1">
      <c r="A389" s="3" t="inlineStr">
        <is>
          <t>2018::jama.2018.6496::C003</t>
        </is>
      </c>
      <c r="B389" s="3" t="n">
        <v>3</v>
      </c>
      <c r="C389" s="3" t="inlineStr">
        <is>
          <t>Alternative source-grounded interpretations</t>
        </is>
      </c>
      <c r="D389" s="3"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74" customHeight="1">
      <c r="A390" s="2" t="inlineStr">
        <is>
          <t>2018::jama.2018.6496::C004</t>
        </is>
      </c>
      <c r="B390" s="2" t="n">
        <v>0</v>
      </c>
      <c r="C390" s="2" t="inlineStr">
        <is>
          <t>Source evidence</t>
        </is>
      </c>
      <c r="D390" s="2"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48" customHeight="1">
      <c r="A391" s="3" t="inlineStr">
        <is>
          <t>2018::jama.2018.6496::C004</t>
        </is>
      </c>
      <c r="B391" s="3" t="n">
        <v>1</v>
      </c>
      <c r="C391" s="3" t="inlineStr">
        <is>
          <t>Reported-versus-comparator</t>
        </is>
      </c>
      <c r="D391" s="3" t="inlineStr">
        <is>
          <t>The start event is compatible. The planned endpoint is cuff inflation; the published endpoint is blade removal. The latter can define a different time scale and a duration for failed attempts.</t>
        </is>
      </c>
    </row>
    <row r="392" ht="48" customHeight="1">
      <c r="A392" s="2" t="inlineStr">
        <is>
          <t>2018::jama.2018.6496::C004</t>
        </is>
      </c>
      <c r="B392" s="2" t="n">
        <v>2</v>
      </c>
      <c r="C392" s="2" t="inlineStr">
        <is>
          <t>Calculation</t>
        </is>
      </c>
      <c r="D392" s="2" t="inlineStr">
        <is>
          <t>No numeric recalculation is applicable. The patient-level difference would be time(blade removal) - time(cuff inflation), but neither paired timestamps nor a defined equivalence are supplied.</t>
        </is>
      </c>
    </row>
    <row r="393" ht="74" customHeight="1">
      <c r="A393" s="3" t="inlineStr">
        <is>
          <t>2018::jama.2018.6496::C004</t>
        </is>
      </c>
      <c r="B393" s="3" t="n">
        <v>3</v>
      </c>
      <c r="C393" s="3" t="inlineStr">
        <is>
          <t>Alternative source-grounded interpretations</t>
        </is>
      </c>
      <c r="D393" s="3"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48" customHeight="1">
      <c r="A394" s="2" t="inlineStr">
        <is>
          <t>2018::jama.2018.8802::C001</t>
        </is>
      </c>
      <c r="B394" s="2" t="n">
        <v>0</v>
      </c>
      <c r="C394" s="2" t="inlineStr">
        <is>
          <t>Source evidence</t>
        </is>
      </c>
      <c r="D394" s="2" t="inlineStr">
        <is>
          <t>The direct PDF prints intervention Patients, No. = 2400 and the row cell 311 (13.05).</t>
        </is>
      </c>
    </row>
    <row r="395" ht="48" customHeight="1">
      <c r="A395" s="3" t="inlineStr">
        <is>
          <t>2018::jama.2018.8802::C001</t>
        </is>
      </c>
      <c r="B395" s="3" t="n">
        <v>1</v>
      </c>
      <c r="C395" s="3" t="inlineStr">
        <is>
          <t>Reported-versus-comparator</t>
        </is>
      </c>
      <c r="D395" s="3" t="inlineStr">
        <is>
          <t>Reported 13.05% versus 311/2400.</t>
        </is>
      </c>
    </row>
    <row r="396" ht="48" customHeight="1">
      <c r="A396" s="2" t="inlineStr">
        <is>
          <t>2018::jama.2018.8802::C001</t>
        </is>
      </c>
      <c r="B396" s="2" t="n">
        <v>2</v>
      </c>
      <c r="C396" s="2" t="inlineStr">
        <is>
          <t>Calculation</t>
        </is>
      </c>
      <c r="D396" s="2" t="inlineStr">
        <is>
          <t>311 / 2400 × 100 = 12.9583%, which rounds to 13.0% at one decimal or 12.96% at two decimals, not 13.05%.</t>
        </is>
      </c>
    </row>
    <row r="397" ht="48" customHeight="1">
      <c r="A397" s="3" t="inlineStr">
        <is>
          <t>2018::jama.2018.8802::C001</t>
        </is>
      </c>
      <c r="B397" s="3" t="n">
        <v>3</v>
      </c>
      <c r="C397" s="3" t="inlineStr">
        <is>
          <t>Alternative source-grounded interpretations</t>
        </is>
      </c>
      <c r="D397" s="3" t="inlineStr">
        <is>
          <t>A row-specific denominator or nonstandard calculation may have been used, but neither is supplied.</t>
        </is>
      </c>
    </row>
    <row r="398" ht="48" customHeight="1">
      <c r="A398" s="2" t="inlineStr">
        <is>
          <t>2018::jama.2018.8802::C002</t>
        </is>
      </c>
      <c r="B398" s="2" t="n">
        <v>0</v>
      </c>
      <c r="C398" s="2" t="inlineStr">
        <is>
          <t>Source evidence</t>
        </is>
      </c>
      <c r="D398" s="2" t="inlineStr">
        <is>
          <t>The result labels print &gt;100 mg/dL; both supplied definitions print ≥100 mg/dL with additional eligibility conditions.</t>
        </is>
      </c>
    </row>
    <row r="399" ht="48" customHeight="1">
      <c r="A399" s="3" t="inlineStr">
        <is>
          <t>2018::jama.2018.8802::C002</t>
        </is>
      </c>
      <c r="B399" s="3" t="n">
        <v>1</v>
      </c>
      <c r="C399" s="3" t="inlineStr">
        <is>
          <t>Reported-versus-comparator</t>
        </is>
      </c>
      <c r="D399" s="3" t="inlineStr">
        <is>
          <t>A strict threshold excludes LDL exactly 100 mg/dL; an inclusive threshold includes it.</t>
        </is>
      </c>
    </row>
    <row r="400" ht="48" customHeight="1">
      <c r="A400" s="2" t="inlineStr">
        <is>
          <t>2018::jama.2018.8802::C002</t>
        </is>
      </c>
      <c r="B400" s="2" t="n">
        <v>2</v>
      </c>
      <c r="C400" s="2" t="inlineStr">
        <is>
          <t>Calculation</t>
        </is>
      </c>
      <c r="D400" s="2" t="inlineStr">
        <is>
          <t>&gt;100 ≠ ≥100; no rounding tolerance applies.</t>
        </is>
      </c>
    </row>
    <row r="401" ht="48" customHeight="1">
      <c r="A401" s="3" t="inlineStr">
        <is>
          <t>2018::jama.2018.8802::C002</t>
        </is>
      </c>
      <c r="B401" s="3" t="n">
        <v>3</v>
      </c>
      <c r="C401" s="3" t="inlineStr">
        <is>
          <t>Alternative source-grounded interpretations</t>
        </is>
      </c>
      <c r="D401" s="3" t="inlineStr">
        <is>
          <t>The result-row wording may be abbreviated while the formal inclusive definition governed eligibility; the supplied package does not state this.</t>
        </is>
      </c>
    </row>
    <row r="402" ht="48" customHeight="1">
      <c r="A402" s="2" t="inlineStr">
        <is>
          <t>2018::jama.2018.8802::C003</t>
        </is>
      </c>
      <c r="B402" s="2" t="n">
        <v>0</v>
      </c>
      <c r="C402" s="2" t="inlineStr">
        <is>
          <t>Source evidence</t>
        </is>
      </c>
      <c r="D402" s="2" t="inlineStr">
        <is>
          <t>The cell under No. / Total (%) prints 2141/2400 (89.3).</t>
        </is>
      </c>
    </row>
    <row r="403" ht="48" customHeight="1">
      <c r="A403" s="3" t="inlineStr">
        <is>
          <t>2018::jama.2018.8802::C003</t>
        </is>
      </c>
      <c r="B403" s="3" t="n">
        <v>1</v>
      </c>
      <c r="C403" s="3" t="inlineStr">
        <is>
          <t>Reported-versus-comparator</t>
        </is>
      </c>
      <c r="D403" s="3" t="inlineStr">
        <is>
          <t>Reported 89.3% versus fraction-derived 89.2083%.</t>
        </is>
      </c>
    </row>
    <row r="404" ht="48" customHeight="1">
      <c r="A404" s="2" t="inlineStr">
        <is>
          <t>2018::jama.2018.8802::C003</t>
        </is>
      </c>
      <c r="B404" s="2" t="n">
        <v>2</v>
      </c>
      <c r="C404" s="2" t="inlineStr">
        <is>
          <t>Calculation</t>
        </is>
      </c>
      <c r="D404" s="2" t="inlineStr">
        <is>
          <t>2141 / 2400 × 100 = 89.2083%, which rounds to 89.2%; the nearest-tenth interval for 89.3% begins at 89.25%.</t>
        </is>
      </c>
    </row>
    <row r="405" ht="48" customHeight="1">
      <c r="A405" s="3" t="inlineStr">
        <is>
          <t>2018::jama.2018.8802::C003</t>
        </is>
      </c>
      <c r="B405" s="3" t="n">
        <v>3</v>
      </c>
      <c r="C405" s="3" t="inlineStr">
        <is>
          <t>Alternative source-grounded interpretations</t>
        </is>
      </c>
      <c r="D405" s="3" t="inlineStr">
        <is>
          <t>No alternative denominator or rounding convention is supplied; the header defines the displayed fraction.</t>
        </is>
      </c>
    </row>
    <row r="406" ht="48" customHeight="1">
      <c r="A406" s="2" t="inlineStr">
        <is>
          <t>2018::jama.2018.8802::C004</t>
        </is>
      </c>
      <c r="B406" s="2" t="n">
        <v>0</v>
      </c>
      <c r="C406" s="2" t="inlineStr">
        <is>
          <t>Source evidence</t>
        </is>
      </c>
      <c r="D406" s="2" t="inlineStr">
        <is>
          <t>The direct PDF prints 39/174 (22.5) beneath No. / Total (%).</t>
        </is>
      </c>
    </row>
    <row r="407" ht="48" customHeight="1">
      <c r="A407" s="3" t="inlineStr">
        <is>
          <t>2018::jama.2018.8802::C004</t>
        </is>
      </c>
      <c r="B407" s="3" t="n">
        <v>1</v>
      </c>
      <c r="C407" s="3" t="inlineStr">
        <is>
          <t>Reported-versus-comparator</t>
        </is>
      </c>
      <c r="D407" s="3" t="inlineStr">
        <is>
          <t>Reported 22.5% versus fraction-derived 22.4138%.</t>
        </is>
      </c>
    </row>
    <row r="408" ht="48" customHeight="1">
      <c r="A408" s="2" t="inlineStr">
        <is>
          <t>2018::jama.2018.8802::C004</t>
        </is>
      </c>
      <c r="B408" s="2" t="n">
        <v>2</v>
      </c>
      <c r="C408" s="2" t="inlineStr">
        <is>
          <t>Calculation</t>
        </is>
      </c>
      <c r="D408" s="2" t="inlineStr">
        <is>
          <t>39 / 174 × 100 = 22.4138%, which rounds to 22.4%, below the 22.45% lower boundary for 22.5%.</t>
        </is>
      </c>
    </row>
    <row r="409" ht="48" customHeight="1">
      <c r="A409" s="3" t="inlineStr">
        <is>
          <t>2018::jama.2018.8802::C004</t>
        </is>
      </c>
      <c r="B409" s="3" t="n">
        <v>3</v>
      </c>
      <c r="C409" s="3" t="inlineStr">
        <is>
          <t>Alternative source-grounded interpretations</t>
        </is>
      </c>
      <c r="D409" s="3" t="inlineStr">
        <is>
          <t>No alternative denominator or rounding convention is supplied.</t>
        </is>
      </c>
    </row>
    <row r="410" ht="48" customHeight="1">
      <c r="A410" s="2" t="inlineStr">
        <is>
          <t>2018::jama.2018.8802::C005</t>
        </is>
      </c>
      <c r="B410" s="2" t="n">
        <v>0</v>
      </c>
      <c r="C410" s="2" t="inlineStr">
        <is>
          <t>Source evidence</t>
        </is>
      </c>
      <c r="D410" s="2" t="inlineStr">
        <is>
          <t>The direct PDF prints 1439/1586 (90.8) beneath No. / Total (%).</t>
        </is>
      </c>
    </row>
    <row r="411" ht="48" customHeight="1">
      <c r="A411" s="3" t="inlineStr">
        <is>
          <t>2018::jama.2018.8802::C005</t>
        </is>
      </c>
      <c r="B411" s="3" t="n">
        <v>1</v>
      </c>
      <c r="C411" s="3" t="inlineStr">
        <is>
          <t>Reported-versus-comparator</t>
        </is>
      </c>
      <c r="D411" s="3" t="inlineStr">
        <is>
          <t>Reported 90.8% versus fraction-derived 90.7314%.</t>
        </is>
      </c>
    </row>
    <row r="412" ht="48" customHeight="1">
      <c r="A412" s="2" t="inlineStr">
        <is>
          <t>2018::jama.2018.8802::C005</t>
        </is>
      </c>
      <c r="B412" s="2" t="n">
        <v>2</v>
      </c>
      <c r="C412" s="2" t="inlineStr">
        <is>
          <t>Calculation</t>
        </is>
      </c>
      <c r="D412" s="2" t="inlineStr">
        <is>
          <t>1439 / 1586 × 100 = 90.7314%, which rounds to 90.7%, below the 90.75% lower boundary for 90.8%.</t>
        </is>
      </c>
    </row>
    <row r="413" ht="48" customHeight="1">
      <c r="A413" s="3" t="inlineStr">
        <is>
          <t>2018::jama.2018.8802::C005</t>
        </is>
      </c>
      <c r="B413" s="3" t="n">
        <v>3</v>
      </c>
      <c r="C413" s="3" t="inlineStr">
        <is>
          <t>Alternative source-grounded interpretations</t>
        </is>
      </c>
      <c r="D413" s="3" t="inlineStr">
        <is>
          <t>No alternative denominator or rounding convention is supplied; C002 is a separate label/definition comparator.</t>
        </is>
      </c>
    </row>
    <row r="414" ht="48" customHeight="1">
      <c r="A414" s="2" t="inlineStr">
        <is>
          <t>2018::jama.2018.8802::C006</t>
        </is>
      </c>
      <c r="B414" s="2" t="n">
        <v>0</v>
      </c>
      <c r="C414" s="2" t="inlineStr">
        <is>
          <t>Source evidence</t>
        </is>
      </c>
      <c r="D414" s="2" t="inlineStr">
        <is>
          <t>The direct PDF prints 557/688 (81.1) beneath No. / Total (%).</t>
        </is>
      </c>
    </row>
    <row r="415" ht="48" customHeight="1">
      <c r="A415" s="3" t="inlineStr">
        <is>
          <t>2018::jama.2018.8802::C006</t>
        </is>
      </c>
      <c r="B415" s="3" t="n">
        <v>1</v>
      </c>
      <c r="C415" s="3" t="inlineStr">
        <is>
          <t>Reported-versus-comparator</t>
        </is>
      </c>
      <c r="D415" s="3" t="inlineStr">
        <is>
          <t>Reported 81.1% versus fraction-derived 80.9593%.</t>
        </is>
      </c>
    </row>
    <row r="416" ht="48" customHeight="1">
      <c r="A416" s="2" t="inlineStr">
        <is>
          <t>2018::jama.2018.8802::C006</t>
        </is>
      </c>
      <c r="B416" s="2" t="n">
        <v>2</v>
      </c>
      <c r="C416" s="2" t="inlineStr">
        <is>
          <t>Calculation</t>
        </is>
      </c>
      <c r="D416" s="2" t="inlineStr">
        <is>
          <t>557 / 688 × 100 = 80.9593%, which rounds to 81.0%, below the 81.05% lower boundary for 81.1%.</t>
        </is>
      </c>
    </row>
    <row r="417" ht="48" customHeight="1">
      <c r="A417" s="3" t="inlineStr">
        <is>
          <t>2018::jama.2018.8802::C006</t>
        </is>
      </c>
      <c r="B417" s="3" t="n">
        <v>3</v>
      </c>
      <c r="C417" s="3" t="inlineStr">
        <is>
          <t>Alternative source-grounded interpretations</t>
        </is>
      </c>
      <c r="D417" s="3" t="inlineStr">
        <is>
          <t>No alternative denominator or rounding convention is supplied.</t>
        </is>
      </c>
    </row>
    <row r="418" ht="48" customHeight="1">
      <c r="A418" s="2" t="inlineStr">
        <is>
          <t>2018::jama.2018.8802::C007</t>
        </is>
      </c>
      <c r="B418" s="2" t="n">
        <v>0</v>
      </c>
      <c r="C418" s="2" t="inlineStr">
        <is>
          <t>Source evidence</t>
        </is>
      </c>
      <c r="D418" s="2" t="inlineStr">
        <is>
          <t>Table 1 prints 40 hospitals and 801 patients in the baseline-survey column; the eAppendix prints 20 patients per cluster were prospectively included.</t>
        </is>
      </c>
    </row>
    <row r="419" ht="48" customHeight="1">
      <c r="A419" s="3" t="inlineStr">
        <is>
          <t>2018::jama.2018.8802::C007</t>
        </is>
      </c>
      <c r="B419" s="3" t="n">
        <v>1</v>
      </c>
      <c r="C419" s="3" t="inlineStr">
        <is>
          <t>Reported-versus-comparator</t>
        </is>
      </c>
      <c r="D419" s="3" t="inlineStr">
        <is>
          <t>Reported total 801 versus 20 × 40 = 800 under the stated same-survey, exact-count interpretation.</t>
        </is>
      </c>
    </row>
    <row r="420" ht="48" customHeight="1">
      <c r="A420" s="2" t="inlineStr">
        <is>
          <t>2018::jama.2018.8802::C007</t>
        </is>
      </c>
      <c r="B420" s="2" t="n">
        <v>2</v>
      </c>
      <c r="C420" s="2" t="inlineStr">
        <is>
          <t>Calculation</t>
        </is>
      </c>
      <c r="D420" s="2" t="inlineStr">
        <is>
          <t>20 × 40 = 800; the difference from the Table 1 total is one patient.</t>
        </is>
      </c>
    </row>
    <row r="421" ht="48" customHeight="1">
      <c r="A421" s="3" t="inlineStr">
        <is>
          <t>2018::jama.2018.8802::C007</t>
        </is>
      </c>
      <c r="B421" s="3" t="n">
        <v>3</v>
      </c>
      <c r="C421" s="3" t="inlineStr">
        <is>
          <t>Alternative source-grounded interpretations</t>
        </is>
      </c>
      <c r="D421" s="3" t="inlineStr">
        <is>
          <t>Twenty may be an operational target rather than exact realized count, or one cluster may have contributed 21 patients; neither qualification is supplied.</t>
        </is>
      </c>
    </row>
    <row r="422" ht="48" customHeight="1">
      <c r="A422" s="2" t="inlineStr">
        <is>
          <t>2018::jama.2018.8802::C008</t>
        </is>
      </c>
      <c r="B422" s="2" t="n">
        <v>0</v>
      </c>
      <c r="C422" s="2" t="inlineStr">
        <is>
          <t>Source evidence</t>
        </is>
      </c>
      <c r="D422" s="2" t="inlineStr">
        <is>
          <t>Table 3 prints adjusted absolute difference −0.7% with 95% CI −1.1% to 0.2% and adjacent .009; page 4 describes adjusted absolute differences, 95% CIs, and two-sided tests.</t>
        </is>
      </c>
    </row>
    <row r="423" ht="48" customHeight="1">
      <c r="A423" s="3" t="inlineStr">
        <is>
          <t>2018::jama.2018.8802::C008</t>
        </is>
      </c>
      <c r="B423" s="3" t="n">
        <v>1</v>
      </c>
      <c r="C423" s="3" t="inlineStr">
        <is>
          <t>Reported-versus-comparator</t>
        </is>
      </c>
      <c r="D423" s="3" t="inlineStr">
        <is>
          <t>The CI includes zero, while .009 &lt; .05 for the corresponding adjacent absolute-difference pairing.</t>
        </is>
      </c>
    </row>
    <row r="424" ht="48" customHeight="1">
      <c r="A424" s="2" t="inlineStr">
        <is>
          <t>2018::jama.2018.8802::C008</t>
        </is>
      </c>
      <c r="B424" s="2" t="n">
        <v>2</v>
      </c>
      <c r="C424" s="2" t="inlineStr">
        <is>
          <t>Calculation</t>
        </is>
      </c>
      <c r="D424" s="2" t="inlineStr">
        <is>
          <t>−1.1 &lt; 0 &lt; 0.2, so zero is inside the printed CI; .009 &lt; .05.</t>
        </is>
      </c>
    </row>
    <row r="425" ht="48" customHeight="1">
      <c r="A425" s="3" t="inlineStr">
        <is>
          <t>2018::jama.2018.8802::C008</t>
        </is>
      </c>
      <c r="B425" s="3" t="n">
        <v>3</v>
      </c>
      <c r="C425" s="3" t="inlineStr">
        <is>
          <t>Alternative source-grounded interpretations</t>
        </is>
      </c>
      <c r="D425" s="3" t="inlineStr">
        <is>
          <t>The P value may use a different estimand, model, or inferential construction, but the table places it adjacent to the absolute-difference column and supplies no distinction.</t>
        </is>
      </c>
    </row>
    <row r="426" ht="48" customHeight="1">
      <c r="A426" s="2" t="inlineStr">
        <is>
          <t>2018::jama.2018.9128::C001</t>
        </is>
      </c>
      <c r="B426" s="2" t="n">
        <v>0</v>
      </c>
      <c r="C426" s="2" t="inlineStr">
        <is>
          <t>Source evidence</t>
        </is>
      </c>
      <c r="D426" s="2" t="inlineStr">
        <is>
          <t>Figure 1 prints 288 BMI measured at 3 mo for intervention and defines the retained count as children for whom BMI was collected. Figure 2 and eTable 1 each print intervention 279 at 3 months.</t>
        </is>
      </c>
    </row>
    <row r="427" ht="48" customHeight="1">
      <c r="A427" s="3" t="inlineStr">
        <is>
          <t>2018::jama.2018.9128::C001</t>
        </is>
      </c>
      <c r="B427" s="3" t="n">
        <v>1</v>
      </c>
      <c r="C427" s="3" t="inlineStr">
        <is>
          <t>Reported-versus-comparator</t>
        </is>
      </c>
      <c r="D427" s="3" t="inlineStr">
        <is>
          <t>288 versus 279 for intervention, 3 months; Figure 2 and eTable 1 agree with each other.</t>
        </is>
      </c>
    </row>
    <row r="428" ht="48" customHeight="1">
      <c r="A428" s="2" t="inlineStr">
        <is>
          <t>2018::jama.2018.9128::C001</t>
        </is>
      </c>
      <c r="B428" s="2" t="n">
        <v>2</v>
      </c>
      <c r="C428" s="2" t="inlineStr">
        <is>
          <t>Calculation</t>
        </is>
      </c>
      <c r="D428" s="2" t="inlineStr">
        <is>
          <t>288 - 279 = 9.</t>
        </is>
      </c>
    </row>
    <row r="429" ht="48" customHeight="1">
      <c r="A429" s="3" t="inlineStr">
        <is>
          <t>2018::jama.2018.9128::C001</t>
        </is>
      </c>
      <c r="B429" s="3" t="n">
        <v>3</v>
      </c>
      <c r="C429" s="3" t="inlineStr">
        <is>
          <t>Alternative source-grounded interpretations</t>
        </is>
      </c>
      <c r="D429" s="3" t="inlineStr">
        <is>
          <t>Figure 1 may count all collected measurements while Figure 2/eTable 1 may use a cleaned descriptive subset; no supplied caption or method defines that distinction.</t>
        </is>
      </c>
    </row>
    <row r="430" ht="48" customHeight="1">
      <c r="A430" s="2" t="inlineStr">
        <is>
          <t>2018::jama.2018.9128::C002</t>
        </is>
      </c>
      <c r="B430" s="2" t="n">
        <v>0</v>
      </c>
      <c r="C430" s="2" t="inlineStr">
        <is>
          <t>Source evidence</t>
        </is>
      </c>
      <c r="D430" s="2" t="inlineStr">
        <is>
          <t>Figure 1 prints 277 BMI measured at 3 mo for control; Figure 2 and eTable 1 each print control 271 at 3 months.</t>
        </is>
      </c>
    </row>
    <row r="431" ht="48" customHeight="1">
      <c r="A431" s="3" t="inlineStr">
        <is>
          <t>2018::jama.2018.9128::C002</t>
        </is>
      </c>
      <c r="B431" s="3" t="n">
        <v>1</v>
      </c>
      <c r="C431" s="3" t="inlineStr">
        <is>
          <t>Reported-versus-comparator</t>
        </is>
      </c>
      <c r="D431" s="3" t="inlineStr">
        <is>
          <t>277 versus 271 for control, 3 months.</t>
        </is>
      </c>
    </row>
    <row r="432" ht="48" customHeight="1">
      <c r="A432" s="2" t="inlineStr">
        <is>
          <t>2018::jama.2018.9128::C002</t>
        </is>
      </c>
      <c r="B432" s="2" t="n">
        <v>2</v>
      </c>
      <c r="C432" s="2" t="inlineStr">
        <is>
          <t>Calculation</t>
        </is>
      </c>
      <c r="D432" s="2" t="inlineStr">
        <is>
          <t>277 - 271 = 6.</t>
        </is>
      </c>
    </row>
    <row r="433" ht="48" customHeight="1">
      <c r="A433" s="3" t="inlineStr">
        <is>
          <t>2018::jama.2018.9128::C002</t>
        </is>
      </c>
      <c r="B433" s="3" t="n">
        <v>3</v>
      </c>
      <c r="C433" s="3" t="inlineStr">
        <is>
          <t>Alternative source-grounded interpretations</t>
        </is>
      </c>
      <c r="D433" s="3" t="inlineStr">
        <is>
          <t>Figure 2/eTable 1 may be a cleaned descriptive subset, but the supplied package does not define a cleaning or inclusion rule.</t>
        </is>
      </c>
    </row>
    <row r="434" ht="48" customHeight="1">
      <c r="A434" s="2" t="inlineStr">
        <is>
          <t>2018::jama.2018.9128::C003</t>
        </is>
      </c>
      <c r="B434" s="2" t="n">
        <v>0</v>
      </c>
      <c r="C434" s="2" t="inlineStr">
        <is>
          <t>Source evidence</t>
        </is>
      </c>
      <c r="D434" s="2" t="inlineStr">
        <is>
          <t>Figure 1 prints intervention 282 BMI measured at 9 mo; Figure 2 and eTable 1 each print 280.</t>
        </is>
      </c>
    </row>
    <row r="435" ht="48" customHeight="1">
      <c r="A435" s="3" t="inlineStr">
        <is>
          <t>2018::jama.2018.9128::C003</t>
        </is>
      </c>
      <c r="B435" s="3" t="n">
        <v>1</v>
      </c>
      <c r="C435" s="3" t="inlineStr">
        <is>
          <t>Reported-versus-comparator</t>
        </is>
      </c>
      <c r="D435" s="3" t="inlineStr">
        <is>
          <t>282 versus 280 for intervention, 9 months.</t>
        </is>
      </c>
    </row>
    <row r="436" ht="48" customHeight="1">
      <c r="A436" s="2" t="inlineStr">
        <is>
          <t>2018::jama.2018.9128::C003</t>
        </is>
      </c>
      <c r="B436" s="2" t="n">
        <v>2</v>
      </c>
      <c r="C436" s="2" t="inlineStr">
        <is>
          <t>Calculation</t>
        </is>
      </c>
      <c r="D436" s="2" t="inlineStr">
        <is>
          <t>282 - 280 = 2.</t>
        </is>
      </c>
    </row>
    <row r="437" ht="48" customHeight="1">
      <c r="A437" s="3" t="inlineStr">
        <is>
          <t>2018::jama.2018.9128::C003</t>
        </is>
      </c>
      <c r="B437" s="3" t="n">
        <v>3</v>
      </c>
      <c r="C437" s="3" t="inlineStr">
        <is>
          <t>Alternative source-grounded interpretations</t>
        </is>
      </c>
      <c r="D437" s="3" t="inlineStr">
        <is>
          <t>A post-collection analytic or descriptive subset could explain the difference, but the package supplies no definition.</t>
        </is>
      </c>
    </row>
    <row r="438" ht="48" customHeight="1">
      <c r="A438" s="2" t="inlineStr">
        <is>
          <t>2018::jama.2018.9128::C004</t>
        </is>
      </c>
      <c r="B438" s="2" t="n">
        <v>0</v>
      </c>
      <c r="C438" s="2" t="inlineStr">
        <is>
          <t>Source evidence</t>
        </is>
      </c>
      <c r="D438" s="2" t="inlineStr">
        <is>
          <t>Figure 1 prints intervention 275 BMI measured at 12 mo; Figure 2 and eTable 1 each print 274.</t>
        </is>
      </c>
    </row>
    <row r="439" ht="48" customHeight="1">
      <c r="A439" s="3" t="inlineStr">
        <is>
          <t>2018::jama.2018.9128::C004</t>
        </is>
      </c>
      <c r="B439" s="3" t="n">
        <v>1</v>
      </c>
      <c r="C439" s="3" t="inlineStr">
        <is>
          <t>Reported-versus-comparator</t>
        </is>
      </c>
      <c r="D439" s="3" t="inlineStr">
        <is>
          <t>275 versus 274 for intervention, 12 months.</t>
        </is>
      </c>
    </row>
    <row r="440" ht="48" customHeight="1">
      <c r="A440" s="2" t="inlineStr">
        <is>
          <t>2018::jama.2018.9128::C004</t>
        </is>
      </c>
      <c r="B440" s="2" t="n">
        <v>2</v>
      </c>
      <c r="C440" s="2" t="inlineStr">
        <is>
          <t>Calculation</t>
        </is>
      </c>
      <c r="D440" s="2" t="inlineStr">
        <is>
          <t>275 - 274 = 1.</t>
        </is>
      </c>
    </row>
    <row r="441" ht="48" customHeight="1">
      <c r="A441" s="3" t="inlineStr">
        <is>
          <t>2018::jama.2018.9128::C004</t>
        </is>
      </c>
      <c r="B441" s="3" t="n">
        <v>3</v>
      </c>
      <c r="C441" s="3" t="inlineStr">
        <is>
          <t>Alternative source-grounded interpretations</t>
        </is>
      </c>
      <c r="D441" s="3" t="inlineStr">
        <is>
          <t>One record may have been excluded from a descriptive subset, but no supplied rule establishes that.</t>
        </is>
      </c>
    </row>
    <row r="442" ht="48" customHeight="1">
      <c r="A442" s="2" t="inlineStr">
        <is>
          <t>2018::jama.2018.9128::C005</t>
        </is>
      </c>
      <c r="B442" s="2" t="n">
        <v>0</v>
      </c>
      <c r="C442" s="2" t="inlineStr">
        <is>
          <t>Source evidence</t>
        </is>
      </c>
      <c r="D442" s="2" t="inlineStr">
        <is>
          <t>Figure 1 prints control 276 BMI measured at 12 mo; Figure 2 and eTable 1 each print 275.</t>
        </is>
      </c>
    </row>
    <row r="443" ht="48" customHeight="1">
      <c r="A443" s="3" t="inlineStr">
        <is>
          <t>2018::jama.2018.9128::C005</t>
        </is>
      </c>
      <c r="B443" s="3" t="n">
        <v>1</v>
      </c>
      <c r="C443" s="3" t="inlineStr">
        <is>
          <t>Reported-versus-comparator</t>
        </is>
      </c>
      <c r="D443" s="3" t="inlineStr">
        <is>
          <t>276 versus 275 for control, 12 months.</t>
        </is>
      </c>
    </row>
    <row r="444" ht="48" customHeight="1">
      <c r="A444" s="2" t="inlineStr">
        <is>
          <t>2018::jama.2018.9128::C005</t>
        </is>
      </c>
      <c r="B444" s="2" t="n">
        <v>2</v>
      </c>
      <c r="C444" s="2" t="inlineStr">
        <is>
          <t>Calculation</t>
        </is>
      </c>
      <c r="D444" s="2" t="inlineStr">
        <is>
          <t>276 - 275 = 1.</t>
        </is>
      </c>
    </row>
    <row r="445" ht="48" customHeight="1">
      <c r="A445" s="3" t="inlineStr">
        <is>
          <t>2018::jama.2018.9128::C005</t>
        </is>
      </c>
      <c r="B445" s="3" t="n">
        <v>3</v>
      </c>
      <c r="C445" s="3" t="inlineStr">
        <is>
          <t>Alternative source-grounded interpretations</t>
        </is>
      </c>
      <c r="D445" s="3" t="inlineStr">
        <is>
          <t>A cleaned descriptive subset is possible but is not defined by the supplied materials.</t>
        </is>
      </c>
    </row>
    <row r="446" ht="48" customHeight="1">
      <c r="A446" s="2" t="inlineStr">
        <is>
          <t>2018::jama.2018.9128::C006</t>
        </is>
      </c>
      <c r="B446" s="2" t="n">
        <v>0</v>
      </c>
      <c r="C446" s="2" t="inlineStr">
        <is>
          <t>Source evidence</t>
        </is>
      </c>
      <c r="D446" s="2" t="inlineStr">
        <is>
          <t>Figure 1 prints intervention 280 BMI measured at 24 mo; Figure 2 and eTable 1 each print 278.</t>
        </is>
      </c>
    </row>
    <row r="447" ht="48" customHeight="1">
      <c r="A447" s="3" t="inlineStr">
        <is>
          <t>2018::jama.2018.9128::C006</t>
        </is>
      </c>
      <c r="B447" s="3" t="n">
        <v>1</v>
      </c>
      <c r="C447" s="3" t="inlineStr">
        <is>
          <t>Reported-versus-comparator</t>
        </is>
      </c>
      <c r="D447" s="3" t="inlineStr">
        <is>
          <t>280 versus 278 for intervention, 24 months.</t>
        </is>
      </c>
    </row>
    <row r="448" ht="48" customHeight="1">
      <c r="A448" s="2" t="inlineStr">
        <is>
          <t>2018::jama.2018.9128::C006</t>
        </is>
      </c>
      <c r="B448" s="2" t="n">
        <v>2</v>
      </c>
      <c r="C448" s="2" t="inlineStr">
        <is>
          <t>Calculation</t>
        </is>
      </c>
      <c r="D448" s="2" t="inlineStr">
        <is>
          <t>280 - 278 = 2.</t>
        </is>
      </c>
    </row>
    <row r="449" ht="48" customHeight="1">
      <c r="A449" s="3" t="inlineStr">
        <is>
          <t>2018::jama.2018.9128::C006</t>
        </is>
      </c>
      <c r="B449" s="3" t="n">
        <v>3</v>
      </c>
      <c r="C449" s="3" t="inlineStr">
        <is>
          <t>Alternative source-grounded interpretations</t>
        </is>
      </c>
      <c r="D449" s="3" t="inlineStr">
        <is>
          <t>A post-collection descriptive-display subset could account for the difference, but the package does not state one.</t>
        </is>
      </c>
    </row>
    <row r="450" ht="48" customHeight="1">
      <c r="A450" s="2" t="inlineStr">
        <is>
          <t>2018::jama.2018.9128::C007</t>
        </is>
      </c>
      <c r="B450" s="2" t="n">
        <v>0</v>
      </c>
      <c r="C450" s="2" t="inlineStr">
        <is>
          <t>Source evidence</t>
        </is>
      </c>
      <c r="D450" s="2" t="inlineStr">
        <is>
          <t>Figure 1 prints control 267 BMI measured at 24 mo; Figure 2 and eTable 1 each print 266.</t>
        </is>
      </c>
    </row>
    <row r="451" ht="48" customHeight="1">
      <c r="A451" s="3" t="inlineStr">
        <is>
          <t>2018::jama.2018.9128::C007</t>
        </is>
      </c>
      <c r="B451" s="3" t="n">
        <v>1</v>
      </c>
      <c r="C451" s="3" t="inlineStr">
        <is>
          <t>Reported-versus-comparator</t>
        </is>
      </c>
      <c r="D451" s="3" t="inlineStr">
        <is>
          <t>267 versus 266 for control, 24 months.</t>
        </is>
      </c>
    </row>
    <row r="452" ht="48" customHeight="1">
      <c r="A452" s="2" t="inlineStr">
        <is>
          <t>2018::jama.2018.9128::C007</t>
        </is>
      </c>
      <c r="B452" s="2" t="n">
        <v>2</v>
      </c>
      <c r="C452" s="2" t="inlineStr">
        <is>
          <t>Calculation</t>
        </is>
      </c>
      <c r="D452" s="2" t="inlineStr">
        <is>
          <t>267 - 266 = 1.</t>
        </is>
      </c>
    </row>
    <row r="453" ht="48" customHeight="1">
      <c r="A453" s="3" t="inlineStr">
        <is>
          <t>2018::jama.2018.9128::C007</t>
        </is>
      </c>
      <c r="B453" s="3" t="n">
        <v>3</v>
      </c>
      <c r="C453" s="3" t="inlineStr">
        <is>
          <t>Alternative source-grounded interpretations</t>
        </is>
      </c>
      <c r="D453" s="3" t="inlineStr">
        <is>
          <t>A cleaning or descriptive-subset distinction is possible but unreported.</t>
        </is>
      </c>
    </row>
    <row r="454" ht="48" customHeight="1">
      <c r="A454" s="2" t="inlineStr">
        <is>
          <t>2018::jama.2018.9128::C008</t>
        </is>
      </c>
      <c r="B454" s="2" t="n">
        <v>0</v>
      </c>
      <c r="C454" s="2" t="inlineStr">
        <is>
          <t>Source evidence</t>
        </is>
      </c>
      <c r="D454" s="2" t="inlineStr">
        <is>
          <t>Figure 1 prints intervention 278 Retained at 36 mo; its caption defines retained as BMI collected. Figure 2 and eTable 1 each print 276.</t>
        </is>
      </c>
    </row>
    <row r="455" ht="48" customHeight="1">
      <c r="A455" s="3" t="inlineStr">
        <is>
          <t>2018::jama.2018.9128::C008</t>
        </is>
      </c>
      <c r="B455" s="3" t="n">
        <v>1</v>
      </c>
      <c r="C455" s="3" t="inlineStr">
        <is>
          <t>Reported-versus-comparator</t>
        </is>
      </c>
      <c r="D455" s="3" t="inlineStr">
        <is>
          <t>278 versus 276 for intervention, 36 months.</t>
        </is>
      </c>
    </row>
    <row r="456" ht="48" customHeight="1">
      <c r="A456" s="2" t="inlineStr">
        <is>
          <t>2018::jama.2018.9128::C008</t>
        </is>
      </c>
      <c r="B456" s="2" t="n">
        <v>2</v>
      </c>
      <c r="C456" s="2" t="inlineStr">
        <is>
          <t>Calculation</t>
        </is>
      </c>
      <c r="D456" s="2" t="inlineStr">
        <is>
          <t>278 - 276 = 2.</t>
        </is>
      </c>
    </row>
    <row r="457" ht="48" customHeight="1">
      <c r="A457" s="3" t="inlineStr">
        <is>
          <t>2018::jama.2018.9128::C008</t>
        </is>
      </c>
      <c r="B457" s="3" t="n">
        <v>3</v>
      </c>
      <c r="C457" s="3" t="inlineStr">
        <is>
          <t>Alternative source-grounded interpretations</t>
        </is>
      </c>
      <c r="D457" s="3" t="inlineStr">
        <is>
          <t>Retained may have been used more broadly despite the caption, or a post-collection subset may have been used; neither is defined.</t>
        </is>
      </c>
    </row>
    <row r="458" ht="48" customHeight="1">
      <c r="A458" s="2" t="inlineStr">
        <is>
          <t>2018::jama.2018.9128::C009</t>
        </is>
      </c>
      <c r="B458" s="2" t="n">
        <v>0</v>
      </c>
      <c r="C458" s="2" t="inlineStr">
        <is>
          <t>Source evidence</t>
        </is>
      </c>
      <c r="D458" s="2" t="inlineStr">
        <is>
          <t>The SAP says 6 time points while enumerating five occasions. Other supplied schedules/results include 24 months; the SAP also describes six repeated measurements on p. 112.</t>
        </is>
      </c>
    </row>
    <row r="459" ht="48" customHeight="1">
      <c r="A459" s="3" t="inlineStr">
        <is>
          <t>2018::jama.2018.9128::C009</t>
        </is>
      </c>
      <c r="B459" s="3" t="n">
        <v>1</v>
      </c>
      <c r="C459" s="3" t="inlineStr">
        <is>
          <t>Reported-versus-comparator</t>
        </is>
      </c>
      <c r="D459" s="3" t="inlineStr">
        <is>
          <t>Stated total of six versus five listed occasions; matching sources show the otherwise omitted 24-month occasion.</t>
        </is>
      </c>
    </row>
    <row r="460" ht="48" customHeight="1">
      <c r="A460" s="2" t="inlineStr">
        <is>
          <t>2018::jama.2018.9128::C009</t>
        </is>
      </c>
      <c r="B460" s="2" t="n">
        <v>2</v>
      </c>
      <c r="C460" s="2" t="inlineStr">
        <is>
          <t>Calculation</t>
        </is>
      </c>
      <c r="D460" s="2" t="inlineStr">
        <is>
          <t>count(baseline, 3, 9, 12, 36) = 5; including 24 months yields 6.</t>
        </is>
      </c>
    </row>
    <row r="461" ht="48" customHeight="1">
      <c r="A461" s="3" t="inlineStr">
        <is>
          <t>2018::jama.2018.9128::C009</t>
        </is>
      </c>
      <c r="B461" s="3" t="n">
        <v>3</v>
      </c>
      <c r="C461" s="3" t="inlineStr">
        <is>
          <t>Alternative source-grounded interpretations</t>
        </is>
      </c>
      <c r="D461" s="3" t="inlineStr">
        <is>
          <t>The final-SAP prose may have an editorial omission, and the model may still have used 24-month data; the package does not provide the archived analysis input schedule.</t>
        </is>
      </c>
    </row>
    <row r="462" ht="48" customHeight="1">
      <c r="A462" s="2" t="inlineStr">
        <is>
          <t>2018::jama.2018.9128::C010</t>
        </is>
      </c>
      <c r="B462" s="2" t="n">
        <v>0</v>
      </c>
      <c r="C462" s="2" t="inlineStr">
        <is>
          <t>Source evidence</t>
        </is>
      </c>
      <c r="D462" s="2" t="inlineStr">
        <is>
          <t>The revised protocol states 6-points in time (T1-T6) and lists baseline, 3, 9, 12, 24, 36, and 48 months; it also says six collection points. The article and eTable report through 36 months.</t>
        </is>
      </c>
    </row>
    <row r="463" ht="48" customHeight="1">
      <c r="A463" s="3" t="inlineStr">
        <is>
          <t>2018::jama.2018.9128::C010</t>
        </is>
      </c>
      <c r="B463" s="3" t="n">
        <v>1</v>
      </c>
      <c r="C463" s="3" t="inlineStr">
        <is>
          <t>Reported-versus-comparator</t>
        </is>
      </c>
      <c r="D463" s="3" t="inlineStr">
        <is>
          <t>Six claimed points versus seven listed occasions; baseline-to-36-month reported schedule has six occasions.</t>
        </is>
      </c>
    </row>
    <row r="464" ht="48" customHeight="1">
      <c r="A464" s="2" t="inlineStr">
        <is>
          <t>2018::jama.2018.9128::C010</t>
        </is>
      </c>
      <c r="B464" s="2" t="n">
        <v>2</v>
      </c>
      <c r="C464" s="2" t="inlineStr">
        <is>
          <t>Calculation</t>
        </is>
      </c>
      <c r="D464" s="2" t="inlineStr">
        <is>
          <t>count(baseline, 3, 9, 12, 24, 36, 48) = 7, not 6.</t>
        </is>
      </c>
    </row>
    <row r="465" ht="48" customHeight="1">
      <c r="A465" s="3" t="inlineStr">
        <is>
          <t>2018::jama.2018.9128::C010</t>
        </is>
      </c>
      <c r="B465" s="3" t="n">
        <v>3</v>
      </c>
      <c r="C465" s="3" t="inlineStr">
        <is>
          <t>Alternative source-grounded interpretations</t>
        </is>
      </c>
      <c r="D465" s="3" t="inlineStr">
        <is>
          <t>The 48-month visit may have been a separate approved extension outside T1-T6; amendment chronology and the intended distinction are not supplied.</t>
        </is>
      </c>
    </row>
    <row r="466" ht="48" customHeight="1">
      <c r="A466" s="2" t="inlineStr">
        <is>
          <t>2018::jama.2018.9128::C011</t>
        </is>
      </c>
      <c r="B466" s="2" t="n">
        <v>0</v>
      </c>
      <c r="C466" s="2" t="inlineStr">
        <is>
          <t>Source evidence</t>
        </is>
      </c>
      <c r="D466" s="2" t="inlineStr">
        <is>
          <t>The original protocol uses child's BMI Percentile and BMI% while displaying a weight(kg)/height(m²) formula. The final sources analyze/report raw BMI in kg/m², including values such as 17.8.</t>
        </is>
      </c>
    </row>
    <row r="467" ht="48" customHeight="1">
      <c r="A467" s="3" t="inlineStr">
        <is>
          <t>2018::jama.2018.9128::C011</t>
        </is>
      </c>
      <c r="B467" s="3" t="n">
        <v>1</v>
      </c>
      <c r="C467" s="3" t="inlineStr">
        <is>
          <t>Reported-versus-comparator</t>
        </is>
      </c>
      <c r="D467" s="3" t="inlineStr">
        <is>
          <t>BMI percentile/BMI% label versus raw-BMI kg/m² formula, analysis label, and reported values.</t>
        </is>
      </c>
    </row>
    <row r="468" ht="48" customHeight="1">
      <c r="A468" s="2" t="inlineStr">
        <is>
          <t>2018::jama.2018.9128::C011</t>
        </is>
      </c>
      <c r="B468" s="2" t="n">
        <v>2</v>
      </c>
      <c r="C468" s="2" t="inlineStr">
        <is>
          <t>Calculation</t>
        </is>
      </c>
      <c r="D468" s="2" t="inlineStr">
        <is>
          <t>No arithmetic reconstruction is applicable; this is a categorical scale comparison.</t>
        </is>
      </c>
    </row>
    <row r="469" ht="48" customHeight="1">
      <c r="A469" s="3" t="inlineStr">
        <is>
          <t>2018::jama.2018.9128::C011</t>
        </is>
      </c>
      <c r="B469" s="3" t="n">
        <v>3</v>
      </c>
      <c r="C469" s="3" t="inlineStr">
        <is>
          <t>Alternative source-grounded interpretations</t>
        </is>
      </c>
      <c r="D469" s="3" t="inlineStr">
        <is>
          <t>BMI% may be erroneous shorthand for raw BMI, or a protocol amendment may have changed the primary outcome scale; neither explanation is resolved in the supplied package.</t>
        </is>
      </c>
    </row>
    <row r="470" ht="48" customHeight="1">
      <c r="A470" s="2" t="inlineStr">
        <is>
          <t>2018::jama.2018.9128::C012</t>
        </is>
      </c>
      <c r="B470" s="2" t="n">
        <v>0</v>
      </c>
      <c r="C470" s="2" t="inlineStr">
        <is>
          <t>Source evidence</t>
        </is>
      </c>
      <c r="D470" s="2" t="inlineStr">
        <is>
          <t>Original protocol: 12 quarterly 60-minute control sessions. Revised protocol: seven 45-minute school-readiness/success programs. Article: six 30-minute group activities.</t>
        </is>
      </c>
    </row>
    <row r="471" ht="48" customHeight="1">
      <c r="A471" s="3" t="inlineStr">
        <is>
          <t>2018::jama.2018.9128::C012</t>
        </is>
      </c>
      <c r="B471" s="3" t="n">
        <v>1</v>
      </c>
      <c r="C471" s="3" t="inlineStr">
        <is>
          <t>Reported-versus-comparator</t>
        </is>
      </c>
      <c r="D471" s="3" t="inlineStr">
        <is>
          <t>12 × 60 versus 7 × 45 versus 6 × 30 minutes for descriptions of the control school-readiness exposure.</t>
        </is>
      </c>
    </row>
    <row r="472" ht="48" customHeight="1">
      <c r="A472" s="2" t="inlineStr">
        <is>
          <t>2018::jama.2018.9128::C012</t>
        </is>
      </c>
      <c r="B472" s="2" t="n">
        <v>2</v>
      </c>
      <c r="C472" s="2" t="inlineStr">
        <is>
          <t>Calculation</t>
        </is>
      </c>
      <c r="D472" s="2" t="inlineStr">
        <is>
          <t>12 × 60 = 720 minutes; 7 × 45 = 315 minutes; 6 × 30 = 180 minutes.</t>
        </is>
      </c>
    </row>
    <row r="473" ht="48" customHeight="1">
      <c r="A473" s="3" t="inlineStr">
        <is>
          <t>2018::jama.2018.9128::C012</t>
        </is>
      </c>
      <c r="B473" s="3" t="n">
        <v>3</v>
      </c>
      <c r="C473" s="3" t="inlineStr">
        <is>
          <t>Alternative source-grounded interpretations</t>
        </is>
      </c>
      <c r="D473" s="3" t="inlineStr">
        <is>
          <t>The versions may describe changed plans, ancillary components, or actual delivery. Session logs and a chronology/mapping of newsletters, field trips, baseline sessions, and activities are not supplied.</t>
        </is>
      </c>
    </row>
    <row r="474" ht="48" customHeight="1">
      <c r="A474" s="2" t="inlineStr">
        <is>
          <t>2018::jama.2018.9128::C013</t>
        </is>
      </c>
      <c r="B474" s="2" t="n">
        <v>0</v>
      </c>
      <c r="C474" s="2" t="inlineStr">
        <is>
          <t>Source evidence</t>
        </is>
      </c>
      <c r="D474" s="2" t="inlineStr">
        <is>
          <t>Figure 1 prints control 282 BMI measured at 9 mo; Figure 2 and eTable 1 each print 280.</t>
        </is>
      </c>
    </row>
    <row r="475" ht="48" customHeight="1">
      <c r="A475" s="3" t="inlineStr">
        <is>
          <t>2018::jama.2018.9128::C013</t>
        </is>
      </c>
      <c r="B475" s="3" t="n">
        <v>1</v>
      </c>
      <c r="C475" s="3" t="inlineStr">
        <is>
          <t>Reported-versus-comparator</t>
        </is>
      </c>
      <c r="D475" s="3" t="inlineStr">
        <is>
          <t>282 versus 280 for control, 9 months.</t>
        </is>
      </c>
    </row>
    <row r="476" ht="48" customHeight="1">
      <c r="A476" s="2" t="inlineStr">
        <is>
          <t>2018::jama.2018.9128::C013</t>
        </is>
      </c>
      <c r="B476" s="2" t="n">
        <v>2</v>
      </c>
      <c r="C476" s="2" t="inlineStr">
        <is>
          <t>Calculation</t>
        </is>
      </c>
      <c r="D476" s="2" t="inlineStr">
        <is>
          <t>282 - 280 = 2.</t>
        </is>
      </c>
    </row>
    <row r="477" ht="48" customHeight="1">
      <c r="A477" s="3" t="inlineStr">
        <is>
          <t>2018::jama.2018.9128::C013</t>
        </is>
      </c>
      <c r="B477" s="3" t="n">
        <v>3</v>
      </c>
      <c r="C477" s="3" t="inlineStr">
        <is>
          <t>Alternative source-grounded interpretations</t>
        </is>
      </c>
      <c r="D477" s="3" t="inlineStr">
        <is>
          <t>An unreported post-collection analytic or descriptive subset could explain the difference, but the supplied sources do not define it.</t>
        </is>
      </c>
    </row>
  </sheetData>
  <sheetProtection selectLockedCells="0" selectUnlockedCells="0" sheet="1" objects="0" insertRows="1" insertHyperlinks="1" autoFilter="0" scenarios="0" formatColumns="1" deleteColumns="1" insertColumns="1" pivotTables="1" deleteRows="1" formatCells="1" formatRows="1" sort="1"/>
  <autoFilter ref="A1:D477"/>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5"/>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error.</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Related cluster (optional)</t>
        </is>
      </c>
      <c r="B22" s="21" t="inlineStr">
        <is>
          <t>FIELD</t>
        </is>
      </c>
      <c r="C22" s="21" t="inlineStr">
        <is>
          <t>Optional</t>
        </is>
      </c>
      <c r="D22" s="22" t="inlineStr">
        <is>
          <t>Connect distinct but related flags with a shared identifier. This does not merge, deduplicate, or reduce counts. In Checker, blank inherits; &lt;clear&gt; removes the inherited text.</t>
        </is>
      </c>
      <c r="E22" s="21" t="inlineStr">
        <is>
          <t>relatedClusterId</t>
        </is>
      </c>
    </row>
    <row r="23" ht="90" customHeight="1">
      <c r="A23" s="21" t="inlineStr">
        <is>
          <t>Notes (optional)</t>
        </is>
      </c>
      <c r="B23" s="21" t="inlineStr">
        <is>
          <t>FIELD</t>
        </is>
      </c>
      <c r="C23" s="21" t="inlineStr">
        <is>
          <t>Optional</t>
        </is>
      </c>
      <c r="D23" s="22" t="inlineStr">
        <is>
          <t>Add relevant context or uncertainty in English. No mandatory reproduction log or primary rationale. In Checker, blank inherits; &lt;clear&gt; removes the inherited text.</t>
        </is>
      </c>
      <c r="E23" s="21" t="inlineStr">
        <is>
          <t>notes</t>
        </is>
      </c>
    </row>
    <row r="24" ht="32" customHeight="1">
      <c r="A24" s="27" t="inlineStr">
        <is>
          <t>2  |  Statistical results: two required judgments</t>
        </is>
      </c>
      <c r="B24" s="15" t="n"/>
      <c r="C24" s="15" t="n"/>
      <c r="D24" s="15" t="n"/>
      <c r="E24" s="16" t="n"/>
    </row>
    <row r="25" ht="90" customHeight="1">
      <c r="A25" s="28" t="inlineStr">
        <is>
          <t>Statistical error</t>
        </is>
      </c>
      <c r="B25" s="28" t="inlineStr">
        <is>
          <t>FIELD</t>
        </is>
      </c>
      <c r="C25" s="28" t="inlineStr">
        <is>
          <t>Required; retained statistical_results</t>
        </is>
      </c>
      <c r="D25" s="29" t="inlineStr">
        <is>
          <t>Does a statistical reporting error exist? Example: a reported percentage conflicts with its stated numerator and denominator after checking definitions. Certainty is separate from importance.</t>
        </is>
      </c>
      <c r="E25" s="28" t="inlineStr">
        <is>
          <t>statisticalErrorStatus</t>
        </is>
      </c>
    </row>
    <row r="26" outlineLevel="1" ht="52" customHeight="1">
      <c r="A26" s="19" t="inlineStr"/>
      <c r="B26" s="30" t="inlineStr">
        <is>
          <t>confirmed_error</t>
        </is>
      </c>
      <c r="C26" s="19" t="inlineStr">
        <is>
          <t>Option</t>
        </is>
      </c>
      <c r="D26" s="24" t="inlineStr">
        <is>
          <t>Confirmed statistical reporting error. The available evidence establishes a reporting error or contradiction, even if the correct replacement value is not known.</t>
        </is>
      </c>
      <c r="E26" s="19" t="inlineStr"/>
    </row>
    <row r="27" outlineLevel="1" ht="52" customHeight="1">
      <c r="A27" s="17" t="inlineStr"/>
      <c r="B27" s="31" t="inlineStr">
        <is>
          <t>probable_error</t>
        </is>
      </c>
      <c r="C27" s="17" t="inlineStr">
        <is>
          <t>Option</t>
        </is>
      </c>
      <c r="D27" s="26" t="inlineStr">
        <is>
          <t>Probable statistical reporting error. The evidence favors a reporting error, but an unresolved limitation or plausible alternative prevents confirmation.</t>
        </is>
      </c>
      <c r="E27" s="17" t="inlineStr"/>
    </row>
    <row r="28" outlineLevel="1" ht="52" customHeight="1">
      <c r="A28" s="19" t="inlineStr"/>
      <c r="B28" s="30" t="inlineStr">
        <is>
          <t>not_error</t>
        </is>
      </c>
      <c r="C28" s="19" t="inlineStr">
        <is>
          <t>Option</t>
        </is>
      </c>
      <c r="D28" s="24" t="inlineStr">
        <is>
          <t>Not a statistical error. The apparent discrepancy is consistent with a valid calculation, definition, analysis method or reporting context.</t>
        </is>
      </c>
      <c r="E28" s="19" t="inlineStr"/>
    </row>
    <row r="29" outlineLevel="1" ht="52" customHeight="1">
      <c r="A29" s="17" t="inlineStr"/>
      <c r="B29" s="31" t="inlineStr">
        <is>
          <t>indeterminate</t>
        </is>
      </c>
      <c r="C29" s="17" t="inlineStr">
        <is>
          <t>Option</t>
        </is>
      </c>
      <c r="D29" s="26" t="inlineStr">
        <is>
          <t>Indeterminate. The available evidence does not support deciding whether a statistical reporting error exists; neither confirmation nor dismissal is justified.</t>
        </is>
      </c>
      <c r="E29" s="17" t="inlineStr"/>
    </row>
    <row r="30" outlineLevel="1" ht="56" customHeight="1">
      <c r="A30" s="19" t="inlineStr"/>
      <c r="B30" s="30" t="inlineStr">
        <is>
          <t>not_applicable</t>
        </is>
      </c>
      <c r="C30" s="19" t="inlineStr">
        <is>
          <t>Option</t>
        </is>
      </c>
      <c r="D30" s="24" t="inlineStr">
        <is>
          <t>Automatic default outside this field's review domain or for a non-retained candidate. It is not an error verdict, missing evidence, or an unanswered applicable question. Do not choose it for an applicable field.</t>
        </is>
      </c>
      <c r="E30" s="19" t="inlineStr"/>
    </row>
    <row r="31" ht="90" customHeight="1">
      <c r="A31" s="28" t="inlineStr">
        <is>
          <t>Substantiveness</t>
        </is>
      </c>
      <c r="B31" s="28" t="inlineStr">
        <is>
          <t>FIELD</t>
        </is>
      </c>
      <c r="C31" s="28" t="inlineStr">
        <is>
          <t>Required; retained statistical_results</t>
        </is>
      </c>
      <c r="D31" s="29" t="inlineStr">
        <is>
          <t>Could the issue meaningfully affect interpretation or data use? A harmless spacing typo is minor_presentation; an ambiguous extractable effect estimate may be substantive. An error can be confirmed yet minor.</t>
        </is>
      </c>
      <c r="E31" s="28" t="inlineStr">
        <is>
          <t>substantiveStatus</t>
        </is>
      </c>
    </row>
    <row r="32" outlineLevel="1" ht="52" customHeight="1">
      <c r="A32" s="19" t="inlineStr"/>
      <c r="B32" s="30" t="inlineStr">
        <is>
          <t>substantive</t>
        </is>
      </c>
      <c r="C32" s="19" t="inlineStr">
        <is>
          <t>Option</t>
        </is>
      </c>
      <c r="D32" s="24" t="inlineStr">
        <is>
          <t>Substantive. The issue could meaningfully change interpretation, data extraction or downstream analysis, rather than only the presentation of the result.</t>
        </is>
      </c>
      <c r="E32" s="19" t="inlineStr"/>
    </row>
    <row r="33" outlineLevel="1" ht="56" customHeight="1">
      <c r="A33" s="17" t="inlineStr"/>
      <c r="B33" s="31" t="inlineStr">
        <is>
          <t>minor_presentation</t>
        </is>
      </c>
      <c r="C33" s="17" t="inlineStr">
        <is>
          <t>Option</t>
        </is>
      </c>
      <c r="D33" s="26" t="inlineStr">
        <is>
          <t>Minor or presentation only. The intended result remains clear and the issue is a small formatting, labeling or typographic problem without a meaningful change in interpretation.</t>
        </is>
      </c>
      <c r="E33" s="17" t="inlineStr"/>
    </row>
    <row r="34" outlineLevel="1" ht="52" customHeight="1">
      <c r="A34" s="19" t="inlineStr"/>
      <c r="B34" s="30" t="inlineStr">
        <is>
          <t>indeterminate</t>
        </is>
      </c>
      <c r="C34" s="19" t="inlineStr">
        <is>
          <t>Option</t>
        </is>
      </c>
      <c r="D34" s="24" t="inlineStr">
        <is>
          <t>Indeterminate. There is not enough information to decide whether the issue is substantive or limited to presentation.</t>
        </is>
      </c>
      <c r="E34" s="19" t="inlineStr"/>
    </row>
    <row r="35" outlineLevel="1" ht="56" customHeight="1">
      <c r="A35" s="17" t="inlineStr"/>
      <c r="B35" s="31" t="inlineStr">
        <is>
          <t>not_applicable</t>
        </is>
      </c>
      <c r="C35" s="17" t="inlineStr">
        <is>
          <t>Option</t>
        </is>
      </c>
      <c r="D35" s="26" t="inlineStr">
        <is>
          <t>Automatic default outside this field's review domain or for a non-retained candidate. It is not an error verdict, missing evidence, or an unanswered applicable question. Do not choose it for an applicable field.</t>
        </is>
      </c>
      <c r="E35" s="17" t="inlineStr"/>
    </row>
    <row r="36" ht="90" customHeight="1">
      <c r="A36" s="28" t="inlineStr">
        <is>
          <t>Downstream impact</t>
        </is>
      </c>
      <c r="B36" s="28" t="inlineStr">
        <is>
          <t>FIELD</t>
        </is>
      </c>
      <c r="C36" s="28" t="inlineStr">
        <is>
          <t>Optional; retained statistical_results</t>
        </is>
      </c>
      <c r="D36"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6" s="28" t="inlineStr">
        <is>
          <t>downstreamImpact</t>
        </is>
      </c>
    </row>
    <row r="37" outlineLevel="1" ht="56" customHeight="1">
      <c r="A37" s="17" t="inlineStr"/>
      <c r="B37" s="31" t="inlineStr">
        <is>
          <t>direct</t>
        </is>
      </c>
      <c r="C37" s="17" t="inlineStr">
        <is>
          <t>Option</t>
        </is>
      </c>
      <c r="D37" s="26" t="inlineStr">
        <is>
          <t>Direct extraction or analysis impact. The affected value or definition is itself an input to data extraction or subsequent analysis; this describes potential impact, not proven downstream harm.</t>
        </is>
      </c>
      <c r="E37" s="17" t="inlineStr"/>
    </row>
    <row r="38" outlineLevel="1" ht="52" customHeight="1">
      <c r="A38" s="19" t="inlineStr"/>
      <c r="B38" s="30" t="inlineStr">
        <is>
          <t>possible</t>
        </is>
      </c>
      <c r="C38" s="19" t="inlineStr">
        <is>
          <t>Option</t>
        </is>
      </c>
      <c r="D38" s="24" t="inlineStr">
        <is>
          <t>Possible downstream impact. A plausible route to affecting later interpretation, extraction or analysis exists, but the connection is indirect or uncertain.</t>
        </is>
      </c>
      <c r="E38" s="19" t="inlineStr"/>
    </row>
    <row r="39" outlineLevel="1" ht="52" customHeight="1">
      <c r="A39" s="17" t="inlineStr"/>
      <c r="B39" s="31" t="inlineStr">
        <is>
          <t>unlikely</t>
        </is>
      </c>
      <c r="C39" s="17" t="inlineStr">
        <is>
          <t>Option</t>
        </is>
      </c>
      <c r="D39" s="26" t="inlineStr">
        <is>
          <t>Unlikely downstream impact. The issue is unlikely to change extracted information or later analysis because the relevant result remains clear and usable.</t>
        </is>
      </c>
      <c r="E39" s="17" t="inlineStr"/>
    </row>
    <row r="40" outlineLevel="1" ht="52" customHeight="1">
      <c r="A40" s="19" t="inlineStr"/>
      <c r="B40" s="30" t="inlineStr">
        <is>
          <t>unknown</t>
        </is>
      </c>
      <c r="C40" s="19" t="inlineStr">
        <is>
          <t>Option</t>
        </is>
      </c>
      <c r="D40" s="24" t="inlineStr">
        <is>
          <t>Unable to assess. The materials do not establish enough about the affected information or its likely use to judge downstream impact.</t>
        </is>
      </c>
      <c r="E40" s="19" t="inlineStr"/>
    </row>
    <row r="41" outlineLevel="1" ht="56" customHeight="1">
      <c r="A41" s="17" t="inlineStr"/>
      <c r="B41" s="31" t="inlineStr">
        <is>
          <t>not_applicable</t>
        </is>
      </c>
      <c r="C41" s="17" t="inlineStr">
        <is>
          <t>Option</t>
        </is>
      </c>
      <c r="D41" s="26" t="inlineStr">
        <is>
          <t>Automatic default outside this field's review domain or for a non-retained candidate. It is not an error verdict, missing evidence, or an unanswered applicable question. Do not choose it for an applicable field.</t>
        </is>
      </c>
      <c r="E41" s="17" t="inlineStr"/>
    </row>
    <row r="42" outlineLevel="1" ht="52" customHeight="1">
      <c r="A42" s="19" t="inlineStr"/>
      <c r="B42" s="30" t="inlineStr">
        <is>
          <t>&lt;clear&gt;</t>
        </is>
      </c>
      <c r="C42" s="19" t="inlineStr">
        <is>
          <t>Option</t>
        </is>
      </c>
      <c r="D42" s="24" t="inlineStr">
        <is>
          <t>Checker only: remove an inherited optional judgment. This is a control value, not an assessment option for primary review. The final optional answer becomes blank.</t>
        </is>
      </c>
      <c r="E42" s="19" t="inlineStr"/>
    </row>
    <row r="43" ht="32" customHeight="1">
      <c r="A43" s="32" t="inlineStr">
        <is>
          <t>3  |  Report internal or planning-material inconsistency</t>
        </is>
      </c>
      <c r="B43" s="15" t="n"/>
      <c r="C43" s="15" t="n"/>
      <c r="D43" s="15" t="n"/>
      <c r="E43" s="16" t="n"/>
    </row>
    <row r="44" ht="104" customHeight="1">
      <c r="A44" s="33" t="inlineStr">
        <is>
          <t>Internal or plan assessment</t>
        </is>
      </c>
      <c r="B44" s="33" t="inlineStr">
        <is>
          <t>FIELD</t>
        </is>
      </c>
      <c r="C44" s="33" t="inlineStr">
        <is>
          <t>Required; retained report_internal_inconsistency or plan_material</t>
        </is>
      </c>
      <c r="D44"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reporting error.</t>
        </is>
      </c>
      <c r="E44" s="33" t="inlineStr">
        <is>
          <t>internalStatus</t>
        </is>
      </c>
    </row>
    <row r="45" outlineLevel="1" ht="56" customHeight="1">
      <c r="A45" s="17" t="inlineStr"/>
      <c r="B45" s="35" t="inlineStr">
        <is>
          <t>substantive_inconsistency</t>
        </is>
      </c>
      <c r="C45" s="17" t="inlineStr">
        <is>
          <t>Option</t>
        </is>
      </c>
      <c r="D45" s="26" t="inlineStr">
        <is>
          <t>Substantive inconsistency. Conflicting statements, values, labels, or descriptions in the compared report or planning materials could materially change how the study, population, procedures or results are understood.</t>
        </is>
      </c>
      <c r="E45" s="17" t="inlineStr"/>
    </row>
    <row r="46" outlineLevel="1" ht="52" customHeight="1">
      <c r="A46" s="19" t="inlineStr"/>
      <c r="B46" s="36" t="inlineStr">
        <is>
          <t>minor_presentation</t>
        </is>
      </c>
      <c r="C46" s="19" t="inlineStr">
        <is>
          <t>Option</t>
        </is>
      </c>
      <c r="D46" s="24" t="inlineStr">
        <is>
          <t>Minor presentation inconsistency. A real discrepancy exists, but it mainly affects presentation and the intended meaning remains clear.</t>
        </is>
      </c>
      <c r="E46" s="19" t="inlineStr"/>
    </row>
    <row r="47" outlineLevel="1" ht="52" customHeight="1">
      <c r="A47" s="17" t="inlineStr"/>
      <c r="B47" s="35" t="inlineStr">
        <is>
          <t>wording_only</t>
        </is>
      </c>
      <c r="C47" s="17" t="inlineStr">
        <is>
          <t>Option</t>
        </is>
      </c>
      <c r="D47" s="26" t="inlineStr">
        <is>
          <t>Wording only. Different phrases express the same substantive meaning; there is no meaningful conflict between the statements.</t>
        </is>
      </c>
      <c r="E47" s="17" t="inlineStr"/>
    </row>
    <row r="48" outlineLevel="1" ht="52" customHeight="1">
      <c r="A48" s="19" t="inlineStr"/>
      <c r="B48" s="36" t="inlineStr">
        <is>
          <t>not_inconsistency</t>
        </is>
      </c>
      <c r="C48" s="19" t="inlineStr">
        <is>
          <t>Option</t>
        </is>
      </c>
      <c r="D48" s="24" t="inlineStr">
        <is>
          <t>Not an inconsistency. The statements are compatible once their definitions, populations, time points or other context are taken into account.</t>
        </is>
      </c>
      <c r="E48" s="19" t="inlineStr"/>
    </row>
    <row r="49" outlineLevel="1" ht="52" customHeight="1">
      <c r="A49" s="17" t="inlineStr"/>
      <c r="B49" s="35" t="inlineStr">
        <is>
          <t>indeterminate</t>
        </is>
      </c>
      <c r="C49" s="17" t="inlineStr">
        <is>
          <t>Option</t>
        </is>
      </c>
      <c r="D49" s="26" t="inlineStr">
        <is>
          <t>Indeterminate. The available material is insufficient to establish whether the statements conflict or how important any conflict is.</t>
        </is>
      </c>
      <c r="E49" s="17" t="inlineStr"/>
    </row>
    <row r="50" outlineLevel="1" ht="56" customHeight="1">
      <c r="A50" s="19" t="inlineStr"/>
      <c r="B50" s="36" t="inlineStr">
        <is>
          <t>not_applicable</t>
        </is>
      </c>
      <c r="C50" s="19" t="inlineStr">
        <is>
          <t>Option</t>
        </is>
      </c>
      <c r="D50" s="24" t="inlineStr">
        <is>
          <t>Automatic default outside this field's review domain or for a non-retained candidate. It is not an error verdict, missing evidence, or an unanswered applicable question. Do not choose it for an applicable field.</t>
        </is>
      </c>
      <c r="E50" s="19" t="inlineStr"/>
    </row>
    <row r="51" ht="32" customHeight="1">
      <c r="A51" s="37" t="inlineStr">
        <is>
          <t>4  |  Protocol versus report: optional description only</t>
        </is>
      </c>
      <c r="B51" s="15" t="n"/>
      <c r="C51" s="15" t="n"/>
      <c r="D51" s="15" t="n"/>
      <c r="E51" s="16" t="n"/>
    </row>
    <row r="52" ht="90" customHeight="1">
      <c r="A52" s="38" t="inlineStr">
        <is>
          <t>Protocol interpretation</t>
        </is>
      </c>
      <c r="B52" s="38" t="inlineStr">
        <is>
          <t>FIELD</t>
        </is>
      </c>
      <c r="C52" s="38" t="inlineStr">
        <is>
          <t>Optional; retained protocol_report</t>
        </is>
      </c>
      <c r="D52" s="39"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2" s="38" t="inlineStr">
        <is>
          <t>protocolInterpretation</t>
        </is>
      </c>
    </row>
    <row r="53" outlineLevel="1" ht="72" customHeight="1">
      <c r="A53" s="17" t="inlineStr"/>
      <c r="B53" s="40" t="inlineStr">
        <is>
          <t>substantive_difference</t>
        </is>
      </c>
      <c r="C53" s="17" t="inlineStr">
        <is>
          <t>Option</t>
        </is>
      </c>
      <c r="D53" s="26"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3" s="17" t="inlineStr"/>
    </row>
    <row r="54" outlineLevel="1" ht="52" customHeight="1">
      <c r="A54" s="19" t="inlineStr"/>
      <c r="B54" s="41" t="inlineStr">
        <is>
          <t>wording_only</t>
        </is>
      </c>
      <c r="C54" s="19" t="inlineStr">
        <is>
          <t>Option</t>
        </is>
      </c>
      <c r="D54" s="24" t="inlineStr">
        <is>
          <t>Wording only. The apparent planned-versus-reported difference does not represent a substantive change in meaning or conduct.</t>
        </is>
      </c>
      <c r="E54" s="19" t="inlineStr"/>
    </row>
    <row r="55" outlineLevel="1" ht="52" customHeight="1">
      <c r="A55" s="17" t="inlineStr"/>
      <c r="B55" s="40" t="inlineStr">
        <is>
          <t>version_timing</t>
        </is>
      </c>
      <c r="C55" s="17" t="inlineStr">
        <is>
          <t>Option</t>
        </is>
      </c>
      <c r="D55" s="26" t="inlineStr">
        <is>
          <t>Version or timing ambiguity. The difference may reflect which protocol version or date is being compared; the sequence cannot be resolved from the available material.</t>
        </is>
      </c>
      <c r="E55" s="17" t="inlineStr"/>
    </row>
    <row r="56" outlineLevel="1" ht="56" customHeight="1">
      <c r="A56" s="19" t="inlineStr"/>
      <c r="B56" s="41" t="inlineStr">
        <is>
          <t>not_discrepancy</t>
        </is>
      </c>
      <c r="C56" s="19" t="inlineStr">
        <is>
          <t>Option</t>
        </is>
      </c>
      <c r="D56" s="24" t="inlineStr">
        <is>
          <t>No actual discrepancy. The compared statements are compatible after checking the population, definitions, time points, or context. Normally consider Disposition=exclude for this candidate.</t>
        </is>
      </c>
      <c r="E56" s="19" t="inlineStr"/>
    </row>
    <row r="57" outlineLevel="1" ht="52" customHeight="1">
      <c r="A57" s="17" t="inlineStr"/>
      <c r="B57" s="40" t="inlineStr">
        <is>
          <t>indeterminate</t>
        </is>
      </c>
      <c r="C57" s="17" t="inlineStr">
        <is>
          <t>Option</t>
        </is>
      </c>
      <c r="D57" s="26" t="inlineStr">
        <is>
          <t>Indeterminate. The available evidence cannot support a more specific interpretation of the planned-versus-reported difference.</t>
        </is>
      </c>
      <c r="E57" s="17" t="inlineStr"/>
    </row>
    <row r="58" outlineLevel="1" ht="56" customHeight="1">
      <c r="A58" s="19" t="inlineStr"/>
      <c r="B58" s="41" t="inlineStr">
        <is>
          <t>not_applicable</t>
        </is>
      </c>
      <c r="C58" s="19" t="inlineStr">
        <is>
          <t>Option</t>
        </is>
      </c>
      <c r="D58" s="24" t="inlineStr">
        <is>
          <t>Automatic default outside this field's review domain or for a non-retained candidate. It is not an error verdict, missing evidence, or an unanswered applicable question. Do not choose it for an applicable field.</t>
        </is>
      </c>
      <c r="E58" s="19" t="inlineStr"/>
    </row>
    <row r="59" outlineLevel="1" ht="52" customHeight="1">
      <c r="A59" s="17" t="inlineStr"/>
      <c r="B59" s="40" t="inlineStr">
        <is>
          <t>&lt;clear&gt;</t>
        </is>
      </c>
      <c r="C59" s="17" t="inlineStr">
        <is>
          <t>Option</t>
        </is>
      </c>
      <c r="D59" s="26" t="inlineStr">
        <is>
          <t>Checker only: remove an inherited optional judgment. This is a control value, not an assessment option for primary review. The final optional answer becomes blank.</t>
        </is>
      </c>
      <c r="E59" s="17" t="inlineStr"/>
    </row>
    <row r="60" ht="32" customHeight="1">
      <c r="A60" s="42" t="inlineStr">
        <is>
          <t>5  |  Second-person checking and discussion</t>
        </is>
      </c>
      <c r="B60" s="15" t="n"/>
      <c r="C60" s="15" t="n"/>
      <c r="D60" s="15" t="n"/>
      <c r="E60" s="16" t="n"/>
    </row>
    <row r="61" ht="90" customHeight="1">
      <c r="A61" s="43" t="inlineStr">
        <is>
          <t>Checker result</t>
        </is>
      </c>
      <c r="B61" s="43" t="inlineStr">
        <is>
          <t>FIELD</t>
        </is>
      </c>
      <c r="C61" s="43" t="inlineStr">
        <is>
          <t>Required; completed Checker</t>
        </is>
      </c>
      <c r="D61" s="44" t="inlineStr">
        <is>
          <t>The checker sees primary answers. For an unchanged agreement, select agree and Complete=yes only. Other choices need a Checker comment. This is not blinded independent rating.</t>
        </is>
      </c>
      <c r="E61" s="43" t="inlineStr">
        <is>
          <t>checkStatus</t>
        </is>
      </c>
    </row>
    <row r="62" outlineLevel="1" ht="52" customHeight="1">
      <c r="A62" s="19" t="inlineStr"/>
      <c r="B62" s="45" t="inlineStr">
        <is>
          <t>agree</t>
        </is>
      </c>
      <c r="C62" s="19" t="inlineStr">
        <is>
          <t>Option</t>
        </is>
      </c>
      <c r="D62" s="24" t="inlineStr">
        <is>
          <t>Agree, assessment unchanged. Accept the primary assessment as recorded. Leave override cells blank; no checker comment is required.</t>
        </is>
      </c>
      <c r="E62" s="19" t="inlineStr"/>
    </row>
    <row r="63" outlineLevel="1" ht="52" customHeight="1">
      <c r="A63" s="17" t="inlineStr"/>
      <c r="B63" s="46" t="inlineStr">
        <is>
          <t>agree_clarification</t>
        </is>
      </c>
      <c r="C63" s="17" t="inlineStr">
        <is>
          <t>Option</t>
        </is>
      </c>
      <c r="D63" s="26" t="inlineStr">
        <is>
          <t>Agree with clarification. Accept the main assessment but add context or a clarifying amendment. Explain it in a checker comment and fill only any changed fields.</t>
        </is>
      </c>
      <c r="E63" s="17" t="inlineStr"/>
    </row>
    <row r="64" outlineLevel="1" ht="56" customHeight="1">
      <c r="A64" s="19" t="inlineStr"/>
      <c r="B64" s="45" t="inlineStr">
        <is>
          <t>disagree</t>
        </is>
      </c>
      <c r="C64" s="19" t="inlineStr">
        <is>
          <t>Option</t>
        </is>
      </c>
      <c r="D64" s="24" t="inlineStr">
        <is>
          <t>Disagree, proposal pending discussion. Recommend a different assessment, explain why in a comment, and enter proposed changes. The proposal is not final consensus until discussion is resolved.</t>
        </is>
      </c>
      <c r="E64" s="19" t="inlineStr"/>
    </row>
    <row r="65" outlineLevel="1" ht="52" customHeight="1">
      <c r="A65" s="17" t="inlineStr"/>
      <c r="B65" s="46" t="inlineStr">
        <is>
          <t>unable</t>
        </is>
      </c>
      <c r="C65" s="17" t="inlineStr">
        <is>
          <t>Option</t>
        </is>
      </c>
      <c r="D65" s="26" t="inlineStr">
        <is>
          <t>Unable to resolve. The checker cannot settle the issue from the available information. State what remains uncertain in a comment and refer it for discussion.</t>
        </is>
      </c>
      <c r="E65" s="17" t="inlineStr"/>
    </row>
    <row r="66" ht="90" customHeight="1">
      <c r="A66" s="43" t="inlineStr">
        <is>
          <t>Checker comment</t>
        </is>
      </c>
      <c r="B66" s="43" t="inlineStr">
        <is>
          <t>FIELD</t>
        </is>
      </c>
      <c r="C66" s="43" t="inlineStr">
        <is>
          <t>Required unless Checker result is agree</t>
        </is>
      </c>
      <c r="D66" s="44" t="inlineStr">
        <is>
          <t>Explain the clarification, disagreement, or uncertainty in English. An unchanged agreement does not require a comment.</t>
        </is>
      </c>
      <c r="E66" s="43" t="inlineStr">
        <is>
          <t>checkerComment</t>
        </is>
      </c>
    </row>
    <row r="67" ht="90" customHeight="1">
      <c r="A67" s="43" t="inlineStr">
        <is>
          <t>Discussion resolution</t>
        </is>
      </c>
      <c r="B67" s="43" t="inlineStr">
        <is>
          <t>FIELD</t>
        </is>
      </c>
      <c r="C67" s="43" t="inlineStr">
        <is>
          <t>Conditional; discussion</t>
        </is>
      </c>
      <c r="D67" s="44" t="inlineStr">
        <is>
          <t>Use resolved only after joint discussion settles a disagreement, an unable result, or a primary discuss changed to a decision. Record who participated and the conclusion in Resolution note.</t>
        </is>
      </c>
      <c r="E67" s="43" t="inlineStr">
        <is>
          <t>resolutionStatus</t>
        </is>
      </c>
    </row>
    <row r="68" outlineLevel="1" ht="52" customHeight="1">
      <c r="A68" s="19" t="inlineStr"/>
      <c r="B68" s="45" t="inlineStr">
        <is>
          <t>pending</t>
        </is>
      </c>
      <c r="C68" s="19" t="inlineStr">
        <is>
          <t>Option</t>
        </is>
      </c>
      <c r="D68" s="24" t="inlineStr">
        <is>
          <t>Discussion not resolved. A required discussion is not yet settled. For an unchanged agreement this default can be left as-is because no separate resolution is required.</t>
        </is>
      </c>
      <c r="E68" s="19" t="inlineStr"/>
    </row>
    <row r="69" outlineLevel="1" ht="52" customHeight="1">
      <c r="A69" s="17" t="inlineStr"/>
      <c r="B69" s="46" t="inlineStr">
        <is>
          <t>resolved</t>
        </is>
      </c>
      <c r="C69" s="17" t="inlineStr">
        <is>
          <t>Option</t>
        </is>
      </c>
      <c r="D69" s="26" t="inlineStr">
        <is>
          <t>Joint discussion resolved. Record the participants and agreed conclusion in Resolution note, update the proposed assessment, and do not leave disposition as discuss.</t>
        </is>
      </c>
      <c r="E69" s="17" t="inlineStr"/>
    </row>
    <row r="70" ht="90" customHeight="1">
      <c r="A70" s="43" t="inlineStr">
        <is>
          <t>Resolution note</t>
        </is>
      </c>
      <c r="B70" s="43" t="inlineStr">
        <is>
          <t>FIELD</t>
        </is>
      </c>
      <c r="C70" s="43" t="inlineStr">
        <is>
          <t>Required when resolved</t>
        </is>
      </c>
      <c r="D70" s="44" t="inlineStr">
        <is>
          <t>Record participants and the agreed conclusion in English. Update proposed judgments and do not leave Disposition=discuss. Checker completion alone does not settle disagreement.</t>
        </is>
      </c>
      <c r="E70" s="43" t="inlineStr">
        <is>
          <t>resolutionNote</t>
        </is>
      </c>
    </row>
    <row r="71" ht="32" customHeight="1">
      <c r="A71" s="47" t="inlineStr">
        <is>
          <t>6  |  Candidate context</t>
        </is>
      </c>
      <c r="B71" s="15" t="n"/>
      <c r="C71" s="15" t="n"/>
      <c r="D71" s="15" t="n"/>
      <c r="E71" s="16" t="n"/>
    </row>
    <row r="72" ht="90" customHeight="1">
      <c r="A72" s="48" t="inlineStr">
        <is>
          <t>Candidate key</t>
        </is>
      </c>
      <c r="B72" s="48" t="inlineStr">
        <is>
          <t>FIELD</t>
        </is>
      </c>
      <c r="C72" s="48" t="inlineStr">
        <is>
          <t>Read only</t>
        </is>
      </c>
      <c r="D72" s="49" t="inlineStr">
        <is>
          <t>Unique candidate identity used for matching, even after complete rows are reordered. Never edit this value.</t>
        </is>
      </c>
      <c r="E72" s="48" t="inlineStr">
        <is>
          <t>key</t>
        </is>
      </c>
    </row>
    <row r="73" ht="90" customHeight="1">
      <c r="A73" s="48" t="inlineStr">
        <is>
          <t>Candidate title</t>
        </is>
      </c>
      <c r="B73" s="48" t="inlineStr">
        <is>
          <t>FIELD</t>
        </is>
      </c>
      <c r="C73" s="48" t="inlineStr">
        <is>
          <t>Read only</t>
        </is>
      </c>
      <c r="D73" s="49" t="inlineStr">
        <is>
          <t>Short candidate title. A candidate is an AI flag for human assessment, not a confirmed error.</t>
        </is>
      </c>
      <c r="E73" s="48" t="inlineStr">
        <is>
          <t>title</t>
        </is>
      </c>
    </row>
    <row r="74" ht="90" customHeight="1">
      <c r="A74" s="48" t="inlineStr">
        <is>
          <t>Source location</t>
        </is>
      </c>
      <c r="B74" s="48" t="inlineStr">
        <is>
          <t>FIELD</t>
        </is>
      </c>
      <c r="C74" s="48" t="inlineStr">
        <is>
          <t>Read only; both roles</t>
        </is>
      </c>
      <c r="D74" s="49" t="inlineStr">
        <is>
          <t>Where to check the source claim. Both Primary and Checker show this column in the same position. Use Candidates and Evidence for context and the shared paper folders for originals.</t>
        </is>
      </c>
      <c r="E74" s="48" t="inlineStr">
        <is>
          <t>locations</t>
        </is>
      </c>
    </row>
    <row r="75" ht="90" customHeight="1">
      <c r="A75" s="48" t="inlineStr">
        <is>
          <t>Primary assessment (read only)</t>
        </is>
      </c>
      <c r="B75" s="48" t="inlineStr">
        <is>
          <t>FIELD</t>
        </is>
      </c>
      <c r="C75" s="48" t="inlineStr">
        <is>
          <t>Read only</t>
        </is>
      </c>
      <c r="D75" s="49" t="inlineStr">
        <is>
          <t>During primary review this column explains the handoff. In the prepared checker copy it shows the completed primary judgments for this candidate. Review the summary before choosing Checker result. Blank applicable judgment cells then inherit the matching snapshot.</t>
        </is>
      </c>
      <c r="E75"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43:E43"/>
    <mergeCell ref="A24:E24"/>
    <mergeCell ref="A2:E2"/>
    <mergeCell ref="A60:E60"/>
    <mergeCell ref="A71:E71"/>
    <mergeCell ref="A51:E51"/>
    <mergeCell ref="A8:E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t>
        </is>
      </c>
    </row>
    <row r="3" ht="30" customHeight="1">
      <c r="A3" s="3" t="inlineStr">
        <is>
          <t>schema</t>
        </is>
      </c>
      <c r="B3" s="3" t="inlineStr">
        <is>
          <t>xlsx-adjudication-7</t>
        </is>
      </c>
    </row>
    <row r="4" ht="30" customHeight="1">
      <c r="A4" s="2" t="inlineStr">
        <is>
          <t>stage</t>
        </is>
      </c>
      <c r="B4" s="2" t="inlineStr">
        <is>
          <t>primary</t>
        </is>
      </c>
    </row>
    <row r="5" ht="30" customHeight="1">
      <c r="A5" s="3" t="inlineStr">
        <is>
          <t>year</t>
        </is>
      </c>
      <c r="B5" s="3" t="inlineStr">
        <is>
          <t>2018</t>
        </is>
      </c>
    </row>
    <row r="6" ht="30" customHeight="1">
      <c r="A6" s="2" t="inlineStr">
        <is>
          <t>createdAt</t>
        </is>
      </c>
      <c r="B6" s="2" t="inlineStr">
        <is>
          <t>2026-09-14T05:04:30+00:00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5bbade994e4662a283757bd98b947160f839528765381875f56a0c48f357010e</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9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2018::jama.2017.21906::C001</t>
        </is>
      </c>
      <c r="B2" s="2" t="inlineStr">
        <is>
          <t>sourceLinks</t>
        </is>
      </c>
      <c r="C2" s="2" t="n">
        <v>0</v>
      </c>
      <c r="D2" s="2" t="inlineStr">
        <is>
          <t>Main article — PDF p. 6</t>
        </is>
      </c>
      <c r="E2" s="2" t="inlineStr">
        <is>
          <t>../../2018/jama.2017.21906/jama_huffman_2018_oi_170166.pdf#page=6</t>
        </is>
      </c>
    </row>
    <row r="3" ht="40" customHeight="1">
      <c r="A3" s="3" t="inlineStr">
        <is>
          <t>2018::jama.2017.21906::C001</t>
        </is>
      </c>
      <c r="B3" s="3" t="inlineStr">
        <is>
          <t>evidencePaths</t>
        </is>
      </c>
      <c r="C3" s="3" t="n">
        <v>0</v>
      </c>
      <c r="D3" s="3" t="inlineStr">
        <is>
          <t>2018/jama.2017.21906/.ai_paper_validation/review_1_5_2/source_inventory.md</t>
        </is>
      </c>
      <c r="E3" s="3" t="inlineStr">
        <is>
          <t>../../2018/jama.2017.21906/.ai_paper_validation/review_1_5_2/source_inventory.md</t>
        </is>
      </c>
    </row>
    <row r="4" ht="40" customHeight="1">
      <c r="A4" s="2" t="inlineStr">
        <is>
          <t>2018::jama.2017.21906::C001</t>
        </is>
      </c>
      <c r="B4" s="2" t="inlineStr">
        <is>
          <t>evidencePaths</t>
        </is>
      </c>
      <c r="C4" s="2" t="n">
        <v>1</v>
      </c>
      <c r="D4" s="2" t="inlineStr">
        <is>
          <t>2018/jama.2017.21906/.ai_paper_validation/review_1_5_2/verification/evidence_recheck.md</t>
        </is>
      </c>
      <c r="E4" s="2" t="inlineStr">
        <is>
          <t>../../2018/jama.2017.21906/.ai_paper_validation/review_1_5_2/verification/evidence_recheck.md</t>
        </is>
      </c>
    </row>
    <row r="5" ht="30" customHeight="1">
      <c r="A5" s="3" t="inlineStr">
        <is>
          <t>2018::jama.2017.21906::C002</t>
        </is>
      </c>
      <c r="B5" s="3" t="inlineStr">
        <is>
          <t>sourceLinks</t>
        </is>
      </c>
      <c r="C5" s="3" t="n">
        <v>0</v>
      </c>
      <c r="D5" s="3" t="inlineStr">
        <is>
          <t>Main article — PDF p. 6</t>
        </is>
      </c>
      <c r="E5" s="3" t="inlineStr">
        <is>
          <t>../../2018/jama.2017.21906/jama_huffman_2018_oi_170166.pdf#page=6</t>
        </is>
      </c>
    </row>
    <row r="6" ht="30" customHeight="1">
      <c r="A6" s="2" t="inlineStr">
        <is>
          <t>2018::jama.2017.21906::C002</t>
        </is>
      </c>
      <c r="B6" s="2" t="inlineStr">
        <is>
          <t>sourceLinks</t>
        </is>
      </c>
      <c r="C6" s="2" t="n">
        <v>1</v>
      </c>
      <c r="D6" s="2" t="inlineStr">
        <is>
          <t>Main article — PDF p. 7</t>
        </is>
      </c>
      <c r="E6" s="2" t="inlineStr">
        <is>
          <t>../../2018/jama.2017.21906/jama_huffman_2018_oi_170166.pdf#page=7</t>
        </is>
      </c>
    </row>
    <row r="7" ht="40" customHeight="1">
      <c r="A7" s="3" t="inlineStr">
        <is>
          <t>2018::jama.2017.21906::C002</t>
        </is>
      </c>
      <c r="B7" s="3" t="inlineStr">
        <is>
          <t>evidencePaths</t>
        </is>
      </c>
      <c r="C7" s="3" t="n">
        <v>0</v>
      </c>
      <c r="D7" s="3" t="inlineStr">
        <is>
          <t>2018/jama.2017.21906/.ai_paper_validation/review_1_5_2/source_inventory.md</t>
        </is>
      </c>
      <c r="E7" s="3" t="inlineStr">
        <is>
          <t>../../2018/jama.2017.21906/.ai_paper_validation/review_1_5_2/source_inventory.md</t>
        </is>
      </c>
    </row>
    <row r="8" ht="40" customHeight="1">
      <c r="A8" s="2" t="inlineStr">
        <is>
          <t>2018::jama.2017.21906::C002</t>
        </is>
      </c>
      <c r="B8" s="2" t="inlineStr">
        <is>
          <t>evidencePaths</t>
        </is>
      </c>
      <c r="C8" s="2" t="n">
        <v>1</v>
      </c>
      <c r="D8" s="2" t="inlineStr">
        <is>
          <t>2018/jama.2017.21906/.ai_paper_validation/review_1_5_2/verification/evidence_recheck.md</t>
        </is>
      </c>
      <c r="E8" s="2" t="inlineStr">
        <is>
          <t>../../2018/jama.2017.21906/.ai_paper_validation/review_1_5_2/verification/evidence_recheck.md</t>
        </is>
      </c>
    </row>
    <row r="9" ht="30" customHeight="1">
      <c r="A9" s="3" t="inlineStr">
        <is>
          <t>2018::jama.2017.21906::C003</t>
        </is>
      </c>
      <c r="B9" s="3" t="inlineStr">
        <is>
          <t>sourceLinks</t>
        </is>
      </c>
      <c r="C9" s="3" t="n">
        <v>0</v>
      </c>
      <c r="D9" s="3" t="inlineStr">
        <is>
          <t>Online supplement — PDF p. 17</t>
        </is>
      </c>
      <c r="E9" s="3" t="inlineStr">
        <is>
          <t>../../2018/jama.2017.21906/joi170166supp3_prod.pdf#page=17</t>
        </is>
      </c>
    </row>
    <row r="10" ht="40" customHeight="1">
      <c r="A10" s="2" t="inlineStr">
        <is>
          <t>2018::jama.2017.21906::C003</t>
        </is>
      </c>
      <c r="B10" s="2" t="inlineStr">
        <is>
          <t>evidencePaths</t>
        </is>
      </c>
      <c r="C10" s="2" t="n">
        <v>0</v>
      </c>
      <c r="D10" s="2" t="inlineStr">
        <is>
          <t>2018/jama.2017.21906/.ai_paper_validation/review_1_5_2/source_inventory.md</t>
        </is>
      </c>
      <c r="E10" s="2" t="inlineStr">
        <is>
          <t>../../2018/jama.2017.21906/.ai_paper_validation/review_1_5_2/source_inventory.md</t>
        </is>
      </c>
    </row>
    <row r="11" ht="40" customHeight="1">
      <c r="A11" s="3" t="inlineStr">
        <is>
          <t>2018::jama.2017.21906::C003</t>
        </is>
      </c>
      <c r="B11" s="3" t="inlineStr">
        <is>
          <t>evidencePaths</t>
        </is>
      </c>
      <c r="C11" s="3" t="n">
        <v>1</v>
      </c>
      <c r="D11" s="3" t="inlineStr">
        <is>
          <t>2018/jama.2017.21906/.ai_paper_validation/review_1_5_2/verification/evidence_recheck.md</t>
        </is>
      </c>
      <c r="E11" s="3" t="inlineStr">
        <is>
          <t>../../2018/jama.2017.21906/.ai_paper_validation/review_1_5_2/verification/evidence_recheck.md</t>
        </is>
      </c>
    </row>
    <row r="12" ht="30" customHeight="1">
      <c r="A12" s="2" t="inlineStr">
        <is>
          <t>2018::jama.2017.21906::C004</t>
        </is>
      </c>
      <c r="B12" s="2" t="inlineStr">
        <is>
          <t>sourceLinks</t>
        </is>
      </c>
      <c r="C12" s="2" t="n">
        <v>0</v>
      </c>
      <c r="D12" s="2" t="inlineStr">
        <is>
          <t>SAP — PDF p. 7</t>
        </is>
      </c>
      <c r="E12" s="2" t="inlineStr">
        <is>
          <t>../../2018/jama.2017.21906/joi170166supp2_prod.pdf#page=7</t>
        </is>
      </c>
    </row>
    <row r="13" ht="30" customHeight="1">
      <c r="A13" s="3" t="inlineStr">
        <is>
          <t>2018::jama.2017.21906::C004</t>
        </is>
      </c>
      <c r="B13" s="3" t="inlineStr">
        <is>
          <t>sourceLinks</t>
        </is>
      </c>
      <c r="C13" s="3" t="n">
        <v>1</v>
      </c>
      <c r="D13" s="3" t="inlineStr">
        <is>
          <t>main article — PDF p. 3</t>
        </is>
      </c>
      <c r="E13" s="3" t="inlineStr">
        <is>
          <t>../../2018/jama.2017.21906/jama_huffman_2018_oi_170166.pdf#page=3</t>
        </is>
      </c>
    </row>
    <row r="14" ht="30" customHeight="1">
      <c r="A14" s="2" t="inlineStr">
        <is>
          <t>2018::jama.2017.21906::C004</t>
        </is>
      </c>
      <c r="B14" s="2" t="inlineStr">
        <is>
          <t>sourceLinks</t>
        </is>
      </c>
      <c r="C14" s="2" t="n">
        <v>2</v>
      </c>
      <c r="D14" s="2" t="inlineStr">
        <is>
          <t>main article — PDF p. 9</t>
        </is>
      </c>
      <c r="E14" s="2" t="inlineStr">
        <is>
          <t>../../2018/jama.2017.21906/jama_huffman_2018_oi_170166.pdf#page=9</t>
        </is>
      </c>
    </row>
    <row r="15" ht="40" customHeight="1">
      <c r="A15" s="3" t="inlineStr">
        <is>
          <t>2018::jama.2017.21906::C004</t>
        </is>
      </c>
      <c r="B15" s="3" t="inlineStr">
        <is>
          <t>evidencePaths</t>
        </is>
      </c>
      <c r="C15" s="3" t="n">
        <v>0</v>
      </c>
      <c r="D15" s="3" t="inlineStr">
        <is>
          <t>2018/jama.2017.21906/.ai_paper_validation/review_1_5_2/source_inventory.md</t>
        </is>
      </c>
      <c r="E15" s="3" t="inlineStr">
        <is>
          <t>../../2018/jama.2017.21906/.ai_paper_validation/review_1_5_2/source_inventory.md</t>
        </is>
      </c>
    </row>
    <row r="16" ht="40" customHeight="1">
      <c r="A16" s="2" t="inlineStr">
        <is>
          <t>2018::jama.2017.21906::C004</t>
        </is>
      </c>
      <c r="B16" s="2" t="inlineStr">
        <is>
          <t>evidencePaths</t>
        </is>
      </c>
      <c r="C16" s="2" t="n">
        <v>1</v>
      </c>
      <c r="D16" s="2" t="inlineStr">
        <is>
          <t>2018/jama.2017.21906/.ai_paper_validation/review_1_5_2/verification/evidence_recheck.md</t>
        </is>
      </c>
      <c r="E16" s="2" t="inlineStr">
        <is>
          <t>../../2018/jama.2017.21906/.ai_paper_validation/review_1_5_2/verification/evidence_recheck.md</t>
        </is>
      </c>
    </row>
    <row r="17" ht="30" customHeight="1">
      <c r="A17" s="3" t="inlineStr">
        <is>
          <t>2018::jama.2017.21906::C005</t>
        </is>
      </c>
      <c r="B17" s="3" t="inlineStr">
        <is>
          <t>sourceLinks</t>
        </is>
      </c>
      <c r="C17" s="3" t="n">
        <v>0</v>
      </c>
      <c r="D17" s="3" t="inlineStr">
        <is>
          <t>Main article — PDF p. 3</t>
        </is>
      </c>
      <c r="E17" s="3" t="inlineStr">
        <is>
          <t>../../2018/jama.2017.21906/jama_huffman_2018_oi_170166.pdf#page=3</t>
        </is>
      </c>
    </row>
    <row r="18" ht="30" customHeight="1">
      <c r="A18" s="2" t="inlineStr">
        <is>
          <t>2018::jama.2017.21906::C005</t>
        </is>
      </c>
      <c r="B18" s="2" t="inlineStr">
        <is>
          <t>sourceLinks</t>
        </is>
      </c>
      <c r="C18" s="2" t="n">
        <v>1</v>
      </c>
      <c r="D18" s="2" t="inlineStr">
        <is>
          <t>main article — PDF p. 7</t>
        </is>
      </c>
      <c r="E18" s="2" t="inlineStr">
        <is>
          <t>../../2018/jama.2017.21906/jama_huffman_2018_oi_170166.pdf#page=7</t>
        </is>
      </c>
    </row>
    <row r="19" ht="30" customHeight="1">
      <c r="A19" s="3" t="inlineStr">
        <is>
          <t>2018::jama.2017.21906::C005</t>
        </is>
      </c>
      <c r="B19" s="3" t="inlineStr">
        <is>
          <t>sourceLinks</t>
        </is>
      </c>
      <c r="C19" s="3" t="n">
        <v>2</v>
      </c>
      <c r="D19" s="3" t="inlineStr">
        <is>
          <t>online supplement — PDF p. 21</t>
        </is>
      </c>
      <c r="E19" s="3" t="inlineStr">
        <is>
          <t>../../2018/jama.2017.21906/joi170166supp3_prod.pdf#page=21</t>
        </is>
      </c>
    </row>
    <row r="20" ht="30" customHeight="1">
      <c r="A20" s="2" t="inlineStr">
        <is>
          <t>2018::jama.2017.21906::C005</t>
        </is>
      </c>
      <c r="B20" s="2" t="inlineStr">
        <is>
          <t>sourceLinks</t>
        </is>
      </c>
      <c r="C20" s="2" t="n">
        <v>3</v>
      </c>
      <c r="D20" s="2" t="inlineStr">
        <is>
          <t>online supplement — PDF p. 22</t>
        </is>
      </c>
      <c r="E20" s="2" t="inlineStr">
        <is>
          <t>../../2018/jama.2017.21906/joi170166supp3_prod.pdf#page=22</t>
        </is>
      </c>
    </row>
    <row r="21" ht="40" customHeight="1">
      <c r="A21" s="3" t="inlineStr">
        <is>
          <t>2018::jama.2017.21906::C005</t>
        </is>
      </c>
      <c r="B21" s="3" t="inlineStr">
        <is>
          <t>evidencePaths</t>
        </is>
      </c>
      <c r="C21" s="3" t="n">
        <v>0</v>
      </c>
      <c r="D21" s="3" t="inlineStr">
        <is>
          <t>2018/jama.2017.21906/.ai_paper_validation/review_1_5_2/source_inventory.md</t>
        </is>
      </c>
      <c r="E21" s="3" t="inlineStr">
        <is>
          <t>../../2018/jama.2017.21906/.ai_paper_validation/review_1_5_2/source_inventory.md</t>
        </is>
      </c>
    </row>
    <row r="22" ht="40" customHeight="1">
      <c r="A22" s="2" t="inlineStr">
        <is>
          <t>2018::jama.2017.21906::C005</t>
        </is>
      </c>
      <c r="B22" s="2" t="inlineStr">
        <is>
          <t>evidencePaths</t>
        </is>
      </c>
      <c r="C22" s="2" t="n">
        <v>1</v>
      </c>
      <c r="D22" s="2" t="inlineStr">
        <is>
          <t>2018/jama.2017.21906/.ai_paper_validation/review_1_5_2/verification/evidence_recheck.md</t>
        </is>
      </c>
      <c r="E22" s="2" t="inlineStr">
        <is>
          <t>../../2018/jama.2017.21906/.ai_paper_validation/review_1_5_2/verification/evidence_recheck.md</t>
        </is>
      </c>
    </row>
    <row r="23" ht="30" customHeight="1">
      <c r="A23" s="3" t="inlineStr">
        <is>
          <t>2018::jama.2017.21906::C006</t>
        </is>
      </c>
      <c r="B23" s="3" t="inlineStr">
        <is>
          <t>sourceLinks</t>
        </is>
      </c>
      <c r="C23" s="3" t="n">
        <v>0</v>
      </c>
      <c r="D23" s="3" t="inlineStr">
        <is>
          <t>Main article — PDF p. 3</t>
        </is>
      </c>
      <c r="E23" s="3" t="inlineStr">
        <is>
          <t>../../2018/jama.2017.21906/jama_huffman_2018_oi_170166.pdf#page=3</t>
        </is>
      </c>
    </row>
    <row r="24" ht="30" customHeight="1">
      <c r="A24" s="2" t="inlineStr">
        <is>
          <t>2018::jama.2017.21906::C006</t>
        </is>
      </c>
      <c r="B24" s="2" t="inlineStr">
        <is>
          <t>sourceLinks</t>
        </is>
      </c>
      <c r="C24" s="2" t="n">
        <v>1</v>
      </c>
      <c r="D24" s="2" t="inlineStr">
        <is>
          <t>main article — PDF p. 9</t>
        </is>
      </c>
      <c r="E24" s="2" t="inlineStr">
        <is>
          <t>../../2018/jama.2017.21906/jama_huffman_2018_oi_170166.pdf#page=9</t>
        </is>
      </c>
    </row>
    <row r="25" ht="30" customHeight="1">
      <c r="A25" s="3" t="inlineStr">
        <is>
          <t>2018::jama.2017.21906::C006</t>
        </is>
      </c>
      <c r="B25" s="3" t="inlineStr">
        <is>
          <t>sourceLinks</t>
        </is>
      </c>
      <c r="C25" s="3" t="n">
        <v>2</v>
      </c>
      <c r="D25" s="3" t="inlineStr">
        <is>
          <t>SAP — PDF p. 7</t>
        </is>
      </c>
      <c r="E25" s="3" t="inlineStr">
        <is>
          <t>../../2018/jama.2017.21906/joi170166supp2_prod.pdf#page=7</t>
        </is>
      </c>
    </row>
    <row r="26" ht="40" customHeight="1">
      <c r="A26" s="2" t="inlineStr">
        <is>
          <t>2018::jama.2017.21906::C006</t>
        </is>
      </c>
      <c r="B26" s="2" t="inlineStr">
        <is>
          <t>evidencePaths</t>
        </is>
      </c>
      <c r="C26" s="2" t="n">
        <v>0</v>
      </c>
      <c r="D26" s="2" t="inlineStr">
        <is>
          <t>2018/jama.2017.21906/.ai_paper_validation/review_1_5_2/source_inventory.md</t>
        </is>
      </c>
      <c r="E26" s="2" t="inlineStr">
        <is>
          <t>../../2018/jama.2017.21906/.ai_paper_validation/review_1_5_2/source_inventory.md</t>
        </is>
      </c>
    </row>
    <row r="27" ht="30" customHeight="1">
      <c r="A27" s="3" t="inlineStr">
        <is>
          <t>2018::jama.2018.0156::C001</t>
        </is>
      </c>
      <c r="B27" s="3" t="inlineStr">
        <is>
          <t>sourceLinks</t>
        </is>
      </c>
      <c r="C27" s="3" t="n">
        <v>0</v>
      </c>
      <c r="D27" s="3" t="inlineStr">
        <is>
          <t>jama_jabre_2018_oi_180004.pdf — PDF p. 3</t>
        </is>
      </c>
      <c r="E27" s="3" t="inlineStr">
        <is>
          <t>../../2018/jama.2018.0156/jama_jabre_2018_oi_180004.pdf#page=3</t>
        </is>
      </c>
    </row>
    <row r="28" ht="30" customHeight="1">
      <c r="A28" s="2" t="inlineStr">
        <is>
          <t>2018::jama.2018.0156::C001</t>
        </is>
      </c>
      <c r="B28" s="2" t="inlineStr">
        <is>
          <t>sourceLinks</t>
        </is>
      </c>
      <c r="C28" s="2" t="n">
        <v>1</v>
      </c>
      <c r="D28" s="2" t="inlineStr">
        <is>
          <t>jama_jabre_2018_oi_180004.pdf — PDF p. 4</t>
        </is>
      </c>
      <c r="E28" s="2" t="inlineStr">
        <is>
          <t>../../2018/jama.2018.0156/jama_jabre_2018_oi_180004.pdf#page=4</t>
        </is>
      </c>
    </row>
    <row r="29" ht="40" customHeight="1">
      <c r="A29" s="3" t="inlineStr">
        <is>
          <t>2018::jama.2018.0156::C001</t>
        </is>
      </c>
      <c r="B29" s="3" t="inlineStr">
        <is>
          <t>evidencePaths</t>
        </is>
      </c>
      <c r="C29" s="3" t="n">
        <v>0</v>
      </c>
      <c r="D29" s="3" t="inlineStr">
        <is>
          <t>2018/jama.2018.0156/.ai_paper_validation/review_1_5_2/source_inventory.md</t>
        </is>
      </c>
      <c r="E29" s="3" t="inlineStr">
        <is>
          <t>../../2018/jama.2018.0156/.ai_paper_validation/review_1_5_2/source_inventory.md</t>
        </is>
      </c>
    </row>
    <row r="30" ht="30" customHeight="1">
      <c r="A30" s="2" t="inlineStr">
        <is>
          <t>2018::jama.2018.0156::C002</t>
        </is>
      </c>
      <c r="B30" s="2" t="inlineStr">
        <is>
          <t>sourceLinks</t>
        </is>
      </c>
      <c r="C30" s="2" t="n">
        <v>0</v>
      </c>
      <c r="D30" s="2" t="inlineStr">
        <is>
          <t>jama_jabre_2018_oi_180004.pdf — PDF p. 3</t>
        </is>
      </c>
      <c r="E30" s="2" t="inlineStr">
        <is>
          <t>../../2018/jama.2018.0156/jama_jabre_2018_oi_180004.pdf#page=3</t>
        </is>
      </c>
    </row>
    <row r="31" ht="30" customHeight="1">
      <c r="A31" s="3" t="inlineStr">
        <is>
          <t>2018::jama.2018.0156::C002</t>
        </is>
      </c>
      <c r="B31" s="3" t="inlineStr">
        <is>
          <t>sourceLinks</t>
        </is>
      </c>
      <c r="C31" s="3" t="n">
        <v>1</v>
      </c>
      <c r="D31" s="3" t="inlineStr">
        <is>
          <t>jama_jabre_2018_oi_180004.pdf — PDF p. 4</t>
        </is>
      </c>
      <c r="E31" s="3" t="inlineStr">
        <is>
          <t>../../2018/jama.2018.0156/jama_jabre_2018_oi_180004.pdf#page=4</t>
        </is>
      </c>
    </row>
    <row r="32" ht="40" customHeight="1">
      <c r="A32" s="2" t="inlineStr">
        <is>
          <t>2018::jama.2018.0156::C002</t>
        </is>
      </c>
      <c r="B32" s="2" t="inlineStr">
        <is>
          <t>evidencePaths</t>
        </is>
      </c>
      <c r="C32" s="2" t="n">
        <v>0</v>
      </c>
      <c r="D32" s="2" t="inlineStr">
        <is>
          <t>2018/jama.2018.0156/.ai_paper_validation/review_1_5_2/source_inventory.md</t>
        </is>
      </c>
      <c r="E32" s="2" t="inlineStr">
        <is>
          <t>../../2018/jama.2018.0156/.ai_paper_validation/review_1_5_2/source_inventory.md</t>
        </is>
      </c>
    </row>
    <row r="33" ht="30" customHeight="1">
      <c r="A33" s="3" t="inlineStr">
        <is>
          <t>2018::jama.2018.0156::C003</t>
        </is>
      </c>
      <c r="B33" s="3" t="inlineStr">
        <is>
          <t>sourceLinks</t>
        </is>
      </c>
      <c r="C33" s="3" t="n">
        <v>0</v>
      </c>
      <c r="D33" s="3" t="inlineStr">
        <is>
          <t>jama_jabre_2018_oi_180004.pdf — PDF p. 6</t>
        </is>
      </c>
      <c r="E33" s="3" t="inlineStr">
        <is>
          <t>../../2018/jama.2018.0156/jama_jabre_2018_oi_180004.pdf#page=6</t>
        </is>
      </c>
    </row>
    <row r="34" ht="30" customHeight="1">
      <c r="A34" s="2" t="inlineStr">
        <is>
          <t>2018::jama.2018.0156::C003</t>
        </is>
      </c>
      <c r="B34" s="2" t="inlineStr">
        <is>
          <t>sourceLinks</t>
        </is>
      </c>
      <c r="C34" s="2" t="n">
        <v>1</v>
      </c>
      <c r="D34" s="2" t="inlineStr">
        <is>
          <t>joi180004supp1_prod.pdf — PDF p. 123</t>
        </is>
      </c>
      <c r="E34" s="2" t="inlineStr">
        <is>
          <t>../../2018/jama.2018.0156/joi180004supp1_prod.pdf#page=123</t>
        </is>
      </c>
    </row>
    <row r="35" ht="40" customHeight="1">
      <c r="A35" s="3" t="inlineStr">
        <is>
          <t>2018::jama.2018.0156::C003</t>
        </is>
      </c>
      <c r="B35" s="3" t="inlineStr">
        <is>
          <t>evidencePaths</t>
        </is>
      </c>
      <c r="C35" s="3" t="n">
        <v>0</v>
      </c>
      <c r="D35" s="3" t="inlineStr">
        <is>
          <t>2018/jama.2018.0156/.ai_paper_validation/review_1_5_2/source_inventory.md</t>
        </is>
      </c>
      <c r="E35" s="3" t="inlineStr">
        <is>
          <t>../../2018/jama.2018.0156/.ai_paper_validation/review_1_5_2/source_inventory.md</t>
        </is>
      </c>
    </row>
    <row r="36" ht="40" customHeight="1">
      <c r="A36" s="2" t="inlineStr">
        <is>
          <t>2018::jama.2018.0156::C003</t>
        </is>
      </c>
      <c r="B36" s="2" t="inlineStr">
        <is>
          <t>evidencePaths</t>
        </is>
      </c>
      <c r="C36" s="2" t="n">
        <v>1</v>
      </c>
      <c r="D36" s="2" t="inlineStr">
        <is>
          <t>2018/jama.2018.0156/.ai_paper_validation/review_1_5_2/verification/evidence_recheck.md</t>
        </is>
      </c>
      <c r="E36" s="2" t="inlineStr">
        <is>
          <t>../../2018/jama.2018.0156/.ai_paper_validation/review_1_5_2/verification/evidence_recheck.md</t>
        </is>
      </c>
    </row>
    <row r="37" ht="30" customHeight="1">
      <c r="A37" s="3" t="inlineStr">
        <is>
          <t>2018::jama.2018.0156::C004</t>
        </is>
      </c>
      <c r="B37" s="3" t="inlineStr">
        <is>
          <t>sourceLinks</t>
        </is>
      </c>
      <c r="C37" s="3" t="n">
        <v>0</v>
      </c>
      <c r="D37" s="3" t="inlineStr">
        <is>
          <t>jama_jabre_2018_oi_180004.pdf — PDF p. 3</t>
        </is>
      </c>
      <c r="E37" s="3" t="inlineStr">
        <is>
          <t>../../2018/jama.2018.0156/jama_jabre_2018_oi_180004.pdf#page=3</t>
        </is>
      </c>
    </row>
    <row r="38" ht="30" customHeight="1">
      <c r="A38" s="2" t="inlineStr">
        <is>
          <t>2018::jama.2018.0156::C004</t>
        </is>
      </c>
      <c r="B38" s="2" t="inlineStr">
        <is>
          <t>sourceLinks</t>
        </is>
      </c>
      <c r="C38" s="2" t="n">
        <v>1</v>
      </c>
      <c r="D38" s="2" t="inlineStr">
        <is>
          <t>PDF p. 6</t>
        </is>
      </c>
      <c r="E38" s="2" t="inlineStr">
        <is>
          <t>../../2018/jama.2018.0156/jama_jabre_2018_oi_180004.pdf#page=6</t>
        </is>
      </c>
    </row>
    <row r="39" ht="30" customHeight="1">
      <c r="A39" s="3" t="inlineStr">
        <is>
          <t>2018::jama.2018.0156::C004</t>
        </is>
      </c>
      <c r="B39" s="3" t="inlineStr">
        <is>
          <t>sourceLinks</t>
        </is>
      </c>
      <c r="C39" s="3" t="n">
        <v>2</v>
      </c>
      <c r="D39" s="3" t="inlineStr">
        <is>
          <t>joi180004supp1_prod.pdf — PDF p. 124</t>
        </is>
      </c>
      <c r="E39" s="3" t="inlineStr">
        <is>
          <t>../../2018/jama.2018.0156/joi180004supp1_prod.pdf#page=124</t>
        </is>
      </c>
    </row>
    <row r="40" ht="40" customHeight="1">
      <c r="A40" s="2" t="inlineStr">
        <is>
          <t>2018::jama.2018.0156::C004</t>
        </is>
      </c>
      <c r="B40" s="2" t="inlineStr">
        <is>
          <t>evidencePaths</t>
        </is>
      </c>
      <c r="C40" s="2" t="n">
        <v>0</v>
      </c>
      <c r="D40" s="2" t="inlineStr">
        <is>
          <t>2018/jama.2018.0156/.ai_paper_validation/review_1_5_2/source_inventory.md</t>
        </is>
      </c>
      <c r="E40" s="2" t="inlineStr">
        <is>
          <t>../../2018/jama.2018.0156/.ai_paper_validation/review_1_5_2/source_inventory.md</t>
        </is>
      </c>
    </row>
    <row r="41" ht="40" customHeight="1">
      <c r="A41" s="3" t="inlineStr">
        <is>
          <t>2018::jama.2018.0156::C004</t>
        </is>
      </c>
      <c r="B41" s="3" t="inlineStr">
        <is>
          <t>evidencePaths</t>
        </is>
      </c>
      <c r="C41" s="3" t="n">
        <v>1</v>
      </c>
      <c r="D41" s="3" t="inlineStr">
        <is>
          <t>2018/jama.2018.0156/.ai_paper_validation/review_1_5_2/verification/evidence_recheck.md</t>
        </is>
      </c>
      <c r="E41" s="3" t="inlineStr">
        <is>
          <t>../../2018/jama.2018.0156/.ai_paper_validation/review_1_5_2/verification/evidence_recheck.md</t>
        </is>
      </c>
    </row>
    <row r="42" ht="30" customHeight="1">
      <c r="A42" s="2" t="inlineStr">
        <is>
          <t>2018::jama.2018.0156::C005</t>
        </is>
      </c>
      <c r="B42" s="2" t="inlineStr">
        <is>
          <t>sourceLinks</t>
        </is>
      </c>
      <c r="C42" s="2" t="n">
        <v>0</v>
      </c>
      <c r="D42" s="2" t="inlineStr">
        <is>
          <t>jama_jabre_2018_oi_180004.pdf — PDF p. 6</t>
        </is>
      </c>
      <c r="E42" s="2" t="inlineStr">
        <is>
          <t>../../2018/jama.2018.0156/jama_jabre_2018_oi_180004.pdf#page=6</t>
        </is>
      </c>
    </row>
    <row r="43" ht="40" customHeight="1">
      <c r="A43" s="3" t="inlineStr">
        <is>
          <t>2018::jama.2018.0156::C005</t>
        </is>
      </c>
      <c r="B43" s="3" t="inlineStr">
        <is>
          <t>evidencePaths</t>
        </is>
      </c>
      <c r="C43" s="3" t="n">
        <v>0</v>
      </c>
      <c r="D43" s="3" t="inlineStr">
        <is>
          <t>2018/jama.2018.0156/.ai_paper_validation/review_1_5_2/source_inventory.md</t>
        </is>
      </c>
      <c r="E43" s="3" t="inlineStr">
        <is>
          <t>../../2018/jama.2018.0156/.ai_paper_validation/review_1_5_2/source_inventory.md</t>
        </is>
      </c>
    </row>
    <row r="44" ht="30" customHeight="1">
      <c r="A44" s="2" t="inlineStr">
        <is>
          <t>2018::jama.2018.0156::C006</t>
        </is>
      </c>
      <c r="B44" s="2" t="inlineStr">
        <is>
          <t>sourceLinks</t>
        </is>
      </c>
      <c r="C44" s="2" t="n">
        <v>0</v>
      </c>
      <c r="D44" s="2" t="inlineStr">
        <is>
          <t>jama_jabre_2018_oi_180004.pdf — PDF p. 2</t>
        </is>
      </c>
      <c r="E44" s="2" t="inlineStr">
        <is>
          <t>../../2018/jama.2018.0156/jama_jabre_2018_oi_180004.pdf#page=2</t>
        </is>
      </c>
    </row>
    <row r="45" ht="30" customHeight="1">
      <c r="A45" s="3" t="inlineStr">
        <is>
          <t>2018::jama.2018.0156::C006</t>
        </is>
      </c>
      <c r="B45" s="3" t="inlineStr">
        <is>
          <t>sourceLinks</t>
        </is>
      </c>
      <c r="C45" s="3" t="n">
        <v>1</v>
      </c>
      <c r="D45" s="3" t="inlineStr">
        <is>
          <t>joi180004supp2_prod.pdf — PDF p. 2</t>
        </is>
      </c>
      <c r="E45" s="3" t="inlineStr">
        <is>
          <t>../../2018/jama.2018.0156/joi180004supp2_prod.pdf#page=2</t>
        </is>
      </c>
    </row>
    <row r="46" ht="40" customHeight="1">
      <c r="A46" s="2" t="inlineStr">
        <is>
          <t>2018::jama.2018.0156::C006</t>
        </is>
      </c>
      <c r="B46" s="2" t="inlineStr">
        <is>
          <t>evidencePaths</t>
        </is>
      </c>
      <c r="C46" s="2" t="n">
        <v>0</v>
      </c>
      <c r="D46" s="2" t="inlineStr">
        <is>
          <t>2018/jama.2018.0156/.ai_paper_validation/review_1_5_2/source_inventory.md</t>
        </is>
      </c>
      <c r="E46" s="2" t="inlineStr">
        <is>
          <t>../../2018/jama.2018.0156/.ai_paper_validation/review_1_5_2/source_inventory.md</t>
        </is>
      </c>
    </row>
    <row r="47" ht="30" customHeight="1">
      <c r="A47" s="3" t="inlineStr">
        <is>
          <t>2018::jama.2018.0156::C007</t>
        </is>
      </c>
      <c r="B47" s="3" t="inlineStr">
        <is>
          <t>sourceLinks</t>
        </is>
      </c>
      <c r="C47" s="3" t="n">
        <v>0</v>
      </c>
      <c r="D47" s="3" t="inlineStr">
        <is>
          <t>jama_jabre_2018_oi_180004.pdf — PDF p. 1</t>
        </is>
      </c>
      <c r="E47" s="3" t="inlineStr">
        <is>
          <t>../../2018/jama.2018.0156/jama_jabre_2018_oi_180004.pdf#page=1</t>
        </is>
      </c>
    </row>
    <row r="48" ht="30" customHeight="1">
      <c r="A48" s="2" t="inlineStr">
        <is>
          <t>2018::jama.2018.0156::C007</t>
        </is>
      </c>
      <c r="B48" s="2" t="inlineStr">
        <is>
          <t>sourceLinks</t>
        </is>
      </c>
      <c r="C48" s="2" t="n">
        <v>1</v>
      </c>
      <c r="D48" s="2" t="inlineStr">
        <is>
          <t>PDF p. 3</t>
        </is>
      </c>
      <c r="E48" s="2" t="inlineStr">
        <is>
          <t>../../2018/jama.2018.0156/jama_jabre_2018_oi_180004.pdf#page=3</t>
        </is>
      </c>
    </row>
    <row r="49" ht="30" customHeight="1">
      <c r="A49" s="3" t="inlineStr">
        <is>
          <t>2018::jama.2018.0156::C007</t>
        </is>
      </c>
      <c r="B49" s="3" t="inlineStr">
        <is>
          <t>sourceLinks</t>
        </is>
      </c>
      <c r="C49" s="3" t="n">
        <v>2</v>
      </c>
      <c r="D49" s="3" t="inlineStr">
        <is>
          <t>joi180004supp1_prod.pdf — PDF p. 110</t>
        </is>
      </c>
      <c r="E49" s="3" t="inlineStr">
        <is>
          <t>../../2018/jama.2018.0156/joi180004supp1_prod.pdf#page=110</t>
        </is>
      </c>
    </row>
    <row r="50" ht="40" customHeight="1">
      <c r="A50" s="2" t="inlineStr">
        <is>
          <t>2018::jama.2018.0156::C007</t>
        </is>
      </c>
      <c r="B50" s="2" t="inlineStr">
        <is>
          <t>evidencePaths</t>
        </is>
      </c>
      <c r="C50" s="2" t="n">
        <v>0</v>
      </c>
      <c r="D50" s="2" t="inlineStr">
        <is>
          <t>2018/jama.2018.0156/.ai_paper_validation/review_1_5_2/source_inventory.md</t>
        </is>
      </c>
      <c r="E50" s="2" t="inlineStr">
        <is>
          <t>../../2018/jama.2018.0156/.ai_paper_validation/review_1_5_2/source_inventory.md</t>
        </is>
      </c>
    </row>
    <row r="51" ht="40" customHeight="1">
      <c r="A51" s="3" t="inlineStr">
        <is>
          <t>2018::jama.2018.0156::C007</t>
        </is>
      </c>
      <c r="B51" s="3" t="inlineStr">
        <is>
          <t>evidencePaths</t>
        </is>
      </c>
      <c r="C51" s="3" t="n">
        <v>1</v>
      </c>
      <c r="D51" s="3" t="inlineStr">
        <is>
          <t>2018/jama.2018.0156/.ai_paper_validation/review_1_5_2/verification/evidence_recheck.md</t>
        </is>
      </c>
      <c r="E51" s="3" t="inlineStr">
        <is>
          <t>../../2018/jama.2018.0156/.ai_paper_validation/review_1_5_2/verification/evidence_recheck.md</t>
        </is>
      </c>
    </row>
    <row r="52" ht="30" customHeight="1">
      <c r="A52" s="2" t="inlineStr">
        <is>
          <t>2018::jama.2018.0156::C008</t>
        </is>
      </c>
      <c r="B52" s="2" t="inlineStr">
        <is>
          <t>sourceLinks</t>
        </is>
      </c>
      <c r="C52" s="2" t="n">
        <v>0</v>
      </c>
      <c r="D52" s="2" t="inlineStr">
        <is>
          <t>joi180004supp1_prod.pdf — PDF p. 110</t>
        </is>
      </c>
      <c r="E52" s="2" t="inlineStr">
        <is>
          <t>../../2018/jama.2018.0156/joi180004supp1_prod.pdf#page=110</t>
        </is>
      </c>
    </row>
    <row r="53" ht="30" customHeight="1">
      <c r="A53" s="3" t="inlineStr">
        <is>
          <t>2018::jama.2018.0156::C008</t>
        </is>
      </c>
      <c r="B53" s="3" t="inlineStr">
        <is>
          <t>sourceLinks</t>
        </is>
      </c>
      <c r="C53" s="3" t="n">
        <v>1</v>
      </c>
      <c r="D53" s="3" t="inlineStr">
        <is>
          <t>jama_jabre_2018_oi_180004.pdf — PDF p. 1</t>
        </is>
      </c>
      <c r="E53" s="3" t="inlineStr">
        <is>
          <t>../../2018/jama.2018.0156/jama_jabre_2018_oi_180004.pdf#page=1</t>
        </is>
      </c>
    </row>
    <row r="54" ht="30" customHeight="1">
      <c r="A54" s="2" t="inlineStr">
        <is>
          <t>2018::jama.2018.0156::C008</t>
        </is>
      </c>
      <c r="B54" s="2" t="inlineStr">
        <is>
          <t>sourceLinks</t>
        </is>
      </c>
      <c r="C54" s="2" t="n">
        <v>2</v>
      </c>
      <c r="D54" s="2" t="inlineStr">
        <is>
          <t>PDF p. 4</t>
        </is>
      </c>
      <c r="E54" s="2" t="inlineStr">
        <is>
          <t>../../2018/jama.2018.0156/jama_jabre_2018_oi_180004.pdf#page=4</t>
        </is>
      </c>
    </row>
    <row r="55" ht="30" customHeight="1">
      <c r="A55" s="3" t="inlineStr">
        <is>
          <t>2018::jama.2018.0156::C008</t>
        </is>
      </c>
      <c r="B55" s="3" t="inlineStr">
        <is>
          <t>sourceLinks</t>
        </is>
      </c>
      <c r="C55" s="3" t="n">
        <v>3</v>
      </c>
      <c r="D55" s="3" t="inlineStr">
        <is>
          <t>PDF p. 6</t>
        </is>
      </c>
      <c r="E55" s="3" t="inlineStr">
        <is>
          <t>../../2018/jama.2018.0156/jama_jabre_2018_oi_180004.pdf#page=6</t>
        </is>
      </c>
    </row>
    <row r="56" ht="40" customHeight="1">
      <c r="A56" s="2" t="inlineStr">
        <is>
          <t>2018::jama.2018.0156::C008</t>
        </is>
      </c>
      <c r="B56" s="2" t="inlineStr">
        <is>
          <t>evidencePaths</t>
        </is>
      </c>
      <c r="C56" s="2" t="n">
        <v>0</v>
      </c>
      <c r="D56" s="2" t="inlineStr">
        <is>
          <t>2018/jama.2018.0156/.ai_paper_validation/review_1_5_2/source_inventory.md</t>
        </is>
      </c>
      <c r="E56" s="2" t="inlineStr">
        <is>
          <t>../../2018/jama.2018.0156/.ai_paper_validation/review_1_5_2/source_inventory.md</t>
        </is>
      </c>
    </row>
    <row r="57" ht="40" customHeight="1">
      <c r="A57" s="3" t="inlineStr">
        <is>
          <t>2018::jama.2018.0156::C008</t>
        </is>
      </c>
      <c r="B57" s="3" t="inlineStr">
        <is>
          <t>evidencePaths</t>
        </is>
      </c>
      <c r="C57" s="3" t="n">
        <v>1</v>
      </c>
      <c r="D57" s="3" t="inlineStr">
        <is>
          <t>2018/jama.2018.0156/.ai_paper_validation/review_1_5_2/verification/evidence_recheck.md</t>
        </is>
      </c>
      <c r="E57" s="3" t="inlineStr">
        <is>
          <t>../../2018/jama.2018.0156/.ai_paper_validation/review_1_5_2/verification/evidence_recheck.md</t>
        </is>
      </c>
    </row>
    <row r="58" ht="40" customHeight="1">
      <c r="A58" s="2" t="inlineStr">
        <is>
          <t>2018::jama.2018.0156::C008</t>
        </is>
      </c>
      <c r="B58" s="2" t="inlineStr">
        <is>
          <t>evidencePaths</t>
        </is>
      </c>
      <c r="C58" s="2" t="n">
        <v>2</v>
      </c>
      <c r="D58" s="2" t="inlineStr">
        <is>
          <t>2018/jama.2018.0156/.ai_paper_validation/review_1_5_2/preprocessing/native_text/jama_jabre_2018_oi_180004.txt</t>
        </is>
      </c>
      <c r="E58" s="2" t="inlineStr">
        <is>
          <t>../../2018/jama.2018.0156/.ai_paper_validation/review_1_5_2/preprocessing/native_text/jama_jabre_2018_oi_180004.txt</t>
        </is>
      </c>
    </row>
    <row r="59" ht="30" customHeight="1">
      <c r="A59" s="3" t="inlineStr">
        <is>
          <t>2018::jama.2018.0948::C001</t>
        </is>
      </c>
      <c r="B59" s="3" t="inlineStr">
        <is>
          <t>sourceLinks</t>
        </is>
      </c>
      <c r="C59" s="3" t="n">
        <v>0</v>
      </c>
      <c r="D59" s="3" t="inlineStr">
        <is>
          <t>main article — PDF p. 4</t>
        </is>
      </c>
      <c r="E59" s="3" t="inlineStr">
        <is>
          <t>../../2018/jama.2018.0948/jama_parshuram_2018_oi_180015.pdf#page=4</t>
        </is>
      </c>
    </row>
    <row r="60" ht="30" customHeight="1">
      <c r="A60" s="2" t="inlineStr">
        <is>
          <t>2018::jama.2018.0948::C001</t>
        </is>
      </c>
      <c r="B60" s="2" t="inlineStr">
        <is>
          <t>sourceLinks</t>
        </is>
      </c>
      <c r="C60" s="2" t="n">
        <v>1</v>
      </c>
      <c r="D60" s="2" t="inlineStr">
        <is>
          <t>Supplement 1 Table 5 — PDF p. 24</t>
        </is>
      </c>
      <c r="E60" s="2" t="inlineStr">
        <is>
          <t>../../2018/jama.2018.0948/joi180015supp1_prod.pdf#page=24</t>
        </is>
      </c>
    </row>
    <row r="61" ht="30" customHeight="1">
      <c r="A61" s="3" t="inlineStr">
        <is>
          <t>2018::jama.2018.0948::C001</t>
        </is>
      </c>
      <c r="B61" s="3" t="inlineStr">
        <is>
          <t>sourceLinks</t>
        </is>
      </c>
      <c r="C61" s="3" t="n">
        <v>2</v>
      </c>
      <c r="D61" s="3" t="inlineStr">
        <is>
          <t>Supplement 3 eTable 1 — PDF p. 6</t>
        </is>
      </c>
      <c r="E61" s="3" t="inlineStr">
        <is>
          <t>../../2018/jama.2018.0948/joi180015supp3_prod.pdf#page=6</t>
        </is>
      </c>
    </row>
    <row r="62" ht="40" customHeight="1">
      <c r="A62" s="2" t="inlineStr">
        <is>
          <t>2018::jama.2018.0948::C001</t>
        </is>
      </c>
      <c r="B62" s="2" t="inlineStr">
        <is>
          <t>evidencePaths</t>
        </is>
      </c>
      <c r="C62" s="2" t="n">
        <v>0</v>
      </c>
      <c r="D62" s="2" t="inlineStr">
        <is>
          <t>2018/jama.2018.0948/.ai_paper_validation/review_1_5_2/source_inventory.md</t>
        </is>
      </c>
      <c r="E62" s="2" t="inlineStr">
        <is>
          <t>../../2018/jama.2018.0948/.ai_paper_validation/review_1_5_2/source_inventory.md</t>
        </is>
      </c>
    </row>
    <row r="63" ht="40" customHeight="1">
      <c r="A63" s="3" t="inlineStr">
        <is>
          <t>2018::jama.2018.0948::C001</t>
        </is>
      </c>
      <c r="B63" s="3" t="inlineStr">
        <is>
          <t>evidencePaths</t>
        </is>
      </c>
      <c r="C63" s="3" t="n">
        <v>1</v>
      </c>
      <c r="D63" s="3" t="inlineStr">
        <is>
          <t>2018/jama.2018.0948/.ai_paper_validation/review_1_5_2/candidate_ledger.md</t>
        </is>
      </c>
      <c r="E63" s="3" t="inlineStr">
        <is>
          <t>../../2018/jama.2018.0948/.ai_paper_validation/review_1_5_2/candidate_ledger.md</t>
        </is>
      </c>
    </row>
    <row r="64" ht="30" customHeight="1">
      <c r="A64" s="2" t="inlineStr">
        <is>
          <t>2018::jama.2018.0948::C002</t>
        </is>
      </c>
      <c r="B64" s="2" t="inlineStr">
        <is>
          <t>sourceLinks</t>
        </is>
      </c>
      <c r="C64" s="2" t="n">
        <v>0</v>
      </c>
      <c r="D64" s="2" t="inlineStr">
        <is>
          <t>Supplement 1 — PDF p. 1</t>
        </is>
      </c>
      <c r="E64" s="2" t="inlineStr">
        <is>
          <t>../../2018/jama.2018.0948/joi180015supp1_prod.pdf#page=1</t>
        </is>
      </c>
    </row>
    <row r="65" ht="30" customHeight="1">
      <c r="A65" s="3" t="inlineStr">
        <is>
          <t>2018::jama.2018.0948::C002</t>
        </is>
      </c>
      <c r="B65" s="3" t="inlineStr">
        <is>
          <t>sourceLinks</t>
        </is>
      </c>
      <c r="C65" s="3" t="n">
        <v>1</v>
      </c>
      <c r="D65" s="3" t="inlineStr">
        <is>
          <t>p. 14</t>
        </is>
      </c>
      <c r="E65" s="3" t="inlineStr">
        <is>
          <t>../../2018/jama.2018.0948/joi180015supp1_prod.pdf#page=14</t>
        </is>
      </c>
    </row>
    <row r="66" ht="30" customHeight="1">
      <c r="A66" s="2" t="inlineStr">
        <is>
          <t>2018::jama.2018.0948::C002</t>
        </is>
      </c>
      <c r="B66" s="2" t="inlineStr">
        <is>
          <t>sourceLinks</t>
        </is>
      </c>
      <c r="C66" s="2" t="n">
        <v>2</v>
      </c>
      <c r="D66" s="2" t="inlineStr">
        <is>
          <t>p. 29</t>
        </is>
      </c>
      <c r="E66" s="2" t="inlineStr">
        <is>
          <t>../../2018/jama.2018.0948/joi180015supp1_prod.pdf#page=29</t>
        </is>
      </c>
    </row>
    <row r="67" ht="30" customHeight="1">
      <c r="A67" s="3" t="inlineStr">
        <is>
          <t>2018::jama.2018.0948::C002</t>
        </is>
      </c>
      <c r="B67" s="3" t="inlineStr">
        <is>
          <t>sourceLinks</t>
        </is>
      </c>
      <c r="C67" s="3" t="n">
        <v>3</v>
      </c>
      <c r="D67" s="3" t="inlineStr">
        <is>
          <t>main article — PDF p. 4</t>
        </is>
      </c>
      <c r="E67" s="3" t="inlineStr">
        <is>
          <t>../../2018/jama.2018.0948/jama_parshuram_2018_oi_180015.pdf#page=4</t>
        </is>
      </c>
    </row>
    <row r="68" ht="40" customHeight="1">
      <c r="A68" s="2" t="inlineStr">
        <is>
          <t>2018::jama.2018.0948::C002</t>
        </is>
      </c>
      <c r="B68" s="2" t="inlineStr">
        <is>
          <t>evidencePaths</t>
        </is>
      </c>
      <c r="C68" s="2" t="n">
        <v>0</v>
      </c>
      <c r="D68" s="2" t="inlineStr">
        <is>
          <t>2018/jama.2018.0948/.ai_paper_validation/review_1_5_2/source_inventory.md</t>
        </is>
      </c>
      <c r="E68" s="2" t="inlineStr">
        <is>
          <t>../../2018/jama.2018.0948/.ai_paper_validation/review_1_5_2/source_inventory.md</t>
        </is>
      </c>
    </row>
    <row r="69" ht="40" customHeight="1">
      <c r="A69" s="3" t="inlineStr">
        <is>
          <t>2018::jama.2018.0948::C002</t>
        </is>
      </c>
      <c r="B69" s="3" t="inlineStr">
        <is>
          <t>evidencePaths</t>
        </is>
      </c>
      <c r="C69" s="3" t="n">
        <v>1</v>
      </c>
      <c r="D69" s="3" t="inlineStr">
        <is>
          <t>2018/jama.2018.0948/.ai_paper_validation/review_1_5_2/candidate_ledger.md</t>
        </is>
      </c>
      <c r="E69" s="3" t="inlineStr">
        <is>
          <t>../../2018/jama.2018.0948/.ai_paper_validation/review_1_5_2/candidate_ledger.md</t>
        </is>
      </c>
    </row>
    <row r="70" ht="30" customHeight="1">
      <c r="A70" s="2" t="inlineStr">
        <is>
          <t>2018::jama.2018.0948::C003</t>
        </is>
      </c>
      <c r="B70" s="2" t="inlineStr">
        <is>
          <t>sourceLinks</t>
        </is>
      </c>
      <c r="C70" s="2" t="n">
        <v>0</v>
      </c>
      <c r="D70" s="2" t="inlineStr">
        <is>
          <t>Supplement 1 — PDF p. 11</t>
        </is>
      </c>
      <c r="E70" s="2" t="inlineStr">
        <is>
          <t>../../2018/jama.2018.0948/joi180015supp1_prod.pdf#page=11</t>
        </is>
      </c>
    </row>
    <row r="71" ht="30" customHeight="1">
      <c r="A71" s="3" t="inlineStr">
        <is>
          <t>2018::jama.2018.0948::C003</t>
        </is>
      </c>
      <c r="B71" s="3" t="inlineStr">
        <is>
          <t>sourceLinks</t>
        </is>
      </c>
      <c r="C71" s="3" t="n">
        <v>1</v>
      </c>
      <c r="D71" s="3" t="inlineStr">
        <is>
          <t>Table 5 — PDF p. 24</t>
        </is>
      </c>
      <c r="E71" s="3" t="inlineStr">
        <is>
          <t>../../2018/jama.2018.0948/joi180015supp1_prod.pdf#page=24</t>
        </is>
      </c>
    </row>
    <row r="72" ht="30" customHeight="1">
      <c r="A72" s="2" t="inlineStr">
        <is>
          <t>2018::jama.2018.0948::C003</t>
        </is>
      </c>
      <c r="B72" s="2" t="inlineStr">
        <is>
          <t>sourceLinks</t>
        </is>
      </c>
      <c r="C72" s="2" t="n">
        <v>2</v>
      </c>
      <c r="D72" s="2" t="inlineStr">
        <is>
          <t>Table 6 legend — PDF p. 27</t>
        </is>
      </c>
      <c r="E72" s="2" t="inlineStr">
        <is>
          <t>../../2018/jama.2018.0948/joi180015supp1_prod.pdf#page=27</t>
        </is>
      </c>
    </row>
    <row r="73" ht="40" customHeight="1">
      <c r="A73" s="3" t="inlineStr">
        <is>
          <t>2018::jama.2018.0948::C003</t>
        </is>
      </c>
      <c r="B73" s="3" t="inlineStr">
        <is>
          <t>evidencePaths</t>
        </is>
      </c>
      <c r="C73" s="3" t="n">
        <v>0</v>
      </c>
      <c r="D73" s="3" t="inlineStr">
        <is>
          <t>2018/jama.2018.0948/.ai_paper_validation/review_1_5_2/source_inventory.md</t>
        </is>
      </c>
      <c r="E73" s="3" t="inlineStr">
        <is>
          <t>../../2018/jama.2018.0948/.ai_paper_validation/review_1_5_2/source_inventory.md</t>
        </is>
      </c>
    </row>
    <row r="74" ht="40" customHeight="1">
      <c r="A74" s="2" t="inlineStr">
        <is>
          <t>2018::jama.2018.0948::C003</t>
        </is>
      </c>
      <c r="B74" s="2" t="inlineStr">
        <is>
          <t>evidencePaths</t>
        </is>
      </c>
      <c r="C74" s="2" t="n">
        <v>1</v>
      </c>
      <c r="D74" s="2" t="inlineStr">
        <is>
          <t>2018/jama.2018.0948/.ai_paper_validation/review_1_5_2/candidate_ledger.md</t>
        </is>
      </c>
      <c r="E74" s="2" t="inlineStr">
        <is>
          <t>../../2018/jama.2018.0948/.ai_paper_validation/review_1_5_2/candidate_ledger.md</t>
        </is>
      </c>
    </row>
    <row r="75" ht="30" customHeight="1">
      <c r="A75" s="3" t="inlineStr">
        <is>
          <t>2018::jama.2018.0948::C004</t>
        </is>
      </c>
      <c r="B75" s="3" t="inlineStr">
        <is>
          <t>sourceLinks</t>
        </is>
      </c>
      <c r="C75" s="3" t="n">
        <v>0</v>
      </c>
      <c r="D75" s="3" t="inlineStr">
        <is>
          <t>Supplement 1 — PDF p. 11</t>
        </is>
      </c>
      <c r="E75" s="3" t="inlineStr">
        <is>
          <t>../../2018/jama.2018.0948/joi180015supp1_prod.pdf#page=11</t>
        </is>
      </c>
    </row>
    <row r="76" ht="30" customHeight="1">
      <c r="A76" s="2" t="inlineStr">
        <is>
          <t>2018::jama.2018.0948::C004</t>
        </is>
      </c>
      <c r="B76" s="2" t="inlineStr">
        <is>
          <t>sourceLinks</t>
        </is>
      </c>
      <c r="C76" s="2" t="n">
        <v>1</v>
      </c>
      <c r="D76" s="2" t="inlineStr">
        <is>
          <t>Table 7 — PDF p. 28</t>
        </is>
      </c>
      <c r="E76" s="2" t="inlineStr">
        <is>
          <t>../../2018/jama.2018.0948/joi180015supp1_prod.pdf#page=28</t>
        </is>
      </c>
    </row>
    <row r="77" ht="30" customHeight="1">
      <c r="A77" s="3" t="inlineStr">
        <is>
          <t>2018::jama.2018.0948::C004</t>
        </is>
      </c>
      <c r="B77" s="3" t="inlineStr">
        <is>
          <t>sourceLinks</t>
        </is>
      </c>
      <c r="C77" s="3" t="n">
        <v>2</v>
      </c>
      <c r="D77" s="3" t="inlineStr">
        <is>
          <t>Supplement 3 eTable 1 — PDF p. 6</t>
        </is>
      </c>
      <c r="E77" s="3" t="inlineStr">
        <is>
          <t>../../2018/jama.2018.0948/joi180015supp3_prod.pdf#page=6</t>
        </is>
      </c>
    </row>
    <row r="78" ht="30" customHeight="1">
      <c r="A78" s="2" t="inlineStr">
        <is>
          <t>2018::jama.2018.0948::C004</t>
        </is>
      </c>
      <c r="B78" s="2" t="inlineStr">
        <is>
          <t>sourceLinks</t>
        </is>
      </c>
      <c r="C78" s="2" t="n">
        <v>3</v>
      </c>
      <c r="D78" s="2" t="inlineStr">
        <is>
          <t>main article — PDF p. 7</t>
        </is>
      </c>
      <c r="E78" s="2" t="inlineStr">
        <is>
          <t>../../2018/jama.2018.0948/jama_parshuram_2018_oi_180015.pdf#page=7</t>
        </is>
      </c>
    </row>
    <row r="79" ht="40" customHeight="1">
      <c r="A79" s="3" t="inlineStr">
        <is>
          <t>2018::jama.2018.0948::C004</t>
        </is>
      </c>
      <c r="B79" s="3" t="inlineStr">
        <is>
          <t>evidencePaths</t>
        </is>
      </c>
      <c r="C79" s="3" t="n">
        <v>0</v>
      </c>
      <c r="D79" s="3" t="inlineStr">
        <is>
          <t>2018/jama.2018.0948/.ai_paper_validation/review_1_5_2/source_inventory.md</t>
        </is>
      </c>
      <c r="E79" s="3" t="inlineStr">
        <is>
          <t>../../2018/jama.2018.0948/.ai_paper_validation/review_1_5_2/source_inventory.md</t>
        </is>
      </c>
    </row>
    <row r="80" ht="40" customHeight="1">
      <c r="A80" s="2" t="inlineStr">
        <is>
          <t>2018::jama.2018.0948::C004</t>
        </is>
      </c>
      <c r="B80" s="2" t="inlineStr">
        <is>
          <t>evidencePaths</t>
        </is>
      </c>
      <c r="C80" s="2" t="n">
        <v>1</v>
      </c>
      <c r="D80" s="2" t="inlineStr">
        <is>
          <t>2018/jama.2018.0948/.ai_paper_validation/review_1_5_2/verification/evidence_recheck.md</t>
        </is>
      </c>
      <c r="E80" s="2" t="inlineStr">
        <is>
          <t>../../2018/jama.2018.0948/.ai_paper_validation/review_1_5_2/verification/evidence_recheck.md</t>
        </is>
      </c>
    </row>
    <row r="81" ht="40" customHeight="1">
      <c r="A81" s="3" t="inlineStr">
        <is>
          <t>2018::jama.2018.0948::C004</t>
        </is>
      </c>
      <c r="B81" s="3" t="inlineStr">
        <is>
          <t>evidencePaths</t>
        </is>
      </c>
      <c r="C81" s="3" t="n">
        <v>2</v>
      </c>
      <c r="D81" s="3" t="inlineStr">
        <is>
          <t>2018/jama.2018.0948/.ai_paper_validation/review_1_5_2/candidate_ledger.md</t>
        </is>
      </c>
      <c r="E81" s="3" t="inlineStr">
        <is>
          <t>../../2018/jama.2018.0948/.ai_paper_validation/review_1_5_2/candidate_ledger.md</t>
        </is>
      </c>
    </row>
    <row r="82" ht="30" customHeight="1">
      <c r="A82" s="2" t="inlineStr">
        <is>
          <t>2018::jama.2018.0948::C005</t>
        </is>
      </c>
      <c r="B82" s="2" t="inlineStr">
        <is>
          <t>sourceLinks</t>
        </is>
      </c>
      <c r="C82" s="2" t="n">
        <v>0</v>
      </c>
      <c r="D82" s="2" t="inlineStr">
        <is>
          <t>Supplement 1 — PDF p. 14</t>
        </is>
      </c>
      <c r="E82" s="2" t="inlineStr">
        <is>
          <t>../../2018/jama.2018.0948/joi180015supp1_prod.pdf#page=14</t>
        </is>
      </c>
    </row>
    <row r="83" ht="30" customHeight="1">
      <c r="A83" s="3" t="inlineStr">
        <is>
          <t>2018::jama.2018.0948::C005</t>
        </is>
      </c>
      <c r="B83" s="3" t="inlineStr">
        <is>
          <t>sourceLinks</t>
        </is>
      </c>
      <c r="C83" s="3" t="n">
        <v>1</v>
      </c>
      <c r="D83" s="3" t="inlineStr">
        <is>
          <t>PDF p. 30</t>
        </is>
      </c>
      <c r="E83" s="3" t="inlineStr">
        <is>
          <t>../../2018/jama.2018.0948/joi180015supp1_prod.pdf#page=30</t>
        </is>
      </c>
    </row>
    <row r="84" ht="40" customHeight="1">
      <c r="A84" s="2" t="inlineStr">
        <is>
          <t>2018::jama.2018.0948::C005</t>
        </is>
      </c>
      <c r="B84" s="2" t="inlineStr">
        <is>
          <t>evidencePaths</t>
        </is>
      </c>
      <c r="C84" s="2" t="n">
        <v>0</v>
      </c>
      <c r="D84" s="2" t="inlineStr">
        <is>
          <t>2018/jama.2018.0948/.ai_paper_validation/review_1_5_2/source_inventory.md</t>
        </is>
      </c>
      <c r="E84" s="2" t="inlineStr">
        <is>
          <t>../../2018/jama.2018.0948/.ai_paper_validation/review_1_5_2/source_inventory.md</t>
        </is>
      </c>
    </row>
    <row r="85" ht="40" customHeight="1">
      <c r="A85" s="3" t="inlineStr">
        <is>
          <t>2018::jama.2018.0948::C005</t>
        </is>
      </c>
      <c r="B85" s="3" t="inlineStr">
        <is>
          <t>evidencePaths</t>
        </is>
      </c>
      <c r="C85" s="3" t="n">
        <v>1</v>
      </c>
      <c r="D85" s="3" t="inlineStr">
        <is>
          <t>2018/jama.2018.0948/.ai_paper_validation/review_1_5_2/candidate_ledger.md</t>
        </is>
      </c>
      <c r="E85" s="3" t="inlineStr">
        <is>
          <t>../../2018/jama.2018.0948/.ai_paper_validation/review_1_5_2/candidate_ledger.md</t>
        </is>
      </c>
    </row>
    <row r="86" ht="40" customHeight="1">
      <c r="A86" s="2" t="inlineStr">
        <is>
          <t>2018::jama.2018.0948::C005</t>
        </is>
      </c>
      <c r="B86" s="2" t="inlineStr">
        <is>
          <t>evidencePaths</t>
        </is>
      </c>
      <c r="C86" s="2" t="n">
        <v>2</v>
      </c>
      <c r="D86" s="2" t="inlineStr">
        <is>
          <t>2018/jama.2018.0948/.ai_paper_validation/review_1_5_2/preprocessing/native_text/joi180015supp1_prod.txt</t>
        </is>
      </c>
      <c r="E86" s="2" t="inlineStr">
        <is>
          <t>../../2018/jama.2018.0948/.ai_paper_validation/review_1_5_2/preprocessing/native_text/joi180015supp1_prod.txt</t>
        </is>
      </c>
    </row>
    <row r="87" ht="30" customHeight="1">
      <c r="A87" s="3" t="inlineStr">
        <is>
          <t>2018::jama.2018.0948::C006</t>
        </is>
      </c>
      <c r="B87" s="3" t="inlineStr">
        <is>
          <t>sourceLinks</t>
        </is>
      </c>
      <c r="C87" s="3" t="n">
        <v>0</v>
      </c>
      <c r="D87" s="3" t="inlineStr">
        <is>
          <t>Supplement 1 — PDF p. 30</t>
        </is>
      </c>
      <c r="E87" s="3" t="inlineStr">
        <is>
          <t>../../2018/jama.2018.0948/joi180015supp1_prod.pdf#page=30</t>
        </is>
      </c>
    </row>
    <row r="88" ht="40" customHeight="1">
      <c r="A88" s="2" t="inlineStr">
        <is>
          <t>2018::jama.2018.0948::C006</t>
        </is>
      </c>
      <c r="B88" s="2" t="inlineStr">
        <is>
          <t>evidencePaths</t>
        </is>
      </c>
      <c r="C88" s="2" t="n">
        <v>0</v>
      </c>
      <c r="D88" s="2" t="inlineStr">
        <is>
          <t>2018/jama.2018.0948/.ai_paper_validation/review_1_5_2/source_inventory.md</t>
        </is>
      </c>
      <c r="E88" s="2" t="inlineStr">
        <is>
          <t>../../2018/jama.2018.0948/.ai_paper_validation/review_1_5_2/source_inventory.md</t>
        </is>
      </c>
    </row>
    <row r="89" ht="40" customHeight="1">
      <c r="A89" s="3" t="inlineStr">
        <is>
          <t>2018::jama.2018.0948::C006</t>
        </is>
      </c>
      <c r="B89" s="3" t="inlineStr">
        <is>
          <t>evidencePaths</t>
        </is>
      </c>
      <c r="C89" s="3" t="n">
        <v>1</v>
      </c>
      <c r="D89" s="3" t="inlineStr">
        <is>
          <t>2018/jama.2018.0948/.ai_paper_validation/review_1_5_2/candidate_ledger.md</t>
        </is>
      </c>
      <c r="E89" s="3" t="inlineStr">
        <is>
          <t>../../2018/jama.2018.0948/.ai_paper_validation/review_1_5_2/candidate_ledger.md</t>
        </is>
      </c>
    </row>
    <row r="90" ht="30" customHeight="1">
      <c r="A90" s="2" t="inlineStr">
        <is>
          <t>2018::jama.2018.0948::C007</t>
        </is>
      </c>
      <c r="B90" s="2" t="inlineStr">
        <is>
          <t>sourceLinks</t>
        </is>
      </c>
      <c r="C90" s="2" t="n">
        <v>0</v>
      </c>
      <c r="D90" s="2" t="inlineStr">
        <is>
          <t>Supplement 1 — PDF p. 30</t>
        </is>
      </c>
      <c r="E90" s="2" t="inlineStr">
        <is>
          <t>../../2018/jama.2018.0948/joi180015supp1_prod.pdf#page=30</t>
        </is>
      </c>
    </row>
    <row r="91" ht="40" customHeight="1">
      <c r="A91" s="3" t="inlineStr">
        <is>
          <t>2018::jama.2018.0948::C007</t>
        </is>
      </c>
      <c r="B91" s="3" t="inlineStr">
        <is>
          <t>evidencePaths</t>
        </is>
      </c>
      <c r="C91" s="3" t="n">
        <v>0</v>
      </c>
      <c r="D91" s="3" t="inlineStr">
        <is>
          <t>2018/jama.2018.0948/.ai_paper_validation/review_1_5_2/source_inventory.md</t>
        </is>
      </c>
      <c r="E91" s="3" t="inlineStr">
        <is>
          <t>../../2018/jama.2018.0948/.ai_paper_validation/review_1_5_2/source_inventory.md</t>
        </is>
      </c>
    </row>
    <row r="92" ht="40" customHeight="1">
      <c r="A92" s="2" t="inlineStr">
        <is>
          <t>2018::jama.2018.0948::C007</t>
        </is>
      </c>
      <c r="B92" s="2" t="inlineStr">
        <is>
          <t>evidencePaths</t>
        </is>
      </c>
      <c r="C92" s="2" t="n">
        <v>1</v>
      </c>
      <c r="D92" s="2" t="inlineStr">
        <is>
          <t>2018/jama.2018.0948/.ai_paper_validation/review_1_5_2/candidate_ledger.md</t>
        </is>
      </c>
      <c r="E92" s="2" t="inlineStr">
        <is>
          <t>../../2018/jama.2018.0948/.ai_paper_validation/review_1_5_2/candidate_ledger.md</t>
        </is>
      </c>
    </row>
    <row r="93" ht="40" customHeight="1">
      <c r="A93" s="3" t="inlineStr">
        <is>
          <t>2018::jama.2018.0948::C007</t>
        </is>
      </c>
      <c r="B93" s="3" t="inlineStr">
        <is>
          <t>evidencePaths</t>
        </is>
      </c>
      <c r="C93" s="3" t="n">
        <v>2</v>
      </c>
      <c r="D93" s="3" t="inlineStr">
        <is>
          <t>2018/jama.2018.0948/.ai_paper_validation/review_1_5_2/preprocessing/native_text/joi180015supp1_prod.txt</t>
        </is>
      </c>
      <c r="E93" s="3" t="inlineStr">
        <is>
          <t>../../2018/jama.2018.0948/.ai_paper_validation/review_1_5_2/preprocessing/native_text/joi180015supp1_prod.txt</t>
        </is>
      </c>
    </row>
    <row r="94" ht="40" customHeight="1">
      <c r="A94" s="2" t="inlineStr">
        <is>
          <t>2018::jama.2018.14280::C001</t>
        </is>
      </c>
      <c r="B94" s="2" t="inlineStr">
        <is>
          <t>evidencePaths</t>
        </is>
      </c>
      <c r="C94" s="2" t="n">
        <v>0</v>
      </c>
      <c r="D94" s="2" t="inlineStr">
        <is>
          <t>2018/jama.2018.14280/.ai_paper_validation/review_1_5_2/source_inventory.md</t>
        </is>
      </c>
      <c r="E94" s="2" t="inlineStr">
        <is>
          <t>../../2018/jama.2018.14280/.ai_paper_validation/review_1_5_2/source_inventory.md</t>
        </is>
      </c>
    </row>
    <row r="95" ht="40" customHeight="1">
      <c r="A95" s="3" t="inlineStr">
        <is>
          <t>2018::jama.2018.14280::C002</t>
        </is>
      </c>
      <c r="B95" s="3" t="inlineStr">
        <is>
          <t>evidencePaths</t>
        </is>
      </c>
      <c r="C95" s="3" t="n">
        <v>0</v>
      </c>
      <c r="D95" s="3" t="inlineStr">
        <is>
          <t>2018/jama.2018.14280/.ai_paper_validation/review_1_5_2/source_inventory.md</t>
        </is>
      </c>
      <c r="E95" s="3" t="inlineStr">
        <is>
          <t>../../2018/jama.2018.14280/.ai_paper_validation/review_1_5_2/source_inventory.md</t>
        </is>
      </c>
    </row>
    <row r="96" ht="40" customHeight="1">
      <c r="A96" s="2" t="inlineStr">
        <is>
          <t>2018::jama.2018.14280::C003</t>
        </is>
      </c>
      <c r="B96" s="2" t="inlineStr">
        <is>
          <t>evidencePaths</t>
        </is>
      </c>
      <c r="C96" s="2" t="n">
        <v>0</v>
      </c>
      <c r="D96" s="2" t="inlineStr">
        <is>
          <t>2018/jama.2018.14280/.ai_paper_validation/review_1_5_2/source_inventory.md</t>
        </is>
      </c>
      <c r="E96" s="2" t="inlineStr">
        <is>
          <t>../../2018/jama.2018.14280/.ai_paper_validation/review_1_5_2/source_inventory.md</t>
        </is>
      </c>
    </row>
    <row r="97" ht="40" customHeight="1">
      <c r="A97" s="3" t="inlineStr">
        <is>
          <t>2018::jama.2018.14280::C004</t>
        </is>
      </c>
      <c r="B97" s="3" t="inlineStr">
        <is>
          <t>evidencePaths</t>
        </is>
      </c>
      <c r="C97" s="3" t="n">
        <v>0</v>
      </c>
      <c r="D97" s="3" t="inlineStr">
        <is>
          <t>2018/jama.2018.14280/.ai_paper_validation/review_1_5_2/source_inventory.md</t>
        </is>
      </c>
      <c r="E97" s="3" t="inlineStr">
        <is>
          <t>../../2018/jama.2018.14280/.ai_paper_validation/review_1_5_2/source_inventory.md</t>
        </is>
      </c>
    </row>
    <row r="98" ht="40" customHeight="1">
      <c r="A98" s="2" t="inlineStr">
        <is>
          <t>2018::jama.2018.14280::C005</t>
        </is>
      </c>
      <c r="B98" s="2" t="inlineStr">
        <is>
          <t>evidencePaths</t>
        </is>
      </c>
      <c r="C98" s="2" t="n">
        <v>0</v>
      </c>
      <c r="D98" s="2" t="inlineStr">
        <is>
          <t>2018/jama.2018.14280/.ai_paper_validation/review_1_5_2/source_inventory.md</t>
        </is>
      </c>
      <c r="E98" s="2" t="inlineStr">
        <is>
          <t>../../2018/jama.2018.14280/.ai_paper_validation/review_1_5_2/source_inventory.md</t>
        </is>
      </c>
    </row>
    <row r="99" ht="40" customHeight="1">
      <c r="A99" s="3" t="inlineStr">
        <is>
          <t>2018::jama.2018.14280::C006</t>
        </is>
      </c>
      <c r="B99" s="3" t="inlineStr">
        <is>
          <t>evidencePaths</t>
        </is>
      </c>
      <c r="C99" s="3" t="n">
        <v>0</v>
      </c>
      <c r="D99" s="3" t="inlineStr">
        <is>
          <t>2018/jama.2018.14280/.ai_paper_validation/review_1_5_2/source_inventory.md</t>
        </is>
      </c>
      <c r="E99" s="3" t="inlineStr">
        <is>
          <t>../../2018/jama.2018.14280/.ai_paper_validation/review_1_5_2/source_inventory.md</t>
        </is>
      </c>
    </row>
    <row r="100" ht="40" customHeight="1">
      <c r="A100" s="2" t="inlineStr">
        <is>
          <t>2018::jama.2018.14280::C007</t>
        </is>
      </c>
      <c r="B100" s="2" t="inlineStr">
        <is>
          <t>evidencePaths</t>
        </is>
      </c>
      <c r="C100" s="2" t="n">
        <v>0</v>
      </c>
      <c r="D100" s="2" t="inlineStr">
        <is>
          <t>2018/jama.2018.14280/.ai_paper_validation/review_1_5_2/source_inventory.md</t>
        </is>
      </c>
      <c r="E100" s="2" t="inlineStr">
        <is>
          <t>../../2018/jama.2018.14280/.ai_paper_validation/review_1_5_2/source_inventory.md</t>
        </is>
      </c>
    </row>
    <row r="101" ht="40" customHeight="1">
      <c r="A101" s="3" t="inlineStr">
        <is>
          <t>2018::jama.2018.14280::C008</t>
        </is>
      </c>
      <c r="B101" s="3" t="inlineStr">
        <is>
          <t>evidencePaths</t>
        </is>
      </c>
      <c r="C101" s="3" t="n">
        <v>0</v>
      </c>
      <c r="D101" s="3" t="inlineStr">
        <is>
          <t>2018/jama.2018.14280/.ai_paper_validation/review_1_5_2/source_inventory.md</t>
        </is>
      </c>
      <c r="E101" s="3" t="inlineStr">
        <is>
          <t>../../2018/jama.2018.14280/.ai_paper_validation/review_1_5_2/source_inventory.md</t>
        </is>
      </c>
    </row>
    <row r="102" ht="40" customHeight="1">
      <c r="A102" s="2" t="inlineStr">
        <is>
          <t>2018::jama.2018.14280::C009</t>
        </is>
      </c>
      <c r="B102" s="2" t="inlineStr">
        <is>
          <t>evidencePaths</t>
        </is>
      </c>
      <c r="C102" s="2" t="n">
        <v>0</v>
      </c>
      <c r="D102" s="2" t="inlineStr">
        <is>
          <t>2018/jama.2018.14280/.ai_paper_validation/review_1_5_2/source_inventory.md</t>
        </is>
      </c>
      <c r="E102" s="2" t="inlineStr">
        <is>
          <t>../../2018/jama.2018.14280/.ai_paper_validation/review_1_5_2/source_inventory.md</t>
        </is>
      </c>
    </row>
    <row r="103" ht="40" customHeight="1">
      <c r="A103" s="3" t="inlineStr">
        <is>
          <t>2018::jama.2018.14280::C010</t>
        </is>
      </c>
      <c r="B103" s="3" t="inlineStr">
        <is>
          <t>evidencePaths</t>
        </is>
      </c>
      <c r="C103" s="3" t="n">
        <v>0</v>
      </c>
      <c r="D103" s="3" t="inlineStr">
        <is>
          <t>2018/jama.2018.14280/.ai_paper_validation/review_1_5_2/source_inventory.md</t>
        </is>
      </c>
      <c r="E103" s="3" t="inlineStr">
        <is>
          <t>../../2018/jama.2018.14280/.ai_paper_validation/review_1_5_2/source_inventory.md</t>
        </is>
      </c>
    </row>
    <row r="104" ht="40" customHeight="1">
      <c r="A104" s="2" t="inlineStr">
        <is>
          <t>2018::jama.2018.14280::C011</t>
        </is>
      </c>
      <c r="B104" s="2" t="inlineStr">
        <is>
          <t>evidencePaths</t>
        </is>
      </c>
      <c r="C104" s="2" t="n">
        <v>0</v>
      </c>
      <c r="D104" s="2" t="inlineStr">
        <is>
          <t>2018/jama.2018.14280/.ai_paper_validation/review_1_5_2/source_inventory.md</t>
        </is>
      </c>
      <c r="E104" s="2" t="inlineStr">
        <is>
          <t>../../2018/jama.2018.14280/.ai_paper_validation/review_1_5_2/source_inventory.md</t>
        </is>
      </c>
    </row>
    <row r="105" ht="40" customHeight="1">
      <c r="A105" s="3" t="inlineStr">
        <is>
          <t>2018::jama.2018.14280::C011</t>
        </is>
      </c>
      <c r="B105" s="3" t="inlineStr">
        <is>
          <t>evidencePaths</t>
        </is>
      </c>
      <c r="C105" s="3" t="n">
        <v>1</v>
      </c>
      <c r="D105" s="3" t="inlineStr">
        <is>
          <t>2018/jama.2018.14280/.ai_paper_validation/review_1_5_2/verification/evidence_recheck.md</t>
        </is>
      </c>
      <c r="E105" s="3" t="inlineStr">
        <is>
          <t>../../2018/jama.2018.14280/.ai_paper_validation/review_1_5_2/verification/evidence_recheck.md</t>
        </is>
      </c>
    </row>
    <row r="106" ht="40" customHeight="1">
      <c r="A106" s="2" t="inlineStr">
        <is>
          <t>2018::jama.2018.14280::C012</t>
        </is>
      </c>
      <c r="B106" s="2" t="inlineStr">
        <is>
          <t>evidencePaths</t>
        </is>
      </c>
      <c r="C106" s="2" t="n">
        <v>0</v>
      </c>
      <c r="D106" s="2" t="inlineStr">
        <is>
          <t>2018/jama.2018.14280/.ai_paper_validation/review_1_5_2/source_inventory.md</t>
        </is>
      </c>
      <c r="E106" s="2" t="inlineStr">
        <is>
          <t>../../2018/jama.2018.14280/.ai_paper_validation/review_1_5_2/source_inventory.md</t>
        </is>
      </c>
    </row>
    <row r="107" ht="40" customHeight="1">
      <c r="A107" s="3" t="inlineStr">
        <is>
          <t>2018::jama.2018.14280::C013</t>
        </is>
      </c>
      <c r="B107" s="3" t="inlineStr">
        <is>
          <t>evidencePaths</t>
        </is>
      </c>
      <c r="C107" s="3" t="n">
        <v>0</v>
      </c>
      <c r="D107" s="3" t="inlineStr">
        <is>
          <t>2018/jama.2018.14280/.ai_paper_validation/review_1_5_2/source_inventory.md</t>
        </is>
      </c>
      <c r="E107" s="3" t="inlineStr">
        <is>
          <t>../../2018/jama.2018.14280/.ai_paper_validation/review_1_5_2/source_inventory.md</t>
        </is>
      </c>
    </row>
    <row r="108" ht="40" customHeight="1">
      <c r="A108" s="2" t="inlineStr">
        <is>
          <t>2018::jama.2018.14280::C014</t>
        </is>
      </c>
      <c r="B108" s="2" t="inlineStr">
        <is>
          <t>evidencePaths</t>
        </is>
      </c>
      <c r="C108" s="2" t="n">
        <v>0</v>
      </c>
      <c r="D108" s="2" t="inlineStr">
        <is>
          <t>2018/jama.2018.14280/.ai_paper_validation/review_1_5_2/source_inventory.md</t>
        </is>
      </c>
      <c r="E108" s="2" t="inlineStr">
        <is>
          <t>../../2018/jama.2018.14280/.ai_paper_validation/review_1_5_2/source_inventory.md</t>
        </is>
      </c>
    </row>
    <row r="109" ht="40" customHeight="1">
      <c r="A109" s="3" t="inlineStr">
        <is>
          <t>2018::jama.2018.14280::C015</t>
        </is>
      </c>
      <c r="B109" s="3" t="inlineStr">
        <is>
          <t>evidencePaths</t>
        </is>
      </c>
      <c r="C109" s="3" t="n">
        <v>0</v>
      </c>
      <c r="D109" s="3" t="inlineStr">
        <is>
          <t>2018/jama.2018.14280/.ai_paper_validation/review_1_5_2/source_inventory.md</t>
        </is>
      </c>
      <c r="E109" s="3" t="inlineStr">
        <is>
          <t>../../2018/jama.2018.14280/.ai_paper_validation/review_1_5_2/source_inventory.md</t>
        </is>
      </c>
    </row>
    <row r="110" ht="40" customHeight="1">
      <c r="A110" s="2" t="inlineStr">
        <is>
          <t>2018::jama.2018.14280::C016</t>
        </is>
      </c>
      <c r="B110" s="2" t="inlineStr">
        <is>
          <t>evidencePaths</t>
        </is>
      </c>
      <c r="C110" s="2" t="n">
        <v>0</v>
      </c>
      <c r="D110" s="2" t="inlineStr">
        <is>
          <t>2018/jama.2018.14280/.ai_paper_validation/review_1_5_2/source_inventory.md</t>
        </is>
      </c>
      <c r="E110" s="2" t="inlineStr">
        <is>
          <t>../../2018/jama.2018.14280/.ai_paper_validation/review_1_5_2/source_inventory.md</t>
        </is>
      </c>
    </row>
    <row r="111" ht="40" customHeight="1">
      <c r="A111" s="3" t="inlineStr">
        <is>
          <t>2018::jama.2018.14280::C017</t>
        </is>
      </c>
      <c r="B111" s="3" t="inlineStr">
        <is>
          <t>evidencePaths</t>
        </is>
      </c>
      <c r="C111" s="3" t="n">
        <v>0</v>
      </c>
      <c r="D111" s="3" t="inlineStr">
        <is>
          <t>2018/jama.2018.14280/.ai_paper_validation/review_1_5_2/source_inventory.md</t>
        </is>
      </c>
      <c r="E111" s="3" t="inlineStr">
        <is>
          <t>../../2018/jama.2018.14280/.ai_paper_validation/review_1_5_2/source_inventory.md</t>
        </is>
      </c>
    </row>
    <row r="112" ht="40" customHeight="1">
      <c r="A112" s="2" t="inlineStr">
        <is>
          <t>2018::jama.2018.14280::C018</t>
        </is>
      </c>
      <c r="B112" s="2" t="inlineStr">
        <is>
          <t>evidencePaths</t>
        </is>
      </c>
      <c r="C112" s="2" t="n">
        <v>0</v>
      </c>
      <c r="D112" s="2" t="inlineStr">
        <is>
          <t>2018/jama.2018.14280/.ai_paper_validation/review_1_5_2/source_inventory.md</t>
        </is>
      </c>
      <c r="E112" s="2" t="inlineStr">
        <is>
          <t>../../2018/jama.2018.14280/.ai_paper_validation/review_1_5_2/source_inventory.md</t>
        </is>
      </c>
    </row>
    <row r="113" ht="40" customHeight="1">
      <c r="A113" s="3" t="inlineStr">
        <is>
          <t>2018::jama.2018.14280::C019</t>
        </is>
      </c>
      <c r="B113" s="3" t="inlineStr">
        <is>
          <t>evidencePaths</t>
        </is>
      </c>
      <c r="C113" s="3" t="n">
        <v>0</v>
      </c>
      <c r="D113" s="3" t="inlineStr">
        <is>
          <t>2018/jama.2018.14280/.ai_paper_validation/review_1_5_2/source_inventory.md</t>
        </is>
      </c>
      <c r="E113" s="3" t="inlineStr">
        <is>
          <t>../../2018/jama.2018.14280/.ai_paper_validation/review_1_5_2/source_inventory.md</t>
        </is>
      </c>
    </row>
    <row r="114" ht="40" customHeight="1">
      <c r="A114" s="2" t="inlineStr">
        <is>
          <t>2018::jama.2018.14280::C020</t>
        </is>
      </c>
      <c r="B114" s="2" t="inlineStr">
        <is>
          <t>evidencePaths</t>
        </is>
      </c>
      <c r="C114" s="2" t="n">
        <v>0</v>
      </c>
      <c r="D114" s="2" t="inlineStr">
        <is>
          <t>2018/jama.2018.14280/.ai_paper_validation/review_1_5_2/source_inventory.md</t>
        </is>
      </c>
      <c r="E114" s="2" t="inlineStr">
        <is>
          <t>../../2018/jama.2018.14280/.ai_paper_validation/review_1_5_2/source_inventory.md</t>
        </is>
      </c>
    </row>
    <row r="115" ht="40" customHeight="1">
      <c r="A115" s="3" t="inlineStr">
        <is>
          <t>2018::jama.2018.14280::C021</t>
        </is>
      </c>
      <c r="B115" s="3" t="inlineStr">
        <is>
          <t>evidencePaths</t>
        </is>
      </c>
      <c r="C115" s="3" t="n">
        <v>0</v>
      </c>
      <c r="D115" s="3" t="inlineStr">
        <is>
          <t>2018/jama.2018.14280/.ai_paper_validation/review_1_5_2/source_inventory.md</t>
        </is>
      </c>
      <c r="E115" s="3" t="inlineStr">
        <is>
          <t>../../2018/jama.2018.14280/.ai_paper_validation/review_1_5_2/source_inventory.md</t>
        </is>
      </c>
    </row>
    <row r="116" ht="40" customHeight="1">
      <c r="A116" s="2" t="inlineStr">
        <is>
          <t>2018::jama.2018.14280::C022</t>
        </is>
      </c>
      <c r="B116" s="2" t="inlineStr">
        <is>
          <t>evidencePaths</t>
        </is>
      </c>
      <c r="C116" s="2" t="n">
        <v>0</v>
      </c>
      <c r="D116" s="2" t="inlineStr">
        <is>
          <t>2018/jama.2018.14280/.ai_paper_validation/review_1_5_2/source_inventory.md</t>
        </is>
      </c>
      <c r="E116" s="2" t="inlineStr">
        <is>
          <t>../../2018/jama.2018.14280/.ai_paper_validation/review_1_5_2/source_inventory.md</t>
        </is>
      </c>
    </row>
    <row r="117" ht="40" customHeight="1">
      <c r="A117" s="3" t="inlineStr">
        <is>
          <t>2018::jama.2018.14280::C023</t>
        </is>
      </c>
      <c r="B117" s="3" t="inlineStr">
        <is>
          <t>evidencePaths</t>
        </is>
      </c>
      <c r="C117" s="3" t="n">
        <v>0</v>
      </c>
      <c r="D117" s="3" t="inlineStr">
        <is>
          <t>2018/jama.2018.14280/.ai_paper_validation/review_1_5_2/source_inventory.md</t>
        </is>
      </c>
      <c r="E117" s="3" t="inlineStr">
        <is>
          <t>../../2018/jama.2018.14280/.ai_paper_validation/review_1_5_2/source_inventory.md</t>
        </is>
      </c>
    </row>
    <row r="118" ht="40" customHeight="1">
      <c r="A118" s="2" t="inlineStr">
        <is>
          <t>2018::jama.2018.14280::C023</t>
        </is>
      </c>
      <c r="B118" s="2" t="inlineStr">
        <is>
          <t>evidencePaths</t>
        </is>
      </c>
      <c r="C118" s="2" t="n">
        <v>1</v>
      </c>
      <c r="D118" s="2" t="inlineStr">
        <is>
          <t>2018/jama.2018.14280/.ai_paper_validation/review_1_5_2/verification/evidence_recheck.md</t>
        </is>
      </c>
      <c r="E118" s="2" t="inlineStr">
        <is>
          <t>../../2018/jama.2018.14280/.ai_paper_validation/review_1_5_2/verification/evidence_recheck.md</t>
        </is>
      </c>
    </row>
    <row r="119" ht="30" customHeight="1">
      <c r="A119" s="3" t="inlineStr">
        <is>
          <t>2018::jama.2018.14282::C001</t>
        </is>
      </c>
      <c r="B119" s="3" t="inlineStr">
        <is>
          <t>sourceLinks</t>
        </is>
      </c>
      <c r="C119" s="3" t="n">
        <v>0</v>
      </c>
      <c r="D119" s="3" t="inlineStr">
        <is>
          <t>DOC-001 Table 1 — PDF p. 4</t>
        </is>
      </c>
      <c r="E119" s="3" t="inlineStr">
        <is>
          <t>../../2018/jama.2018.14282/jama_azoulay_2018_oi_180109.pdf#page=4</t>
        </is>
      </c>
    </row>
    <row r="120" ht="40" customHeight="1">
      <c r="A120" s="2" t="inlineStr">
        <is>
          <t>2018::jama.2018.14282::C001</t>
        </is>
      </c>
      <c r="B120" s="2" t="inlineStr">
        <is>
          <t>evidencePaths</t>
        </is>
      </c>
      <c r="C120" s="2" t="n">
        <v>0</v>
      </c>
      <c r="D120" s="2" t="inlineStr">
        <is>
          <t>2018/jama.2018.14282/.ai_paper_validation/review_1_5_2/source_inventory.md</t>
        </is>
      </c>
      <c r="E120" s="2" t="inlineStr">
        <is>
          <t>../../2018/jama.2018.14282/.ai_paper_validation/review_1_5_2/source_inventory.md</t>
        </is>
      </c>
    </row>
    <row r="121" ht="30" customHeight="1">
      <c r="A121" s="3" t="inlineStr">
        <is>
          <t>2018::jama.2018.14282::C002</t>
        </is>
      </c>
      <c r="B121" s="3" t="inlineStr">
        <is>
          <t>sourceLinks</t>
        </is>
      </c>
      <c r="C121" s="3" t="n">
        <v>0</v>
      </c>
      <c r="D121" s="3" t="inlineStr">
        <is>
          <t>DOC-001 Table 1 — PDF p. 4</t>
        </is>
      </c>
      <c r="E121" s="3" t="inlineStr">
        <is>
          <t>../../2018/jama.2018.14282/jama_azoulay_2018_oi_180109.pdf#page=4</t>
        </is>
      </c>
    </row>
    <row r="122" ht="40" customHeight="1">
      <c r="A122" s="2" t="inlineStr">
        <is>
          <t>2018::jama.2018.14282::C002</t>
        </is>
      </c>
      <c r="B122" s="2" t="inlineStr">
        <is>
          <t>evidencePaths</t>
        </is>
      </c>
      <c r="C122" s="2" t="n">
        <v>0</v>
      </c>
      <c r="D122" s="2" t="inlineStr">
        <is>
          <t>2018/jama.2018.14282/.ai_paper_validation/review_1_5_2/source_inventory.md</t>
        </is>
      </c>
      <c r="E122" s="2" t="inlineStr">
        <is>
          <t>../../2018/jama.2018.14282/.ai_paper_validation/review_1_5_2/source_inventory.md</t>
        </is>
      </c>
    </row>
    <row r="123" ht="30" customHeight="1">
      <c r="A123" s="3" t="inlineStr">
        <is>
          <t>2018::jama.2018.14282::C003</t>
        </is>
      </c>
      <c r="B123" s="3" t="inlineStr">
        <is>
          <t>sourceLinks</t>
        </is>
      </c>
      <c r="C123" s="3" t="n">
        <v>0</v>
      </c>
      <c r="D123" s="3" t="inlineStr">
        <is>
          <t>DOC-001 Table 1 — PDF p. 4</t>
        </is>
      </c>
      <c r="E123" s="3" t="inlineStr">
        <is>
          <t>../../2018/jama.2018.14282/jama_azoulay_2018_oi_180109.pdf#page=4</t>
        </is>
      </c>
    </row>
    <row r="124" ht="40" customHeight="1">
      <c r="A124" s="2" t="inlineStr">
        <is>
          <t>2018::jama.2018.14282::C003</t>
        </is>
      </c>
      <c r="B124" s="2" t="inlineStr">
        <is>
          <t>evidencePaths</t>
        </is>
      </c>
      <c r="C124" s="2" t="n">
        <v>0</v>
      </c>
      <c r="D124" s="2" t="inlineStr">
        <is>
          <t>2018/jama.2018.14282/.ai_paper_validation/review_1_5_2/source_inventory.md</t>
        </is>
      </c>
      <c r="E124" s="2" t="inlineStr">
        <is>
          <t>../../2018/jama.2018.14282/.ai_paper_validation/review_1_5_2/source_inventory.md</t>
        </is>
      </c>
    </row>
    <row r="125" ht="30" customHeight="1">
      <c r="A125" s="3" t="inlineStr">
        <is>
          <t>2018::jama.2018.14282::C004</t>
        </is>
      </c>
      <c r="B125" s="3" t="inlineStr">
        <is>
          <t>sourceLinks</t>
        </is>
      </c>
      <c r="C125" s="3" t="n">
        <v>0</v>
      </c>
      <c r="D125" s="3" t="inlineStr">
        <is>
          <t>DOC-001 Table 1 — PDF p. 4</t>
        </is>
      </c>
      <c r="E125" s="3" t="inlineStr">
        <is>
          <t>../../2018/jama.2018.14282/jama_azoulay_2018_oi_180109.pdf#page=4</t>
        </is>
      </c>
    </row>
    <row r="126" ht="40" customHeight="1">
      <c r="A126" s="2" t="inlineStr">
        <is>
          <t>2018::jama.2018.14282::C004</t>
        </is>
      </c>
      <c r="B126" s="2" t="inlineStr">
        <is>
          <t>evidencePaths</t>
        </is>
      </c>
      <c r="C126" s="2" t="n">
        <v>0</v>
      </c>
      <c r="D126" s="2" t="inlineStr">
        <is>
          <t>2018/jama.2018.14282/.ai_paper_validation/review_1_5_2/source_inventory.md</t>
        </is>
      </c>
      <c r="E126" s="2" t="inlineStr">
        <is>
          <t>../../2018/jama.2018.14282/.ai_paper_validation/review_1_5_2/source_inventory.md</t>
        </is>
      </c>
    </row>
    <row r="127" ht="30" customHeight="1">
      <c r="A127" s="3" t="inlineStr">
        <is>
          <t>2018::jama.2018.14282::C005</t>
        </is>
      </c>
      <c r="B127" s="3" t="inlineStr">
        <is>
          <t>sourceLinks</t>
        </is>
      </c>
      <c r="C127" s="3" t="n">
        <v>0</v>
      </c>
      <c r="D127" s="3" t="inlineStr">
        <is>
          <t>DOC-001 Table 1 — PDF p. 4</t>
        </is>
      </c>
      <c r="E127" s="3" t="inlineStr">
        <is>
          <t>../../2018/jama.2018.14282/jama_azoulay_2018_oi_180109.pdf#page=4</t>
        </is>
      </c>
    </row>
    <row r="128" ht="40" customHeight="1">
      <c r="A128" s="2" t="inlineStr">
        <is>
          <t>2018::jama.2018.14282::C005</t>
        </is>
      </c>
      <c r="B128" s="2" t="inlineStr">
        <is>
          <t>evidencePaths</t>
        </is>
      </c>
      <c r="C128" s="2" t="n">
        <v>0</v>
      </c>
      <c r="D128" s="2" t="inlineStr">
        <is>
          <t>2018/jama.2018.14282/.ai_paper_validation/review_1_5_2/source_inventory.md</t>
        </is>
      </c>
      <c r="E128" s="2" t="inlineStr">
        <is>
          <t>../../2018/jama.2018.14282/.ai_paper_validation/review_1_5_2/source_inventory.md</t>
        </is>
      </c>
    </row>
    <row r="129" ht="30" customHeight="1">
      <c r="A129" s="3" t="inlineStr">
        <is>
          <t>2018::jama.2018.14282::C006</t>
        </is>
      </c>
      <c r="B129" s="3" t="inlineStr">
        <is>
          <t>sourceLinks</t>
        </is>
      </c>
      <c r="C129" s="3" t="n">
        <v>0</v>
      </c>
      <c r="D129" s="3" t="inlineStr">
        <is>
          <t>DOC-001 Table 1 — PDF p. 4</t>
        </is>
      </c>
      <c r="E129" s="3" t="inlineStr">
        <is>
          <t>../../2018/jama.2018.14282/jama_azoulay_2018_oi_180109.pdf#page=4</t>
        </is>
      </c>
    </row>
    <row r="130" ht="40" customHeight="1">
      <c r="A130" s="2" t="inlineStr">
        <is>
          <t>2018::jama.2018.14282::C006</t>
        </is>
      </c>
      <c r="B130" s="2" t="inlineStr">
        <is>
          <t>evidencePaths</t>
        </is>
      </c>
      <c r="C130" s="2" t="n">
        <v>0</v>
      </c>
      <c r="D130" s="2" t="inlineStr">
        <is>
          <t>2018/jama.2018.14282/.ai_paper_validation/review_1_5_2/source_inventory.md</t>
        </is>
      </c>
      <c r="E130" s="2" t="inlineStr">
        <is>
          <t>../../2018/jama.2018.14282/.ai_paper_validation/review_1_5_2/source_inventory.md</t>
        </is>
      </c>
    </row>
    <row r="131" ht="30" customHeight="1">
      <c r="A131" s="3" t="inlineStr">
        <is>
          <t>2018::jama.2018.14282::C007</t>
        </is>
      </c>
      <c r="B131" s="3" t="inlineStr">
        <is>
          <t>sourceLinks</t>
        </is>
      </c>
      <c r="C131" s="3" t="n">
        <v>0</v>
      </c>
      <c r="D131" s="3" t="inlineStr">
        <is>
          <t>DOC-001 Table 1 — PDF p. 4</t>
        </is>
      </c>
      <c r="E131" s="3" t="inlineStr">
        <is>
          <t>../../2018/jama.2018.14282/jama_azoulay_2018_oi_180109.pdf#page=4</t>
        </is>
      </c>
    </row>
    <row r="132" ht="40" customHeight="1">
      <c r="A132" s="2" t="inlineStr">
        <is>
          <t>2018::jama.2018.14282::C007</t>
        </is>
      </c>
      <c r="B132" s="2" t="inlineStr">
        <is>
          <t>evidencePaths</t>
        </is>
      </c>
      <c r="C132" s="2" t="n">
        <v>0</v>
      </c>
      <c r="D132" s="2" t="inlineStr">
        <is>
          <t>2018/jama.2018.14282/.ai_paper_validation/review_1_5_2/source_inventory.md</t>
        </is>
      </c>
      <c r="E132" s="2" t="inlineStr">
        <is>
          <t>../../2018/jama.2018.14282/.ai_paper_validation/review_1_5_2/source_inventory.md</t>
        </is>
      </c>
    </row>
    <row r="133" ht="30" customHeight="1">
      <c r="A133" s="3" t="inlineStr">
        <is>
          <t>2018::jama.2018.14282::C008</t>
        </is>
      </c>
      <c r="B133" s="3" t="inlineStr">
        <is>
          <t>sourceLinks</t>
        </is>
      </c>
      <c r="C133" s="3" t="n">
        <v>0</v>
      </c>
      <c r="D133" s="3" t="inlineStr">
        <is>
          <t>DOC-001 Table 1 — PDF p. 4</t>
        </is>
      </c>
      <c r="E133" s="3" t="inlineStr">
        <is>
          <t>../../2018/jama.2018.14282/jama_azoulay_2018_oi_180109.pdf#page=4</t>
        </is>
      </c>
    </row>
    <row r="134" ht="40" customHeight="1">
      <c r="A134" s="2" t="inlineStr">
        <is>
          <t>2018::jama.2018.14282::C008</t>
        </is>
      </c>
      <c r="B134" s="2" t="inlineStr">
        <is>
          <t>evidencePaths</t>
        </is>
      </c>
      <c r="C134" s="2" t="n">
        <v>0</v>
      </c>
      <c r="D134" s="2" t="inlineStr">
        <is>
          <t>2018/jama.2018.14282/.ai_paper_validation/review_1_5_2/source_inventory.md</t>
        </is>
      </c>
      <c r="E134" s="2" t="inlineStr">
        <is>
          <t>../../2018/jama.2018.14282/.ai_paper_validation/review_1_5_2/source_inventory.md</t>
        </is>
      </c>
    </row>
    <row r="135" ht="30" customHeight="1">
      <c r="A135" s="3" t="inlineStr">
        <is>
          <t>2018::jama.2018.14282::C009</t>
        </is>
      </c>
      <c r="B135" s="3" t="inlineStr">
        <is>
          <t>sourceLinks</t>
        </is>
      </c>
      <c r="C135" s="3" t="n">
        <v>0</v>
      </c>
      <c r="D135" s="3" t="inlineStr">
        <is>
          <t>DOC-001 Table 1 — PDF p. 4</t>
        </is>
      </c>
      <c r="E135" s="3" t="inlineStr">
        <is>
          <t>../../2018/jama.2018.14282/jama_azoulay_2018_oi_180109.pdf#page=4</t>
        </is>
      </c>
    </row>
    <row r="136" ht="40" customHeight="1">
      <c r="A136" s="2" t="inlineStr">
        <is>
          <t>2018::jama.2018.14282::C009</t>
        </is>
      </c>
      <c r="B136" s="2" t="inlineStr">
        <is>
          <t>evidencePaths</t>
        </is>
      </c>
      <c r="C136" s="2" t="n">
        <v>0</v>
      </c>
      <c r="D136" s="2" t="inlineStr">
        <is>
          <t>2018/jama.2018.14282/.ai_paper_validation/review_1_5_2/source_inventory.md</t>
        </is>
      </c>
      <c r="E136" s="2" t="inlineStr">
        <is>
          <t>../../2018/jama.2018.14282/.ai_paper_validation/review_1_5_2/source_inventory.md</t>
        </is>
      </c>
    </row>
    <row r="137" ht="30" customHeight="1">
      <c r="A137" s="3" t="inlineStr">
        <is>
          <t>2018::jama.2018.14282::C010</t>
        </is>
      </c>
      <c r="B137" s="3" t="inlineStr">
        <is>
          <t>sourceLinks</t>
        </is>
      </c>
      <c r="C137" s="3" t="n">
        <v>0</v>
      </c>
      <c r="D137" s="3" t="inlineStr">
        <is>
          <t>DOC-001 Table 1 — PDF p. 4</t>
        </is>
      </c>
      <c r="E137" s="3" t="inlineStr">
        <is>
          <t>../../2018/jama.2018.14282/jama_azoulay_2018_oi_180109.pdf#page=4</t>
        </is>
      </c>
    </row>
    <row r="138" ht="40" customHeight="1">
      <c r="A138" s="2" t="inlineStr">
        <is>
          <t>2018::jama.2018.14282::C010</t>
        </is>
      </c>
      <c r="B138" s="2" t="inlineStr">
        <is>
          <t>evidencePaths</t>
        </is>
      </c>
      <c r="C138" s="2" t="n">
        <v>0</v>
      </c>
      <c r="D138" s="2" t="inlineStr">
        <is>
          <t>2018/jama.2018.14282/.ai_paper_validation/review_1_5_2/source_inventory.md</t>
        </is>
      </c>
      <c r="E138" s="2" t="inlineStr">
        <is>
          <t>../../2018/jama.2018.14282/.ai_paper_validation/review_1_5_2/source_inventory.md</t>
        </is>
      </c>
    </row>
    <row r="139" ht="30" customHeight="1">
      <c r="A139" s="3" t="inlineStr">
        <is>
          <t>2018::jama.2018.14282::C011</t>
        </is>
      </c>
      <c r="B139" s="3" t="inlineStr">
        <is>
          <t>sourceLinks</t>
        </is>
      </c>
      <c r="C139" s="3" t="n">
        <v>0</v>
      </c>
      <c r="D139" s="3" t="inlineStr">
        <is>
          <t>DOC-001 Table 1 — PDF p. 4</t>
        </is>
      </c>
      <c r="E139" s="3" t="inlineStr">
        <is>
          <t>../../2018/jama.2018.14282/jama_azoulay_2018_oi_180109.pdf#page=4</t>
        </is>
      </c>
    </row>
    <row r="140" ht="40" customHeight="1">
      <c r="A140" s="2" t="inlineStr">
        <is>
          <t>2018::jama.2018.14282::C011</t>
        </is>
      </c>
      <c r="B140" s="2" t="inlineStr">
        <is>
          <t>evidencePaths</t>
        </is>
      </c>
      <c r="C140" s="2" t="n">
        <v>0</v>
      </c>
      <c r="D140" s="2" t="inlineStr">
        <is>
          <t>2018/jama.2018.14282/.ai_paper_validation/review_1_5_2/source_inventory.md</t>
        </is>
      </c>
      <c r="E140" s="2" t="inlineStr">
        <is>
          <t>../../2018/jama.2018.14282/.ai_paper_validation/review_1_5_2/source_inventory.md</t>
        </is>
      </c>
    </row>
    <row r="141" ht="30" customHeight="1">
      <c r="A141" s="3" t="inlineStr">
        <is>
          <t>2018::jama.2018.14282::C012</t>
        </is>
      </c>
      <c r="B141" s="3" t="inlineStr">
        <is>
          <t>sourceLinks</t>
        </is>
      </c>
      <c r="C141" s="3" t="n">
        <v>0</v>
      </c>
      <c r="D141" s="3" t="inlineStr">
        <is>
          <t>DOC-001 Table 1 — PDF p. 4</t>
        </is>
      </c>
      <c r="E141" s="3" t="inlineStr">
        <is>
          <t>../../2018/jama.2018.14282/jama_azoulay_2018_oi_180109.pdf#page=4</t>
        </is>
      </c>
    </row>
    <row r="142" ht="40" customHeight="1">
      <c r="A142" s="2" t="inlineStr">
        <is>
          <t>2018::jama.2018.14282::C012</t>
        </is>
      </c>
      <c r="B142" s="2" t="inlineStr">
        <is>
          <t>evidencePaths</t>
        </is>
      </c>
      <c r="C142" s="2" t="n">
        <v>0</v>
      </c>
      <c r="D142" s="2" t="inlineStr">
        <is>
          <t>2018/jama.2018.14282/.ai_paper_validation/review_1_5_2/source_inventory.md</t>
        </is>
      </c>
      <c r="E142" s="2" t="inlineStr">
        <is>
          <t>../../2018/jama.2018.14282/.ai_paper_validation/review_1_5_2/source_inventory.md</t>
        </is>
      </c>
    </row>
    <row r="143" ht="30" customHeight="1">
      <c r="A143" s="3" t="inlineStr">
        <is>
          <t>2018::jama.2018.14282::C013</t>
        </is>
      </c>
      <c r="B143" s="3" t="inlineStr">
        <is>
          <t>sourceLinks</t>
        </is>
      </c>
      <c r="C143" s="3" t="n">
        <v>0</v>
      </c>
      <c r="D143" s="3" t="inlineStr">
        <is>
          <t>DOC-001 Table 1 — PDF p. 4</t>
        </is>
      </c>
      <c r="E143" s="3" t="inlineStr">
        <is>
          <t>../../2018/jama.2018.14282/jama_azoulay_2018_oi_180109.pdf#page=4</t>
        </is>
      </c>
    </row>
    <row r="144" ht="40" customHeight="1">
      <c r="A144" s="2" t="inlineStr">
        <is>
          <t>2018::jama.2018.14282::C013</t>
        </is>
      </c>
      <c r="B144" s="2" t="inlineStr">
        <is>
          <t>evidencePaths</t>
        </is>
      </c>
      <c r="C144" s="2" t="n">
        <v>0</v>
      </c>
      <c r="D144" s="2" t="inlineStr">
        <is>
          <t>2018/jama.2018.14282/.ai_paper_validation/review_1_5_2/source_inventory.md</t>
        </is>
      </c>
      <c r="E144" s="2" t="inlineStr">
        <is>
          <t>../../2018/jama.2018.14282/.ai_paper_validation/review_1_5_2/source_inventory.md</t>
        </is>
      </c>
    </row>
    <row r="145" ht="30" customHeight="1">
      <c r="A145" s="3" t="inlineStr">
        <is>
          <t>2018::jama.2018.14282::C014</t>
        </is>
      </c>
      <c r="B145" s="3" t="inlineStr">
        <is>
          <t>sourceLinks</t>
        </is>
      </c>
      <c r="C145" s="3" t="n">
        <v>0</v>
      </c>
      <c r="D145" s="3" t="inlineStr">
        <is>
          <t>DOC-001 Table 1 — PDF p. 4</t>
        </is>
      </c>
      <c r="E145" s="3" t="inlineStr">
        <is>
          <t>../../2018/jama.2018.14282/jama_azoulay_2018_oi_180109.pdf#page=4</t>
        </is>
      </c>
    </row>
    <row r="146" ht="40" customHeight="1">
      <c r="A146" s="2" t="inlineStr">
        <is>
          <t>2018::jama.2018.14282::C014</t>
        </is>
      </c>
      <c r="B146" s="2" t="inlineStr">
        <is>
          <t>evidencePaths</t>
        </is>
      </c>
      <c r="C146" s="2" t="n">
        <v>0</v>
      </c>
      <c r="D146" s="2" t="inlineStr">
        <is>
          <t>2018/jama.2018.14282/.ai_paper_validation/review_1_5_2/source_inventory.md</t>
        </is>
      </c>
      <c r="E146" s="2" t="inlineStr">
        <is>
          <t>../../2018/jama.2018.14282/.ai_paper_validation/review_1_5_2/source_inventory.md</t>
        </is>
      </c>
    </row>
    <row r="147" ht="30" customHeight="1">
      <c r="A147" s="3" t="inlineStr">
        <is>
          <t>2018::jama.2018.14282::C015</t>
        </is>
      </c>
      <c r="B147" s="3" t="inlineStr">
        <is>
          <t>sourceLinks</t>
        </is>
      </c>
      <c r="C147" s="3" t="n">
        <v>0</v>
      </c>
      <c r="D147" s="3" t="inlineStr">
        <is>
          <t>DOC-001 Table 2 — PDF p. 5</t>
        </is>
      </c>
      <c r="E147" s="3" t="inlineStr">
        <is>
          <t>../../2018/jama.2018.14282/jama_azoulay_2018_oi_180109.pdf#page=5</t>
        </is>
      </c>
    </row>
    <row r="148" ht="40" customHeight="1">
      <c r="A148" s="2" t="inlineStr">
        <is>
          <t>2018::jama.2018.14282::C015</t>
        </is>
      </c>
      <c r="B148" s="2" t="inlineStr">
        <is>
          <t>evidencePaths</t>
        </is>
      </c>
      <c r="C148" s="2" t="n">
        <v>0</v>
      </c>
      <c r="D148" s="2" t="inlineStr">
        <is>
          <t>2018/jama.2018.14282/.ai_paper_validation/review_1_5_2/source_inventory.md</t>
        </is>
      </c>
      <c r="E148" s="2" t="inlineStr">
        <is>
          <t>../../2018/jama.2018.14282/.ai_paper_validation/review_1_5_2/source_inventory.md</t>
        </is>
      </c>
    </row>
    <row r="149" ht="30" customHeight="1">
      <c r="A149" s="3" t="inlineStr">
        <is>
          <t>2018::jama.2018.14282::C016</t>
        </is>
      </c>
      <c r="B149" s="3" t="inlineStr">
        <is>
          <t>sourceLinks</t>
        </is>
      </c>
      <c r="C149" s="3" t="n">
        <v>0</v>
      </c>
      <c r="D149" s="3" t="inlineStr">
        <is>
          <t>DOC-001 Table 2 — PDF p. 5</t>
        </is>
      </c>
      <c r="E149" s="3" t="inlineStr">
        <is>
          <t>../../2018/jama.2018.14282/jama_azoulay_2018_oi_180109.pdf#page=5</t>
        </is>
      </c>
    </row>
    <row r="150" ht="40" customHeight="1">
      <c r="A150" s="2" t="inlineStr">
        <is>
          <t>2018::jama.2018.14282::C016</t>
        </is>
      </c>
      <c r="B150" s="2" t="inlineStr">
        <is>
          <t>evidencePaths</t>
        </is>
      </c>
      <c r="C150" s="2" t="n">
        <v>0</v>
      </c>
      <c r="D150" s="2" t="inlineStr">
        <is>
          <t>2018/jama.2018.14282/.ai_paper_validation/review_1_5_2/source_inventory.md</t>
        </is>
      </c>
      <c r="E150" s="2" t="inlineStr">
        <is>
          <t>../../2018/jama.2018.14282/.ai_paper_validation/review_1_5_2/source_inventory.md</t>
        </is>
      </c>
    </row>
    <row r="151" ht="30" customHeight="1">
      <c r="A151" s="3" t="inlineStr">
        <is>
          <t>2018::jama.2018.14282::C017</t>
        </is>
      </c>
      <c r="B151" s="3" t="inlineStr">
        <is>
          <t>sourceLinks</t>
        </is>
      </c>
      <c r="C151" s="3" t="n">
        <v>0</v>
      </c>
      <c r="D151" s="3" t="inlineStr">
        <is>
          <t>DOC-001 abstract — PDF p. 1</t>
        </is>
      </c>
      <c r="E151" s="3" t="inlineStr">
        <is>
          <t>../../2018/jama.2018.14282/jama_azoulay_2018_oi_180109.pdf#page=1</t>
        </is>
      </c>
    </row>
    <row r="152" ht="30" customHeight="1">
      <c r="A152" s="2" t="inlineStr">
        <is>
          <t>2018::jama.2018.14282::C017</t>
        </is>
      </c>
      <c r="B152" s="2" t="inlineStr">
        <is>
          <t>sourceLinks</t>
        </is>
      </c>
      <c r="C152" s="2" t="n">
        <v>1</v>
      </c>
      <c r="D152" s="2" t="inlineStr">
        <is>
          <t>DOC-001 results — PDF p. 6</t>
        </is>
      </c>
      <c r="E152" s="2" t="inlineStr">
        <is>
          <t>../../2018/jama.2018.14282/jama_azoulay_2018_oi_180109.pdf#page=6</t>
        </is>
      </c>
    </row>
    <row r="153" ht="40" customHeight="1">
      <c r="A153" s="3" t="inlineStr">
        <is>
          <t>2018::jama.2018.14282::C017</t>
        </is>
      </c>
      <c r="B153" s="3" t="inlineStr">
        <is>
          <t>evidencePaths</t>
        </is>
      </c>
      <c r="C153" s="3" t="n">
        <v>0</v>
      </c>
      <c r="D153" s="3" t="inlineStr">
        <is>
          <t>2018/jama.2018.14282/.ai_paper_validation/review_1_5_2/source_inventory.md</t>
        </is>
      </c>
      <c r="E153" s="3" t="inlineStr">
        <is>
          <t>../../2018/jama.2018.14282/.ai_paper_validation/review_1_5_2/source_inventory.md</t>
        </is>
      </c>
    </row>
    <row r="154" ht="40" customHeight="1">
      <c r="A154" s="2" t="inlineStr">
        <is>
          <t>2018::jama.2018.14282::C017</t>
        </is>
      </c>
      <c r="B154" s="2" t="inlineStr">
        <is>
          <t>evidencePaths</t>
        </is>
      </c>
      <c r="C154" s="2" t="n">
        <v>1</v>
      </c>
      <c r="D154" s="2" t="inlineStr">
        <is>
          <t>2018/jama.2018.14282/.ai_paper_validation/review_1_5_2/candidate_ledger.md</t>
        </is>
      </c>
      <c r="E154" s="2" t="inlineStr">
        <is>
          <t>../../2018/jama.2018.14282/.ai_paper_validation/review_1_5_2/candidate_ledger.md</t>
        </is>
      </c>
    </row>
    <row r="155" ht="30" customHeight="1">
      <c r="A155" s="3" t="inlineStr">
        <is>
          <t>2018::jama.2018.14282::C018</t>
        </is>
      </c>
      <c r="B155" s="3" t="inlineStr">
        <is>
          <t>sourceLinks</t>
        </is>
      </c>
      <c r="C155" s="3" t="n">
        <v>0</v>
      </c>
      <c r="D155" s="3" t="inlineStr">
        <is>
          <t>DOC-001 post hoc outcomes — PDF p. 6</t>
        </is>
      </c>
      <c r="E155" s="3" t="inlineStr">
        <is>
          <t>../../2018/jama.2018.14282/jama_azoulay_2018_oi_180109.pdf#page=6</t>
        </is>
      </c>
    </row>
    <row r="156" ht="40" customHeight="1">
      <c r="A156" s="2" t="inlineStr">
        <is>
          <t>2018::jama.2018.14282::C018</t>
        </is>
      </c>
      <c r="B156" s="2" t="inlineStr">
        <is>
          <t>evidencePaths</t>
        </is>
      </c>
      <c r="C156" s="2" t="n">
        <v>0</v>
      </c>
      <c r="D156" s="2" t="inlineStr">
        <is>
          <t>2018/jama.2018.14282/.ai_paper_validation/review_1_5_2/source_inventory.md</t>
        </is>
      </c>
      <c r="E156" s="2" t="inlineStr">
        <is>
          <t>../../2018/jama.2018.14282/.ai_paper_validation/review_1_5_2/source_inventory.md</t>
        </is>
      </c>
    </row>
    <row r="157" ht="40" customHeight="1">
      <c r="A157" s="3" t="inlineStr">
        <is>
          <t>2018::jama.2018.14282::C018</t>
        </is>
      </c>
      <c r="B157" s="3" t="inlineStr">
        <is>
          <t>evidencePaths</t>
        </is>
      </c>
      <c r="C157" s="3" t="n">
        <v>1</v>
      </c>
      <c r="D157" s="3" t="inlineStr">
        <is>
          <t>2018/jama.2018.14282/.ai_paper_validation/review_1_5_2/verification/evidence_recheck.md</t>
        </is>
      </c>
      <c r="E157" s="3" t="inlineStr">
        <is>
          <t>../../2018/jama.2018.14282/.ai_paper_validation/review_1_5_2/verification/evidence_recheck.md</t>
        </is>
      </c>
    </row>
    <row r="158" ht="40" customHeight="1">
      <c r="A158" s="2" t="inlineStr">
        <is>
          <t>2018::jama.2018.14282::C018</t>
        </is>
      </c>
      <c r="B158" s="2" t="inlineStr">
        <is>
          <t>evidencePaths</t>
        </is>
      </c>
      <c r="C158" s="2" t="n">
        <v>2</v>
      </c>
      <c r="D158" s="2" t="inlineStr">
        <is>
          <t>2018/jama.2018.14282/.ai_paper_validation/review_1_5_2/candidate_ledger.md</t>
        </is>
      </c>
      <c r="E158" s="2" t="inlineStr">
        <is>
          <t>../../2018/jama.2018.14282/.ai_paper_validation/review_1_5_2/candidate_ledger.md</t>
        </is>
      </c>
    </row>
    <row r="159" ht="30" customHeight="1">
      <c r="A159" s="3" t="inlineStr">
        <is>
          <t>2018::jama.2018.14282::C019</t>
        </is>
      </c>
      <c r="B159" s="3" t="inlineStr">
        <is>
          <t>sourceLinks</t>
        </is>
      </c>
      <c r="C159" s="3" t="n">
        <v>0</v>
      </c>
      <c r="D159" s="3" t="inlineStr">
        <is>
          <t>DOC-003 eTable — PDF p. 2</t>
        </is>
      </c>
      <c r="E159" s="3" t="inlineStr">
        <is>
          <t>../../2018/jama.2018.14282/joi180109supp2_prod.pdf#page=2</t>
        </is>
      </c>
    </row>
    <row r="160" ht="40" customHeight="1">
      <c r="A160" s="2" t="inlineStr">
        <is>
          <t>2018::jama.2018.14282::C019</t>
        </is>
      </c>
      <c r="B160" s="2" t="inlineStr">
        <is>
          <t>evidencePaths</t>
        </is>
      </c>
      <c r="C160" s="2" t="n">
        <v>0</v>
      </c>
      <c r="D160" s="2" t="inlineStr">
        <is>
          <t>2018/jama.2018.14282/.ai_paper_validation/review_1_5_2/source_inventory.md</t>
        </is>
      </c>
      <c r="E160" s="2" t="inlineStr">
        <is>
          <t>../../2018/jama.2018.14282/.ai_paper_validation/review_1_5_2/source_inventory.md</t>
        </is>
      </c>
    </row>
    <row r="161" ht="40" customHeight="1">
      <c r="A161" s="3" t="inlineStr">
        <is>
          <t>2018::jama.2018.14282::C019</t>
        </is>
      </c>
      <c r="B161" s="3" t="inlineStr">
        <is>
          <t>evidencePaths</t>
        </is>
      </c>
      <c r="C161" s="3" t="n">
        <v>1</v>
      </c>
      <c r="D161" s="3" t="inlineStr">
        <is>
          <t>2018/jama.2018.14282/.ai_paper_validation/review_1_5_2/candidate_ledger.md</t>
        </is>
      </c>
      <c r="E161" s="3" t="inlineStr">
        <is>
          <t>../../2018/jama.2018.14282/.ai_paper_validation/review_1_5_2/candidate_ledger.md</t>
        </is>
      </c>
    </row>
    <row r="162" ht="30" customHeight="1">
      <c r="A162" s="2" t="inlineStr">
        <is>
          <t>2018::jama.2018.14282::C020</t>
        </is>
      </c>
      <c r="B162" s="2" t="inlineStr">
        <is>
          <t>sourceLinks</t>
        </is>
      </c>
      <c r="C162" s="2" t="n">
        <v>0</v>
      </c>
      <c r="D162" s="2" t="inlineStr">
        <is>
          <t>DOC-003 eTable — PDF p. 2</t>
        </is>
      </c>
      <c r="E162" s="2" t="inlineStr">
        <is>
          <t>../../2018/jama.2018.14282/joi180109supp2_prod.pdf#page=2</t>
        </is>
      </c>
    </row>
    <row r="163" ht="40" customHeight="1">
      <c r="A163" s="3" t="inlineStr">
        <is>
          <t>2018::jama.2018.14282::C020</t>
        </is>
      </c>
      <c r="B163" s="3" t="inlineStr">
        <is>
          <t>evidencePaths</t>
        </is>
      </c>
      <c r="C163" s="3" t="n">
        <v>0</v>
      </c>
      <c r="D163" s="3" t="inlineStr">
        <is>
          <t>2018/jama.2018.14282/.ai_paper_validation/review_1_5_2/source_inventory.md</t>
        </is>
      </c>
      <c r="E163" s="3" t="inlineStr">
        <is>
          <t>../../2018/jama.2018.14282/.ai_paper_validation/review_1_5_2/source_inventory.md</t>
        </is>
      </c>
    </row>
    <row r="164" ht="40" customHeight="1">
      <c r="A164" s="2" t="inlineStr">
        <is>
          <t>2018::jama.2018.14282::C020</t>
        </is>
      </c>
      <c r="B164" s="2" t="inlineStr">
        <is>
          <t>evidencePaths</t>
        </is>
      </c>
      <c r="C164" s="2" t="n">
        <v>1</v>
      </c>
      <c r="D164" s="2" t="inlineStr">
        <is>
          <t>2018/jama.2018.14282/.ai_paper_validation/review_1_5_2/candidate_ledger.md</t>
        </is>
      </c>
      <c r="E164" s="2" t="inlineStr">
        <is>
          <t>../../2018/jama.2018.14282/.ai_paper_validation/review_1_5_2/candidate_ledger.md</t>
        </is>
      </c>
    </row>
    <row r="165" ht="30" customHeight="1">
      <c r="A165" s="3" t="inlineStr">
        <is>
          <t>2018::jama.2018.14282::C021</t>
        </is>
      </c>
      <c r="B165" s="3" t="inlineStr">
        <is>
          <t>sourceLinks</t>
        </is>
      </c>
      <c r="C165" s="3" t="n">
        <v>0</v>
      </c>
      <c r="D165" s="3" t="inlineStr">
        <is>
          <t>DOC-003 eTable — PDF p. 2</t>
        </is>
      </c>
      <c r="E165" s="3" t="inlineStr">
        <is>
          <t>../../2018/jama.2018.14282/joi180109supp2_prod.pdf#page=2</t>
        </is>
      </c>
    </row>
    <row r="166" ht="40" customHeight="1">
      <c r="A166" s="2" t="inlineStr">
        <is>
          <t>2018::jama.2018.14282::C021</t>
        </is>
      </c>
      <c r="B166" s="2" t="inlineStr">
        <is>
          <t>evidencePaths</t>
        </is>
      </c>
      <c r="C166" s="2" t="n">
        <v>0</v>
      </c>
      <c r="D166" s="2" t="inlineStr">
        <is>
          <t>2018/jama.2018.14282/.ai_paper_validation/review_1_5_2/source_inventory.md</t>
        </is>
      </c>
      <c r="E166" s="2" t="inlineStr">
        <is>
          <t>../../2018/jama.2018.14282/.ai_paper_validation/review_1_5_2/source_inventory.md</t>
        </is>
      </c>
    </row>
    <row r="167" ht="40" customHeight="1">
      <c r="A167" s="3" t="inlineStr">
        <is>
          <t>2018::jama.2018.14282::C021</t>
        </is>
      </c>
      <c r="B167" s="3" t="inlineStr">
        <is>
          <t>evidencePaths</t>
        </is>
      </c>
      <c r="C167" s="3" t="n">
        <v>1</v>
      </c>
      <c r="D167" s="3" t="inlineStr">
        <is>
          <t>2018/jama.2018.14282/.ai_paper_validation/review_1_5_2/candidate_ledger.md</t>
        </is>
      </c>
      <c r="E167" s="3" t="inlineStr">
        <is>
          <t>../../2018/jama.2018.14282/.ai_paper_validation/review_1_5_2/candidate_ledger.md</t>
        </is>
      </c>
    </row>
    <row r="168" ht="30" customHeight="1">
      <c r="A168" s="2" t="inlineStr">
        <is>
          <t>2018::jama.2018.14282::C022</t>
        </is>
      </c>
      <c r="B168" s="2" t="inlineStr">
        <is>
          <t>sourceLinks</t>
        </is>
      </c>
      <c r="C168" s="2" t="n">
        <v>0</v>
      </c>
      <c r="D168" s="2" t="inlineStr">
        <is>
          <t>DOC-001 methods — PDF p. 4</t>
        </is>
      </c>
      <c r="E168" s="2" t="inlineStr">
        <is>
          <t>../../2018/jama.2018.14282/jama_azoulay_2018_oi_180109.pdf#page=4</t>
        </is>
      </c>
    </row>
    <row r="169" ht="30" customHeight="1">
      <c r="A169" s="3" t="inlineStr">
        <is>
          <t>2018::jama.2018.14282::C022</t>
        </is>
      </c>
      <c r="B169" s="3" t="inlineStr">
        <is>
          <t>sourceLinks</t>
        </is>
      </c>
      <c r="C169" s="3" t="n">
        <v>1</v>
      </c>
      <c r="D169" s="3" t="inlineStr">
        <is>
          <t>DOC-001 results — PDF p. 6</t>
        </is>
      </c>
      <c r="E169" s="3" t="inlineStr">
        <is>
          <t>../../2018/jama.2018.14282/jama_azoulay_2018_oi_180109.pdf#page=6</t>
        </is>
      </c>
    </row>
    <row r="170" ht="30" customHeight="1">
      <c r="A170" s="2" t="inlineStr">
        <is>
          <t>2018::jama.2018.14282::C022</t>
        </is>
      </c>
      <c r="B170" s="2" t="inlineStr">
        <is>
          <t>sourceLinks</t>
        </is>
      </c>
      <c r="C170" s="2" t="n">
        <v>2</v>
      </c>
      <c r="D170" s="2" t="inlineStr">
        <is>
          <t>DOC-003 eFigure 1 — PDF p. 3</t>
        </is>
      </c>
      <c r="E170" s="2" t="inlineStr">
        <is>
          <t>../../2018/jama.2018.14282/joi180109supp2_prod.pdf#page=3</t>
        </is>
      </c>
    </row>
    <row r="171" ht="40" customHeight="1">
      <c r="A171" s="3" t="inlineStr">
        <is>
          <t>2018::jama.2018.14282::C022</t>
        </is>
      </c>
      <c r="B171" s="3" t="inlineStr">
        <is>
          <t>evidencePaths</t>
        </is>
      </c>
      <c r="C171" s="3" t="n">
        <v>0</v>
      </c>
      <c r="D171" s="3" t="inlineStr">
        <is>
          <t>2018/jama.2018.14282/.ai_paper_validation/review_1_5_2/source_inventory.md</t>
        </is>
      </c>
      <c r="E171" s="3" t="inlineStr">
        <is>
          <t>../../2018/jama.2018.14282/.ai_paper_validation/review_1_5_2/source_inventory.md</t>
        </is>
      </c>
    </row>
    <row r="172" ht="40" customHeight="1">
      <c r="A172" s="2" t="inlineStr">
        <is>
          <t>2018::jama.2018.14282::C022</t>
        </is>
      </c>
      <c r="B172" s="2" t="inlineStr">
        <is>
          <t>evidencePaths</t>
        </is>
      </c>
      <c r="C172" s="2" t="n">
        <v>1</v>
      </c>
      <c r="D172" s="2" t="inlineStr">
        <is>
          <t>2018/jama.2018.14282/.ai_paper_validation/review_1_5_2/candidate_ledger.md</t>
        </is>
      </c>
      <c r="E172" s="2" t="inlineStr">
        <is>
          <t>../../2018/jama.2018.14282/.ai_paper_validation/review_1_5_2/candidate_ledger.md</t>
        </is>
      </c>
    </row>
    <row r="173" ht="30" customHeight="1">
      <c r="A173" s="3" t="inlineStr">
        <is>
          <t>2018::jama.2018.14282::C023</t>
        </is>
      </c>
      <c r="B173" s="3" t="inlineStr">
        <is>
          <t>sourceLinks</t>
        </is>
      </c>
      <c r="C173" s="3" t="n">
        <v>0</v>
      </c>
      <c r="D173" s="3" t="inlineStr">
        <is>
          <t>DOC-001 Table 2 and narrative — PDF p. 5</t>
        </is>
      </c>
      <c r="E173" s="3" t="inlineStr">
        <is>
          <t>../../2018/jama.2018.14282/jama_azoulay_2018_oi_180109.pdf#page=5</t>
        </is>
      </c>
    </row>
    <row r="174" ht="30" customHeight="1">
      <c r="A174" s="2" t="inlineStr">
        <is>
          <t>2018::jama.2018.14282::C023</t>
        </is>
      </c>
      <c r="B174" s="2" t="inlineStr">
        <is>
          <t>sourceLinks</t>
        </is>
      </c>
      <c r="C174" s="2" t="n">
        <v>1</v>
      </c>
      <c r="D174" s="2" t="inlineStr">
        <is>
          <t>DOC-001 Figure 3A — PDF p. 7</t>
        </is>
      </c>
      <c r="E174" s="2" t="inlineStr">
        <is>
          <t>../../2018/jama.2018.14282/jama_azoulay_2018_oi_180109.pdf#page=7</t>
        </is>
      </c>
    </row>
    <row r="175" ht="40" customHeight="1">
      <c r="A175" s="3" t="inlineStr">
        <is>
          <t>2018::jama.2018.14282::C023</t>
        </is>
      </c>
      <c r="B175" s="3" t="inlineStr">
        <is>
          <t>evidencePaths</t>
        </is>
      </c>
      <c r="C175" s="3" t="n">
        <v>0</v>
      </c>
      <c r="D175" s="3" t="inlineStr">
        <is>
          <t>2018/jama.2018.14282/.ai_paper_validation/review_1_5_2/source_inventory.md</t>
        </is>
      </c>
      <c r="E175" s="3" t="inlineStr">
        <is>
          <t>../../2018/jama.2018.14282/.ai_paper_validation/review_1_5_2/source_inventory.md</t>
        </is>
      </c>
    </row>
    <row r="176" ht="40" customHeight="1">
      <c r="A176" s="2" t="inlineStr">
        <is>
          <t>2018::jama.2018.14282::C023</t>
        </is>
      </c>
      <c r="B176" s="2" t="inlineStr">
        <is>
          <t>evidencePaths</t>
        </is>
      </c>
      <c r="C176" s="2" t="n">
        <v>1</v>
      </c>
      <c r="D176" s="2" t="inlineStr">
        <is>
          <t>2018/jama.2018.14282/.ai_paper_validation/review_1_5_2/candidate_ledger.md</t>
        </is>
      </c>
      <c r="E176" s="2" t="inlineStr">
        <is>
          <t>../../2018/jama.2018.14282/.ai_paper_validation/review_1_5_2/candidate_ledger.md</t>
        </is>
      </c>
    </row>
    <row r="177" ht="30" customHeight="1">
      <c r="A177" s="3" t="inlineStr">
        <is>
          <t>2018::jama.2018.14282::C024</t>
        </is>
      </c>
      <c r="B177" s="3" t="inlineStr">
        <is>
          <t>sourceLinks</t>
        </is>
      </c>
      <c r="C177" s="3" t="n">
        <v>0</v>
      </c>
      <c r="D177" s="3" t="inlineStr">
        <is>
          <t>DOC-001 Table 2 — PDF p. 5</t>
        </is>
      </c>
      <c r="E177" s="3" t="inlineStr">
        <is>
          <t>../../2018/jama.2018.14282/jama_azoulay_2018_oi_180109.pdf#page=5</t>
        </is>
      </c>
    </row>
    <row r="178" ht="30" customHeight="1">
      <c r="A178" s="2" t="inlineStr">
        <is>
          <t>2018::jama.2018.14282::C024</t>
        </is>
      </c>
      <c r="B178" s="2" t="inlineStr">
        <is>
          <t>sourceLinks</t>
        </is>
      </c>
      <c r="C178" s="2" t="n">
        <v>1</v>
      </c>
      <c r="D178" s="2" t="inlineStr">
        <is>
          <t>DOC-001 narrative — PDF p. 6</t>
        </is>
      </c>
      <c r="E178" s="2" t="inlineStr">
        <is>
          <t>../../2018/jama.2018.14282/jama_azoulay_2018_oi_180109.pdf#page=6</t>
        </is>
      </c>
    </row>
    <row r="179" ht="30" customHeight="1">
      <c r="A179" s="3" t="inlineStr">
        <is>
          <t>2018::jama.2018.14282::C024</t>
        </is>
      </c>
      <c r="B179" s="3" t="inlineStr">
        <is>
          <t>sourceLinks</t>
        </is>
      </c>
      <c r="C179" s="3" t="n">
        <v>2</v>
      </c>
      <c r="D179" s="3" t="inlineStr">
        <is>
          <t>DOC-001 Figure 3B — PDF p. 7</t>
        </is>
      </c>
      <c r="E179" s="3" t="inlineStr">
        <is>
          <t>../../2018/jama.2018.14282/jama_azoulay_2018_oi_180109.pdf#page=7</t>
        </is>
      </c>
    </row>
    <row r="180" ht="40" customHeight="1">
      <c r="A180" s="2" t="inlineStr">
        <is>
          <t>2018::jama.2018.14282::C024</t>
        </is>
      </c>
      <c r="B180" s="2" t="inlineStr">
        <is>
          <t>evidencePaths</t>
        </is>
      </c>
      <c r="C180" s="2" t="n">
        <v>0</v>
      </c>
      <c r="D180" s="2" t="inlineStr">
        <is>
          <t>2018/jama.2018.14282/.ai_paper_validation/review_1_5_2/source_inventory.md</t>
        </is>
      </c>
      <c r="E180" s="2" t="inlineStr">
        <is>
          <t>../../2018/jama.2018.14282/.ai_paper_validation/review_1_5_2/source_inventory.md</t>
        </is>
      </c>
    </row>
    <row r="181" ht="40" customHeight="1">
      <c r="A181" s="3" t="inlineStr">
        <is>
          <t>2018::jama.2018.14282::C024</t>
        </is>
      </c>
      <c r="B181" s="3" t="inlineStr">
        <is>
          <t>evidencePaths</t>
        </is>
      </c>
      <c r="C181" s="3" t="n">
        <v>1</v>
      </c>
      <c r="D181" s="3" t="inlineStr">
        <is>
          <t>2018/jama.2018.14282/.ai_paper_validation/review_1_5_2/candidate_ledger.md</t>
        </is>
      </c>
      <c r="E181" s="3" t="inlineStr">
        <is>
          <t>../../2018/jama.2018.14282/.ai_paper_validation/review_1_5_2/candidate_ledger.md</t>
        </is>
      </c>
    </row>
    <row r="182" ht="30" customHeight="1">
      <c r="A182" s="2" t="inlineStr">
        <is>
          <t>2018::jama.2018.14282::C025</t>
        </is>
      </c>
      <c r="B182" s="2" t="inlineStr">
        <is>
          <t>sourceLinks</t>
        </is>
      </c>
      <c r="C182" s="2" t="n">
        <v>0</v>
      </c>
      <c r="D182" s="2" t="inlineStr">
        <is>
          <t>DOC-001 — PDF p. 3</t>
        </is>
      </c>
      <c r="E182" s="2" t="inlineStr">
        <is>
          <t>../../2018/jama.2018.14282/jama_azoulay_2018_oi_180109.pdf#page=3</t>
        </is>
      </c>
    </row>
    <row r="183" ht="40" customHeight="1">
      <c r="A183" s="3" t="inlineStr">
        <is>
          <t>2018::jama.2018.14282::C025</t>
        </is>
      </c>
      <c r="B183" s="3" t="inlineStr">
        <is>
          <t>sourceLinks</t>
        </is>
      </c>
      <c r="C183" s="3" t="n">
        <v>1</v>
      </c>
      <c r="D183" s="3" t="inlineStr">
        <is>
          <t>DOC-002 completed published-protocol abstract sentence — PDF p. 91</t>
        </is>
      </c>
      <c r="E183" s="3" t="inlineStr">
        <is>
          <t>../../2018/jama.2018.14282/joi180109supp1_prod.pdf#page=91</t>
        </is>
      </c>
    </row>
    <row r="184" ht="30" customHeight="1">
      <c r="A184" s="2" t="inlineStr">
        <is>
          <t>2018::jama.2018.14282::C025</t>
        </is>
      </c>
      <c r="B184" s="2" t="inlineStr">
        <is>
          <t>sourceLinks</t>
        </is>
      </c>
      <c r="C184" s="2" t="n">
        <v>2</v>
      </c>
      <c r="D184" s="2" t="inlineStr">
        <is>
          <t>DOC-002 statistical-plan comparator — PDF p. 103</t>
        </is>
      </c>
      <c r="E184" s="2" t="inlineStr">
        <is>
          <t>../../2018/jama.2018.14282/joi180109supp1_prod.pdf#page=103</t>
        </is>
      </c>
    </row>
    <row r="185" ht="40" customHeight="1">
      <c r="A185" s="3" t="inlineStr">
        <is>
          <t>2018::jama.2018.14282::C025</t>
        </is>
      </c>
      <c r="B185" s="3" t="inlineStr">
        <is>
          <t>evidencePaths</t>
        </is>
      </c>
      <c r="C185" s="3" t="n">
        <v>0</v>
      </c>
      <c r="D185" s="3" t="inlineStr">
        <is>
          <t>2018/jama.2018.14282/.ai_paper_validation/review_1_5_2/source_inventory.md</t>
        </is>
      </c>
      <c r="E185" s="3" t="inlineStr">
        <is>
          <t>../../2018/jama.2018.14282/.ai_paper_validation/review_1_5_2/source_inventory.md</t>
        </is>
      </c>
    </row>
    <row r="186" ht="40" customHeight="1">
      <c r="A186" s="2" t="inlineStr">
        <is>
          <t>2018::jama.2018.14282::C025</t>
        </is>
      </c>
      <c r="B186" s="2" t="inlineStr">
        <is>
          <t>evidencePaths</t>
        </is>
      </c>
      <c r="C186" s="2" t="n">
        <v>1</v>
      </c>
      <c r="D186" s="2" t="inlineStr">
        <is>
          <t>2018/jama.2018.14282/.ai_paper_validation/review_1_5_2/verification/evidence_recheck.md</t>
        </is>
      </c>
      <c r="E186" s="2" t="inlineStr">
        <is>
          <t>../../2018/jama.2018.14282/.ai_paper_validation/review_1_5_2/verification/evidence_recheck.md</t>
        </is>
      </c>
    </row>
    <row r="187" ht="40" customHeight="1">
      <c r="A187" s="3" t="inlineStr">
        <is>
          <t>2018::jama.2018.14282::C025</t>
        </is>
      </c>
      <c r="B187" s="3" t="inlineStr">
        <is>
          <t>evidencePaths</t>
        </is>
      </c>
      <c r="C187" s="3" t="n">
        <v>2</v>
      </c>
      <c r="D187" s="3" t="inlineStr">
        <is>
          <t>2018/jama.2018.14282/.ai_paper_validation/review_1_5_2/candidate_ledger.md</t>
        </is>
      </c>
      <c r="E187" s="3" t="inlineStr">
        <is>
          <t>../../2018/jama.2018.14282/.ai_paper_validation/review_1_5_2/candidate_ledger.md</t>
        </is>
      </c>
    </row>
    <row r="188" ht="30" customHeight="1">
      <c r="A188" s="2" t="inlineStr">
        <is>
          <t>2018::jama.2018.14282::C026</t>
        </is>
      </c>
      <c r="B188" s="2" t="inlineStr">
        <is>
          <t>sourceLinks</t>
        </is>
      </c>
      <c r="C188" s="2" t="n">
        <v>0</v>
      </c>
      <c r="D188" s="2" t="inlineStr">
        <is>
          <t>DOC-002 Figure 4 — PDF p. 40</t>
        </is>
      </c>
      <c r="E188" s="2" t="inlineStr">
        <is>
          <t>../../2018/jama.2018.14282/joi180109supp1_prod.pdf#page=40</t>
        </is>
      </c>
    </row>
    <row r="189" ht="30" customHeight="1">
      <c r="A189" s="3" t="inlineStr">
        <is>
          <t>2018::jama.2018.14282::C026</t>
        </is>
      </c>
      <c r="B189" s="3" t="inlineStr">
        <is>
          <t>sourceLinks</t>
        </is>
      </c>
      <c r="C189" s="3" t="n">
        <v>1</v>
      </c>
      <c r="D189" s="3" t="inlineStr">
        <is>
          <t>DOC-002 — PDF p. 42</t>
        </is>
      </c>
      <c r="E189" s="3" t="inlineStr">
        <is>
          <t>../../2018/jama.2018.14282/joi180109supp1_prod.pdf#page=42</t>
        </is>
      </c>
    </row>
    <row r="190" ht="40" customHeight="1">
      <c r="A190" s="2" t="inlineStr">
        <is>
          <t>2018::jama.2018.14282::C026</t>
        </is>
      </c>
      <c r="B190" s="2" t="inlineStr">
        <is>
          <t>evidencePaths</t>
        </is>
      </c>
      <c r="C190" s="2" t="n">
        <v>0</v>
      </c>
      <c r="D190" s="2" t="inlineStr">
        <is>
          <t>2018/jama.2018.14282/.ai_paper_validation/review_1_5_2/source_inventory.md</t>
        </is>
      </c>
      <c r="E190" s="2" t="inlineStr">
        <is>
          <t>../../2018/jama.2018.14282/.ai_paper_validation/review_1_5_2/source_inventory.md</t>
        </is>
      </c>
    </row>
    <row r="191" ht="40" customHeight="1">
      <c r="A191" s="3" t="inlineStr">
        <is>
          <t>2018::jama.2018.14282::C026</t>
        </is>
      </c>
      <c r="B191" s="3" t="inlineStr">
        <is>
          <t>evidencePaths</t>
        </is>
      </c>
      <c r="C191" s="3" t="n">
        <v>1</v>
      </c>
      <c r="D191" s="3" t="inlineStr">
        <is>
          <t>2018/jama.2018.14282/.ai_paper_validation/review_1_5_2/verification/evidence_recheck.md</t>
        </is>
      </c>
      <c r="E191" s="3" t="inlineStr">
        <is>
          <t>../../2018/jama.2018.14282/.ai_paper_validation/review_1_5_2/verification/evidence_recheck.md</t>
        </is>
      </c>
    </row>
    <row r="192" ht="40" customHeight="1">
      <c r="A192" s="2" t="inlineStr">
        <is>
          <t>2018::jama.2018.14282::C026</t>
        </is>
      </c>
      <c r="B192" s="2" t="inlineStr">
        <is>
          <t>evidencePaths</t>
        </is>
      </c>
      <c r="C192" s="2" t="n">
        <v>2</v>
      </c>
      <c r="D192" s="2" t="inlineStr">
        <is>
          <t>2018/jama.2018.14282/.ai_paper_validation/review_1_5_2/candidate_ledger.md</t>
        </is>
      </c>
      <c r="E192" s="2" t="inlineStr">
        <is>
          <t>../../2018/jama.2018.14282/.ai_paper_validation/review_1_5_2/candidate_ledger.md</t>
        </is>
      </c>
    </row>
    <row r="193" ht="30" customHeight="1">
      <c r="A193" s="3" t="inlineStr">
        <is>
          <t>2018::jama.2018.14282::C027</t>
        </is>
      </c>
      <c r="B193" s="3" t="inlineStr">
        <is>
          <t>sourceLinks</t>
        </is>
      </c>
      <c r="C193" s="3" t="n">
        <v>0</v>
      </c>
      <c r="D193" s="3" t="inlineStr">
        <is>
          <t>DOC-002 — PDF p. 52</t>
        </is>
      </c>
      <c r="E193" s="3" t="inlineStr">
        <is>
          <t>../../2018/jama.2018.14282/joi180109supp1_prod.pdf#page=52</t>
        </is>
      </c>
    </row>
    <row r="194" ht="30" customHeight="1">
      <c r="A194" s="2" t="inlineStr">
        <is>
          <t>2018::jama.2018.14282::C027</t>
        </is>
      </c>
      <c r="B194" s="2" t="inlineStr">
        <is>
          <t>sourceLinks</t>
        </is>
      </c>
      <c r="C194" s="2" t="n">
        <v>1</v>
      </c>
      <c r="D194" s="2" t="inlineStr">
        <is>
          <t>DOC-002 — PDF p. 104</t>
        </is>
      </c>
      <c r="E194" s="2" t="inlineStr">
        <is>
          <t>../../2018/jama.2018.14282/joi180109supp1_prod.pdf#page=104</t>
        </is>
      </c>
    </row>
    <row r="195" ht="40" customHeight="1">
      <c r="A195" s="3" t="inlineStr">
        <is>
          <t>2018::jama.2018.14282::C027</t>
        </is>
      </c>
      <c r="B195" s="3" t="inlineStr">
        <is>
          <t>evidencePaths</t>
        </is>
      </c>
      <c r="C195" s="3" t="n">
        <v>0</v>
      </c>
      <c r="D195" s="3" t="inlineStr">
        <is>
          <t>2018/jama.2018.14282/.ai_paper_validation/review_1_5_2/source_inventory.md</t>
        </is>
      </c>
      <c r="E195" s="3" t="inlineStr">
        <is>
          <t>../../2018/jama.2018.14282/.ai_paper_validation/review_1_5_2/source_inventory.md</t>
        </is>
      </c>
    </row>
    <row r="196" ht="40" customHeight="1">
      <c r="A196" s="2" t="inlineStr">
        <is>
          <t>2018::jama.2018.14282::C027</t>
        </is>
      </c>
      <c r="B196" s="2" t="inlineStr">
        <is>
          <t>evidencePaths</t>
        </is>
      </c>
      <c r="C196" s="2" t="n">
        <v>1</v>
      </c>
      <c r="D196" s="2" t="inlineStr">
        <is>
          <t>2018/jama.2018.14282/.ai_paper_validation/review_1_5_2/verification/evidence_recheck.md</t>
        </is>
      </c>
      <c r="E196" s="2" t="inlineStr">
        <is>
          <t>../../2018/jama.2018.14282/.ai_paper_validation/review_1_5_2/verification/evidence_recheck.md</t>
        </is>
      </c>
    </row>
    <row r="197" ht="40" customHeight="1">
      <c r="A197" s="3" t="inlineStr">
        <is>
          <t>2018::jama.2018.14282::C027</t>
        </is>
      </c>
      <c r="B197" s="3" t="inlineStr">
        <is>
          <t>evidencePaths</t>
        </is>
      </c>
      <c r="C197" s="3" t="n">
        <v>2</v>
      </c>
      <c r="D197" s="3" t="inlineStr">
        <is>
          <t>2018/jama.2018.14282/.ai_paper_validation/review_1_5_2/candidate_ledger.md</t>
        </is>
      </c>
      <c r="E197" s="3" t="inlineStr">
        <is>
          <t>../../2018/jama.2018.14282/.ai_paper_validation/review_1_5_2/candidate_ledger.md</t>
        </is>
      </c>
    </row>
    <row r="198" ht="30" customHeight="1">
      <c r="A198" s="2" t="inlineStr">
        <is>
          <t>2018::jama.2018.14282::C028</t>
        </is>
      </c>
      <c r="B198" s="2" t="inlineStr">
        <is>
          <t>sourceLinks</t>
        </is>
      </c>
      <c r="C198" s="2" t="n">
        <v>0</v>
      </c>
      <c r="D198" s="2" t="inlineStr">
        <is>
          <t>DOC-002 — PDF p. 54</t>
        </is>
      </c>
      <c r="E198" s="2" t="inlineStr">
        <is>
          <t>../../2018/jama.2018.14282/joi180109supp1_prod.pdf#page=54</t>
        </is>
      </c>
    </row>
    <row r="199" ht="30" customHeight="1">
      <c r="A199" s="3" t="inlineStr">
        <is>
          <t>2018::jama.2018.14282::C028</t>
        </is>
      </c>
      <c r="B199" s="3" t="inlineStr">
        <is>
          <t>sourceLinks</t>
        </is>
      </c>
      <c r="C199" s="3" t="n">
        <v>1</v>
      </c>
      <c r="D199" s="3" t="inlineStr">
        <is>
          <t>DOC-002 — PDF p. 82</t>
        </is>
      </c>
      <c r="E199" s="3" t="inlineStr">
        <is>
          <t>../../2018/jama.2018.14282/joi180109supp1_prod.pdf#page=82</t>
        </is>
      </c>
    </row>
    <row r="200" ht="30" customHeight="1">
      <c r="A200" s="2" t="inlineStr">
        <is>
          <t>2018::jama.2018.14282::C028</t>
        </is>
      </c>
      <c r="B200" s="2" t="inlineStr">
        <is>
          <t>sourceLinks</t>
        </is>
      </c>
      <c r="C200" s="2" t="n">
        <v>2</v>
      </c>
      <c r="D200" s="2" t="inlineStr">
        <is>
          <t>DOC-002 — PDF p. 104</t>
        </is>
      </c>
      <c r="E200" s="2" t="inlineStr">
        <is>
          <t>../../2018/jama.2018.14282/joi180109supp1_prod.pdf#page=104</t>
        </is>
      </c>
    </row>
    <row r="201" ht="40" customHeight="1">
      <c r="A201" s="3" t="inlineStr">
        <is>
          <t>2018::jama.2018.14282::C028</t>
        </is>
      </c>
      <c r="B201" s="3" t="inlineStr">
        <is>
          <t>evidencePaths</t>
        </is>
      </c>
      <c r="C201" s="3" t="n">
        <v>0</v>
      </c>
      <c r="D201" s="3" t="inlineStr">
        <is>
          <t>2018/jama.2018.14282/.ai_paper_validation/review_1_5_2/source_inventory.md</t>
        </is>
      </c>
      <c r="E201" s="3" t="inlineStr">
        <is>
          <t>../../2018/jama.2018.14282/.ai_paper_validation/review_1_5_2/source_inventory.md</t>
        </is>
      </c>
    </row>
    <row r="202" ht="40" customHeight="1">
      <c r="A202" s="2" t="inlineStr">
        <is>
          <t>2018::jama.2018.14282::C028</t>
        </is>
      </c>
      <c r="B202" s="2" t="inlineStr">
        <is>
          <t>evidencePaths</t>
        </is>
      </c>
      <c r="C202" s="2" t="n">
        <v>1</v>
      </c>
      <c r="D202" s="2" t="inlineStr">
        <is>
          <t>2018/jama.2018.14282/.ai_paper_validation/review_1_5_2/verification/evidence_recheck.md</t>
        </is>
      </c>
      <c r="E202" s="2" t="inlineStr">
        <is>
          <t>../../2018/jama.2018.14282/.ai_paper_validation/review_1_5_2/verification/evidence_recheck.md</t>
        </is>
      </c>
    </row>
    <row r="203" ht="40" customHeight="1">
      <c r="A203" s="3" t="inlineStr">
        <is>
          <t>2018::jama.2018.14282::C028</t>
        </is>
      </c>
      <c r="B203" s="3" t="inlineStr">
        <is>
          <t>evidencePaths</t>
        </is>
      </c>
      <c r="C203" s="3" t="n">
        <v>2</v>
      </c>
      <c r="D203" s="3" t="inlineStr">
        <is>
          <t>2018/jama.2018.14282/.ai_paper_validation/review_1_5_2/candidate_ledger.md</t>
        </is>
      </c>
      <c r="E203" s="3" t="inlineStr">
        <is>
          <t>../../2018/jama.2018.14282/.ai_paper_validation/review_1_5_2/candidate_ledger.md</t>
        </is>
      </c>
    </row>
    <row r="204" ht="40" customHeight="1">
      <c r="A204" s="2" t="inlineStr">
        <is>
          <t>2018::jama.2018.17075::C001</t>
        </is>
      </c>
      <c r="B204" s="2" t="inlineStr">
        <is>
          <t>sourceLinks</t>
        </is>
      </c>
      <c r="C204" s="2" t="n">
        <v>0</v>
      </c>
      <c r="D204" s="2" t="inlineStr">
        <is>
          <t>jama_cooper_2018_oi_180132.pdf — PDF p. 5, Table 1, normothermia Injury Severity Score</t>
        </is>
      </c>
      <c r="E204" s="2" t="inlineStr">
        <is>
          <t>../../2018/jama.2018.17075/jama_cooper_2018_oi_180132.pdf#page=5</t>
        </is>
      </c>
    </row>
    <row r="205" ht="40" customHeight="1">
      <c r="A205" s="3" t="inlineStr">
        <is>
          <t>2018::jama.2018.17075::C001</t>
        </is>
      </c>
      <c r="B205" s="3" t="inlineStr">
        <is>
          <t>evidencePaths</t>
        </is>
      </c>
      <c r="C205" s="3" t="n">
        <v>0</v>
      </c>
      <c r="D205" s="3" t="inlineStr">
        <is>
          <t>2018/jama.2018.17075/.ai_paper_validation/review_1_5_2/source_inventory.md</t>
        </is>
      </c>
      <c r="E205" s="3" t="inlineStr">
        <is>
          <t>../../2018/jama.2018.17075/.ai_paper_validation/review_1_5_2/source_inventory.md</t>
        </is>
      </c>
    </row>
    <row r="206" ht="40" customHeight="1">
      <c r="A206" s="2" t="inlineStr">
        <is>
          <t>2018::jama.2018.17075::C002</t>
        </is>
      </c>
      <c r="B206" s="2" t="inlineStr">
        <is>
          <t>sourceLinks</t>
        </is>
      </c>
      <c r="C206" s="2" t="n">
        <v>0</v>
      </c>
      <c r="D206" s="2" t="inlineStr">
        <is>
          <t>jama_cooper_2018_oi_180132.pdf — PDF p. 1, abstract Results</t>
        </is>
      </c>
      <c r="E206" s="2" t="inlineStr">
        <is>
          <t>../../2018/jama.2018.17075/jama_cooper_2018_oi_180132.pdf#page=1</t>
        </is>
      </c>
    </row>
    <row r="207" ht="30" customHeight="1">
      <c r="A207" s="3" t="inlineStr">
        <is>
          <t>2018::jama.2018.17075::C002</t>
        </is>
      </c>
      <c r="B207" s="3" t="inlineStr">
        <is>
          <t>sourceLinks</t>
        </is>
      </c>
      <c r="C207" s="3" t="n">
        <v>1</v>
      </c>
      <c r="D207" s="3" t="inlineStr">
        <is>
          <t>PDF p. 5, Primary Outcome Results</t>
        </is>
      </c>
      <c r="E207" s="3" t="inlineStr">
        <is>
          <t>../../2018/jama.2018.17075/jama_cooper_2018_oi_180132.pdf#page=5</t>
        </is>
      </c>
    </row>
    <row r="208" ht="30" customHeight="1">
      <c r="A208" s="2" t="inlineStr">
        <is>
          <t>2018::jama.2018.17075::C002</t>
        </is>
      </c>
      <c r="B208" s="2" t="inlineStr">
        <is>
          <t>sourceLinks</t>
        </is>
      </c>
      <c r="C208" s="2" t="n">
        <v>2</v>
      </c>
      <c r="D208" s="2" t="inlineStr">
        <is>
          <t>PDF p. 7, Table 2 favorable outcome</t>
        </is>
      </c>
      <c r="E208" s="2" t="inlineStr">
        <is>
          <t>../../2018/jama.2018.17075/jama_cooper_2018_oi_180132.pdf#page=7</t>
        </is>
      </c>
    </row>
    <row r="209" ht="40" customHeight="1">
      <c r="A209" s="3" t="inlineStr">
        <is>
          <t>2018::jama.2018.17075::C002</t>
        </is>
      </c>
      <c r="B209" s="3" t="inlineStr">
        <is>
          <t>evidencePaths</t>
        </is>
      </c>
      <c r="C209" s="3" t="n">
        <v>0</v>
      </c>
      <c r="D209" s="3" t="inlineStr">
        <is>
          <t>2018/jama.2018.17075/.ai_paper_validation/review_1_5_2/source_inventory.md</t>
        </is>
      </c>
      <c r="E209" s="3" t="inlineStr">
        <is>
          <t>../../2018/jama.2018.17075/.ai_paper_validation/review_1_5_2/source_inventory.md</t>
        </is>
      </c>
    </row>
    <row r="210" ht="40" customHeight="1">
      <c r="A210" s="2" t="inlineStr">
        <is>
          <t>2018::jama.2018.17075::C003</t>
        </is>
      </c>
      <c r="B210" s="2" t="inlineStr">
        <is>
          <t>sourceLinks</t>
        </is>
      </c>
      <c r="C210" s="2" t="n">
        <v>0</v>
      </c>
      <c r="D210" s="2" t="inlineStr">
        <is>
          <t>jama_cooper_2018_oi_180132.pdf — PDF p. 7, Table 2, new or increased intracranial bleeding</t>
        </is>
      </c>
      <c r="E210" s="2" t="inlineStr">
        <is>
          <t>../../2018/jama.2018.17075/jama_cooper_2018_oi_180132.pdf#page=7</t>
        </is>
      </c>
    </row>
    <row r="211" ht="40" customHeight="1">
      <c r="A211" s="3" t="inlineStr">
        <is>
          <t>2018::jama.2018.17075::C003</t>
        </is>
      </c>
      <c r="B211" s="3" t="inlineStr">
        <is>
          <t>sourceLinks</t>
        </is>
      </c>
      <c r="C211" s="3" t="n">
        <v>1</v>
      </c>
      <c r="D211" s="3" t="inlineStr">
        <is>
          <t>joi180132supp2_prod.pdf — PDF p. 10, eTable 6, same outcome</t>
        </is>
      </c>
      <c r="E211" s="3" t="inlineStr">
        <is>
          <t>../../2018/jama.2018.17075/joi180132supp2_prod.pdf#page=10</t>
        </is>
      </c>
    </row>
    <row r="212" ht="40" customHeight="1">
      <c r="A212" s="2" t="inlineStr">
        <is>
          <t>2018::jama.2018.17075::C003</t>
        </is>
      </c>
      <c r="B212" s="2" t="inlineStr">
        <is>
          <t>sourceLinks</t>
        </is>
      </c>
      <c r="C212" s="2" t="n">
        <v>2</v>
      </c>
      <c r="D212" s="2" t="inlineStr">
        <is>
          <t>jama_cooper_2018_oi_180132.pdf — PDF p. 3, Statistical Analysis</t>
        </is>
      </c>
      <c r="E212" s="2" t="inlineStr">
        <is>
          <t>../../2018/jama.2018.17075/jama_cooper_2018_oi_180132.pdf#page=3</t>
        </is>
      </c>
    </row>
    <row r="213" ht="40" customHeight="1">
      <c r="A213" s="3" t="inlineStr">
        <is>
          <t>2018::jama.2018.17075::C003</t>
        </is>
      </c>
      <c r="B213" s="3" t="inlineStr">
        <is>
          <t>evidencePaths</t>
        </is>
      </c>
      <c r="C213" s="3" t="n">
        <v>0</v>
      </c>
      <c r="D213" s="3" t="inlineStr">
        <is>
          <t>2018/jama.2018.17075/.ai_paper_validation/review_1_5_2/source_inventory.md</t>
        </is>
      </c>
      <c r="E213" s="3" t="inlineStr">
        <is>
          <t>../../2018/jama.2018.17075/.ai_paper_validation/review_1_5_2/source_inventory.md</t>
        </is>
      </c>
    </row>
    <row r="214" ht="40" customHeight="1">
      <c r="A214" s="2" t="inlineStr">
        <is>
          <t>2018::jama.2018.17075::C003</t>
        </is>
      </c>
      <c r="B214" s="2" t="inlineStr">
        <is>
          <t>evidencePaths</t>
        </is>
      </c>
      <c r="C214" s="2" t="n">
        <v>1</v>
      </c>
      <c r="D214" s="2" t="inlineStr">
        <is>
          <t>2018/jama.2018.17075/.ai_paper_validation/review_1_5_2/verification/evidence_recheck.md</t>
        </is>
      </c>
      <c r="E214" s="2" t="inlineStr">
        <is>
          <t>../../2018/jama.2018.17075/.ai_paper_validation/review_1_5_2/verification/evidence_recheck.md</t>
        </is>
      </c>
    </row>
    <row r="215" ht="40" customHeight="1">
      <c r="A215" s="3" t="inlineStr">
        <is>
          <t>2018::jama.2018.17075::C004</t>
        </is>
      </c>
      <c r="B215" s="3" t="inlineStr">
        <is>
          <t>sourceLinks</t>
        </is>
      </c>
      <c r="C215" s="3" t="n">
        <v>0</v>
      </c>
      <c r="D215" s="3" t="inlineStr">
        <is>
          <t>jama_cooper_2018_oi_180132.pdf — PDF p. 7, Table 2, new significant extracranial bleeding</t>
        </is>
      </c>
      <c r="E215" s="3" t="inlineStr">
        <is>
          <t>../../2018/jama.2018.17075/jama_cooper_2018_oi_180132.pdf#page=7</t>
        </is>
      </c>
    </row>
    <row r="216" ht="40" customHeight="1">
      <c r="A216" s="2" t="inlineStr">
        <is>
          <t>2018::jama.2018.17075::C004</t>
        </is>
      </c>
      <c r="B216" s="2" t="inlineStr">
        <is>
          <t>sourceLinks</t>
        </is>
      </c>
      <c r="C216" s="2" t="n">
        <v>1</v>
      </c>
      <c r="D216" s="2" t="inlineStr">
        <is>
          <t>joi180132supp2_prod.pdf — PDF p. 10, eTable 6, same outcome</t>
        </is>
      </c>
      <c r="E216" s="2" t="inlineStr">
        <is>
          <t>../../2018/jama.2018.17075/joi180132supp2_prod.pdf#page=10</t>
        </is>
      </c>
    </row>
    <row r="217" ht="40" customHeight="1">
      <c r="A217" s="3" t="inlineStr">
        <is>
          <t>2018::jama.2018.17075::C004</t>
        </is>
      </c>
      <c r="B217" s="3" t="inlineStr">
        <is>
          <t>sourceLinks</t>
        </is>
      </c>
      <c r="C217" s="3" t="n">
        <v>2</v>
      </c>
      <c r="D217" s="3" t="inlineStr">
        <is>
          <t>jama_cooper_2018_oi_180132.pdf — PDF p. 3, Statistical Analysis</t>
        </is>
      </c>
      <c r="E217" s="3" t="inlineStr">
        <is>
          <t>../../2018/jama.2018.17075/jama_cooper_2018_oi_180132.pdf#page=3</t>
        </is>
      </c>
    </row>
    <row r="218" ht="40" customHeight="1">
      <c r="A218" s="2" t="inlineStr">
        <is>
          <t>2018::jama.2018.17075::C004</t>
        </is>
      </c>
      <c r="B218" s="2" t="inlineStr">
        <is>
          <t>evidencePaths</t>
        </is>
      </c>
      <c r="C218" s="2" t="n">
        <v>0</v>
      </c>
      <c r="D218" s="2" t="inlineStr">
        <is>
          <t>2018/jama.2018.17075/.ai_paper_validation/review_1_5_2/source_inventory.md</t>
        </is>
      </c>
      <c r="E218" s="2" t="inlineStr">
        <is>
          <t>../../2018/jama.2018.17075/.ai_paper_validation/review_1_5_2/source_inventory.md</t>
        </is>
      </c>
    </row>
    <row r="219" ht="40" customHeight="1">
      <c r="A219" s="3" t="inlineStr">
        <is>
          <t>2018::jama.2018.17075::C004</t>
        </is>
      </c>
      <c r="B219" s="3" t="inlineStr">
        <is>
          <t>evidencePaths</t>
        </is>
      </c>
      <c r="C219" s="3" t="n">
        <v>1</v>
      </c>
      <c r="D219" s="3" t="inlineStr">
        <is>
          <t>2018/jama.2018.17075/.ai_paper_validation/review_1_5_2/verification/evidence_recheck.md</t>
        </is>
      </c>
      <c r="E219" s="3" t="inlineStr">
        <is>
          <t>../../2018/jama.2018.17075/.ai_paper_validation/review_1_5_2/verification/evidence_recheck.md</t>
        </is>
      </c>
    </row>
    <row r="220" ht="40" customHeight="1">
      <c r="A220" s="2" t="inlineStr">
        <is>
          <t>2018::jama.2018.17075::C005</t>
        </is>
      </c>
      <c r="B220" s="2" t="inlineStr">
        <is>
          <t>sourceLinks</t>
        </is>
      </c>
      <c r="C220" s="2" t="n">
        <v>0</v>
      </c>
      <c r="D220" s="2" t="inlineStr">
        <is>
          <t>joi180132supp2_prod.pdf — PDF p. 18, eTable 10, CT Marshall classification, evacuated mass lesion V, normothermia</t>
        </is>
      </c>
      <c r="E220" s="2" t="inlineStr">
        <is>
          <t>../../2018/jama.2018.17075/joi180132supp2_prod.pdf#page=18</t>
        </is>
      </c>
    </row>
    <row r="221" ht="40" customHeight="1">
      <c r="A221" s="3" t="inlineStr">
        <is>
          <t>2018::jama.2018.17075::C005</t>
        </is>
      </c>
      <c r="B221" s="3" t="inlineStr">
        <is>
          <t>evidencePaths</t>
        </is>
      </c>
      <c r="C221" s="3" t="n">
        <v>0</v>
      </c>
      <c r="D221" s="3" t="inlineStr">
        <is>
          <t>2018/jama.2018.17075/.ai_paper_validation/review_1_5_2/source_inventory.md</t>
        </is>
      </c>
      <c r="E221" s="3" t="inlineStr">
        <is>
          <t>../../2018/jama.2018.17075/.ai_paper_validation/review_1_5_2/source_inventory.md</t>
        </is>
      </c>
    </row>
    <row r="222" ht="56" customHeight="1">
      <c r="A222" s="2" t="inlineStr">
        <is>
          <t>2018::jama.2018.17075::C006</t>
        </is>
      </c>
      <c r="B222" s="2" t="inlineStr">
        <is>
          <t>sourceLinks</t>
        </is>
      </c>
      <c r="C222" s="2" t="n">
        <v>0</v>
      </c>
      <c r="D222" s="2" t="inlineStr">
        <is>
          <t>joi180132supp2_prod.pdf — PDF p. 18, eTable 10, CT Marshall classification, non-evacuated mass lesion VI, normothermia</t>
        </is>
      </c>
      <c r="E222" s="2" t="inlineStr">
        <is>
          <t>../../2018/jama.2018.17075/joi180132supp2_prod.pdf#page=18</t>
        </is>
      </c>
    </row>
    <row r="223" ht="40" customHeight="1">
      <c r="A223" s="3" t="inlineStr">
        <is>
          <t>2018::jama.2018.17075::C006</t>
        </is>
      </c>
      <c r="B223" s="3" t="inlineStr">
        <is>
          <t>evidencePaths</t>
        </is>
      </c>
      <c r="C223" s="3" t="n">
        <v>0</v>
      </c>
      <c r="D223" s="3" t="inlineStr">
        <is>
          <t>2018/jama.2018.17075/.ai_paper_validation/review_1_5_2/source_inventory.md</t>
        </is>
      </c>
      <c r="E223" s="3" t="inlineStr">
        <is>
          <t>../../2018/jama.2018.17075/.ai_paper_validation/review_1_5_2/source_inventory.md</t>
        </is>
      </c>
    </row>
    <row r="224" ht="40" customHeight="1">
      <c r="A224" s="2" t="inlineStr">
        <is>
          <t>2018::jama.2018.17075::C007</t>
        </is>
      </c>
      <c r="B224" s="2" t="inlineStr">
        <is>
          <t>sourceLinks</t>
        </is>
      </c>
      <c r="C224" s="2" t="n">
        <v>0</v>
      </c>
      <c r="D224" s="2" t="inlineStr">
        <is>
          <t>joi180132supp2_prod.pdf — PDF p. 22, post-hoc adequate-cooling Results, final sentence</t>
        </is>
      </c>
      <c r="E224" s="2" t="inlineStr">
        <is>
          <t>../../2018/jama.2018.17075/joi180132supp2_prod.pdf#page=22</t>
        </is>
      </c>
    </row>
    <row r="225" ht="40" customHeight="1">
      <c r="A225" s="3" t="inlineStr">
        <is>
          <t>2018::jama.2018.17075::C007</t>
        </is>
      </c>
      <c r="B225" s="3" t="inlineStr">
        <is>
          <t>evidencePaths</t>
        </is>
      </c>
      <c r="C225" s="3" t="n">
        <v>0</v>
      </c>
      <c r="D225" s="3" t="inlineStr">
        <is>
          <t>2018/jama.2018.17075/.ai_paper_validation/review_1_5_2/source_inventory.md</t>
        </is>
      </c>
      <c r="E225" s="3" t="inlineStr">
        <is>
          <t>../../2018/jama.2018.17075/.ai_paper_validation/review_1_5_2/source_inventory.md</t>
        </is>
      </c>
    </row>
    <row r="226" ht="40" customHeight="1">
      <c r="A226" s="2" t="inlineStr">
        <is>
          <t>2018::jama.2018.17075::C008</t>
        </is>
      </c>
      <c r="B226" s="2" t="inlineStr">
        <is>
          <t>sourceLinks</t>
        </is>
      </c>
      <c r="C226" s="2" t="n">
        <v>0</v>
      </c>
      <c r="D226" s="2" t="inlineStr">
        <is>
          <t>jama_cooper_2018_oi_180132.pdf — PDF p. 1, abstract Results</t>
        </is>
      </c>
      <c r="E226" s="2" t="inlineStr">
        <is>
          <t>../../2018/jama.2018.17075/jama_cooper_2018_oi_180132.pdf#page=1</t>
        </is>
      </c>
    </row>
    <row r="227" ht="30" customHeight="1">
      <c r="A227" s="3" t="inlineStr">
        <is>
          <t>2018::jama.2018.17075::C008</t>
        </is>
      </c>
      <c r="B227" s="3" t="inlineStr">
        <is>
          <t>sourceLinks</t>
        </is>
      </c>
      <c r="C227" s="3" t="n">
        <v>1</v>
      </c>
      <c r="D227" s="3" t="inlineStr">
        <is>
          <t>PDF p. 5, Table 1, Men and Women rows</t>
        </is>
      </c>
      <c r="E227" s="3" t="inlineStr">
        <is>
          <t>../../2018/jama.2018.17075/jama_cooper_2018_oi_180132.pdf#page=5</t>
        </is>
      </c>
    </row>
    <row r="228" ht="40" customHeight="1">
      <c r="A228" s="2" t="inlineStr">
        <is>
          <t>2018::jama.2018.17075::C008</t>
        </is>
      </c>
      <c r="B228" s="2" t="inlineStr">
        <is>
          <t>evidencePaths</t>
        </is>
      </c>
      <c r="C228" s="2" t="n">
        <v>0</v>
      </c>
      <c r="D228" s="2" t="inlineStr">
        <is>
          <t>2018/jama.2018.17075/.ai_paper_validation/review_1_5_2/source_inventory.md</t>
        </is>
      </c>
      <c r="E228" s="2" t="inlineStr">
        <is>
          <t>../../2018/jama.2018.17075/.ai_paper_validation/review_1_5_2/source_inventory.md</t>
        </is>
      </c>
    </row>
    <row r="229" ht="30" customHeight="1">
      <c r="A229" s="3" t="inlineStr">
        <is>
          <t>2018::jama.2018.18020::C001</t>
        </is>
      </c>
      <c r="B229" s="3" t="inlineStr">
        <is>
          <t>sourceLinks</t>
        </is>
      </c>
      <c r="C229" s="3" t="n">
        <v>0</v>
      </c>
      <c r="D229" s="3" t="inlineStr">
        <is>
          <t>jama_stunnenberg_2018_oi_180136.pdf — PDF p. 1</t>
        </is>
      </c>
      <c r="E229" s="3" t="inlineStr">
        <is>
          <t>../../2018/jama.2018.18020/jama_stunnenberg_2018_oi_180136.pdf#page=1</t>
        </is>
      </c>
    </row>
    <row r="230" ht="30" customHeight="1">
      <c r="A230" s="2" t="inlineStr">
        <is>
          <t>2018::jama.2018.18020::C001</t>
        </is>
      </c>
      <c r="B230" s="2" t="inlineStr">
        <is>
          <t>sourceLinks</t>
        </is>
      </c>
      <c r="C230" s="2" t="n">
        <v>1</v>
      </c>
      <c r="D230" s="2" t="inlineStr">
        <is>
          <t>jama_stunnenberg_2018_oi_180136.pdf — PDF p. 4</t>
        </is>
      </c>
      <c r="E230" s="2" t="inlineStr">
        <is>
          <t>../../2018/jama.2018.18020/jama_stunnenberg_2018_oi_180136.pdf#page=4</t>
        </is>
      </c>
    </row>
    <row r="231" ht="40" customHeight="1">
      <c r="A231" s="3" t="inlineStr">
        <is>
          <t>2018::jama.2018.18020::C001</t>
        </is>
      </c>
      <c r="B231" s="3" t="inlineStr">
        <is>
          <t>evidencePaths</t>
        </is>
      </c>
      <c r="C231" s="3" t="n">
        <v>0</v>
      </c>
      <c r="D231" s="3" t="inlineStr">
        <is>
          <t>2018/jama.2018.18020/.ai_paper_validation/review_1_5_2/source_inventory.md</t>
        </is>
      </c>
      <c r="E231" s="3" t="inlineStr">
        <is>
          <t>../../2018/jama.2018.18020/.ai_paper_validation/review_1_5_2/source_inventory.md</t>
        </is>
      </c>
    </row>
    <row r="232" ht="30" customHeight="1">
      <c r="A232" s="2" t="inlineStr">
        <is>
          <t>2018::jama.2018.18020::C002</t>
        </is>
      </c>
      <c r="B232" s="2" t="inlineStr">
        <is>
          <t>sourceLinks</t>
        </is>
      </c>
      <c r="C232" s="2" t="n">
        <v>0</v>
      </c>
      <c r="D232" s="2" t="inlineStr">
        <is>
          <t>jama_stunnenberg_2018_oi_180136.pdf — PDF p. 5</t>
        </is>
      </c>
      <c r="E232" s="2" t="inlineStr">
        <is>
          <t>../../2018/jama.2018.18020/jama_stunnenberg_2018_oi_180136.pdf#page=5</t>
        </is>
      </c>
    </row>
    <row r="233" ht="30" customHeight="1">
      <c r="A233" s="3" t="inlineStr">
        <is>
          <t>2018::jama.2018.18020::C002</t>
        </is>
      </c>
      <c r="B233" s="3" t="inlineStr">
        <is>
          <t>sourceLinks</t>
        </is>
      </c>
      <c r="C233" s="3" t="n">
        <v>1</v>
      </c>
      <c r="D233" s="3" t="inlineStr">
        <is>
          <t>jama_stunnenberg_2018_oi_180136.pdf — PDF p. 8</t>
        </is>
      </c>
      <c r="E233" s="3" t="inlineStr">
        <is>
          <t>../../2018/jama.2018.18020/jama_stunnenberg_2018_oi_180136.pdf#page=8</t>
        </is>
      </c>
    </row>
    <row r="234" ht="40" customHeight="1">
      <c r="A234" s="2" t="inlineStr">
        <is>
          <t>2018::jama.2018.18020::C002</t>
        </is>
      </c>
      <c r="B234" s="2" t="inlineStr">
        <is>
          <t>evidencePaths</t>
        </is>
      </c>
      <c r="C234" s="2" t="n">
        <v>0</v>
      </c>
      <c r="D234" s="2" t="inlineStr">
        <is>
          <t>2018/jama.2018.18020/.ai_paper_validation/review_1_5_2/source_inventory.md</t>
        </is>
      </c>
      <c r="E234" s="2" t="inlineStr">
        <is>
          <t>../../2018/jama.2018.18020/.ai_paper_validation/review_1_5_2/source_inventory.md</t>
        </is>
      </c>
    </row>
    <row r="235" ht="30" customHeight="1">
      <c r="A235" s="3" t="inlineStr">
        <is>
          <t>2018::jama.2018.18020::C003</t>
        </is>
      </c>
      <c r="B235" s="3" t="inlineStr">
        <is>
          <t>sourceLinks</t>
        </is>
      </c>
      <c r="C235" s="3" t="n">
        <v>0</v>
      </c>
      <c r="D235" s="3" t="inlineStr">
        <is>
          <t>jama_stunnenberg_2018_oi_180136.pdf — PDF p. 7</t>
        </is>
      </c>
      <c r="E235" s="3" t="inlineStr">
        <is>
          <t>../../2018/jama.2018.18020/jama_stunnenberg_2018_oi_180136.pdf#page=7</t>
        </is>
      </c>
    </row>
    <row r="236" ht="30" customHeight="1">
      <c r="A236" s="2" t="inlineStr">
        <is>
          <t>2018::jama.2018.18020::C003</t>
        </is>
      </c>
      <c r="B236" s="2" t="inlineStr">
        <is>
          <t>sourceLinks</t>
        </is>
      </c>
      <c r="C236" s="2" t="n">
        <v>1</v>
      </c>
      <c r="D236" s="2" t="inlineStr">
        <is>
          <t>jama_stunnenberg_2018_oi_180136.pdf — PDF p. 8</t>
        </is>
      </c>
      <c r="E236" s="2" t="inlineStr">
        <is>
          <t>../../2018/jama.2018.18020/jama_stunnenberg_2018_oi_180136.pdf#page=8</t>
        </is>
      </c>
    </row>
    <row r="237" ht="40" customHeight="1">
      <c r="A237" s="3" t="inlineStr">
        <is>
          <t>2018::jama.2018.18020::C003</t>
        </is>
      </c>
      <c r="B237" s="3" t="inlineStr">
        <is>
          <t>evidencePaths</t>
        </is>
      </c>
      <c r="C237" s="3" t="n">
        <v>0</v>
      </c>
      <c r="D237" s="3" t="inlineStr">
        <is>
          <t>2018/jama.2018.18020/.ai_paper_validation/review_1_5_2/source_inventory.md</t>
        </is>
      </c>
      <c r="E237" s="3" t="inlineStr">
        <is>
          <t>../../2018/jama.2018.18020/.ai_paper_validation/review_1_5_2/source_inventory.md</t>
        </is>
      </c>
    </row>
    <row r="238" ht="30" customHeight="1">
      <c r="A238" s="2" t="inlineStr">
        <is>
          <t>2018::jama.2018.18020::C004</t>
        </is>
      </c>
      <c r="B238" s="2" t="inlineStr">
        <is>
          <t>sourceLinks</t>
        </is>
      </c>
      <c r="C238" s="2" t="n">
        <v>0</v>
      </c>
      <c r="D238" s="2" t="inlineStr">
        <is>
          <t>joi180136supp2_prod.pdf — PDF p. 6</t>
        </is>
      </c>
      <c r="E238" s="2" t="inlineStr">
        <is>
          <t>../../2018/jama.2018.18020/joi180136supp2_prod.pdf#page=6</t>
        </is>
      </c>
    </row>
    <row r="239" ht="30" customHeight="1">
      <c r="A239" s="3" t="inlineStr">
        <is>
          <t>2018::jama.2018.18020::C004</t>
        </is>
      </c>
      <c r="B239" s="3" t="inlineStr">
        <is>
          <t>sourceLinks</t>
        </is>
      </c>
      <c r="C239" s="3" t="n">
        <v>1</v>
      </c>
      <c r="D239" s="3" t="inlineStr">
        <is>
          <t>jama_stunnenberg_2018_oi_180136.pdf — PDF p. 8</t>
        </is>
      </c>
      <c r="E239" s="3" t="inlineStr">
        <is>
          <t>../../2018/jama.2018.18020/jama_stunnenberg_2018_oi_180136.pdf#page=8</t>
        </is>
      </c>
    </row>
    <row r="240" ht="40" customHeight="1">
      <c r="A240" s="2" t="inlineStr">
        <is>
          <t>2018::jama.2018.18020::C004</t>
        </is>
      </c>
      <c r="B240" s="2" t="inlineStr">
        <is>
          <t>evidencePaths</t>
        </is>
      </c>
      <c r="C240" s="2" t="n">
        <v>0</v>
      </c>
      <c r="D240" s="2" t="inlineStr">
        <is>
          <t>2018/jama.2018.18020/.ai_paper_validation/review_1_5_2/source_inventory.md</t>
        </is>
      </c>
      <c r="E240" s="2" t="inlineStr">
        <is>
          <t>../../2018/jama.2018.18020/.ai_paper_validation/review_1_5_2/source_inventory.md</t>
        </is>
      </c>
    </row>
    <row r="241" ht="40" customHeight="1">
      <c r="A241" s="3" t="inlineStr">
        <is>
          <t>2018::jama.2018.18020::C004</t>
        </is>
      </c>
      <c r="B241" s="3" t="inlineStr">
        <is>
          <t>evidencePaths</t>
        </is>
      </c>
      <c r="C241" s="3" t="n">
        <v>1</v>
      </c>
      <c r="D241" s="3" t="inlineStr">
        <is>
          <t>2018/jama.2018.18020/.ai_paper_validation/review_1_5_2/verification/evidence_recheck.md</t>
        </is>
      </c>
      <c r="E241" s="3" t="inlineStr">
        <is>
          <t>../../2018/jama.2018.18020/.ai_paper_validation/review_1_5_2/verification/evidence_recheck.md</t>
        </is>
      </c>
    </row>
    <row r="242" ht="30" customHeight="1">
      <c r="A242" s="2" t="inlineStr">
        <is>
          <t>2018::jama.2018.18020::C005</t>
        </is>
      </c>
      <c r="B242" s="2" t="inlineStr">
        <is>
          <t>sourceLinks</t>
        </is>
      </c>
      <c r="C242" s="2" t="n">
        <v>0</v>
      </c>
      <c r="D242" s="2" t="inlineStr">
        <is>
          <t>joi180136supp2_prod.pdf — PDF p. 11</t>
        </is>
      </c>
      <c r="E242" s="2" t="inlineStr">
        <is>
          <t>../../2018/jama.2018.18020/joi180136supp2_prod.pdf#page=11</t>
        </is>
      </c>
    </row>
    <row r="243" ht="30" customHeight="1">
      <c r="A243" s="3" t="inlineStr">
        <is>
          <t>2018::jama.2018.18020::C005</t>
        </is>
      </c>
      <c r="B243" s="3" t="inlineStr">
        <is>
          <t>sourceLinks</t>
        </is>
      </c>
      <c r="C243" s="3" t="n">
        <v>1</v>
      </c>
      <c r="D243" s="3" t="inlineStr">
        <is>
          <t>joi180136supp2_prod.pdf — PDF p. 13</t>
        </is>
      </c>
      <c r="E243" s="3" t="inlineStr">
        <is>
          <t>../../2018/jama.2018.18020/joi180136supp2_prod.pdf#page=13</t>
        </is>
      </c>
    </row>
    <row r="244" ht="30" customHeight="1">
      <c r="A244" s="2" t="inlineStr">
        <is>
          <t>2018::jama.2018.18020::C005</t>
        </is>
      </c>
      <c r="B244" s="2" t="inlineStr">
        <is>
          <t>sourceLinks</t>
        </is>
      </c>
      <c r="C244" s="2" t="n">
        <v>2</v>
      </c>
      <c r="D244" s="2" t="inlineStr">
        <is>
          <t>joi180136supp2_prod.pdf — PDF p. 14</t>
        </is>
      </c>
      <c r="E244" s="2" t="inlineStr">
        <is>
          <t>../../2018/jama.2018.18020/joi180136supp2_prod.pdf#page=14</t>
        </is>
      </c>
    </row>
    <row r="245" ht="40" customHeight="1">
      <c r="A245" s="3" t="inlineStr">
        <is>
          <t>2018::jama.2018.18020::C005</t>
        </is>
      </c>
      <c r="B245" s="3" t="inlineStr">
        <is>
          <t>evidencePaths</t>
        </is>
      </c>
      <c r="C245" s="3" t="n">
        <v>0</v>
      </c>
      <c r="D245" s="3" t="inlineStr">
        <is>
          <t>2018/jama.2018.18020/.ai_paper_validation/review_1_5_2/source_inventory.md</t>
        </is>
      </c>
      <c r="E245" s="3" t="inlineStr">
        <is>
          <t>../../2018/jama.2018.18020/.ai_paper_validation/review_1_5_2/source_inventory.md</t>
        </is>
      </c>
    </row>
    <row r="246" ht="40" customHeight="1">
      <c r="A246" s="2" t="inlineStr">
        <is>
          <t>2018::jama.2018.18020::C005</t>
        </is>
      </c>
      <c r="B246" s="2" t="inlineStr">
        <is>
          <t>evidencePaths</t>
        </is>
      </c>
      <c r="C246" s="2" t="n">
        <v>1</v>
      </c>
      <c r="D246" s="2" t="inlineStr">
        <is>
          <t>2018/jama.2018.18020/.ai_paper_validation/review_1_5_2/verification/evidence_recheck.md</t>
        </is>
      </c>
      <c r="E246" s="2" t="inlineStr">
        <is>
          <t>../../2018/jama.2018.18020/.ai_paper_validation/review_1_5_2/verification/evidence_recheck.md</t>
        </is>
      </c>
    </row>
    <row r="247" ht="30" customHeight="1">
      <c r="A247" s="3" t="inlineStr">
        <is>
          <t>2018::jama.2018.18020::C006</t>
        </is>
      </c>
      <c r="B247" s="3" t="inlineStr">
        <is>
          <t>sourceLinks</t>
        </is>
      </c>
      <c r="C247" s="3" t="n">
        <v>0</v>
      </c>
      <c r="D247" s="3" t="inlineStr">
        <is>
          <t>joi180136supp2_prod.pdf — PDF p. 13</t>
        </is>
      </c>
      <c r="E247" s="3" t="inlineStr">
        <is>
          <t>../../2018/jama.2018.18020/joi180136supp2_prod.pdf#page=13</t>
        </is>
      </c>
    </row>
    <row r="248" ht="30" customHeight="1">
      <c r="A248" s="2" t="inlineStr">
        <is>
          <t>2018::jama.2018.18020::C006</t>
        </is>
      </c>
      <c r="B248" s="2" t="inlineStr">
        <is>
          <t>sourceLinks</t>
        </is>
      </c>
      <c r="C248" s="2" t="n">
        <v>1</v>
      </c>
      <c r="D248" s="2" t="inlineStr">
        <is>
          <t>joi180136supp2_prod.pdf — PDF p. 14</t>
        </is>
      </c>
      <c r="E248" s="2" t="inlineStr">
        <is>
          <t>../../2018/jama.2018.18020/joi180136supp2_prod.pdf#page=14</t>
        </is>
      </c>
    </row>
    <row r="249" ht="40" customHeight="1">
      <c r="A249" s="3" t="inlineStr">
        <is>
          <t>2018::jama.2018.18020::C006</t>
        </is>
      </c>
      <c r="B249" s="3" t="inlineStr">
        <is>
          <t>evidencePaths</t>
        </is>
      </c>
      <c r="C249" s="3" t="n">
        <v>0</v>
      </c>
      <c r="D249" s="3" t="inlineStr">
        <is>
          <t>2018/jama.2018.18020/.ai_paper_validation/review_1_5_2/source_inventory.md</t>
        </is>
      </c>
      <c r="E249" s="3" t="inlineStr">
        <is>
          <t>../../2018/jama.2018.18020/.ai_paper_validation/review_1_5_2/source_inventory.md</t>
        </is>
      </c>
    </row>
    <row r="250" ht="40" customHeight="1">
      <c r="A250" s="2" t="inlineStr">
        <is>
          <t>2018::jama.2018.18020::C006</t>
        </is>
      </c>
      <c r="B250" s="2" t="inlineStr">
        <is>
          <t>evidencePaths</t>
        </is>
      </c>
      <c r="C250" s="2" t="n">
        <v>1</v>
      </c>
      <c r="D250" s="2" t="inlineStr">
        <is>
          <t>2018/jama.2018.18020/.ai_paper_validation/review_1_5_2/verification/evidence_recheck.md</t>
        </is>
      </c>
      <c r="E250" s="2" t="inlineStr">
        <is>
          <t>../../2018/jama.2018.18020/.ai_paper_validation/review_1_5_2/verification/evidence_recheck.md</t>
        </is>
      </c>
    </row>
    <row r="251" ht="30" customHeight="1">
      <c r="A251" s="3" t="inlineStr">
        <is>
          <t>2018::jama.2018.18020::C007</t>
        </is>
      </c>
      <c r="B251" s="3" t="inlineStr">
        <is>
          <t>sourceLinks</t>
        </is>
      </c>
      <c r="C251" s="3" t="n">
        <v>0</v>
      </c>
      <c r="D251" s="3" t="inlineStr">
        <is>
          <t>joi180136supp2_prod.pdf — PDF p. 11</t>
        </is>
      </c>
      <c r="E251" s="3" t="inlineStr">
        <is>
          <t>../../2018/jama.2018.18020/joi180136supp2_prod.pdf#page=11</t>
        </is>
      </c>
    </row>
    <row r="252" ht="30" customHeight="1">
      <c r="A252" s="2" t="inlineStr">
        <is>
          <t>2018::jama.2018.18020::C007</t>
        </is>
      </c>
      <c r="B252" s="2" t="inlineStr">
        <is>
          <t>sourceLinks</t>
        </is>
      </c>
      <c r="C252" s="2" t="n">
        <v>1</v>
      </c>
      <c r="D252" s="2" t="inlineStr">
        <is>
          <t>joi180136supp2_prod.pdf — PDF p. 12</t>
        </is>
      </c>
      <c r="E252" s="2" t="inlineStr">
        <is>
          <t>../../2018/jama.2018.18020/joi180136supp2_prod.pdf#page=12</t>
        </is>
      </c>
    </row>
    <row r="253" ht="30" customHeight="1">
      <c r="A253" s="3" t="inlineStr">
        <is>
          <t>2018::jama.2018.18020::C007</t>
        </is>
      </c>
      <c r="B253" s="3" t="inlineStr">
        <is>
          <t>sourceLinks</t>
        </is>
      </c>
      <c r="C253" s="3" t="n">
        <v>2</v>
      </c>
      <c r="D253" s="3" t="inlineStr">
        <is>
          <t>joi180136supp2_prod.pdf — PDF p. 13</t>
        </is>
      </c>
      <c r="E253" s="3" t="inlineStr">
        <is>
          <t>../../2018/jama.2018.18020/joi180136supp2_prod.pdf#page=13</t>
        </is>
      </c>
    </row>
    <row r="254" ht="30" customHeight="1">
      <c r="A254" s="2" t="inlineStr">
        <is>
          <t>2018::jama.2018.18020::C007</t>
        </is>
      </c>
      <c r="B254" s="2" t="inlineStr">
        <is>
          <t>sourceLinks</t>
        </is>
      </c>
      <c r="C254" s="2" t="n">
        <v>3</v>
      </c>
      <c r="D254" s="2" t="inlineStr">
        <is>
          <t>joi180136supp2_prod.pdf — PDF p. 14</t>
        </is>
      </c>
      <c r="E254" s="2" t="inlineStr">
        <is>
          <t>../../2018/jama.2018.18020/joi180136supp2_prod.pdf#page=14</t>
        </is>
      </c>
    </row>
    <row r="255" ht="40" customHeight="1">
      <c r="A255" s="3" t="inlineStr">
        <is>
          <t>2018::jama.2018.18020::C007</t>
        </is>
      </c>
      <c r="B255" s="3" t="inlineStr">
        <is>
          <t>evidencePaths</t>
        </is>
      </c>
      <c r="C255" s="3" t="n">
        <v>0</v>
      </c>
      <c r="D255" s="3" t="inlineStr">
        <is>
          <t>2018/jama.2018.18020/.ai_paper_validation/review_1_5_2/source_inventory.md</t>
        </is>
      </c>
      <c r="E255" s="3" t="inlineStr">
        <is>
          <t>../../2018/jama.2018.18020/.ai_paper_validation/review_1_5_2/source_inventory.md</t>
        </is>
      </c>
    </row>
    <row r="256" ht="40" customHeight="1">
      <c r="A256" s="2" t="inlineStr">
        <is>
          <t>2018::jama.2018.18020::C007</t>
        </is>
      </c>
      <c r="B256" s="2" t="inlineStr">
        <is>
          <t>evidencePaths</t>
        </is>
      </c>
      <c r="C256" s="2" t="n">
        <v>1</v>
      </c>
      <c r="D256" s="2" t="inlineStr">
        <is>
          <t>2018/jama.2018.18020/.ai_paper_validation/review_1_5_2/verification/evidence_recheck.md</t>
        </is>
      </c>
      <c r="E256" s="2" t="inlineStr">
        <is>
          <t>../../2018/jama.2018.18020/.ai_paper_validation/review_1_5_2/verification/evidence_recheck.md</t>
        </is>
      </c>
    </row>
    <row r="257" ht="30" customHeight="1">
      <c r="A257" s="3" t="inlineStr">
        <is>
          <t>2018::jama.2018.18020::C008</t>
        </is>
      </c>
      <c r="B257" s="3" t="inlineStr">
        <is>
          <t>sourceLinks</t>
        </is>
      </c>
      <c r="C257" s="3" t="n">
        <v>0</v>
      </c>
      <c r="D257" s="3" t="inlineStr">
        <is>
          <t>jama_stunnenberg_2018_oi_180136.pdf — PDF p. 4</t>
        </is>
      </c>
      <c r="E257" s="3" t="inlineStr">
        <is>
          <t>../../2018/jama.2018.18020/jama_stunnenberg_2018_oi_180136.pdf#page=4</t>
        </is>
      </c>
    </row>
    <row r="258" ht="30" customHeight="1">
      <c r="A258" s="2" t="inlineStr">
        <is>
          <t>2018::jama.2018.18020::C008</t>
        </is>
      </c>
      <c r="B258" s="2" t="inlineStr">
        <is>
          <t>sourceLinks</t>
        </is>
      </c>
      <c r="C258" s="2" t="n">
        <v>1</v>
      </c>
      <c r="D258" s="2" t="inlineStr">
        <is>
          <t>jama_stunnenberg_2018_oi_180136.pdf — PDF p. 5</t>
        </is>
      </c>
      <c r="E258" s="2" t="inlineStr">
        <is>
          <t>../../2018/jama.2018.18020/jama_stunnenberg_2018_oi_180136.pdf#page=5</t>
        </is>
      </c>
    </row>
    <row r="259" ht="30" customHeight="1">
      <c r="A259" s="3" t="inlineStr">
        <is>
          <t>2018::jama.2018.18020::C008</t>
        </is>
      </c>
      <c r="B259" s="3" t="inlineStr">
        <is>
          <t>sourceLinks</t>
        </is>
      </c>
      <c r="C259" s="3" t="n">
        <v>2</v>
      </c>
      <c r="D259" s="3" t="inlineStr">
        <is>
          <t>jama_stunnenberg_2018_oi_180136.pdf — PDF p. 6</t>
        </is>
      </c>
      <c r="E259" s="3" t="inlineStr">
        <is>
          <t>../../2018/jama.2018.18020/jama_stunnenberg_2018_oi_180136.pdf#page=6</t>
        </is>
      </c>
    </row>
    <row r="260" ht="30" customHeight="1">
      <c r="A260" s="2" t="inlineStr">
        <is>
          <t>2018::jama.2018.18020::C008</t>
        </is>
      </c>
      <c r="B260" s="2" t="inlineStr">
        <is>
          <t>sourceLinks</t>
        </is>
      </c>
      <c r="C260" s="2" t="n">
        <v>3</v>
      </c>
      <c r="D260" s="2" t="inlineStr">
        <is>
          <t>joi180136supp2_prod.pdf — PDF p. 4</t>
        </is>
      </c>
      <c r="E260" s="2" t="inlineStr">
        <is>
          <t>../../2018/jama.2018.18020/joi180136supp2_prod.pdf#page=4</t>
        </is>
      </c>
    </row>
    <row r="261" ht="40" customHeight="1">
      <c r="A261" s="3" t="inlineStr">
        <is>
          <t>2018::jama.2018.18020::C008</t>
        </is>
      </c>
      <c r="B261" s="3" t="inlineStr">
        <is>
          <t>evidencePaths</t>
        </is>
      </c>
      <c r="C261" s="3" t="n">
        <v>0</v>
      </c>
      <c r="D261" s="3" t="inlineStr">
        <is>
          <t>2018/jama.2018.18020/.ai_paper_validation/review_1_5_2/source_inventory.md</t>
        </is>
      </c>
      <c r="E261" s="3" t="inlineStr">
        <is>
          <t>../../2018/jama.2018.18020/.ai_paper_validation/review_1_5_2/source_inventory.md</t>
        </is>
      </c>
    </row>
    <row r="262" ht="40" customHeight="1">
      <c r="A262" s="2" t="inlineStr">
        <is>
          <t>2018::jama.2018.18020::C008</t>
        </is>
      </c>
      <c r="B262" s="2" t="inlineStr">
        <is>
          <t>evidencePaths</t>
        </is>
      </c>
      <c r="C262" s="2" t="n">
        <v>1</v>
      </c>
      <c r="D262" s="2" t="inlineStr">
        <is>
          <t>2018/jama.2018.18020/.ai_paper_validation/review_1_5_2/verification/evidence_recheck.md</t>
        </is>
      </c>
      <c r="E262" s="2" t="inlineStr">
        <is>
          <t>../../2018/jama.2018.18020/.ai_paper_validation/review_1_5_2/verification/evidence_recheck.md</t>
        </is>
      </c>
    </row>
    <row r="263" ht="30" customHeight="1">
      <c r="A263" s="3" t="inlineStr">
        <is>
          <t>2018::jama.2018.18020::C009</t>
        </is>
      </c>
      <c r="B263" s="3" t="inlineStr">
        <is>
          <t>sourceLinks</t>
        </is>
      </c>
      <c r="C263" s="3" t="n">
        <v>0</v>
      </c>
      <c r="D263" s="3" t="inlineStr">
        <is>
          <t>jama_stunnenberg_2018_oi_180136.pdf — PDF p. 7</t>
        </is>
      </c>
      <c r="E263" s="3" t="inlineStr">
        <is>
          <t>../../2018/jama.2018.18020/jama_stunnenberg_2018_oi_180136.pdf#page=7</t>
        </is>
      </c>
    </row>
    <row r="264" ht="30" customHeight="1">
      <c r="A264" s="2" t="inlineStr">
        <is>
          <t>2018::jama.2018.18020::C009</t>
        </is>
      </c>
      <c r="B264" s="2" t="inlineStr">
        <is>
          <t>sourceLinks</t>
        </is>
      </c>
      <c r="C264" s="2" t="n">
        <v>1</v>
      </c>
      <c r="D264" s="2" t="inlineStr">
        <is>
          <t>jama_stunnenberg_2018_oi_180136.pdf — PDF p. 3</t>
        </is>
      </c>
      <c r="E264" s="2" t="inlineStr">
        <is>
          <t>../../2018/jama.2018.18020/jama_stunnenberg_2018_oi_180136.pdf#page=3</t>
        </is>
      </c>
    </row>
    <row r="265" ht="30" customHeight="1">
      <c r="A265" s="3" t="inlineStr">
        <is>
          <t>2018::jama.2018.18020::C009</t>
        </is>
      </c>
      <c r="B265" s="3" t="inlineStr">
        <is>
          <t>sourceLinks</t>
        </is>
      </c>
      <c r="C265" s="3" t="n">
        <v>2</v>
      </c>
      <c r="D265" s="3" t="inlineStr">
        <is>
          <t>jama_stunnenberg_2018_oi_180136.pdf — PDF p. 4</t>
        </is>
      </c>
      <c r="E265" s="3" t="inlineStr">
        <is>
          <t>../../2018/jama.2018.18020/jama_stunnenberg_2018_oi_180136.pdf#page=4</t>
        </is>
      </c>
    </row>
    <row r="266" ht="40" customHeight="1">
      <c r="A266" s="2" t="inlineStr">
        <is>
          <t>2018::jama.2018.18020::C009</t>
        </is>
      </c>
      <c r="B266" s="2" t="inlineStr">
        <is>
          <t>evidencePaths</t>
        </is>
      </c>
      <c r="C266" s="2" t="n">
        <v>0</v>
      </c>
      <c r="D266" s="2" t="inlineStr">
        <is>
          <t>2018/jama.2018.18020/.ai_paper_validation/review_1_5_2/source_inventory.md</t>
        </is>
      </c>
      <c r="E266" s="2" t="inlineStr">
        <is>
          <t>../../2018/jama.2018.18020/.ai_paper_validation/review_1_5_2/source_inventory.md</t>
        </is>
      </c>
    </row>
    <row r="267" ht="30" customHeight="1">
      <c r="A267" s="3" t="inlineStr">
        <is>
          <t>2018::jama.2018.18020::C010</t>
        </is>
      </c>
      <c r="B267" s="3" t="inlineStr">
        <is>
          <t>sourceLinks</t>
        </is>
      </c>
      <c r="C267" s="3" t="n">
        <v>0</v>
      </c>
      <c r="D267" s="3" t="inlineStr">
        <is>
          <t>jama_stunnenberg_2018_oi_180136.pdf — PDF p. 7</t>
        </is>
      </c>
      <c r="E267" s="3" t="inlineStr">
        <is>
          <t>../../2018/jama.2018.18020/jama_stunnenberg_2018_oi_180136.pdf#page=7</t>
        </is>
      </c>
    </row>
    <row r="268" ht="30" customHeight="1">
      <c r="A268" s="2" t="inlineStr">
        <is>
          <t>2018::jama.2018.18020::C010</t>
        </is>
      </c>
      <c r="B268" s="2" t="inlineStr">
        <is>
          <t>sourceLinks</t>
        </is>
      </c>
      <c r="C268" s="2" t="n">
        <v>1</v>
      </c>
      <c r="D268" s="2" t="inlineStr">
        <is>
          <t>jama_stunnenberg_2018_oi_180136.pdf — PDF p. 8</t>
        </is>
      </c>
      <c r="E268" s="2" t="inlineStr">
        <is>
          <t>../../2018/jama.2018.18020/jama_stunnenberg_2018_oi_180136.pdf#page=8</t>
        </is>
      </c>
    </row>
    <row r="269" ht="30" customHeight="1">
      <c r="A269" s="3" t="inlineStr">
        <is>
          <t>2018::jama.2018.18020::C010</t>
        </is>
      </c>
      <c r="B269" s="3" t="inlineStr">
        <is>
          <t>sourceLinks</t>
        </is>
      </c>
      <c r="C269" s="3" t="n">
        <v>2</v>
      </c>
      <c r="D269" s="3" t="inlineStr">
        <is>
          <t>jama_stunnenberg_2018_oi_180136.pdf — PDF p. 3</t>
        </is>
      </c>
      <c r="E269" s="3" t="inlineStr">
        <is>
          <t>../../2018/jama.2018.18020/jama_stunnenberg_2018_oi_180136.pdf#page=3</t>
        </is>
      </c>
    </row>
    <row r="270" ht="30" customHeight="1">
      <c r="A270" s="2" t="inlineStr">
        <is>
          <t>2018::jama.2018.18020::C010</t>
        </is>
      </c>
      <c r="B270" s="2" t="inlineStr">
        <is>
          <t>sourceLinks</t>
        </is>
      </c>
      <c r="C270" s="2" t="n">
        <v>3</v>
      </c>
      <c r="D270" s="2" t="inlineStr">
        <is>
          <t>jama_stunnenberg_2018_oi_180136.pdf — PDF p. 4</t>
        </is>
      </c>
      <c r="E270" s="2" t="inlineStr">
        <is>
          <t>../../2018/jama.2018.18020/jama_stunnenberg_2018_oi_180136.pdf#page=4</t>
        </is>
      </c>
    </row>
    <row r="271" ht="40" customHeight="1">
      <c r="A271" s="3" t="inlineStr">
        <is>
          <t>2018::jama.2018.18020::C010</t>
        </is>
      </c>
      <c r="B271" s="3" t="inlineStr">
        <is>
          <t>evidencePaths</t>
        </is>
      </c>
      <c r="C271" s="3" t="n">
        <v>0</v>
      </c>
      <c r="D271" s="3" t="inlineStr">
        <is>
          <t>2018/jama.2018.18020/.ai_paper_validation/review_1_5_2/source_inventory.md</t>
        </is>
      </c>
      <c r="E271" s="3" t="inlineStr">
        <is>
          <t>../../2018/jama.2018.18020/.ai_paper_validation/review_1_5_2/source_inventory.md</t>
        </is>
      </c>
    </row>
    <row r="272" ht="30" customHeight="1">
      <c r="A272" s="2" t="inlineStr">
        <is>
          <t>2018::jama.2018.18020::C011</t>
        </is>
      </c>
      <c r="B272" s="2" t="inlineStr">
        <is>
          <t>sourceLinks</t>
        </is>
      </c>
      <c r="C272" s="2" t="n">
        <v>0</v>
      </c>
      <c r="D272" s="2" t="inlineStr">
        <is>
          <t>jama_stunnenberg_2018_oi_180136.pdf — PDF p. 7</t>
        </is>
      </c>
      <c r="E272" s="2" t="inlineStr">
        <is>
          <t>../../2018/jama.2018.18020/jama_stunnenberg_2018_oi_180136.pdf#page=7</t>
        </is>
      </c>
    </row>
    <row r="273" ht="30" customHeight="1">
      <c r="A273" s="3" t="inlineStr">
        <is>
          <t>2018::jama.2018.18020::C011</t>
        </is>
      </c>
      <c r="B273" s="3" t="inlineStr">
        <is>
          <t>sourceLinks</t>
        </is>
      </c>
      <c r="C273" s="3" t="n">
        <v>1</v>
      </c>
      <c r="D273" s="3" t="inlineStr">
        <is>
          <t>jama_stunnenberg_2018_oi_180136.pdf — PDF p. 6</t>
        </is>
      </c>
      <c r="E273" s="3" t="inlineStr">
        <is>
          <t>../../2018/jama.2018.18020/jama_stunnenberg_2018_oi_180136.pdf#page=6</t>
        </is>
      </c>
    </row>
    <row r="274" ht="30" customHeight="1">
      <c r="A274" s="2" t="inlineStr">
        <is>
          <t>2018::jama.2018.18020::C011</t>
        </is>
      </c>
      <c r="B274" s="2" t="inlineStr">
        <is>
          <t>sourceLinks</t>
        </is>
      </c>
      <c r="C274" s="2" t="n">
        <v>2</v>
      </c>
      <c r="D274" s="2" t="inlineStr">
        <is>
          <t>jama_stunnenberg_2018_oi_180136.pdf — PDF p. 8</t>
        </is>
      </c>
      <c r="E274" s="2" t="inlineStr">
        <is>
          <t>../../2018/jama.2018.18020/jama_stunnenberg_2018_oi_180136.pdf#page=8</t>
        </is>
      </c>
    </row>
    <row r="275" ht="30" customHeight="1">
      <c r="A275" s="3" t="inlineStr">
        <is>
          <t>2018::jama.2018.18020::C011</t>
        </is>
      </c>
      <c r="B275" s="3" t="inlineStr">
        <is>
          <t>sourceLinks</t>
        </is>
      </c>
      <c r="C275" s="3" t="n">
        <v>3</v>
      </c>
      <c r="D275" s="3" t="inlineStr">
        <is>
          <t>jama_stunnenberg_2018_oi_180136.pdf — PDF p. 3</t>
        </is>
      </c>
      <c r="E275" s="3" t="inlineStr">
        <is>
          <t>../../2018/jama.2018.18020/jama_stunnenberg_2018_oi_180136.pdf#page=3</t>
        </is>
      </c>
    </row>
    <row r="276" ht="30" customHeight="1">
      <c r="A276" s="2" t="inlineStr">
        <is>
          <t>2018::jama.2018.18020::C011</t>
        </is>
      </c>
      <c r="B276" s="2" t="inlineStr">
        <is>
          <t>sourceLinks</t>
        </is>
      </c>
      <c r="C276" s="2" t="n">
        <v>4</v>
      </c>
      <c r="D276" s="2" t="inlineStr">
        <is>
          <t>jama_stunnenberg_2018_oi_180136.pdf — PDF p. 4</t>
        </is>
      </c>
      <c r="E276" s="2" t="inlineStr">
        <is>
          <t>../../2018/jama.2018.18020/jama_stunnenberg_2018_oi_180136.pdf#page=4</t>
        </is>
      </c>
    </row>
    <row r="277" ht="40" customHeight="1">
      <c r="A277" s="3" t="inlineStr">
        <is>
          <t>2018::jama.2018.18020::C011</t>
        </is>
      </c>
      <c r="B277" s="3" t="inlineStr">
        <is>
          <t>evidencePaths</t>
        </is>
      </c>
      <c r="C277" s="3" t="n">
        <v>0</v>
      </c>
      <c r="D277" s="3" t="inlineStr">
        <is>
          <t>2018/jama.2018.18020/.ai_paper_validation/review_1_5_2/source_inventory.md</t>
        </is>
      </c>
      <c r="E277" s="3" t="inlineStr">
        <is>
          <t>../../2018/jama.2018.18020/.ai_paper_validation/review_1_5_2/source_inventory.md</t>
        </is>
      </c>
    </row>
    <row r="278" ht="30" customHeight="1">
      <c r="A278" s="2" t="inlineStr">
        <is>
          <t>2018::jama.2018.18020::C012</t>
        </is>
      </c>
      <c r="B278" s="2" t="inlineStr">
        <is>
          <t>sourceLinks</t>
        </is>
      </c>
      <c r="C278" s="2" t="n">
        <v>0</v>
      </c>
      <c r="D278" s="2" t="inlineStr">
        <is>
          <t>jama_stunnenberg_2018_oi_180136.pdf — PDF p. 8</t>
        </is>
      </c>
      <c r="E278" s="2" t="inlineStr">
        <is>
          <t>../../2018/jama.2018.18020/jama_stunnenberg_2018_oi_180136.pdf#page=8</t>
        </is>
      </c>
    </row>
    <row r="279" ht="30" customHeight="1">
      <c r="A279" s="3" t="inlineStr">
        <is>
          <t>2018::jama.2018.18020::C012</t>
        </is>
      </c>
      <c r="B279" s="3" t="inlineStr">
        <is>
          <t>sourceLinks</t>
        </is>
      </c>
      <c r="C279" s="3" t="n">
        <v>1</v>
      </c>
      <c r="D279" s="3" t="inlineStr">
        <is>
          <t>jama_stunnenberg_2018_oi_180136.pdf — PDF p. 3</t>
        </is>
      </c>
      <c r="E279" s="3" t="inlineStr">
        <is>
          <t>../../2018/jama.2018.18020/jama_stunnenberg_2018_oi_180136.pdf#page=3</t>
        </is>
      </c>
    </row>
    <row r="280" ht="30" customHeight="1">
      <c r="A280" s="2" t="inlineStr">
        <is>
          <t>2018::jama.2018.18020::C012</t>
        </is>
      </c>
      <c r="B280" s="2" t="inlineStr">
        <is>
          <t>sourceLinks</t>
        </is>
      </c>
      <c r="C280" s="2" t="n">
        <v>2</v>
      </c>
      <c r="D280" s="2" t="inlineStr">
        <is>
          <t>jama_stunnenberg_2018_oi_180136.pdf — PDF p. 4</t>
        </is>
      </c>
      <c r="E280" s="2" t="inlineStr">
        <is>
          <t>../../2018/jama.2018.18020/jama_stunnenberg_2018_oi_180136.pdf#page=4</t>
        </is>
      </c>
    </row>
    <row r="281" ht="40" customHeight="1">
      <c r="A281" s="3" t="inlineStr">
        <is>
          <t>2018::jama.2018.18020::C012</t>
        </is>
      </c>
      <c r="B281" s="3" t="inlineStr">
        <is>
          <t>evidencePaths</t>
        </is>
      </c>
      <c r="C281" s="3" t="n">
        <v>0</v>
      </c>
      <c r="D281" s="3" t="inlineStr">
        <is>
          <t>2018/jama.2018.18020/.ai_paper_validation/review_1_5_2/source_inventory.md</t>
        </is>
      </c>
      <c r="E281" s="3" t="inlineStr">
        <is>
          <t>../../2018/jama.2018.18020/.ai_paper_validation/review_1_5_2/source_inventory.md</t>
        </is>
      </c>
    </row>
    <row r="282" ht="30" customHeight="1">
      <c r="A282" s="2" t="inlineStr">
        <is>
          <t>2018::jama.2018.18020::C013</t>
        </is>
      </c>
      <c r="B282" s="2" t="inlineStr">
        <is>
          <t>sourceLinks</t>
        </is>
      </c>
      <c r="C282" s="2" t="n">
        <v>0</v>
      </c>
      <c r="D282" s="2" t="inlineStr">
        <is>
          <t>jama_stunnenberg_2018_oi_180136.pdf — PDF p. 7</t>
        </is>
      </c>
      <c r="E282" s="2" t="inlineStr">
        <is>
          <t>../../2018/jama.2018.18020/jama_stunnenberg_2018_oi_180136.pdf#page=7</t>
        </is>
      </c>
    </row>
    <row r="283" ht="40" customHeight="1">
      <c r="A283" s="3" t="inlineStr">
        <is>
          <t>2018::jama.2018.18020::C013</t>
        </is>
      </c>
      <c r="B283" s="3" t="inlineStr">
        <is>
          <t>evidencePaths</t>
        </is>
      </c>
      <c r="C283" s="3" t="n">
        <v>0</v>
      </c>
      <c r="D283" s="3" t="inlineStr">
        <is>
          <t>2018/jama.2018.18020/.ai_paper_validation/review_1_5_2/source_inventory.md</t>
        </is>
      </c>
      <c r="E283" s="3" t="inlineStr">
        <is>
          <t>../../2018/jama.2018.18020/.ai_paper_validation/review_1_5_2/source_inventory.md</t>
        </is>
      </c>
    </row>
    <row r="284" ht="30" customHeight="1">
      <c r="A284" s="2" t="inlineStr">
        <is>
          <t>2018::jama.2018.18020::C014</t>
        </is>
      </c>
      <c r="B284" s="2" t="inlineStr">
        <is>
          <t>sourceLinks</t>
        </is>
      </c>
      <c r="C284" s="2" t="n">
        <v>0</v>
      </c>
      <c r="D284" s="2" t="inlineStr">
        <is>
          <t>jama_stunnenberg_2018_oi_180136.pdf — PDF p. 7</t>
        </is>
      </c>
      <c r="E284" s="2" t="inlineStr">
        <is>
          <t>../../2018/jama.2018.18020/jama_stunnenberg_2018_oi_180136.pdf#page=7</t>
        </is>
      </c>
    </row>
    <row r="285" ht="40" customHeight="1">
      <c r="A285" s="3" t="inlineStr">
        <is>
          <t>2018::jama.2018.18020::C014</t>
        </is>
      </c>
      <c r="B285" s="3" t="inlineStr">
        <is>
          <t>evidencePaths</t>
        </is>
      </c>
      <c r="C285" s="3" t="n">
        <v>0</v>
      </c>
      <c r="D285" s="3" t="inlineStr">
        <is>
          <t>2018/jama.2018.18020/.ai_paper_validation/review_1_5_2/source_inventory.md</t>
        </is>
      </c>
      <c r="E285" s="3" t="inlineStr">
        <is>
          <t>../../2018/jama.2018.18020/.ai_paper_validation/review_1_5_2/source_inventory.md</t>
        </is>
      </c>
    </row>
    <row r="286" ht="30" customHeight="1">
      <c r="A286" s="2" t="inlineStr">
        <is>
          <t>2018::jama.2018.6496::C001</t>
        </is>
      </c>
      <c r="B286" s="2" t="inlineStr">
        <is>
          <t>sourceLinks</t>
        </is>
      </c>
      <c r="C286" s="2" t="n">
        <v>0</v>
      </c>
      <c r="D286" s="2" t="inlineStr">
        <is>
          <t>DOC-001 Table 3 — PDF p. 7</t>
        </is>
      </c>
      <c r="E286" s="2" t="inlineStr">
        <is>
          <t>../../2018/jama.2018.6496/jama_driver_2018_oi_180054.pdf#page=7</t>
        </is>
      </c>
    </row>
    <row r="287" ht="30" customHeight="1">
      <c r="A287" s="3" t="inlineStr">
        <is>
          <t>2018::jama.2018.6496::C001</t>
        </is>
      </c>
      <c r="B287" s="3" t="inlineStr">
        <is>
          <t>sourceLinks</t>
        </is>
      </c>
      <c r="C287" s="3" t="n">
        <v>1</v>
      </c>
      <c r="D287" s="3" t="inlineStr">
        <is>
          <t>DOC-003 eTable 1 — PDF p. 2</t>
        </is>
      </c>
      <c r="E287" s="3" t="inlineStr">
        <is>
          <t>../../2018/jama.2018.6496/joi180054supp2_prod.pdf#page=2</t>
        </is>
      </c>
    </row>
    <row r="288" ht="30" customHeight="1">
      <c r="A288" s="2" t="inlineStr">
        <is>
          <t>2018::jama.2018.6496::C001</t>
        </is>
      </c>
      <c r="B288" s="2" t="inlineStr">
        <is>
          <t>sourceLinks</t>
        </is>
      </c>
      <c r="C288" s="2" t="n">
        <v>2</v>
      </c>
      <c r="D288" s="2" t="inlineStr">
        <is>
          <t>DOC-003 eTable 1 note — PDF p. 3</t>
        </is>
      </c>
      <c r="E288" s="2" t="inlineStr">
        <is>
          <t>../../2018/jama.2018.6496/joi180054supp2_prod.pdf#page=3</t>
        </is>
      </c>
    </row>
    <row r="289" ht="30" customHeight="1">
      <c r="A289" s="3" t="inlineStr">
        <is>
          <t>2018::jama.2018.6496::C001</t>
        </is>
      </c>
      <c r="B289" s="3" t="inlineStr">
        <is>
          <t>sourceLinks</t>
        </is>
      </c>
      <c r="C289" s="3" t="n">
        <v>3</v>
      </c>
      <c r="D289" s="3" t="inlineStr">
        <is>
          <t>DOC-001 statistical-analysis methods — PDF p. 4</t>
        </is>
      </c>
      <c r="E289" s="3" t="inlineStr">
        <is>
          <t>../../2018/jama.2018.6496/jama_driver_2018_oi_180054.pdf#page=4</t>
        </is>
      </c>
    </row>
    <row r="290" ht="40" customHeight="1">
      <c r="A290" s="2" t="inlineStr">
        <is>
          <t>2018::jama.2018.6496::C001</t>
        </is>
      </c>
      <c r="B290" s="2" t="inlineStr">
        <is>
          <t>evidencePaths</t>
        </is>
      </c>
      <c r="C290" s="2" t="n">
        <v>0</v>
      </c>
      <c r="D290" s="2" t="inlineStr">
        <is>
          <t>2018/jama.2018.6496/.ai_paper_validation/review_1_5_2/source_inventory.md</t>
        </is>
      </c>
      <c r="E290" s="2" t="inlineStr">
        <is>
          <t>../../2018/jama.2018.6496/.ai_paper_validation/review_1_5_2/source_inventory.md</t>
        </is>
      </c>
    </row>
    <row r="291" ht="40" customHeight="1">
      <c r="A291" s="3" t="inlineStr">
        <is>
          <t>2018::jama.2018.6496::C001</t>
        </is>
      </c>
      <c r="B291" s="3" t="inlineStr">
        <is>
          <t>evidencePaths</t>
        </is>
      </c>
      <c r="C291" s="3" t="n">
        <v>1</v>
      </c>
      <c r="D291" s="3" t="inlineStr">
        <is>
          <t>2018/jama.2018.6496/.ai_paper_validation/review_1_5_2/verification/evidence_recheck.md</t>
        </is>
      </c>
      <c r="E291" s="3" t="inlineStr">
        <is>
          <t>../../2018/jama.2018.6496/.ai_paper_validation/review_1_5_2/verification/evidence_recheck.md</t>
        </is>
      </c>
    </row>
    <row r="292" ht="30" customHeight="1">
      <c r="A292" s="2" t="inlineStr">
        <is>
          <t>2018::jama.2018.6496::C002</t>
        </is>
      </c>
      <c r="B292" s="2" t="inlineStr">
        <is>
          <t>sourceLinks</t>
        </is>
      </c>
      <c r="C292" s="2" t="n">
        <v>0</v>
      </c>
      <c r="D292" s="2" t="inlineStr">
        <is>
          <t>DOC-001 Table 3 — PDF p. 7</t>
        </is>
      </c>
      <c r="E292" s="2" t="inlineStr">
        <is>
          <t>../../2018/jama.2018.6496/jama_driver_2018_oi_180054.pdf#page=7</t>
        </is>
      </c>
    </row>
    <row r="293" ht="30" customHeight="1">
      <c r="A293" s="3" t="inlineStr">
        <is>
          <t>2018::jama.2018.6496::C002</t>
        </is>
      </c>
      <c r="B293" s="3" t="inlineStr">
        <is>
          <t>sourceLinks</t>
        </is>
      </c>
      <c r="C293" s="3" t="n">
        <v>1</v>
      </c>
      <c r="D293" s="3" t="inlineStr">
        <is>
          <t>DOC-001 Table 5 — PDF p. 9</t>
        </is>
      </c>
      <c r="E293" s="3" t="inlineStr">
        <is>
          <t>../../2018/jama.2018.6496/jama_driver_2018_oi_180054.pdf#page=9</t>
        </is>
      </c>
    </row>
    <row r="294" ht="30" customHeight="1">
      <c r="A294" s="2" t="inlineStr">
        <is>
          <t>2018::jama.2018.6496::C002</t>
        </is>
      </c>
      <c r="B294" s="2" t="inlineStr">
        <is>
          <t>sourceLinks</t>
        </is>
      </c>
      <c r="C294" s="2" t="n">
        <v>2</v>
      </c>
      <c r="D294" s="2" t="inlineStr">
        <is>
          <t>DOC-002 protocol secondary outcomes — PDF p. 9</t>
        </is>
      </c>
      <c r="E294" s="2" t="inlineStr">
        <is>
          <t>../../2018/jama.2018.6496/joi180054supp1_prod.pdf#page=9</t>
        </is>
      </c>
    </row>
    <row r="295" ht="30" customHeight="1">
      <c r="A295" s="3" t="inlineStr">
        <is>
          <t>2018::jama.2018.6496::C002</t>
        </is>
      </c>
      <c r="B295" s="3" t="inlineStr">
        <is>
          <t>sourceLinks</t>
        </is>
      </c>
      <c r="C295" s="3" t="n">
        <v>3</v>
      </c>
      <c r="D295" s="3" t="inlineStr">
        <is>
          <t>DOC-002 analytic issues — PDF p. 21</t>
        </is>
      </c>
      <c r="E295" s="3" t="inlineStr">
        <is>
          <t>../../2018/jama.2018.6496/joi180054supp1_prod.pdf#page=21</t>
        </is>
      </c>
    </row>
    <row r="296" ht="40" customHeight="1">
      <c r="A296" s="2" t="inlineStr">
        <is>
          <t>2018::jama.2018.6496::C002</t>
        </is>
      </c>
      <c r="B296" s="2" t="inlineStr">
        <is>
          <t>evidencePaths</t>
        </is>
      </c>
      <c r="C296" s="2" t="n">
        <v>0</v>
      </c>
      <c r="D296" s="2" t="inlineStr">
        <is>
          <t>2018/jama.2018.6496/.ai_paper_validation/review_1_5_2/source_inventory.md</t>
        </is>
      </c>
      <c r="E296" s="2" t="inlineStr">
        <is>
          <t>../../2018/jama.2018.6496/.ai_paper_validation/review_1_5_2/source_inventory.md</t>
        </is>
      </c>
    </row>
    <row r="297" ht="40" customHeight="1">
      <c r="A297" s="3" t="inlineStr">
        <is>
          <t>2018::jama.2018.6496::C002</t>
        </is>
      </c>
      <c r="B297" s="3" t="inlineStr">
        <is>
          <t>evidencePaths</t>
        </is>
      </c>
      <c r="C297" s="3" t="n">
        <v>1</v>
      </c>
      <c r="D297" s="3" t="inlineStr">
        <is>
          <t>2018/jama.2018.6496/.ai_paper_validation/review_1_5_2/verification/evidence_recheck.md</t>
        </is>
      </c>
      <c r="E297" s="3" t="inlineStr">
        <is>
          <t>../../2018/jama.2018.6496/.ai_paper_validation/review_1_5_2/verification/evidence_recheck.md</t>
        </is>
      </c>
    </row>
    <row r="298" ht="30" customHeight="1">
      <c r="A298" s="2" t="inlineStr">
        <is>
          <t>2018::jama.2018.6496::C003</t>
        </is>
      </c>
      <c r="B298" s="2" t="inlineStr">
        <is>
          <t>sourceLinks</t>
        </is>
      </c>
      <c r="C298" s="2" t="n">
        <v>0</v>
      </c>
      <c r="D298" s="2" t="inlineStr">
        <is>
          <t>DOC-002 protocol secondary outcomes — PDF p. 9</t>
        </is>
      </c>
      <c r="E298" s="2" t="inlineStr">
        <is>
          <t>../../2018/jama.2018.6496/joi180054supp1_prod.pdf#page=9</t>
        </is>
      </c>
    </row>
    <row r="299" ht="30" customHeight="1">
      <c r="A299" s="3" t="inlineStr">
        <is>
          <t>2018::jama.2018.6496::C003</t>
        </is>
      </c>
      <c r="B299" s="3" t="inlineStr">
        <is>
          <t>sourceLinks</t>
        </is>
      </c>
      <c r="C299" s="3" t="n">
        <v>1</v>
      </c>
      <c r="D299" s="3" t="inlineStr">
        <is>
          <t>DOC-002 protocol measurement procedure — PDF p. 10</t>
        </is>
      </c>
      <c r="E299" s="3" t="inlineStr">
        <is>
          <t>../../2018/jama.2018.6496/joi180054supp1_prod.pdf#page=10</t>
        </is>
      </c>
    </row>
    <row r="300" ht="30" customHeight="1">
      <c r="A300" s="2" t="inlineStr">
        <is>
          <t>2018::jama.2018.6496::C003</t>
        </is>
      </c>
      <c r="B300" s="2" t="inlineStr">
        <is>
          <t>sourceLinks</t>
        </is>
      </c>
      <c r="C300" s="2" t="n">
        <v>2</v>
      </c>
      <c r="D300" s="2" t="inlineStr">
        <is>
          <t>DOC-001 Table 3 — PDF p. 7</t>
        </is>
      </c>
      <c r="E300" s="2" t="inlineStr">
        <is>
          <t>../../2018/jama.2018.6496/jama_driver_2018_oi_180054.pdf#page=7</t>
        </is>
      </c>
    </row>
    <row r="301" ht="30" customHeight="1">
      <c r="A301" s="3" t="inlineStr">
        <is>
          <t>2018::jama.2018.6496::C003</t>
        </is>
      </c>
      <c r="B301" s="3" t="inlineStr">
        <is>
          <t>sourceLinks</t>
        </is>
      </c>
      <c r="C301" s="3" t="n">
        <v>3</v>
      </c>
      <c r="D301" s="3" t="inlineStr">
        <is>
          <t>DOC-001 Table 5 — PDF p. 9</t>
        </is>
      </c>
      <c r="E301" s="3" t="inlineStr">
        <is>
          <t>../../2018/jama.2018.6496/jama_driver_2018_oi_180054.pdf#page=9</t>
        </is>
      </c>
    </row>
    <row r="302" ht="30" customHeight="1">
      <c r="A302" s="2" t="inlineStr">
        <is>
          <t>2018::jama.2018.6496::C003</t>
        </is>
      </c>
      <c r="B302" s="2" t="inlineStr">
        <is>
          <t>sourceLinks</t>
        </is>
      </c>
      <c r="C302" s="2" t="n">
        <v>4</v>
      </c>
      <c r="D302" s="2" t="inlineStr">
        <is>
          <t>DOC-003 eTable 1 note — PDF p. 3</t>
        </is>
      </c>
      <c r="E302" s="2" t="inlineStr">
        <is>
          <t>../../2018/jama.2018.6496/joi180054supp2_prod.pdf#page=3</t>
        </is>
      </c>
    </row>
    <row r="303" ht="30" customHeight="1">
      <c r="A303" s="3" t="inlineStr">
        <is>
          <t>2018::jama.2018.6496::C003</t>
        </is>
      </c>
      <c r="B303" s="3" t="inlineStr">
        <is>
          <t>sourceLinks</t>
        </is>
      </c>
      <c r="C303" s="3" t="n">
        <v>5</v>
      </c>
      <c r="D303" s="3" t="inlineStr">
        <is>
          <t>DOC-003 postintubation form — PDF p. 10</t>
        </is>
      </c>
      <c r="E303" s="3" t="inlineStr">
        <is>
          <t>../../2018/jama.2018.6496/joi180054supp2_prod.pdf#page=10</t>
        </is>
      </c>
    </row>
    <row r="304" ht="40" customHeight="1">
      <c r="A304" s="2" t="inlineStr">
        <is>
          <t>2018::jama.2018.6496::C003</t>
        </is>
      </c>
      <c r="B304" s="2" t="inlineStr">
        <is>
          <t>evidencePaths</t>
        </is>
      </c>
      <c r="C304" s="2" t="n">
        <v>0</v>
      </c>
      <c r="D304" s="2" t="inlineStr">
        <is>
          <t>2018/jama.2018.6496/.ai_paper_validation/review_1_5_2/source_inventory.md</t>
        </is>
      </c>
      <c r="E304" s="2" t="inlineStr">
        <is>
          <t>../../2018/jama.2018.6496/.ai_paper_validation/review_1_5_2/source_inventory.md</t>
        </is>
      </c>
    </row>
    <row r="305" ht="40" customHeight="1">
      <c r="A305" s="3" t="inlineStr">
        <is>
          <t>2018::jama.2018.6496::C003</t>
        </is>
      </c>
      <c r="B305" s="3" t="inlineStr">
        <is>
          <t>evidencePaths</t>
        </is>
      </c>
      <c r="C305" s="3" t="n">
        <v>1</v>
      </c>
      <c r="D305" s="3" t="inlineStr">
        <is>
          <t>2018/jama.2018.6496/.ai_paper_validation/review_1_5_2/verification/evidence_recheck.md</t>
        </is>
      </c>
      <c r="E305" s="3" t="inlineStr">
        <is>
          <t>../../2018/jama.2018.6496/.ai_paper_validation/review_1_5_2/verification/evidence_recheck.md</t>
        </is>
      </c>
    </row>
    <row r="306" ht="30" customHeight="1">
      <c r="A306" s="2" t="inlineStr">
        <is>
          <t>2018::jama.2018.6496::C004</t>
        </is>
      </c>
      <c r="B306" s="2" t="inlineStr">
        <is>
          <t>sourceLinks</t>
        </is>
      </c>
      <c r="C306" s="2" t="n">
        <v>0</v>
      </c>
      <c r="D306" s="2" t="inlineStr">
        <is>
          <t>DOC-002 protocol — PDF p. 9</t>
        </is>
      </c>
      <c r="E306" s="2" t="inlineStr">
        <is>
          <t>../../2018/jama.2018.6496/joi180054supp1_prod.pdf#page=9</t>
        </is>
      </c>
    </row>
    <row r="307" ht="30" customHeight="1">
      <c r="A307" s="3" t="inlineStr">
        <is>
          <t>2018::jama.2018.6496::C004</t>
        </is>
      </c>
      <c r="B307" s="3" t="inlineStr">
        <is>
          <t>sourceLinks</t>
        </is>
      </c>
      <c r="C307" s="3" t="n">
        <v>1</v>
      </c>
      <c r="D307" s="3" t="inlineStr">
        <is>
          <t>DOC-001 outcome methods — PDF p. 3</t>
        </is>
      </c>
      <c r="E307" s="3" t="inlineStr">
        <is>
          <t>../../2018/jama.2018.6496/jama_driver_2018_oi_180054.pdf#page=3</t>
        </is>
      </c>
    </row>
    <row r="308" ht="30" customHeight="1">
      <c r="A308" s="2" t="inlineStr">
        <is>
          <t>2018::jama.2018.6496::C004</t>
        </is>
      </c>
      <c r="B308" s="2" t="inlineStr">
        <is>
          <t>sourceLinks</t>
        </is>
      </c>
      <c r="C308" s="2" t="n">
        <v>2</v>
      </c>
      <c r="D308" s="2" t="inlineStr">
        <is>
          <t>DOC-001 Table 3 — PDF p. 7</t>
        </is>
      </c>
      <c r="E308" s="2" t="inlineStr">
        <is>
          <t>../../2018/jama.2018.6496/jama_driver_2018_oi_180054.pdf#page=7</t>
        </is>
      </c>
    </row>
    <row r="309" ht="30" customHeight="1">
      <c r="A309" s="3" t="inlineStr">
        <is>
          <t>2018::jama.2018.6496::C004</t>
        </is>
      </c>
      <c r="B309" s="3" t="inlineStr">
        <is>
          <t>sourceLinks</t>
        </is>
      </c>
      <c r="C309" s="3" t="n">
        <v>3</v>
      </c>
      <c r="D309" s="3" t="inlineStr">
        <is>
          <t>DOC-003 eTable 1 note — PDF p. 3</t>
        </is>
      </c>
      <c r="E309" s="3" t="inlineStr">
        <is>
          <t>../../2018/jama.2018.6496/joi180054supp2_prod.pdf#page=3</t>
        </is>
      </c>
    </row>
    <row r="310" ht="30" customHeight="1">
      <c r="A310" s="2" t="inlineStr">
        <is>
          <t>2018::jama.2018.6496::C004</t>
        </is>
      </c>
      <c r="B310" s="2" t="inlineStr">
        <is>
          <t>sourceLinks</t>
        </is>
      </c>
      <c r="C310" s="2" t="n">
        <v>4</v>
      </c>
      <c r="D310" s="2" t="inlineStr">
        <is>
          <t>DOC-003 data form — PDF p. 10</t>
        </is>
      </c>
      <c r="E310" s="2" t="inlineStr">
        <is>
          <t>../../2018/jama.2018.6496/joi180054supp2_prod.pdf#page=10</t>
        </is>
      </c>
    </row>
    <row r="311" ht="40" customHeight="1">
      <c r="A311" s="3" t="inlineStr">
        <is>
          <t>2018::jama.2018.6496::C004</t>
        </is>
      </c>
      <c r="B311" s="3" t="inlineStr">
        <is>
          <t>evidencePaths</t>
        </is>
      </c>
      <c r="C311" s="3" t="n">
        <v>0</v>
      </c>
      <c r="D311" s="3" t="inlineStr">
        <is>
          <t>2018/jama.2018.6496/.ai_paper_validation/review_1_5_2/source_inventory.md</t>
        </is>
      </c>
      <c r="E311" s="3" t="inlineStr">
        <is>
          <t>../../2018/jama.2018.6496/.ai_paper_validation/review_1_5_2/source_inventory.md</t>
        </is>
      </c>
    </row>
    <row r="312" ht="40" customHeight="1">
      <c r="A312" s="2" t="inlineStr">
        <is>
          <t>2018::jama.2018.6496::C004</t>
        </is>
      </c>
      <c r="B312" s="2" t="inlineStr">
        <is>
          <t>evidencePaths</t>
        </is>
      </c>
      <c r="C312" s="2" t="n">
        <v>1</v>
      </c>
      <c r="D312" s="2" t="inlineStr">
        <is>
          <t>2018/jama.2018.6496/.ai_paper_validation/review_1_5_2/verification/evidence_recheck.md</t>
        </is>
      </c>
      <c r="E312" s="2" t="inlineStr">
        <is>
          <t>../../2018/jama.2018.6496/.ai_paper_validation/review_1_5_2/verification/evidence_recheck.md</t>
        </is>
      </c>
    </row>
    <row r="313" ht="30" customHeight="1">
      <c r="A313" s="3" t="inlineStr">
        <is>
          <t>2018::jama.2018.8802::C001</t>
        </is>
      </c>
      <c r="B313" s="3" t="inlineStr">
        <is>
          <t>sourceLinks</t>
        </is>
      </c>
      <c r="C313" s="3" t="n">
        <v>0</v>
      </c>
      <c r="D313" s="3" t="inlineStr">
        <is>
          <t>jama_wang_2018_oi_180070.pdf — PDF p. 6</t>
        </is>
      </c>
      <c r="E313" s="3" t="inlineStr">
        <is>
          <t>../../2018/jama.2018.8802/jama_wang_2018_oi_180070.pdf#page=6</t>
        </is>
      </c>
    </row>
    <row r="314" ht="40" customHeight="1">
      <c r="A314" s="2" t="inlineStr">
        <is>
          <t>2018::jama.2018.8802::C001</t>
        </is>
      </c>
      <c r="B314" s="2" t="inlineStr">
        <is>
          <t>evidencePaths</t>
        </is>
      </c>
      <c r="C314" s="2" t="n">
        <v>0</v>
      </c>
      <c r="D314" s="2" t="inlineStr">
        <is>
          <t>2018/jama.2018.8802/.ai_paper_validation/review_1_5_2/source_inventory.md</t>
        </is>
      </c>
      <c r="E314" s="2" t="inlineStr">
        <is>
          <t>../../2018/jama.2018.8802/.ai_paper_validation/review_1_5_2/source_inventory.md</t>
        </is>
      </c>
    </row>
    <row r="315" ht="30" customHeight="1">
      <c r="A315" s="3" t="inlineStr">
        <is>
          <t>2018::jama.2018.8802::C002</t>
        </is>
      </c>
      <c r="B315" s="3" t="inlineStr">
        <is>
          <t>sourceLinks</t>
        </is>
      </c>
      <c r="C315" s="3" t="n">
        <v>0</v>
      </c>
      <c r="D315" s="3" t="inlineStr">
        <is>
          <t>jama_wang_2018_oi_180070.pdf — PDF p. 7</t>
        </is>
      </c>
      <c r="E315" s="3" t="inlineStr">
        <is>
          <t>../../2018/jama.2018.8802/jama_wang_2018_oi_180070.pdf#page=7</t>
        </is>
      </c>
    </row>
    <row r="316" ht="30" customHeight="1">
      <c r="A316" s="2" t="inlineStr">
        <is>
          <t>2018::jama.2018.8802::C002</t>
        </is>
      </c>
      <c r="B316" s="2" t="inlineStr">
        <is>
          <t>sourceLinks</t>
        </is>
      </c>
      <c r="C316" s="2" t="n">
        <v>1</v>
      </c>
      <c r="D316" s="2" t="inlineStr">
        <is>
          <t>joi180070supp1_prod.pdf — PDF p. 15</t>
        </is>
      </c>
      <c r="E316" s="2" t="inlineStr">
        <is>
          <t>../../2018/jama.2018.8802/joi180070supp1_prod.pdf#page=15</t>
        </is>
      </c>
    </row>
    <row r="317" ht="30" customHeight="1">
      <c r="A317" s="3" t="inlineStr">
        <is>
          <t>2018::jama.2018.8802::C002</t>
        </is>
      </c>
      <c r="B317" s="3" t="inlineStr">
        <is>
          <t>sourceLinks</t>
        </is>
      </c>
      <c r="C317" s="3" t="n">
        <v>2</v>
      </c>
      <c r="D317" s="3" t="inlineStr">
        <is>
          <t>joi180070supp2_prod.pdf — PDF p. 3</t>
        </is>
      </c>
      <c r="E317" s="3" t="inlineStr">
        <is>
          <t>../../2018/jama.2018.8802/joi180070supp2_prod.pdf#page=3</t>
        </is>
      </c>
    </row>
    <row r="318" ht="30" customHeight="1">
      <c r="A318" s="2" t="inlineStr">
        <is>
          <t>2018::jama.2018.8802::C002</t>
        </is>
      </c>
      <c r="B318" s="2" t="inlineStr">
        <is>
          <t>sourceLinks</t>
        </is>
      </c>
      <c r="C318" s="2" t="n">
        <v>3</v>
      </c>
      <c r="D318" s="2" t="inlineStr">
        <is>
          <t>joi180070supp2_prod.pdf — PDF p. 8</t>
        </is>
      </c>
      <c r="E318" s="2" t="inlineStr">
        <is>
          <t>../../2018/jama.2018.8802/joi180070supp2_prod.pdf#page=8</t>
        </is>
      </c>
    </row>
    <row r="319" ht="40" customHeight="1">
      <c r="A319" s="3" t="inlineStr">
        <is>
          <t>2018::jama.2018.8802::C002</t>
        </is>
      </c>
      <c r="B319" s="3" t="inlineStr">
        <is>
          <t>evidencePaths</t>
        </is>
      </c>
      <c r="C319" s="3" t="n">
        <v>0</v>
      </c>
      <c r="D319" s="3" t="inlineStr">
        <is>
          <t>2018/jama.2018.8802/.ai_paper_validation/review_1_5_2/source_inventory.md</t>
        </is>
      </c>
      <c r="E319" s="3" t="inlineStr">
        <is>
          <t>../../2018/jama.2018.8802/.ai_paper_validation/review_1_5_2/source_inventory.md</t>
        </is>
      </c>
    </row>
    <row r="320" ht="40" customHeight="1">
      <c r="A320" s="2" t="inlineStr">
        <is>
          <t>2018::jama.2018.8802::C002</t>
        </is>
      </c>
      <c r="B320" s="2" t="inlineStr">
        <is>
          <t>evidencePaths</t>
        </is>
      </c>
      <c r="C320" s="2" t="n">
        <v>1</v>
      </c>
      <c r="D320" s="2" t="inlineStr">
        <is>
          <t>2018/jama.2018.8802/.ai_paper_validation/review_1_5_2/verification/evidence_recheck.md</t>
        </is>
      </c>
      <c r="E320" s="2" t="inlineStr">
        <is>
          <t>../../2018/jama.2018.8802/.ai_paper_validation/review_1_5_2/verification/evidence_recheck.md</t>
        </is>
      </c>
    </row>
    <row r="321" ht="30" customHeight="1">
      <c r="A321" s="3" t="inlineStr">
        <is>
          <t>2018::jama.2018.8802::C003</t>
        </is>
      </c>
      <c r="B321" s="3" t="inlineStr">
        <is>
          <t>sourceLinks</t>
        </is>
      </c>
      <c r="C321" s="3" t="n">
        <v>0</v>
      </c>
      <c r="D321" s="3" t="inlineStr">
        <is>
          <t>joi180070supp2_prod.pdf — PDF p. 8</t>
        </is>
      </c>
      <c r="E321" s="3" t="inlineStr">
        <is>
          <t>../../2018/jama.2018.8802/joi180070supp2_prod.pdf#page=8</t>
        </is>
      </c>
    </row>
    <row r="322" ht="40" customHeight="1">
      <c r="A322" s="2" t="inlineStr">
        <is>
          <t>2018::jama.2018.8802::C003</t>
        </is>
      </c>
      <c r="B322" s="2" t="inlineStr">
        <is>
          <t>evidencePaths</t>
        </is>
      </c>
      <c r="C322" s="2" t="n">
        <v>0</v>
      </c>
      <c r="D322" s="2" t="inlineStr">
        <is>
          <t>2018/jama.2018.8802/.ai_paper_validation/review_1_5_2/source_inventory.md</t>
        </is>
      </c>
      <c r="E322" s="2" t="inlineStr">
        <is>
          <t>../../2018/jama.2018.8802/.ai_paper_validation/review_1_5_2/source_inventory.md</t>
        </is>
      </c>
    </row>
    <row r="323" ht="30" customHeight="1">
      <c r="A323" s="3" t="inlineStr">
        <is>
          <t>2018::jama.2018.8802::C004</t>
        </is>
      </c>
      <c r="B323" s="3" t="inlineStr">
        <is>
          <t>sourceLinks</t>
        </is>
      </c>
      <c r="C323" s="3" t="n">
        <v>0</v>
      </c>
      <c r="D323" s="3" t="inlineStr">
        <is>
          <t>joi180070supp2_prod.pdf — PDF p. 8</t>
        </is>
      </c>
      <c r="E323" s="3" t="inlineStr">
        <is>
          <t>../../2018/jama.2018.8802/joi180070supp2_prod.pdf#page=8</t>
        </is>
      </c>
    </row>
    <row r="324" ht="40" customHeight="1">
      <c r="A324" s="2" t="inlineStr">
        <is>
          <t>2018::jama.2018.8802::C004</t>
        </is>
      </c>
      <c r="B324" s="2" t="inlineStr">
        <is>
          <t>evidencePaths</t>
        </is>
      </c>
      <c r="C324" s="2" t="n">
        <v>0</v>
      </c>
      <c r="D324" s="2" t="inlineStr">
        <is>
          <t>2018/jama.2018.8802/.ai_paper_validation/review_1_5_2/source_inventory.md</t>
        </is>
      </c>
      <c r="E324" s="2" t="inlineStr">
        <is>
          <t>../../2018/jama.2018.8802/.ai_paper_validation/review_1_5_2/source_inventory.md</t>
        </is>
      </c>
    </row>
    <row r="325" ht="30" customHeight="1">
      <c r="A325" s="3" t="inlineStr">
        <is>
          <t>2018::jama.2018.8802::C005</t>
        </is>
      </c>
      <c r="B325" s="3" t="inlineStr">
        <is>
          <t>sourceLinks</t>
        </is>
      </c>
      <c r="C325" s="3" t="n">
        <v>0</v>
      </c>
      <c r="D325" s="3" t="inlineStr">
        <is>
          <t>joi180070supp2_prod.pdf — PDF p. 8</t>
        </is>
      </c>
      <c r="E325" s="3" t="inlineStr">
        <is>
          <t>../../2018/jama.2018.8802/joi180070supp2_prod.pdf#page=8</t>
        </is>
      </c>
    </row>
    <row r="326" ht="40" customHeight="1">
      <c r="A326" s="2" t="inlineStr">
        <is>
          <t>2018::jama.2018.8802::C005</t>
        </is>
      </c>
      <c r="B326" s="2" t="inlineStr">
        <is>
          <t>evidencePaths</t>
        </is>
      </c>
      <c r="C326" s="2" t="n">
        <v>0</v>
      </c>
      <c r="D326" s="2" t="inlineStr">
        <is>
          <t>2018/jama.2018.8802/.ai_paper_validation/review_1_5_2/source_inventory.md</t>
        </is>
      </c>
      <c r="E326" s="2" t="inlineStr">
        <is>
          <t>../../2018/jama.2018.8802/.ai_paper_validation/review_1_5_2/source_inventory.md</t>
        </is>
      </c>
    </row>
    <row r="327" ht="30" customHeight="1">
      <c r="A327" s="3" t="inlineStr">
        <is>
          <t>2018::jama.2018.8802::C006</t>
        </is>
      </c>
      <c r="B327" s="3" t="inlineStr">
        <is>
          <t>sourceLinks</t>
        </is>
      </c>
      <c r="C327" s="3" t="n">
        <v>0</v>
      </c>
      <c r="D327" s="3" t="inlineStr">
        <is>
          <t>joi180070supp2_prod.pdf — PDF p. 8</t>
        </is>
      </c>
      <c r="E327" s="3" t="inlineStr">
        <is>
          <t>../../2018/jama.2018.8802/joi180070supp2_prod.pdf#page=8</t>
        </is>
      </c>
    </row>
    <row r="328" ht="40" customHeight="1">
      <c r="A328" s="2" t="inlineStr">
        <is>
          <t>2018::jama.2018.8802::C006</t>
        </is>
      </c>
      <c r="B328" s="2" t="inlineStr">
        <is>
          <t>evidencePaths</t>
        </is>
      </c>
      <c r="C328" s="2" t="n">
        <v>0</v>
      </c>
      <c r="D328" s="2" t="inlineStr">
        <is>
          <t>2018/jama.2018.8802/.ai_paper_validation/review_1_5_2/source_inventory.md</t>
        </is>
      </c>
      <c r="E328" s="2" t="inlineStr">
        <is>
          <t>../../2018/jama.2018.8802/.ai_paper_validation/review_1_5_2/source_inventory.md</t>
        </is>
      </c>
    </row>
    <row r="329" ht="30" customHeight="1">
      <c r="A329" s="3" t="inlineStr">
        <is>
          <t>2018::jama.2018.8802::C007</t>
        </is>
      </c>
      <c r="B329" s="3" t="inlineStr">
        <is>
          <t>sourceLinks</t>
        </is>
      </c>
      <c r="C329" s="3" t="n">
        <v>0</v>
      </c>
      <c r="D329" s="3" t="inlineStr">
        <is>
          <t>jama_wang_2018_oi_180070.pdf — PDF p. 6</t>
        </is>
      </c>
      <c r="E329" s="3" t="inlineStr">
        <is>
          <t>../../2018/jama.2018.8802/jama_wang_2018_oi_180070.pdf#page=6</t>
        </is>
      </c>
    </row>
    <row r="330" ht="30" customHeight="1">
      <c r="A330" s="2" t="inlineStr">
        <is>
          <t>2018::jama.2018.8802::C007</t>
        </is>
      </c>
      <c r="B330" s="2" t="inlineStr">
        <is>
          <t>sourceLinks</t>
        </is>
      </c>
      <c r="C330" s="2" t="n">
        <v>1</v>
      </c>
      <c r="D330" s="2" t="inlineStr">
        <is>
          <t>joi180070supp2_prod.pdf — PDF p. 2</t>
        </is>
      </c>
      <c r="E330" s="2" t="inlineStr">
        <is>
          <t>../../2018/jama.2018.8802/joi180070supp2_prod.pdf#page=2</t>
        </is>
      </c>
    </row>
    <row r="331" ht="30" customHeight="1">
      <c r="A331" s="3" t="inlineStr">
        <is>
          <t>2018::jama.2018.8802::C007</t>
        </is>
      </c>
      <c r="B331" s="3" t="inlineStr">
        <is>
          <t>sourceLinks</t>
        </is>
      </c>
      <c r="C331" s="3" t="n">
        <v>2</v>
      </c>
      <c r="D331" s="3" t="inlineStr">
        <is>
          <t>jama_wang_2018_oi_180070.pdf — PDF p. 5</t>
        </is>
      </c>
      <c r="E331" s="3" t="inlineStr">
        <is>
          <t>../../2018/jama.2018.8802/jama_wang_2018_oi_180070.pdf#page=5</t>
        </is>
      </c>
    </row>
    <row r="332" ht="30" customHeight="1">
      <c r="A332" s="2" t="inlineStr">
        <is>
          <t>2018::jama.2018.8802::C007</t>
        </is>
      </c>
      <c r="B332" s="2" t="inlineStr">
        <is>
          <t>sourceLinks</t>
        </is>
      </c>
      <c r="C332" s="2" t="n">
        <v>3</v>
      </c>
      <c r="D332" s="2" t="inlineStr">
        <is>
          <t>joi180070supp1_prod.pdf — PDF p. 4</t>
        </is>
      </c>
      <c r="E332" s="2" t="inlineStr">
        <is>
          <t>../../2018/jama.2018.8802/joi180070supp1_prod.pdf#page=4</t>
        </is>
      </c>
    </row>
    <row r="333" ht="30" customHeight="1">
      <c r="A333" s="3" t="inlineStr">
        <is>
          <t>2018::jama.2018.8802::C007</t>
        </is>
      </c>
      <c r="B333" s="3" t="inlineStr">
        <is>
          <t>sourceLinks</t>
        </is>
      </c>
      <c r="C333" s="3" t="n">
        <v>4</v>
      </c>
      <c r="D333" s="3" t="inlineStr">
        <is>
          <t>PDF p. 7</t>
        </is>
      </c>
      <c r="E333" s="3" t="inlineStr">
        <is>
          <t>../../2018/jama.2018.8802/joi180070supp1_prod.pdf#page=7</t>
        </is>
      </c>
    </row>
    <row r="334" ht="40" customHeight="1">
      <c r="A334" s="2" t="inlineStr">
        <is>
          <t>2018::jama.2018.8802::C007</t>
        </is>
      </c>
      <c r="B334" s="2" t="inlineStr">
        <is>
          <t>evidencePaths</t>
        </is>
      </c>
      <c r="C334" s="2" t="n">
        <v>0</v>
      </c>
      <c r="D334" s="2" t="inlineStr">
        <is>
          <t>2018/jama.2018.8802/.ai_paper_validation/review_1_5_2/source_inventory.md</t>
        </is>
      </c>
      <c r="E334" s="2" t="inlineStr">
        <is>
          <t>../../2018/jama.2018.8802/.ai_paper_validation/review_1_5_2/source_inventory.md</t>
        </is>
      </c>
    </row>
    <row r="335" ht="40" customHeight="1">
      <c r="A335" s="3" t="inlineStr">
        <is>
          <t>2018::jama.2018.8802::C007</t>
        </is>
      </c>
      <c r="B335" s="3" t="inlineStr">
        <is>
          <t>evidencePaths</t>
        </is>
      </c>
      <c r="C335" s="3" t="n">
        <v>1</v>
      </c>
      <c r="D335" s="3" t="inlineStr">
        <is>
          <t>2018/jama.2018.8802/.ai_paper_validation/review_1_5_2/verification/evidence_recheck.md</t>
        </is>
      </c>
      <c r="E335" s="3" t="inlineStr">
        <is>
          <t>../../2018/jama.2018.8802/.ai_paper_validation/review_1_5_2/verification/evidence_recheck.md</t>
        </is>
      </c>
    </row>
    <row r="336" ht="30" customHeight="1">
      <c r="A336" s="2" t="inlineStr">
        <is>
          <t>2018::jama.2018.8802::C008</t>
        </is>
      </c>
      <c r="B336" s="2" t="inlineStr">
        <is>
          <t>sourceLinks</t>
        </is>
      </c>
      <c r="C336" s="2" t="n">
        <v>0</v>
      </c>
      <c r="D336" s="2" t="inlineStr">
        <is>
          <t>jama_wang_2018_oi_180070.pdf — PDF p. 8</t>
        </is>
      </c>
      <c r="E336" s="2" t="inlineStr">
        <is>
          <t>../../2018/jama.2018.8802/jama_wang_2018_oi_180070.pdf#page=8</t>
        </is>
      </c>
    </row>
    <row r="337" ht="30" customHeight="1">
      <c r="A337" s="3" t="inlineStr">
        <is>
          <t>2018::jama.2018.8802::C008</t>
        </is>
      </c>
      <c r="B337" s="3" t="inlineStr">
        <is>
          <t>sourceLinks</t>
        </is>
      </c>
      <c r="C337" s="3" t="n">
        <v>1</v>
      </c>
      <c r="D337" s="3" t="inlineStr">
        <is>
          <t>jama_wang_2018_oi_180070.pdf — PDF p. 4</t>
        </is>
      </c>
      <c r="E337" s="3" t="inlineStr">
        <is>
          <t>../../2018/jama.2018.8802/jama_wang_2018_oi_180070.pdf#page=4</t>
        </is>
      </c>
    </row>
    <row r="338" ht="40" customHeight="1">
      <c r="A338" s="2" t="inlineStr">
        <is>
          <t>2018::jama.2018.8802::C008</t>
        </is>
      </c>
      <c r="B338" s="2" t="inlineStr">
        <is>
          <t>evidencePaths</t>
        </is>
      </c>
      <c r="C338" s="2" t="n">
        <v>0</v>
      </c>
      <c r="D338" s="2" t="inlineStr">
        <is>
          <t>2018/jama.2018.8802/.ai_paper_validation/review_1_5_2/source_inventory.md</t>
        </is>
      </c>
      <c r="E338" s="2" t="inlineStr">
        <is>
          <t>../../2018/jama.2018.8802/.ai_paper_validation/review_1_5_2/source_inventory.md</t>
        </is>
      </c>
    </row>
    <row r="339" ht="30" customHeight="1">
      <c r="A339" s="3" t="inlineStr">
        <is>
          <t>2018::jama.2018.9128::C001</t>
        </is>
      </c>
      <c r="B339" s="3" t="inlineStr">
        <is>
          <t>sourceLinks</t>
        </is>
      </c>
      <c r="C339" s="3" t="n">
        <v>0</v>
      </c>
      <c r="D339" s="3" t="inlineStr">
        <is>
          <t>DOC-001 Figure 1 — PDF p. 3</t>
        </is>
      </c>
      <c r="E339" s="3" t="inlineStr">
        <is>
          <t>../../2018/jama.2018.9128/jama_barkin_2018_oi_180075.pdf#page=3</t>
        </is>
      </c>
    </row>
    <row r="340" ht="30" customHeight="1">
      <c r="A340" s="2" t="inlineStr">
        <is>
          <t>2018::jama.2018.9128::C001</t>
        </is>
      </c>
      <c r="B340" s="2" t="inlineStr">
        <is>
          <t>sourceLinks</t>
        </is>
      </c>
      <c r="C340" s="2" t="n">
        <v>1</v>
      </c>
      <c r="D340" s="2" t="inlineStr">
        <is>
          <t>DOC-001 Figure 2 — PDF p. 7</t>
        </is>
      </c>
      <c r="E340" s="2" t="inlineStr">
        <is>
          <t>../../2018/jama.2018.9128/jama_barkin_2018_oi_180075.pdf#page=7</t>
        </is>
      </c>
    </row>
    <row r="341" ht="30" customHeight="1">
      <c r="A341" s="3" t="inlineStr">
        <is>
          <t>2018::jama.2018.9128::C001</t>
        </is>
      </c>
      <c r="B341" s="3" t="inlineStr">
        <is>
          <t>sourceLinks</t>
        </is>
      </c>
      <c r="C341" s="3" t="n">
        <v>2</v>
      </c>
      <c r="D341" s="3" t="inlineStr">
        <is>
          <t>DOC-003 eTable 1 — PDF p. 2</t>
        </is>
      </c>
      <c r="E341" s="3" t="inlineStr">
        <is>
          <t>../../2018/jama.2018.9128/joi180075supp2_prod.pdf#page=2</t>
        </is>
      </c>
    </row>
    <row r="342" ht="40" customHeight="1">
      <c r="A342" s="2" t="inlineStr">
        <is>
          <t>2018::jama.2018.9128::C001</t>
        </is>
      </c>
      <c r="B342" s="2" t="inlineStr">
        <is>
          <t>evidencePaths</t>
        </is>
      </c>
      <c r="C342" s="2" t="n">
        <v>0</v>
      </c>
      <c r="D342" s="2" t="inlineStr">
        <is>
          <t>2018/jama.2018.9128/.ai_paper_validation/review_1_5_2/source_inventory.md</t>
        </is>
      </c>
      <c r="E342" s="2" t="inlineStr">
        <is>
          <t>../../2018/jama.2018.9128/.ai_paper_validation/review_1_5_2/source_inventory.md</t>
        </is>
      </c>
    </row>
    <row r="343" ht="30" customHeight="1">
      <c r="A343" s="3" t="inlineStr">
        <is>
          <t>2018::jama.2018.9128::C002</t>
        </is>
      </c>
      <c r="B343" s="3" t="inlineStr">
        <is>
          <t>sourceLinks</t>
        </is>
      </c>
      <c r="C343" s="3" t="n">
        <v>0</v>
      </c>
      <c r="D343" s="3" t="inlineStr">
        <is>
          <t>DOC-001 Figure 1 — PDF p. 3</t>
        </is>
      </c>
      <c r="E343" s="3" t="inlineStr">
        <is>
          <t>../../2018/jama.2018.9128/jama_barkin_2018_oi_180075.pdf#page=3</t>
        </is>
      </c>
    </row>
    <row r="344" ht="30" customHeight="1">
      <c r="A344" s="2" t="inlineStr">
        <is>
          <t>2018::jama.2018.9128::C002</t>
        </is>
      </c>
      <c r="B344" s="2" t="inlineStr">
        <is>
          <t>sourceLinks</t>
        </is>
      </c>
      <c r="C344" s="2" t="n">
        <v>1</v>
      </c>
      <c r="D344" s="2" t="inlineStr">
        <is>
          <t>DOC-001 Figure 2 — PDF p. 7</t>
        </is>
      </c>
      <c r="E344" s="2" t="inlineStr">
        <is>
          <t>../../2018/jama.2018.9128/jama_barkin_2018_oi_180075.pdf#page=7</t>
        </is>
      </c>
    </row>
    <row r="345" ht="30" customHeight="1">
      <c r="A345" s="3" t="inlineStr">
        <is>
          <t>2018::jama.2018.9128::C002</t>
        </is>
      </c>
      <c r="B345" s="3" t="inlineStr">
        <is>
          <t>sourceLinks</t>
        </is>
      </c>
      <c r="C345" s="3" t="n">
        <v>2</v>
      </c>
      <c r="D345" s="3" t="inlineStr">
        <is>
          <t>DOC-003 eTable 1 — PDF p. 2</t>
        </is>
      </c>
      <c r="E345" s="3" t="inlineStr">
        <is>
          <t>../../2018/jama.2018.9128/joi180075supp2_prod.pdf#page=2</t>
        </is>
      </c>
    </row>
    <row r="346" ht="40" customHeight="1">
      <c r="A346" s="2" t="inlineStr">
        <is>
          <t>2018::jama.2018.9128::C002</t>
        </is>
      </c>
      <c r="B346" s="2" t="inlineStr">
        <is>
          <t>evidencePaths</t>
        </is>
      </c>
      <c r="C346" s="2" t="n">
        <v>0</v>
      </c>
      <c r="D346" s="2" t="inlineStr">
        <is>
          <t>2018/jama.2018.9128/.ai_paper_validation/review_1_5_2/source_inventory.md</t>
        </is>
      </c>
      <c r="E346" s="2" t="inlineStr">
        <is>
          <t>../../2018/jama.2018.9128/.ai_paper_validation/review_1_5_2/source_inventory.md</t>
        </is>
      </c>
    </row>
    <row r="347" ht="30" customHeight="1">
      <c r="A347" s="3" t="inlineStr">
        <is>
          <t>2018::jama.2018.9128::C003</t>
        </is>
      </c>
      <c r="B347" s="3" t="inlineStr">
        <is>
          <t>sourceLinks</t>
        </is>
      </c>
      <c r="C347" s="3" t="n">
        <v>0</v>
      </c>
      <c r="D347" s="3" t="inlineStr">
        <is>
          <t>DOC-001 Figure 1 — PDF p. 3</t>
        </is>
      </c>
      <c r="E347" s="3" t="inlineStr">
        <is>
          <t>../../2018/jama.2018.9128/jama_barkin_2018_oi_180075.pdf#page=3</t>
        </is>
      </c>
    </row>
    <row r="348" ht="30" customHeight="1">
      <c r="A348" s="2" t="inlineStr">
        <is>
          <t>2018::jama.2018.9128::C003</t>
        </is>
      </c>
      <c r="B348" s="2" t="inlineStr">
        <is>
          <t>sourceLinks</t>
        </is>
      </c>
      <c r="C348" s="2" t="n">
        <v>1</v>
      </c>
      <c r="D348" s="2" t="inlineStr">
        <is>
          <t>DOC-001 Figure 2 — PDF p. 7</t>
        </is>
      </c>
      <c r="E348" s="2" t="inlineStr">
        <is>
          <t>../../2018/jama.2018.9128/jama_barkin_2018_oi_180075.pdf#page=7</t>
        </is>
      </c>
    </row>
    <row r="349" ht="30" customHeight="1">
      <c r="A349" s="3" t="inlineStr">
        <is>
          <t>2018::jama.2018.9128::C003</t>
        </is>
      </c>
      <c r="B349" s="3" t="inlineStr">
        <is>
          <t>sourceLinks</t>
        </is>
      </c>
      <c r="C349" s="3" t="n">
        <v>2</v>
      </c>
      <c r="D349" s="3" t="inlineStr">
        <is>
          <t>DOC-003 eTable 1 — PDF p. 2</t>
        </is>
      </c>
      <c r="E349" s="3" t="inlineStr">
        <is>
          <t>../../2018/jama.2018.9128/joi180075supp2_prod.pdf#page=2</t>
        </is>
      </c>
    </row>
    <row r="350" ht="40" customHeight="1">
      <c r="A350" s="2" t="inlineStr">
        <is>
          <t>2018::jama.2018.9128::C003</t>
        </is>
      </c>
      <c r="B350" s="2" t="inlineStr">
        <is>
          <t>evidencePaths</t>
        </is>
      </c>
      <c r="C350" s="2" t="n">
        <v>0</v>
      </c>
      <c r="D350" s="2" t="inlineStr">
        <is>
          <t>2018/jama.2018.9128/.ai_paper_validation/review_1_5_2/source_inventory.md</t>
        </is>
      </c>
      <c r="E350" s="2" t="inlineStr">
        <is>
          <t>../../2018/jama.2018.9128/.ai_paper_validation/review_1_5_2/source_inventory.md</t>
        </is>
      </c>
    </row>
    <row r="351" ht="30" customHeight="1">
      <c r="A351" s="3" t="inlineStr">
        <is>
          <t>2018::jama.2018.9128::C004</t>
        </is>
      </c>
      <c r="B351" s="3" t="inlineStr">
        <is>
          <t>sourceLinks</t>
        </is>
      </c>
      <c r="C351" s="3" t="n">
        <v>0</v>
      </c>
      <c r="D351" s="3" t="inlineStr">
        <is>
          <t>DOC-001 Figure 1 — PDF p. 3</t>
        </is>
      </c>
      <c r="E351" s="3" t="inlineStr">
        <is>
          <t>../../2018/jama.2018.9128/jama_barkin_2018_oi_180075.pdf#page=3</t>
        </is>
      </c>
    </row>
    <row r="352" ht="30" customHeight="1">
      <c r="A352" s="2" t="inlineStr">
        <is>
          <t>2018::jama.2018.9128::C004</t>
        </is>
      </c>
      <c r="B352" s="2" t="inlineStr">
        <is>
          <t>sourceLinks</t>
        </is>
      </c>
      <c r="C352" s="2" t="n">
        <v>1</v>
      </c>
      <c r="D352" s="2" t="inlineStr">
        <is>
          <t>DOC-001 Figure 2 — PDF p. 7</t>
        </is>
      </c>
      <c r="E352" s="2" t="inlineStr">
        <is>
          <t>../../2018/jama.2018.9128/jama_barkin_2018_oi_180075.pdf#page=7</t>
        </is>
      </c>
    </row>
    <row r="353" ht="30" customHeight="1">
      <c r="A353" s="3" t="inlineStr">
        <is>
          <t>2018::jama.2018.9128::C004</t>
        </is>
      </c>
      <c r="B353" s="3" t="inlineStr">
        <is>
          <t>sourceLinks</t>
        </is>
      </c>
      <c r="C353" s="3" t="n">
        <v>2</v>
      </c>
      <c r="D353" s="3" t="inlineStr">
        <is>
          <t>DOC-003 eTable 1 — PDF p. 2</t>
        </is>
      </c>
      <c r="E353" s="3" t="inlineStr">
        <is>
          <t>../../2018/jama.2018.9128/joi180075supp2_prod.pdf#page=2</t>
        </is>
      </c>
    </row>
    <row r="354" ht="40" customHeight="1">
      <c r="A354" s="2" t="inlineStr">
        <is>
          <t>2018::jama.2018.9128::C004</t>
        </is>
      </c>
      <c r="B354" s="2" t="inlineStr">
        <is>
          <t>evidencePaths</t>
        </is>
      </c>
      <c r="C354" s="2" t="n">
        <v>0</v>
      </c>
      <c r="D354" s="2" t="inlineStr">
        <is>
          <t>2018/jama.2018.9128/.ai_paper_validation/review_1_5_2/source_inventory.md</t>
        </is>
      </c>
      <c r="E354" s="2" t="inlineStr">
        <is>
          <t>../../2018/jama.2018.9128/.ai_paper_validation/review_1_5_2/source_inventory.md</t>
        </is>
      </c>
    </row>
    <row r="355" ht="30" customHeight="1">
      <c r="A355" s="3" t="inlineStr">
        <is>
          <t>2018::jama.2018.9128::C005</t>
        </is>
      </c>
      <c r="B355" s="3" t="inlineStr">
        <is>
          <t>sourceLinks</t>
        </is>
      </c>
      <c r="C355" s="3" t="n">
        <v>0</v>
      </c>
      <c r="D355" s="3" t="inlineStr">
        <is>
          <t>DOC-001 Figure 1 — PDF p. 3</t>
        </is>
      </c>
      <c r="E355" s="3" t="inlineStr">
        <is>
          <t>../../2018/jama.2018.9128/jama_barkin_2018_oi_180075.pdf#page=3</t>
        </is>
      </c>
    </row>
    <row r="356" ht="30" customHeight="1">
      <c r="A356" s="2" t="inlineStr">
        <is>
          <t>2018::jama.2018.9128::C005</t>
        </is>
      </c>
      <c r="B356" s="2" t="inlineStr">
        <is>
          <t>sourceLinks</t>
        </is>
      </c>
      <c r="C356" s="2" t="n">
        <v>1</v>
      </c>
      <c r="D356" s="2" t="inlineStr">
        <is>
          <t>DOC-001 Figure 2 — PDF p. 7</t>
        </is>
      </c>
      <c r="E356" s="2" t="inlineStr">
        <is>
          <t>../../2018/jama.2018.9128/jama_barkin_2018_oi_180075.pdf#page=7</t>
        </is>
      </c>
    </row>
    <row r="357" ht="30" customHeight="1">
      <c r="A357" s="3" t="inlineStr">
        <is>
          <t>2018::jama.2018.9128::C005</t>
        </is>
      </c>
      <c r="B357" s="3" t="inlineStr">
        <is>
          <t>sourceLinks</t>
        </is>
      </c>
      <c r="C357" s="3" t="n">
        <v>2</v>
      </c>
      <c r="D357" s="3" t="inlineStr">
        <is>
          <t>DOC-003 eTable 1 — PDF p. 2</t>
        </is>
      </c>
      <c r="E357" s="3" t="inlineStr">
        <is>
          <t>../../2018/jama.2018.9128/joi180075supp2_prod.pdf#page=2</t>
        </is>
      </c>
    </row>
    <row r="358" ht="40" customHeight="1">
      <c r="A358" s="2" t="inlineStr">
        <is>
          <t>2018::jama.2018.9128::C005</t>
        </is>
      </c>
      <c r="B358" s="2" t="inlineStr">
        <is>
          <t>evidencePaths</t>
        </is>
      </c>
      <c r="C358" s="2" t="n">
        <v>0</v>
      </c>
      <c r="D358" s="2" t="inlineStr">
        <is>
          <t>2018/jama.2018.9128/.ai_paper_validation/review_1_5_2/source_inventory.md</t>
        </is>
      </c>
      <c r="E358" s="2" t="inlineStr">
        <is>
          <t>../../2018/jama.2018.9128/.ai_paper_validation/review_1_5_2/source_inventory.md</t>
        </is>
      </c>
    </row>
    <row r="359" ht="30" customHeight="1">
      <c r="A359" s="3" t="inlineStr">
        <is>
          <t>2018::jama.2018.9128::C006</t>
        </is>
      </c>
      <c r="B359" s="3" t="inlineStr">
        <is>
          <t>sourceLinks</t>
        </is>
      </c>
      <c r="C359" s="3" t="n">
        <v>0</v>
      </c>
      <c r="D359" s="3" t="inlineStr">
        <is>
          <t>DOC-001 Figure 1 — PDF p. 3</t>
        </is>
      </c>
      <c r="E359" s="3" t="inlineStr">
        <is>
          <t>../../2018/jama.2018.9128/jama_barkin_2018_oi_180075.pdf#page=3</t>
        </is>
      </c>
    </row>
    <row r="360" ht="30" customHeight="1">
      <c r="A360" s="2" t="inlineStr">
        <is>
          <t>2018::jama.2018.9128::C006</t>
        </is>
      </c>
      <c r="B360" s="2" t="inlineStr">
        <is>
          <t>sourceLinks</t>
        </is>
      </c>
      <c r="C360" s="2" t="n">
        <v>1</v>
      </c>
      <c r="D360" s="2" t="inlineStr">
        <is>
          <t>DOC-001 Figure 2 — PDF p. 7</t>
        </is>
      </c>
      <c r="E360" s="2" t="inlineStr">
        <is>
          <t>../../2018/jama.2018.9128/jama_barkin_2018_oi_180075.pdf#page=7</t>
        </is>
      </c>
    </row>
    <row r="361" ht="30" customHeight="1">
      <c r="A361" s="3" t="inlineStr">
        <is>
          <t>2018::jama.2018.9128::C006</t>
        </is>
      </c>
      <c r="B361" s="3" t="inlineStr">
        <is>
          <t>sourceLinks</t>
        </is>
      </c>
      <c r="C361" s="3" t="n">
        <v>2</v>
      </c>
      <c r="D361" s="3" t="inlineStr">
        <is>
          <t>DOC-003 eTable 1 — PDF p. 2</t>
        </is>
      </c>
      <c r="E361" s="3" t="inlineStr">
        <is>
          <t>../../2018/jama.2018.9128/joi180075supp2_prod.pdf#page=2</t>
        </is>
      </c>
    </row>
    <row r="362" ht="40" customHeight="1">
      <c r="A362" s="2" t="inlineStr">
        <is>
          <t>2018::jama.2018.9128::C006</t>
        </is>
      </c>
      <c r="B362" s="2" t="inlineStr">
        <is>
          <t>evidencePaths</t>
        </is>
      </c>
      <c r="C362" s="2" t="n">
        <v>0</v>
      </c>
      <c r="D362" s="2" t="inlineStr">
        <is>
          <t>2018/jama.2018.9128/.ai_paper_validation/review_1_5_2/source_inventory.md</t>
        </is>
      </c>
      <c r="E362" s="2" t="inlineStr">
        <is>
          <t>../../2018/jama.2018.9128/.ai_paper_validation/review_1_5_2/source_inventory.md</t>
        </is>
      </c>
    </row>
    <row r="363" ht="30" customHeight="1">
      <c r="A363" s="3" t="inlineStr">
        <is>
          <t>2018::jama.2018.9128::C007</t>
        </is>
      </c>
      <c r="B363" s="3" t="inlineStr">
        <is>
          <t>sourceLinks</t>
        </is>
      </c>
      <c r="C363" s="3" t="n">
        <v>0</v>
      </c>
      <c r="D363" s="3" t="inlineStr">
        <is>
          <t>DOC-001 Figure 1 — PDF p. 3</t>
        </is>
      </c>
      <c r="E363" s="3" t="inlineStr">
        <is>
          <t>../../2018/jama.2018.9128/jama_barkin_2018_oi_180075.pdf#page=3</t>
        </is>
      </c>
    </row>
    <row r="364" ht="30" customHeight="1">
      <c r="A364" s="2" t="inlineStr">
        <is>
          <t>2018::jama.2018.9128::C007</t>
        </is>
      </c>
      <c r="B364" s="2" t="inlineStr">
        <is>
          <t>sourceLinks</t>
        </is>
      </c>
      <c r="C364" s="2" t="n">
        <v>1</v>
      </c>
      <c r="D364" s="2" t="inlineStr">
        <is>
          <t>DOC-001 Figure 2 — PDF p. 7</t>
        </is>
      </c>
      <c r="E364" s="2" t="inlineStr">
        <is>
          <t>../../2018/jama.2018.9128/jama_barkin_2018_oi_180075.pdf#page=7</t>
        </is>
      </c>
    </row>
    <row r="365" ht="30" customHeight="1">
      <c r="A365" s="3" t="inlineStr">
        <is>
          <t>2018::jama.2018.9128::C007</t>
        </is>
      </c>
      <c r="B365" s="3" t="inlineStr">
        <is>
          <t>sourceLinks</t>
        </is>
      </c>
      <c r="C365" s="3" t="n">
        <v>2</v>
      </c>
      <c r="D365" s="3" t="inlineStr">
        <is>
          <t>DOC-003 eTable 1 — PDF p. 2</t>
        </is>
      </c>
      <c r="E365" s="3" t="inlineStr">
        <is>
          <t>../../2018/jama.2018.9128/joi180075supp2_prod.pdf#page=2</t>
        </is>
      </c>
    </row>
    <row r="366" ht="40" customHeight="1">
      <c r="A366" s="2" t="inlineStr">
        <is>
          <t>2018::jama.2018.9128::C007</t>
        </is>
      </c>
      <c r="B366" s="2" t="inlineStr">
        <is>
          <t>evidencePaths</t>
        </is>
      </c>
      <c r="C366" s="2" t="n">
        <v>0</v>
      </c>
      <c r="D366" s="2" t="inlineStr">
        <is>
          <t>2018/jama.2018.9128/.ai_paper_validation/review_1_5_2/source_inventory.md</t>
        </is>
      </c>
      <c r="E366" s="2" t="inlineStr">
        <is>
          <t>../../2018/jama.2018.9128/.ai_paper_validation/review_1_5_2/source_inventory.md</t>
        </is>
      </c>
    </row>
    <row r="367" ht="30" customHeight="1">
      <c r="A367" s="3" t="inlineStr">
        <is>
          <t>2018::jama.2018.9128::C008</t>
        </is>
      </c>
      <c r="B367" s="3" t="inlineStr">
        <is>
          <t>sourceLinks</t>
        </is>
      </c>
      <c r="C367" s="3" t="n">
        <v>0</v>
      </c>
      <c r="D367" s="3" t="inlineStr">
        <is>
          <t>DOC-001 Figure 1 — PDF p. 3</t>
        </is>
      </c>
      <c r="E367" s="3" t="inlineStr">
        <is>
          <t>../../2018/jama.2018.9128/jama_barkin_2018_oi_180075.pdf#page=3</t>
        </is>
      </c>
    </row>
    <row r="368" ht="30" customHeight="1">
      <c r="A368" s="2" t="inlineStr">
        <is>
          <t>2018::jama.2018.9128::C008</t>
        </is>
      </c>
      <c r="B368" s="2" t="inlineStr">
        <is>
          <t>sourceLinks</t>
        </is>
      </c>
      <c r="C368" s="2" t="n">
        <v>1</v>
      </c>
      <c r="D368" s="2" t="inlineStr">
        <is>
          <t>DOC-001 Figure 2 — PDF p. 7</t>
        </is>
      </c>
      <c r="E368" s="2" t="inlineStr">
        <is>
          <t>../../2018/jama.2018.9128/jama_barkin_2018_oi_180075.pdf#page=7</t>
        </is>
      </c>
    </row>
    <row r="369" ht="30" customHeight="1">
      <c r="A369" s="3" t="inlineStr">
        <is>
          <t>2018::jama.2018.9128::C008</t>
        </is>
      </c>
      <c r="B369" s="3" t="inlineStr">
        <is>
          <t>sourceLinks</t>
        </is>
      </c>
      <c r="C369" s="3" t="n">
        <v>2</v>
      </c>
      <c r="D369" s="3" t="inlineStr">
        <is>
          <t>DOC-003 eTable 1 — PDF p. 2</t>
        </is>
      </c>
      <c r="E369" s="3" t="inlineStr">
        <is>
          <t>../../2018/jama.2018.9128/joi180075supp2_prod.pdf#page=2</t>
        </is>
      </c>
    </row>
    <row r="370" ht="40" customHeight="1">
      <c r="A370" s="2" t="inlineStr">
        <is>
          <t>2018::jama.2018.9128::C008</t>
        </is>
      </c>
      <c r="B370" s="2" t="inlineStr">
        <is>
          <t>evidencePaths</t>
        </is>
      </c>
      <c r="C370" s="2" t="n">
        <v>0</v>
      </c>
      <c r="D370" s="2" t="inlineStr">
        <is>
          <t>2018/jama.2018.9128/.ai_paper_validation/review_1_5_2/source_inventory.md</t>
        </is>
      </c>
      <c r="E370" s="2" t="inlineStr">
        <is>
          <t>../../2018/jama.2018.9128/.ai_paper_validation/review_1_5_2/source_inventory.md</t>
        </is>
      </c>
    </row>
    <row r="371" ht="30" customHeight="1">
      <c r="A371" s="3" t="inlineStr">
        <is>
          <t>2018::jama.2018.9128::C009</t>
        </is>
      </c>
      <c r="B371" s="3" t="inlineStr">
        <is>
          <t>sourceLinks</t>
        </is>
      </c>
      <c r="C371" s="3" t="n">
        <v>0</v>
      </c>
      <c r="D371" s="3" t="inlineStr">
        <is>
          <t>DOC-002 final SAP — PDF p. 110</t>
        </is>
      </c>
      <c r="E371" s="3" t="inlineStr">
        <is>
          <t>../../2018/jama.2018.9128/joi180075supp1_prod.pdf#page=110</t>
        </is>
      </c>
    </row>
    <row r="372" ht="30" customHeight="1">
      <c r="A372" s="2" t="inlineStr">
        <is>
          <t>2018::jama.2018.9128::C009</t>
        </is>
      </c>
      <c r="B372" s="2" t="inlineStr">
        <is>
          <t>sourceLinks</t>
        </is>
      </c>
      <c r="C372" s="2" t="n">
        <v>1</v>
      </c>
      <c r="D372" s="2" t="inlineStr">
        <is>
          <t>DOC-002 protocol schedule — PDF p. 15</t>
        </is>
      </c>
      <c r="E372" s="2" t="inlineStr">
        <is>
          <t>../../2018/jama.2018.9128/joi180075supp1_prod.pdf#page=15</t>
        </is>
      </c>
    </row>
    <row r="373" ht="30" customHeight="1">
      <c r="A373" s="3" t="inlineStr">
        <is>
          <t>2018::jama.2018.9128::C009</t>
        </is>
      </c>
      <c r="B373" s="3" t="inlineStr">
        <is>
          <t>sourceLinks</t>
        </is>
      </c>
      <c r="C373" s="3" t="n">
        <v>2</v>
      </c>
      <c r="D373" s="3" t="inlineStr">
        <is>
          <t>DOC-001 Methods — PDF p. 4</t>
        </is>
      </c>
      <c r="E373" s="3" t="inlineStr">
        <is>
          <t>../../2018/jama.2018.9128/jama_barkin_2018_oi_180075.pdf#page=4</t>
        </is>
      </c>
    </row>
    <row r="374" ht="30" customHeight="1">
      <c r="A374" s="2" t="inlineStr">
        <is>
          <t>2018::jama.2018.9128::C009</t>
        </is>
      </c>
      <c r="B374" s="2" t="inlineStr">
        <is>
          <t>sourceLinks</t>
        </is>
      </c>
      <c r="C374" s="2" t="n">
        <v>3</v>
      </c>
      <c r="D374" s="2" t="inlineStr">
        <is>
          <t>DOC-003 eTable 1 — PDF p. 2</t>
        </is>
      </c>
      <c r="E374" s="2" t="inlineStr">
        <is>
          <t>../../2018/jama.2018.9128/joi180075supp2_prod.pdf#page=2</t>
        </is>
      </c>
    </row>
    <row r="375" ht="40" customHeight="1">
      <c r="A375" s="3" t="inlineStr">
        <is>
          <t>2018::jama.2018.9128::C009</t>
        </is>
      </c>
      <c r="B375" s="3" t="inlineStr">
        <is>
          <t>evidencePaths</t>
        </is>
      </c>
      <c r="C375" s="3" t="n">
        <v>0</v>
      </c>
      <c r="D375" s="3" t="inlineStr">
        <is>
          <t>2018/jama.2018.9128/.ai_paper_validation/review_1_5_2/source_inventory.md</t>
        </is>
      </c>
      <c r="E375" s="3" t="inlineStr">
        <is>
          <t>../../2018/jama.2018.9128/.ai_paper_validation/review_1_5_2/source_inventory.md</t>
        </is>
      </c>
    </row>
    <row r="376" ht="40" customHeight="1">
      <c r="A376" s="2" t="inlineStr">
        <is>
          <t>2018::jama.2018.9128::C009</t>
        </is>
      </c>
      <c r="B376" s="2" t="inlineStr">
        <is>
          <t>evidencePaths</t>
        </is>
      </c>
      <c r="C376" s="2" t="n">
        <v>1</v>
      </c>
      <c r="D376" s="2" t="inlineStr">
        <is>
          <t>2018/jama.2018.9128/.ai_paper_validation/review_1_5_2/verification/evidence_recheck.md</t>
        </is>
      </c>
      <c r="E376" s="2" t="inlineStr">
        <is>
          <t>../../2018/jama.2018.9128/.ai_paper_validation/review_1_5_2/verification/evidence_recheck.md</t>
        </is>
      </c>
    </row>
    <row r="377" ht="30" customHeight="1">
      <c r="A377" s="3" t="inlineStr">
        <is>
          <t>2018::jama.2018.9128::C010</t>
        </is>
      </c>
      <c r="B377" s="3" t="inlineStr">
        <is>
          <t>sourceLinks</t>
        </is>
      </c>
      <c r="C377" s="3" t="n">
        <v>0</v>
      </c>
      <c r="D377" s="3" t="inlineStr">
        <is>
          <t>DOC-002 revised protocol — PDF p. 64</t>
        </is>
      </c>
      <c r="E377" s="3" t="inlineStr">
        <is>
          <t>../../2018/jama.2018.9128/joi180075supp1_prod.pdf#page=64</t>
        </is>
      </c>
    </row>
    <row r="378" ht="30" customHeight="1">
      <c r="A378" s="2" t="inlineStr">
        <is>
          <t>2018::jama.2018.9128::C010</t>
        </is>
      </c>
      <c r="B378" s="2" t="inlineStr">
        <is>
          <t>sourceLinks</t>
        </is>
      </c>
      <c r="C378" s="2" t="n">
        <v>1</v>
      </c>
      <c r="D378" s="2" t="inlineStr">
        <is>
          <t>DOC-001 Methods — PDF p. 4</t>
        </is>
      </c>
      <c r="E378" s="2" t="inlineStr">
        <is>
          <t>../../2018/jama.2018.9128/jama_barkin_2018_oi_180075.pdf#page=4</t>
        </is>
      </c>
    </row>
    <row r="379" ht="30" customHeight="1">
      <c r="A379" s="3" t="inlineStr">
        <is>
          <t>2018::jama.2018.9128::C010</t>
        </is>
      </c>
      <c r="B379" s="3" t="inlineStr">
        <is>
          <t>sourceLinks</t>
        </is>
      </c>
      <c r="C379" s="3" t="n">
        <v>2</v>
      </c>
      <c r="D379" s="3" t="inlineStr">
        <is>
          <t>DOC-003 eTable 1 — PDF p. 2</t>
        </is>
      </c>
      <c r="E379" s="3" t="inlineStr">
        <is>
          <t>../../2018/jama.2018.9128/joi180075supp2_prod.pdf#page=2</t>
        </is>
      </c>
    </row>
    <row r="380" ht="40" customHeight="1">
      <c r="A380" s="2" t="inlineStr">
        <is>
          <t>2018::jama.2018.9128::C010</t>
        </is>
      </c>
      <c r="B380" s="2" t="inlineStr">
        <is>
          <t>evidencePaths</t>
        </is>
      </c>
      <c r="C380" s="2" t="n">
        <v>0</v>
      </c>
      <c r="D380" s="2" t="inlineStr">
        <is>
          <t>2018/jama.2018.9128/.ai_paper_validation/review_1_5_2/source_inventory.md</t>
        </is>
      </c>
      <c r="E380" s="2" t="inlineStr">
        <is>
          <t>../../2018/jama.2018.9128/.ai_paper_validation/review_1_5_2/source_inventory.md</t>
        </is>
      </c>
    </row>
    <row r="381" ht="40" customHeight="1">
      <c r="A381" s="3" t="inlineStr">
        <is>
          <t>2018::jama.2018.9128::C010</t>
        </is>
      </c>
      <c r="B381" s="3" t="inlineStr">
        <is>
          <t>evidencePaths</t>
        </is>
      </c>
      <c r="C381" s="3" t="n">
        <v>1</v>
      </c>
      <c r="D381" s="3" t="inlineStr">
        <is>
          <t>2018/jama.2018.9128/.ai_paper_validation/review_1_5_2/verification/evidence_recheck.md</t>
        </is>
      </c>
      <c r="E381" s="3" t="inlineStr">
        <is>
          <t>../../2018/jama.2018.9128/.ai_paper_validation/review_1_5_2/verification/evidence_recheck.md</t>
        </is>
      </c>
    </row>
    <row r="382" ht="30" customHeight="1">
      <c r="A382" s="2" t="inlineStr">
        <is>
          <t>2018::jama.2018.9128::C011</t>
        </is>
      </c>
      <c r="B382" s="2" t="inlineStr">
        <is>
          <t>sourceLinks</t>
        </is>
      </c>
      <c r="C382" s="2" t="n">
        <v>0</v>
      </c>
      <c r="D382" s="2" t="inlineStr">
        <is>
          <t>DOC-002 original protocol — PDF p. 16</t>
        </is>
      </c>
      <c r="E382" s="2" t="inlineStr">
        <is>
          <t>../../2018/jama.2018.9128/joi180075supp1_prod.pdf#page=16</t>
        </is>
      </c>
    </row>
    <row r="383" ht="30" customHeight="1">
      <c r="A383" s="3" t="inlineStr">
        <is>
          <t>2018::jama.2018.9128::C011</t>
        </is>
      </c>
      <c r="B383" s="3" t="inlineStr">
        <is>
          <t>sourceLinks</t>
        </is>
      </c>
      <c r="C383" s="3" t="n">
        <v>1</v>
      </c>
      <c r="D383" s="3" t="inlineStr">
        <is>
          <t>DOC-002 final SAP — PDF p. 110</t>
        </is>
      </c>
      <c r="E383" s="3" t="inlineStr">
        <is>
          <t>../../2018/jama.2018.9128/joi180075supp1_prod.pdf#page=110</t>
        </is>
      </c>
    </row>
    <row r="384" ht="30" customHeight="1">
      <c r="A384" s="2" t="inlineStr">
        <is>
          <t>2018::jama.2018.9128::C011</t>
        </is>
      </c>
      <c r="B384" s="2" t="inlineStr">
        <is>
          <t>sourceLinks</t>
        </is>
      </c>
      <c r="C384" s="2" t="n">
        <v>2</v>
      </c>
      <c r="D384" s="2" t="inlineStr">
        <is>
          <t>DOC-001 Outcomes — PDF p. 3</t>
        </is>
      </c>
      <c r="E384" s="2" t="inlineStr">
        <is>
          <t>../../2018/jama.2018.9128/jama_barkin_2018_oi_180075.pdf#page=3</t>
        </is>
      </c>
    </row>
    <row r="385" ht="30" customHeight="1">
      <c r="A385" s="3" t="inlineStr">
        <is>
          <t>2018::jama.2018.9128::C011</t>
        </is>
      </c>
      <c r="B385" s="3" t="inlineStr">
        <is>
          <t>sourceLinks</t>
        </is>
      </c>
      <c r="C385" s="3" t="n">
        <v>3</v>
      </c>
      <c r="D385" s="3" t="inlineStr">
        <is>
          <t>DOC-003 eTable 1 — PDF p. 2</t>
        </is>
      </c>
      <c r="E385" s="3" t="inlineStr">
        <is>
          <t>../../2018/jama.2018.9128/joi180075supp2_prod.pdf#page=2</t>
        </is>
      </c>
    </row>
    <row r="386" ht="40" customHeight="1">
      <c r="A386" s="2" t="inlineStr">
        <is>
          <t>2018::jama.2018.9128::C011</t>
        </is>
      </c>
      <c r="B386" s="2" t="inlineStr">
        <is>
          <t>evidencePaths</t>
        </is>
      </c>
      <c r="C386" s="2" t="n">
        <v>0</v>
      </c>
      <c r="D386" s="2" t="inlineStr">
        <is>
          <t>2018/jama.2018.9128/.ai_paper_validation/review_1_5_2/source_inventory.md</t>
        </is>
      </c>
      <c r="E386" s="2" t="inlineStr">
        <is>
          <t>../../2018/jama.2018.9128/.ai_paper_validation/review_1_5_2/source_inventory.md</t>
        </is>
      </c>
    </row>
    <row r="387" ht="40" customHeight="1">
      <c r="A387" s="3" t="inlineStr">
        <is>
          <t>2018::jama.2018.9128::C011</t>
        </is>
      </c>
      <c r="B387" s="3" t="inlineStr">
        <is>
          <t>evidencePaths</t>
        </is>
      </c>
      <c r="C387" s="3" t="n">
        <v>1</v>
      </c>
      <c r="D387" s="3" t="inlineStr">
        <is>
          <t>2018/jama.2018.9128/.ai_paper_validation/review_1_5_2/verification/evidence_recheck.md</t>
        </is>
      </c>
      <c r="E387" s="3" t="inlineStr">
        <is>
          <t>../../2018/jama.2018.9128/.ai_paper_validation/review_1_5_2/verification/evidence_recheck.md</t>
        </is>
      </c>
    </row>
    <row r="388" ht="30" customHeight="1">
      <c r="A388" s="2" t="inlineStr">
        <is>
          <t>2018::jama.2018.9128::C012</t>
        </is>
      </c>
      <c r="B388" s="2" t="inlineStr">
        <is>
          <t>sourceLinks</t>
        </is>
      </c>
      <c r="C388" s="2" t="n">
        <v>0</v>
      </c>
      <c r="D388" s="2" t="inlineStr">
        <is>
          <t>DOC-002 original protocol — PDF p. 14</t>
        </is>
      </c>
      <c r="E388" s="2" t="inlineStr">
        <is>
          <t>../../2018/jama.2018.9128/joi180075supp1_prod.pdf#page=14</t>
        </is>
      </c>
    </row>
    <row r="389" ht="30" customHeight="1">
      <c r="A389" s="3" t="inlineStr">
        <is>
          <t>2018::jama.2018.9128::C012</t>
        </is>
      </c>
      <c r="B389" s="3" t="inlineStr">
        <is>
          <t>sourceLinks</t>
        </is>
      </c>
      <c r="C389" s="3" t="n">
        <v>1</v>
      </c>
      <c r="D389" s="3" t="inlineStr">
        <is>
          <t>DOC-002 revised protocol — PDF p. 64</t>
        </is>
      </c>
      <c r="E389" s="3" t="inlineStr">
        <is>
          <t>../../2018/jama.2018.9128/joi180075supp1_prod.pdf#page=64</t>
        </is>
      </c>
    </row>
    <row r="390" ht="30" customHeight="1">
      <c r="A390" s="2" t="inlineStr">
        <is>
          <t>2018::jama.2018.9128::C012</t>
        </is>
      </c>
      <c r="B390" s="2" t="inlineStr">
        <is>
          <t>sourceLinks</t>
        </is>
      </c>
      <c r="C390" s="2" t="n">
        <v>2</v>
      </c>
      <c r="D390" s="2" t="inlineStr">
        <is>
          <t>DOC-001 abstract — PDF p. 1</t>
        </is>
      </c>
      <c r="E390" s="2" t="inlineStr">
        <is>
          <t>../../2018/jama.2018.9128/jama_barkin_2018_oi_180075.pdf#page=1</t>
        </is>
      </c>
    </row>
    <row r="391" ht="30" customHeight="1">
      <c r="A391" s="3" t="inlineStr">
        <is>
          <t>2018::jama.2018.9128::C012</t>
        </is>
      </c>
      <c r="B391" s="3" t="inlineStr">
        <is>
          <t>sourceLinks</t>
        </is>
      </c>
      <c r="C391" s="3" t="n">
        <v>3</v>
      </c>
      <c r="D391" s="3" t="inlineStr">
        <is>
          <t>DOC-001 Methods — PDF p. 3</t>
        </is>
      </c>
      <c r="E391" s="3" t="inlineStr">
        <is>
          <t>../../2018/jama.2018.9128/jama_barkin_2018_oi_180075.pdf#page=3</t>
        </is>
      </c>
    </row>
    <row r="392" ht="40" customHeight="1">
      <c r="A392" s="2" t="inlineStr">
        <is>
          <t>2018::jama.2018.9128::C012</t>
        </is>
      </c>
      <c r="B392" s="2" t="inlineStr">
        <is>
          <t>evidencePaths</t>
        </is>
      </c>
      <c r="C392" s="2" t="n">
        <v>0</v>
      </c>
      <c r="D392" s="2" t="inlineStr">
        <is>
          <t>2018/jama.2018.9128/.ai_paper_validation/review_1_5_2/source_inventory.md</t>
        </is>
      </c>
      <c r="E392" s="2" t="inlineStr">
        <is>
          <t>../../2018/jama.2018.9128/.ai_paper_validation/review_1_5_2/source_inventory.md</t>
        </is>
      </c>
    </row>
    <row r="393" ht="40" customHeight="1">
      <c r="A393" s="3" t="inlineStr">
        <is>
          <t>2018::jama.2018.9128::C012</t>
        </is>
      </c>
      <c r="B393" s="3" t="inlineStr">
        <is>
          <t>evidencePaths</t>
        </is>
      </c>
      <c r="C393" s="3" t="n">
        <v>1</v>
      </c>
      <c r="D393" s="3" t="inlineStr">
        <is>
          <t>2018/jama.2018.9128/.ai_paper_validation/review_1_5_2/verification/evidence_recheck.md</t>
        </is>
      </c>
      <c r="E393" s="3" t="inlineStr">
        <is>
          <t>../../2018/jama.2018.9128/.ai_paper_validation/review_1_5_2/verification/evidence_recheck.md</t>
        </is>
      </c>
    </row>
    <row r="394" ht="30" customHeight="1">
      <c r="A394" s="2" t="inlineStr">
        <is>
          <t>2018::jama.2018.9128::C013</t>
        </is>
      </c>
      <c r="B394" s="2" t="inlineStr">
        <is>
          <t>sourceLinks</t>
        </is>
      </c>
      <c r="C394" s="2" t="n">
        <v>0</v>
      </c>
      <c r="D394" s="2" t="inlineStr">
        <is>
          <t>DOC-001 Figure 1 — PDF p. 3</t>
        </is>
      </c>
      <c r="E394" s="2" t="inlineStr">
        <is>
          <t>../../2018/jama.2018.9128/jama_barkin_2018_oi_180075.pdf#page=3</t>
        </is>
      </c>
    </row>
    <row r="395" ht="30" customHeight="1">
      <c r="A395" s="3" t="inlineStr">
        <is>
          <t>2018::jama.2018.9128::C013</t>
        </is>
      </c>
      <c r="B395" s="3" t="inlineStr">
        <is>
          <t>sourceLinks</t>
        </is>
      </c>
      <c r="C395" s="3" t="n">
        <v>1</v>
      </c>
      <c r="D395" s="3" t="inlineStr">
        <is>
          <t>DOC-001 Figure 2 — PDF p. 7</t>
        </is>
      </c>
      <c r="E395" s="3" t="inlineStr">
        <is>
          <t>../../2018/jama.2018.9128/jama_barkin_2018_oi_180075.pdf#page=7</t>
        </is>
      </c>
    </row>
    <row r="396" ht="30" customHeight="1">
      <c r="A396" s="2" t="inlineStr">
        <is>
          <t>2018::jama.2018.9128::C013</t>
        </is>
      </c>
      <c r="B396" s="2" t="inlineStr">
        <is>
          <t>sourceLinks</t>
        </is>
      </c>
      <c r="C396" s="2" t="n">
        <v>2</v>
      </c>
      <c r="D396" s="2" t="inlineStr">
        <is>
          <t>DOC-003 eTable 1 — PDF p. 2</t>
        </is>
      </c>
      <c r="E396" s="2" t="inlineStr">
        <is>
          <t>../../2018/jama.2018.9128/joi180075supp2_prod.pdf#page=2</t>
        </is>
      </c>
    </row>
    <row r="397" ht="40" customHeight="1">
      <c r="A397" s="3" t="inlineStr">
        <is>
          <t>2018::jama.2018.9128::C013</t>
        </is>
      </c>
      <c r="B397" s="3" t="inlineStr">
        <is>
          <t>evidencePaths</t>
        </is>
      </c>
      <c r="C397" s="3" t="n">
        <v>0</v>
      </c>
      <c r="D397" s="3" t="inlineStr">
        <is>
          <t>2018/jama.2018.9128/.ai_paper_validation/review_1_5_2/source_inventory.md</t>
        </is>
      </c>
      <c r="E397" s="3" t="inlineStr">
        <is>
          <t>../../2018/jama.2018.9128/.ai_paper_validation/review_1_5_2/source_inventory.md</t>
        </is>
      </c>
    </row>
  </sheetData>
  <sheetProtection selectLockedCells="0" selectUnlockedCells="0" sheet="1" objects="0" insertRows="1" insertHyperlinks="1" autoFilter="0" scenarios="0" formatColumns="1" deleteColumns="1" insertColumns="1" pivotTables="1" deleteRows="1" formatCells="1" formatRows="1" sort="1"/>
  <autoFilter ref="A1:E397"/>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13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2018::jama.2017.21906::C001</t>
        </is>
      </c>
      <c r="B2" s="2" t="inlineStr">
        <is>
          <t>relations</t>
        </is>
      </c>
      <c r="C2" s="2" t="n">
        <v>0</v>
      </c>
      <c r="D2" s="2" t="inlineStr">
        <is>
          <t>S_W</t>
        </is>
      </c>
    </row>
    <row r="3" ht="30" customHeight="1">
      <c r="A3" s="3" t="inlineStr">
        <is>
          <t>2018::jama.2017.21906::C002</t>
        </is>
      </c>
      <c r="B3" s="3" t="inlineStr">
        <is>
          <t>relations</t>
        </is>
      </c>
      <c r="C3" s="3" t="n">
        <v>0</v>
      </c>
      <c r="D3" s="3" t="inlineStr">
        <is>
          <t>S_W</t>
        </is>
      </c>
    </row>
    <row r="4" ht="30" customHeight="1">
      <c r="A4" s="2" t="inlineStr">
        <is>
          <t>2018::jama.2017.21906::C003</t>
        </is>
      </c>
      <c r="B4" s="2" t="inlineStr">
        <is>
          <t>relations</t>
        </is>
      </c>
      <c r="C4" s="2" t="n">
        <v>0</v>
      </c>
      <c r="D4" s="2" t="inlineStr">
        <is>
          <t>S_W</t>
        </is>
      </c>
    </row>
    <row r="5" ht="30" customHeight="1">
      <c r="A5" s="3" t="inlineStr">
        <is>
          <t>2018::jama.2017.21906::C004</t>
        </is>
      </c>
      <c r="B5" s="3" t="inlineStr">
        <is>
          <t>relations</t>
        </is>
      </c>
      <c r="C5" s="3" t="n">
        <v>0</v>
      </c>
      <c r="D5" s="3" t="inlineStr">
        <is>
          <t>P_R</t>
        </is>
      </c>
    </row>
    <row r="6" ht="30" customHeight="1">
      <c r="A6" s="2" t="inlineStr">
        <is>
          <t>2018::jama.2017.21906::C005</t>
        </is>
      </c>
      <c r="B6" s="2" t="inlineStr">
        <is>
          <t>relations</t>
        </is>
      </c>
      <c r="C6" s="2" t="n">
        <v>0</v>
      </c>
      <c r="D6" s="2" t="inlineStr">
        <is>
          <t>S_C</t>
        </is>
      </c>
    </row>
    <row r="7" ht="30" customHeight="1">
      <c r="A7" s="3" t="inlineStr">
        <is>
          <t>2018::jama.2017.21906::C005</t>
        </is>
      </c>
      <c r="B7" s="3" t="inlineStr">
        <is>
          <t>relations</t>
        </is>
      </c>
      <c r="C7" s="3" t="n">
        <v>1</v>
      </c>
      <c r="D7" s="3" t="inlineStr">
        <is>
          <t>S_W</t>
        </is>
      </c>
    </row>
    <row r="8" ht="30" customHeight="1">
      <c r="A8" s="2" t="inlineStr">
        <is>
          <t>2018::jama.2017.21906::C006</t>
        </is>
      </c>
      <c r="B8" s="2" t="inlineStr">
        <is>
          <t>relations</t>
        </is>
      </c>
      <c r="C8" s="2" t="n">
        <v>0</v>
      </c>
      <c r="D8" s="2" t="inlineStr">
        <is>
          <t>P_R</t>
        </is>
      </c>
    </row>
    <row r="9" ht="30" customHeight="1">
      <c r="A9" s="3" t="inlineStr">
        <is>
          <t>2018::jama.2018.0156::C001</t>
        </is>
      </c>
      <c r="B9" s="3" t="inlineStr">
        <is>
          <t>relations</t>
        </is>
      </c>
      <c r="C9" s="3" t="n">
        <v>0</v>
      </c>
      <c r="D9" s="3" t="inlineStr">
        <is>
          <t>S_W</t>
        </is>
      </c>
    </row>
    <row r="10" ht="30" customHeight="1">
      <c r="A10" s="2" t="inlineStr">
        <is>
          <t>2018::jama.2018.0156::C002</t>
        </is>
      </c>
      <c r="B10" s="2" t="inlineStr">
        <is>
          <t>relations</t>
        </is>
      </c>
      <c r="C10" s="2" t="n">
        <v>0</v>
      </c>
      <c r="D10" s="2" t="inlineStr">
        <is>
          <t>S_W</t>
        </is>
      </c>
    </row>
    <row r="11" ht="30" customHeight="1">
      <c r="A11" s="3" t="inlineStr">
        <is>
          <t>2018::jama.2018.0156::C003</t>
        </is>
      </c>
      <c r="B11" s="3" t="inlineStr">
        <is>
          <t>relations</t>
        </is>
      </c>
      <c r="C11" s="3" t="n">
        <v>0</v>
      </c>
      <c r="D11" s="3" t="inlineStr">
        <is>
          <t>S_W</t>
        </is>
      </c>
    </row>
    <row r="12" ht="30" customHeight="1">
      <c r="A12" s="2" t="inlineStr">
        <is>
          <t>2018::jama.2018.0156::C004</t>
        </is>
      </c>
      <c r="B12" s="2" t="inlineStr">
        <is>
          <t>relations</t>
        </is>
      </c>
      <c r="C12" s="2" t="n">
        <v>0</v>
      </c>
      <c r="D12" s="2" t="inlineStr">
        <is>
          <t>S_W</t>
        </is>
      </c>
    </row>
    <row r="13" ht="30" customHeight="1">
      <c r="A13" s="3" t="inlineStr">
        <is>
          <t>2018::jama.2018.0156::C005</t>
        </is>
      </c>
      <c r="B13" s="3" t="inlineStr">
        <is>
          <t>relations</t>
        </is>
      </c>
      <c r="C13" s="3" t="n">
        <v>0</v>
      </c>
      <c r="D13" s="3" t="inlineStr">
        <is>
          <t>S_W</t>
        </is>
      </c>
    </row>
    <row r="14" ht="30" customHeight="1">
      <c r="A14" s="2" t="inlineStr">
        <is>
          <t>2018::jama.2018.0156::C006</t>
        </is>
      </c>
      <c r="B14" s="2" t="inlineStr">
        <is>
          <t>relations</t>
        </is>
      </c>
      <c r="C14" s="2" t="n">
        <v>0</v>
      </c>
      <c r="D14" s="2" t="inlineStr">
        <is>
          <t>S_C</t>
        </is>
      </c>
    </row>
    <row r="15" ht="30" customHeight="1">
      <c r="A15" s="3" t="inlineStr">
        <is>
          <t>2018::jama.2018.0156::C007</t>
        </is>
      </c>
      <c r="B15" s="3" t="inlineStr">
        <is>
          <t>relations</t>
        </is>
      </c>
      <c r="C15" s="3" t="n">
        <v>0</v>
      </c>
      <c r="D15" s="3" t="inlineStr">
        <is>
          <t>P_R</t>
        </is>
      </c>
    </row>
    <row r="16" ht="30" customHeight="1">
      <c r="A16" s="2" t="inlineStr">
        <is>
          <t>2018::jama.2018.0156::C008</t>
        </is>
      </c>
      <c r="B16" s="2" t="inlineStr">
        <is>
          <t>relations</t>
        </is>
      </c>
      <c r="C16" s="2" t="n">
        <v>0</v>
      </c>
      <c r="D16" s="2" t="inlineStr">
        <is>
          <t>P_R</t>
        </is>
      </c>
    </row>
    <row r="17" ht="30" customHeight="1">
      <c r="A17" s="3" t="inlineStr">
        <is>
          <t>2018::jama.2018.0948::C001</t>
        </is>
      </c>
      <c r="B17" s="3" t="inlineStr">
        <is>
          <t>relations</t>
        </is>
      </c>
      <c r="C17" s="3" t="n">
        <v>0</v>
      </c>
      <c r="D17" s="3" t="inlineStr">
        <is>
          <t>P_R</t>
        </is>
      </c>
    </row>
    <row r="18" ht="30" customHeight="1">
      <c r="A18" s="2" t="inlineStr">
        <is>
          <t>2018::jama.2018.0948::C001</t>
        </is>
      </c>
      <c r="B18" s="2" t="inlineStr">
        <is>
          <t>relations</t>
        </is>
      </c>
      <c r="C18" s="2" t="n">
        <v>1</v>
      </c>
      <c r="D18" s="2" t="inlineStr">
        <is>
          <t>S_C</t>
        </is>
      </c>
    </row>
    <row r="19" ht="30" customHeight="1">
      <c r="A19" s="3" t="inlineStr">
        <is>
          <t>2018::jama.2018.0948::C002</t>
        </is>
      </c>
      <c r="B19" s="3" t="inlineStr">
        <is>
          <t>relations</t>
        </is>
      </c>
      <c r="C19" s="3" t="n">
        <v>0</v>
      </c>
      <c r="D19" s="3" t="inlineStr">
        <is>
          <t>P_P</t>
        </is>
      </c>
    </row>
    <row r="20" ht="30" customHeight="1">
      <c r="A20" s="2" t="inlineStr">
        <is>
          <t>2018::jama.2018.0948::C003</t>
        </is>
      </c>
      <c r="B20" s="2" t="inlineStr">
        <is>
          <t>relations</t>
        </is>
      </c>
      <c r="C20" s="2" t="n">
        <v>0</v>
      </c>
      <c r="D20" s="2" t="inlineStr">
        <is>
          <t>P_P</t>
        </is>
      </c>
    </row>
    <row r="21" ht="30" customHeight="1">
      <c r="A21" s="3" t="inlineStr">
        <is>
          <t>2018::jama.2018.0948::C004</t>
        </is>
      </c>
      <c r="B21" s="3" t="inlineStr">
        <is>
          <t>relations</t>
        </is>
      </c>
      <c r="C21" s="3" t="n">
        <v>0</v>
      </c>
      <c r="D21" s="3" t="inlineStr">
        <is>
          <t>P_P</t>
        </is>
      </c>
    </row>
    <row r="22" ht="30" customHeight="1">
      <c r="A22" s="2" t="inlineStr">
        <is>
          <t>2018::jama.2018.0948::C005</t>
        </is>
      </c>
      <c r="B22" s="2" t="inlineStr">
        <is>
          <t>relations</t>
        </is>
      </c>
      <c r="C22" s="2" t="n">
        <v>0</v>
      </c>
      <c r="D22" s="2" t="inlineStr">
        <is>
          <t>P_P</t>
        </is>
      </c>
    </row>
    <row r="23" ht="30" customHeight="1">
      <c r="A23" s="3" t="inlineStr">
        <is>
          <t>2018::jama.2018.0948::C005</t>
        </is>
      </c>
      <c r="B23" s="3" t="inlineStr">
        <is>
          <t>legacyRelations</t>
        </is>
      </c>
      <c r="C23" s="3" t="n">
        <v>0</v>
      </c>
      <c r="D23" s="3" t="inlineStr">
        <is>
          <t>P_B</t>
        </is>
      </c>
    </row>
    <row r="24" ht="30" customHeight="1">
      <c r="A24" s="2" t="inlineStr">
        <is>
          <t>2018::jama.2018.0948::C006</t>
        </is>
      </c>
      <c r="B24" s="2" t="inlineStr">
        <is>
          <t>relations</t>
        </is>
      </c>
      <c r="C24" s="2" t="n">
        <v>0</v>
      </c>
      <c r="D24" s="2" t="inlineStr">
        <is>
          <t>P_P</t>
        </is>
      </c>
    </row>
    <row r="25" ht="30" customHeight="1">
      <c r="A25" s="3" t="inlineStr">
        <is>
          <t>2018::jama.2018.0948::C007</t>
        </is>
      </c>
      <c r="B25" s="3" t="inlineStr">
        <is>
          <t>relations</t>
        </is>
      </c>
      <c r="C25" s="3" t="n">
        <v>0</v>
      </c>
      <c r="D25" s="3" t="inlineStr">
        <is>
          <t>P_P</t>
        </is>
      </c>
    </row>
    <row r="26" ht="30" customHeight="1">
      <c r="A26" s="2" t="inlineStr">
        <is>
          <t>2018::jama.2018.0948::C007</t>
        </is>
      </c>
      <c r="B26" s="2" t="inlineStr">
        <is>
          <t>legacyRelations</t>
        </is>
      </c>
      <c r="C26" s="2" t="n">
        <v>0</v>
      </c>
      <c r="D26" s="2" t="inlineStr">
        <is>
          <t>P_B</t>
        </is>
      </c>
    </row>
    <row r="27" ht="30" customHeight="1">
      <c r="A27" s="3" t="inlineStr">
        <is>
          <t>2018::jama.2018.14280::C001</t>
        </is>
      </c>
      <c r="B27" s="3" t="inlineStr">
        <is>
          <t>relations</t>
        </is>
      </c>
      <c r="C27" s="3" t="n">
        <v>0</v>
      </c>
      <c r="D27" s="3" t="inlineStr">
        <is>
          <t>S_W</t>
        </is>
      </c>
    </row>
    <row r="28" ht="30" customHeight="1">
      <c r="A28" s="2" t="inlineStr">
        <is>
          <t>2018::jama.2018.14280::C002</t>
        </is>
      </c>
      <c r="B28" s="2" t="inlineStr">
        <is>
          <t>relations</t>
        </is>
      </c>
      <c r="C28" s="2" t="n">
        <v>0</v>
      </c>
      <c r="D28" s="2" t="inlineStr">
        <is>
          <t>S_W</t>
        </is>
      </c>
    </row>
    <row r="29" ht="30" customHeight="1">
      <c r="A29" s="3" t="inlineStr">
        <is>
          <t>2018::jama.2018.14280::C003</t>
        </is>
      </c>
      <c r="B29" s="3" t="inlineStr">
        <is>
          <t>relations</t>
        </is>
      </c>
      <c r="C29" s="3" t="n">
        <v>0</v>
      </c>
      <c r="D29" s="3" t="inlineStr">
        <is>
          <t>S_W</t>
        </is>
      </c>
    </row>
    <row r="30" ht="30" customHeight="1">
      <c r="A30" s="2" t="inlineStr">
        <is>
          <t>2018::jama.2018.14280::C004</t>
        </is>
      </c>
      <c r="B30" s="2" t="inlineStr">
        <is>
          <t>relations</t>
        </is>
      </c>
      <c r="C30" s="2" t="n">
        <v>0</v>
      </c>
      <c r="D30" s="2" t="inlineStr">
        <is>
          <t>S_W</t>
        </is>
      </c>
    </row>
    <row r="31" ht="30" customHeight="1">
      <c r="A31" s="3" t="inlineStr">
        <is>
          <t>2018::jama.2018.14280::C005</t>
        </is>
      </c>
      <c r="B31" s="3" t="inlineStr">
        <is>
          <t>relations</t>
        </is>
      </c>
      <c r="C31" s="3" t="n">
        <v>0</v>
      </c>
      <c r="D31" s="3" t="inlineStr">
        <is>
          <t>S_W</t>
        </is>
      </c>
    </row>
    <row r="32" ht="30" customHeight="1">
      <c r="A32" s="2" t="inlineStr">
        <is>
          <t>2018::jama.2018.14280::C006</t>
        </is>
      </c>
      <c r="B32" s="2" t="inlineStr">
        <is>
          <t>relations</t>
        </is>
      </c>
      <c r="C32" s="2" t="n">
        <v>0</v>
      </c>
      <c r="D32" s="2" t="inlineStr">
        <is>
          <t>S_W</t>
        </is>
      </c>
    </row>
    <row r="33" ht="30" customHeight="1">
      <c r="A33" s="3" t="inlineStr">
        <is>
          <t>2018::jama.2018.14280::C007</t>
        </is>
      </c>
      <c r="B33" s="3" t="inlineStr">
        <is>
          <t>relations</t>
        </is>
      </c>
      <c r="C33" s="3" t="n">
        <v>0</v>
      </c>
      <c r="D33" s="3" t="inlineStr">
        <is>
          <t>S_W</t>
        </is>
      </c>
    </row>
    <row r="34" ht="30" customHeight="1">
      <c r="A34" s="2" t="inlineStr">
        <is>
          <t>2018::jama.2018.14280::C008</t>
        </is>
      </c>
      <c r="B34" s="2" t="inlineStr">
        <is>
          <t>relations</t>
        </is>
      </c>
      <c r="C34" s="2" t="n">
        <v>0</v>
      </c>
      <c r="D34" s="2" t="inlineStr">
        <is>
          <t>S_W</t>
        </is>
      </c>
    </row>
    <row r="35" ht="30" customHeight="1">
      <c r="A35" s="3" t="inlineStr">
        <is>
          <t>2018::jama.2018.14280::C009</t>
        </is>
      </c>
      <c r="B35" s="3" t="inlineStr">
        <is>
          <t>relations</t>
        </is>
      </c>
      <c r="C35" s="3" t="n">
        <v>0</v>
      </c>
      <c r="D35" s="3" t="inlineStr">
        <is>
          <t>S_W</t>
        </is>
      </c>
    </row>
    <row r="36" ht="30" customHeight="1">
      <c r="A36" s="2" t="inlineStr">
        <is>
          <t>2018::jama.2018.14280::C010</t>
        </is>
      </c>
      <c r="B36" s="2" t="inlineStr">
        <is>
          <t>relations</t>
        </is>
      </c>
      <c r="C36" s="2" t="n">
        <v>0</v>
      </c>
      <c r="D36" s="2" t="inlineStr">
        <is>
          <t>S_W</t>
        </is>
      </c>
    </row>
    <row r="37" ht="30" customHeight="1">
      <c r="A37" s="3" t="inlineStr">
        <is>
          <t>2018::jama.2018.14280::C011</t>
        </is>
      </c>
      <c r="B37" s="3" t="inlineStr">
        <is>
          <t>relations</t>
        </is>
      </c>
      <c r="C37" s="3" t="n">
        <v>0</v>
      </c>
      <c r="D37" s="3" t="inlineStr">
        <is>
          <t>S_W</t>
        </is>
      </c>
    </row>
    <row r="38" ht="30" customHeight="1">
      <c r="A38" s="2" t="inlineStr">
        <is>
          <t>2018::jama.2018.14280::C012</t>
        </is>
      </c>
      <c r="B38" s="2" t="inlineStr">
        <is>
          <t>relations</t>
        </is>
      </c>
      <c r="C38" s="2" t="n">
        <v>0</v>
      </c>
      <c r="D38" s="2" t="inlineStr">
        <is>
          <t>S_W</t>
        </is>
      </c>
    </row>
    <row r="39" ht="30" customHeight="1">
      <c r="A39" s="3" t="inlineStr">
        <is>
          <t>2018::jama.2018.14280::C013</t>
        </is>
      </c>
      <c r="B39" s="3" t="inlineStr">
        <is>
          <t>relations</t>
        </is>
      </c>
      <c r="C39" s="3" t="n">
        <v>0</v>
      </c>
      <c r="D39" s="3" t="inlineStr">
        <is>
          <t>S_W</t>
        </is>
      </c>
    </row>
    <row r="40" ht="30" customHeight="1">
      <c r="A40" s="2" t="inlineStr">
        <is>
          <t>2018::jama.2018.14280::C014</t>
        </is>
      </c>
      <c r="B40" s="2" t="inlineStr">
        <is>
          <t>relations</t>
        </is>
      </c>
      <c r="C40" s="2" t="n">
        <v>0</v>
      </c>
      <c r="D40" s="2" t="inlineStr">
        <is>
          <t>S_W</t>
        </is>
      </c>
    </row>
    <row r="41" ht="30" customHeight="1">
      <c r="A41" s="3" t="inlineStr">
        <is>
          <t>2018::jama.2018.14280::C015</t>
        </is>
      </c>
      <c r="B41" s="3" t="inlineStr">
        <is>
          <t>relations</t>
        </is>
      </c>
      <c r="C41" s="3" t="n">
        <v>0</v>
      </c>
      <c r="D41" s="3" t="inlineStr">
        <is>
          <t>S_W</t>
        </is>
      </c>
    </row>
    <row r="42" ht="30" customHeight="1">
      <c r="A42" s="2" t="inlineStr">
        <is>
          <t>2018::jama.2018.14280::C016</t>
        </is>
      </c>
      <c r="B42" s="2" t="inlineStr">
        <is>
          <t>relations</t>
        </is>
      </c>
      <c r="C42" s="2" t="n">
        <v>0</v>
      </c>
      <c r="D42" s="2" t="inlineStr">
        <is>
          <t>S_W</t>
        </is>
      </c>
    </row>
    <row r="43" ht="30" customHeight="1">
      <c r="A43" s="3" t="inlineStr">
        <is>
          <t>2018::jama.2018.14280::C017</t>
        </is>
      </c>
      <c r="B43" s="3" t="inlineStr">
        <is>
          <t>relations</t>
        </is>
      </c>
      <c r="C43" s="3" t="n">
        <v>0</v>
      </c>
      <c r="D43" s="3" t="inlineStr">
        <is>
          <t>S_W</t>
        </is>
      </c>
    </row>
    <row r="44" ht="30" customHeight="1">
      <c r="A44" s="2" t="inlineStr">
        <is>
          <t>2018::jama.2018.14280::C018</t>
        </is>
      </c>
      <c r="B44" s="2" t="inlineStr">
        <is>
          <t>relations</t>
        </is>
      </c>
      <c r="C44" s="2" t="n">
        <v>0</v>
      </c>
      <c r="D44" s="2" t="inlineStr">
        <is>
          <t>S_W</t>
        </is>
      </c>
    </row>
    <row r="45" ht="30" customHeight="1">
      <c r="A45" s="3" t="inlineStr">
        <is>
          <t>2018::jama.2018.14280::C019</t>
        </is>
      </c>
      <c r="B45" s="3" t="inlineStr">
        <is>
          <t>relations</t>
        </is>
      </c>
      <c r="C45" s="3" t="n">
        <v>0</v>
      </c>
      <c r="D45" s="3" t="inlineStr">
        <is>
          <t>S_W</t>
        </is>
      </c>
    </row>
    <row r="46" ht="30" customHeight="1">
      <c r="A46" s="2" t="inlineStr">
        <is>
          <t>2018::jama.2018.14280::C020</t>
        </is>
      </c>
      <c r="B46" s="2" t="inlineStr">
        <is>
          <t>relations</t>
        </is>
      </c>
      <c r="C46" s="2" t="n">
        <v>0</v>
      </c>
      <c r="D46" s="2" t="inlineStr">
        <is>
          <t>S_W</t>
        </is>
      </c>
    </row>
    <row r="47" ht="30" customHeight="1">
      <c r="A47" s="3" t="inlineStr">
        <is>
          <t>2018::jama.2018.14280::C021</t>
        </is>
      </c>
      <c r="B47" s="3" t="inlineStr">
        <is>
          <t>relations</t>
        </is>
      </c>
      <c r="C47" s="3" t="n">
        <v>0</v>
      </c>
      <c r="D47" s="3" t="inlineStr">
        <is>
          <t>S_W</t>
        </is>
      </c>
    </row>
    <row r="48" ht="30" customHeight="1">
      <c r="A48" s="2" t="inlineStr">
        <is>
          <t>2018::jama.2018.14280::C022</t>
        </is>
      </c>
      <c r="B48" s="2" t="inlineStr">
        <is>
          <t>relations</t>
        </is>
      </c>
      <c r="C48" s="2" t="n">
        <v>0</v>
      </c>
      <c r="D48" s="2" t="inlineStr">
        <is>
          <t>S_C</t>
        </is>
      </c>
    </row>
    <row r="49" ht="30" customHeight="1">
      <c r="A49" s="3" t="inlineStr">
        <is>
          <t>2018::jama.2018.14280::C023</t>
        </is>
      </c>
      <c r="B49" s="3" t="inlineStr">
        <is>
          <t>relations</t>
        </is>
      </c>
      <c r="C49" s="3" t="n">
        <v>0</v>
      </c>
      <c r="D49" s="3" t="inlineStr">
        <is>
          <t>P_R</t>
        </is>
      </c>
    </row>
    <row r="50" ht="30" customHeight="1">
      <c r="A50" s="2" t="inlineStr">
        <is>
          <t>2018::jama.2018.14282::C001</t>
        </is>
      </c>
      <c r="B50" s="2" t="inlineStr">
        <is>
          <t>relations</t>
        </is>
      </c>
      <c r="C50" s="2" t="n">
        <v>0</v>
      </c>
      <c r="D50" s="2" t="inlineStr">
        <is>
          <t>S_W</t>
        </is>
      </c>
    </row>
    <row r="51" ht="30" customHeight="1">
      <c r="A51" s="3" t="inlineStr">
        <is>
          <t>2018::jama.2018.14282::C002</t>
        </is>
      </c>
      <c r="B51" s="3" t="inlineStr">
        <is>
          <t>relations</t>
        </is>
      </c>
      <c r="C51" s="3" t="n">
        <v>0</v>
      </c>
      <c r="D51" s="3" t="inlineStr">
        <is>
          <t>S_W</t>
        </is>
      </c>
    </row>
    <row r="52" ht="30" customHeight="1">
      <c r="A52" s="2" t="inlineStr">
        <is>
          <t>2018::jama.2018.14282::C003</t>
        </is>
      </c>
      <c r="B52" s="2" t="inlineStr">
        <is>
          <t>relations</t>
        </is>
      </c>
      <c r="C52" s="2" t="n">
        <v>0</v>
      </c>
      <c r="D52" s="2" t="inlineStr">
        <is>
          <t>S_W</t>
        </is>
      </c>
    </row>
    <row r="53" ht="30" customHeight="1">
      <c r="A53" s="3" t="inlineStr">
        <is>
          <t>2018::jama.2018.14282::C004</t>
        </is>
      </c>
      <c r="B53" s="3" t="inlineStr">
        <is>
          <t>relations</t>
        </is>
      </c>
      <c r="C53" s="3" t="n">
        <v>0</v>
      </c>
      <c r="D53" s="3" t="inlineStr">
        <is>
          <t>S_W</t>
        </is>
      </c>
    </row>
    <row r="54" ht="30" customHeight="1">
      <c r="A54" s="2" t="inlineStr">
        <is>
          <t>2018::jama.2018.14282::C005</t>
        </is>
      </c>
      <c r="B54" s="2" t="inlineStr">
        <is>
          <t>relations</t>
        </is>
      </c>
      <c r="C54" s="2" t="n">
        <v>0</v>
      </c>
      <c r="D54" s="2" t="inlineStr">
        <is>
          <t>S_W</t>
        </is>
      </c>
    </row>
    <row r="55" ht="30" customHeight="1">
      <c r="A55" s="3" t="inlineStr">
        <is>
          <t>2018::jama.2018.14282::C006</t>
        </is>
      </c>
      <c r="B55" s="3" t="inlineStr">
        <is>
          <t>relations</t>
        </is>
      </c>
      <c r="C55" s="3" t="n">
        <v>0</v>
      </c>
      <c r="D55" s="3" t="inlineStr">
        <is>
          <t>S_W</t>
        </is>
      </c>
    </row>
    <row r="56" ht="30" customHeight="1">
      <c r="A56" s="2" t="inlineStr">
        <is>
          <t>2018::jama.2018.14282::C007</t>
        </is>
      </c>
      <c r="B56" s="2" t="inlineStr">
        <is>
          <t>relations</t>
        </is>
      </c>
      <c r="C56" s="2" t="n">
        <v>0</v>
      </c>
      <c r="D56" s="2" t="inlineStr">
        <is>
          <t>S_W</t>
        </is>
      </c>
    </row>
    <row r="57" ht="30" customHeight="1">
      <c r="A57" s="3" t="inlineStr">
        <is>
          <t>2018::jama.2018.14282::C008</t>
        </is>
      </c>
      <c r="B57" s="3" t="inlineStr">
        <is>
          <t>relations</t>
        </is>
      </c>
      <c r="C57" s="3" t="n">
        <v>0</v>
      </c>
      <c r="D57" s="3" t="inlineStr">
        <is>
          <t>S_W</t>
        </is>
      </c>
    </row>
    <row r="58" ht="30" customHeight="1">
      <c r="A58" s="2" t="inlineStr">
        <is>
          <t>2018::jama.2018.14282::C009</t>
        </is>
      </c>
      <c r="B58" s="2" t="inlineStr">
        <is>
          <t>relations</t>
        </is>
      </c>
      <c r="C58" s="2" t="n">
        <v>0</v>
      </c>
      <c r="D58" s="2" t="inlineStr">
        <is>
          <t>S_W</t>
        </is>
      </c>
    </row>
    <row r="59" ht="30" customHeight="1">
      <c r="A59" s="3" t="inlineStr">
        <is>
          <t>2018::jama.2018.14282::C010</t>
        </is>
      </c>
      <c r="B59" s="3" t="inlineStr">
        <is>
          <t>relations</t>
        </is>
      </c>
      <c r="C59" s="3" t="n">
        <v>0</v>
      </c>
      <c r="D59" s="3" t="inlineStr">
        <is>
          <t>S_W</t>
        </is>
      </c>
    </row>
    <row r="60" ht="30" customHeight="1">
      <c r="A60" s="2" t="inlineStr">
        <is>
          <t>2018::jama.2018.14282::C011</t>
        </is>
      </c>
      <c r="B60" s="2" t="inlineStr">
        <is>
          <t>relations</t>
        </is>
      </c>
      <c r="C60" s="2" t="n">
        <v>0</v>
      </c>
      <c r="D60" s="2" t="inlineStr">
        <is>
          <t>S_W</t>
        </is>
      </c>
    </row>
    <row r="61" ht="30" customHeight="1">
      <c r="A61" s="3" t="inlineStr">
        <is>
          <t>2018::jama.2018.14282::C012</t>
        </is>
      </c>
      <c r="B61" s="3" t="inlineStr">
        <is>
          <t>relations</t>
        </is>
      </c>
      <c r="C61" s="3" t="n">
        <v>0</v>
      </c>
      <c r="D61" s="3" t="inlineStr">
        <is>
          <t>S_W</t>
        </is>
      </c>
    </row>
    <row r="62" ht="30" customHeight="1">
      <c r="A62" s="2" t="inlineStr">
        <is>
          <t>2018::jama.2018.14282::C013</t>
        </is>
      </c>
      <c r="B62" s="2" t="inlineStr">
        <is>
          <t>relations</t>
        </is>
      </c>
      <c r="C62" s="2" t="n">
        <v>0</v>
      </c>
      <c r="D62" s="2" t="inlineStr">
        <is>
          <t>S_W</t>
        </is>
      </c>
    </row>
    <row r="63" ht="30" customHeight="1">
      <c r="A63" s="3" t="inlineStr">
        <is>
          <t>2018::jama.2018.14282::C014</t>
        </is>
      </c>
      <c r="B63" s="3" t="inlineStr">
        <is>
          <t>relations</t>
        </is>
      </c>
      <c r="C63" s="3" t="n">
        <v>0</v>
      </c>
      <c r="D63" s="3" t="inlineStr">
        <is>
          <t>S_W</t>
        </is>
      </c>
    </row>
    <row r="64" ht="30" customHeight="1">
      <c r="A64" s="2" t="inlineStr">
        <is>
          <t>2018::jama.2018.14282::C015</t>
        </is>
      </c>
      <c r="B64" s="2" t="inlineStr">
        <is>
          <t>relations</t>
        </is>
      </c>
      <c r="C64" s="2" t="n">
        <v>0</v>
      </c>
      <c r="D64" s="2" t="inlineStr">
        <is>
          <t>S_W</t>
        </is>
      </c>
    </row>
    <row r="65" ht="30" customHeight="1">
      <c r="A65" s="3" t="inlineStr">
        <is>
          <t>2018::jama.2018.14282::C016</t>
        </is>
      </c>
      <c r="B65" s="3" t="inlineStr">
        <is>
          <t>relations</t>
        </is>
      </c>
      <c r="C65" s="3" t="n">
        <v>0</v>
      </c>
      <c r="D65" s="3" t="inlineStr">
        <is>
          <t>S_W</t>
        </is>
      </c>
    </row>
    <row r="66" ht="30" customHeight="1">
      <c r="A66" s="2" t="inlineStr">
        <is>
          <t>2018::jama.2018.14282::C017</t>
        </is>
      </c>
      <c r="B66" s="2" t="inlineStr">
        <is>
          <t>relations</t>
        </is>
      </c>
      <c r="C66" s="2" t="n">
        <v>0</v>
      </c>
      <c r="D66" s="2" t="inlineStr">
        <is>
          <t>S_W</t>
        </is>
      </c>
    </row>
    <row r="67" ht="30" customHeight="1">
      <c r="A67" s="3" t="inlineStr">
        <is>
          <t>2018::jama.2018.14282::C018</t>
        </is>
      </c>
      <c r="B67" s="3" t="inlineStr">
        <is>
          <t>relations</t>
        </is>
      </c>
      <c r="C67" s="3" t="n">
        <v>0</v>
      </c>
      <c r="D67" s="3" t="inlineStr">
        <is>
          <t>S_W</t>
        </is>
      </c>
    </row>
    <row r="68" ht="30" customHeight="1">
      <c r="A68" s="2" t="inlineStr">
        <is>
          <t>2018::jama.2018.14282::C019</t>
        </is>
      </c>
      <c r="B68" s="2" t="inlineStr">
        <is>
          <t>relations</t>
        </is>
      </c>
      <c r="C68" s="2" t="n">
        <v>0</v>
      </c>
      <c r="D68" s="2" t="inlineStr">
        <is>
          <t>S_W</t>
        </is>
      </c>
    </row>
    <row r="69" ht="30" customHeight="1">
      <c r="A69" s="3" t="inlineStr">
        <is>
          <t>2018::jama.2018.14282::C020</t>
        </is>
      </c>
      <c r="B69" s="3" t="inlineStr">
        <is>
          <t>relations</t>
        </is>
      </c>
      <c r="C69" s="3" t="n">
        <v>0</v>
      </c>
      <c r="D69" s="3" t="inlineStr">
        <is>
          <t>S_W</t>
        </is>
      </c>
    </row>
    <row r="70" ht="30" customHeight="1">
      <c r="A70" s="2" t="inlineStr">
        <is>
          <t>2018::jama.2018.14282::C021</t>
        </is>
      </c>
      <c r="B70" s="2" t="inlineStr">
        <is>
          <t>relations</t>
        </is>
      </c>
      <c r="C70" s="2" t="n">
        <v>0</v>
      </c>
      <c r="D70" s="2" t="inlineStr">
        <is>
          <t>S_W</t>
        </is>
      </c>
    </row>
    <row r="71" ht="30" customHeight="1">
      <c r="A71" s="3" t="inlineStr">
        <is>
          <t>2018::jama.2018.14282::C022</t>
        </is>
      </c>
      <c r="B71" s="3" t="inlineStr">
        <is>
          <t>relations</t>
        </is>
      </c>
      <c r="C71" s="3" t="n">
        <v>0</v>
      </c>
      <c r="D71" s="3" t="inlineStr">
        <is>
          <t>S_C</t>
        </is>
      </c>
    </row>
    <row r="72" ht="30" customHeight="1">
      <c r="A72" s="2" t="inlineStr">
        <is>
          <t>2018::jama.2018.14282::C023</t>
        </is>
      </c>
      <c r="B72" s="2" t="inlineStr">
        <is>
          <t>relations</t>
        </is>
      </c>
      <c r="C72" s="2" t="n">
        <v>0</v>
      </c>
      <c r="D72" s="2" t="inlineStr">
        <is>
          <t>S_W</t>
        </is>
      </c>
    </row>
    <row r="73" ht="30" customHeight="1">
      <c r="A73" s="3" t="inlineStr">
        <is>
          <t>2018::jama.2018.14282::C024</t>
        </is>
      </c>
      <c r="B73" s="3" t="inlineStr">
        <is>
          <t>relations</t>
        </is>
      </c>
      <c r="C73" s="3" t="n">
        <v>0</v>
      </c>
      <c r="D73" s="3" t="inlineStr">
        <is>
          <t>S_W</t>
        </is>
      </c>
    </row>
    <row r="74" ht="30" customHeight="1">
      <c r="A74" s="2" t="inlineStr">
        <is>
          <t>2018::jama.2018.14282::C025</t>
        </is>
      </c>
      <c r="B74" s="2" t="inlineStr">
        <is>
          <t>relations</t>
        </is>
      </c>
      <c r="C74" s="2" t="n">
        <v>0</v>
      </c>
      <c r="D74" s="2" t="inlineStr">
        <is>
          <t>S_W</t>
        </is>
      </c>
    </row>
    <row r="75" ht="30" customHeight="1">
      <c r="A75" s="3" t="inlineStr">
        <is>
          <t>2018::jama.2018.14282::C026</t>
        </is>
      </c>
      <c r="B75" s="3" t="inlineStr">
        <is>
          <t>relations</t>
        </is>
      </c>
      <c r="C75" s="3" t="n">
        <v>0</v>
      </c>
      <c r="D75" s="3" t="inlineStr">
        <is>
          <t>P_P</t>
        </is>
      </c>
    </row>
    <row r="76" ht="30" customHeight="1">
      <c r="A76" s="2" t="inlineStr">
        <is>
          <t>2018::jama.2018.14282::C027</t>
        </is>
      </c>
      <c r="B76" s="2" t="inlineStr">
        <is>
          <t>relations</t>
        </is>
      </c>
      <c r="C76" s="2" t="n">
        <v>0</v>
      </c>
      <c r="D76" s="2" t="inlineStr">
        <is>
          <t>P_P</t>
        </is>
      </c>
    </row>
    <row r="77" ht="30" customHeight="1">
      <c r="A77" s="3" t="inlineStr">
        <is>
          <t>2018::jama.2018.14282::C028</t>
        </is>
      </c>
      <c r="B77" s="3" t="inlineStr">
        <is>
          <t>relations</t>
        </is>
      </c>
      <c r="C77" s="3" t="n">
        <v>0</v>
      </c>
      <c r="D77" s="3" t="inlineStr">
        <is>
          <t>P_P</t>
        </is>
      </c>
    </row>
    <row r="78" ht="30" customHeight="1">
      <c r="A78" s="2" t="inlineStr">
        <is>
          <t>2018::jama.2018.17075::C001</t>
        </is>
      </c>
      <c r="B78" s="2" t="inlineStr">
        <is>
          <t>relations</t>
        </is>
      </c>
      <c r="C78" s="2" t="n">
        <v>0</v>
      </c>
      <c r="D78" s="2" t="inlineStr">
        <is>
          <t>S_W</t>
        </is>
      </c>
    </row>
    <row r="79" ht="30" customHeight="1">
      <c r="A79" s="3" t="inlineStr">
        <is>
          <t>2018::jama.2018.17075::C002</t>
        </is>
      </c>
      <c r="B79" s="3" t="inlineStr">
        <is>
          <t>relations</t>
        </is>
      </c>
      <c r="C79" s="3" t="n">
        <v>0</v>
      </c>
      <c r="D79" s="3" t="inlineStr">
        <is>
          <t>S_W</t>
        </is>
      </c>
    </row>
    <row r="80" ht="30" customHeight="1">
      <c r="A80" s="2" t="inlineStr">
        <is>
          <t>2018::jama.2018.17075::C003</t>
        </is>
      </c>
      <c r="B80" s="2" t="inlineStr">
        <is>
          <t>relations</t>
        </is>
      </c>
      <c r="C80" s="2" t="n">
        <v>0</v>
      </c>
      <c r="D80" s="2" t="inlineStr">
        <is>
          <t>S_C</t>
        </is>
      </c>
    </row>
    <row r="81" ht="30" customHeight="1">
      <c r="A81" s="3" t="inlineStr">
        <is>
          <t>2018::jama.2018.17075::C003</t>
        </is>
      </c>
      <c r="B81" s="3" t="inlineStr">
        <is>
          <t>relations</t>
        </is>
      </c>
      <c r="C81" s="3" t="n">
        <v>1</v>
      </c>
      <c r="D81" s="3" t="inlineStr">
        <is>
          <t>S_W</t>
        </is>
      </c>
    </row>
    <row r="82" ht="30" customHeight="1">
      <c r="A82" s="2" t="inlineStr">
        <is>
          <t>2018::jama.2018.17075::C004</t>
        </is>
      </c>
      <c r="B82" s="2" t="inlineStr">
        <is>
          <t>relations</t>
        </is>
      </c>
      <c r="C82" s="2" t="n">
        <v>0</v>
      </c>
      <c r="D82" s="2" t="inlineStr">
        <is>
          <t>S_C</t>
        </is>
      </c>
    </row>
    <row r="83" ht="30" customHeight="1">
      <c r="A83" s="3" t="inlineStr">
        <is>
          <t>2018::jama.2018.17075::C004</t>
        </is>
      </c>
      <c r="B83" s="3" t="inlineStr">
        <is>
          <t>relations</t>
        </is>
      </c>
      <c r="C83" s="3" t="n">
        <v>1</v>
      </c>
      <c r="D83" s="3" t="inlineStr">
        <is>
          <t>S_W</t>
        </is>
      </c>
    </row>
    <row r="84" ht="30" customHeight="1">
      <c r="A84" s="2" t="inlineStr">
        <is>
          <t>2018::jama.2018.17075::C005</t>
        </is>
      </c>
      <c r="B84" s="2" t="inlineStr">
        <is>
          <t>relations</t>
        </is>
      </c>
      <c r="C84" s="2" t="n">
        <v>0</v>
      </c>
      <c r="D84" s="2" t="inlineStr">
        <is>
          <t>S_W</t>
        </is>
      </c>
    </row>
    <row r="85" ht="30" customHeight="1">
      <c r="A85" s="3" t="inlineStr">
        <is>
          <t>2018::jama.2018.17075::C006</t>
        </is>
      </c>
      <c r="B85" s="3" t="inlineStr">
        <is>
          <t>relations</t>
        </is>
      </c>
      <c r="C85" s="3" t="n">
        <v>0</v>
      </c>
      <c r="D85" s="3" t="inlineStr">
        <is>
          <t>S_W</t>
        </is>
      </c>
    </row>
    <row r="86" ht="30" customHeight="1">
      <c r="A86" s="2" t="inlineStr">
        <is>
          <t>2018::jama.2018.17075::C007</t>
        </is>
      </c>
      <c r="B86" s="2" t="inlineStr">
        <is>
          <t>relations</t>
        </is>
      </c>
      <c r="C86" s="2" t="n">
        <v>0</v>
      </c>
      <c r="D86" s="2" t="inlineStr">
        <is>
          <t>S_W</t>
        </is>
      </c>
    </row>
    <row r="87" ht="30" customHeight="1">
      <c r="A87" s="3" t="inlineStr">
        <is>
          <t>2018::jama.2018.17075::C008</t>
        </is>
      </c>
      <c r="B87" s="3" t="inlineStr">
        <is>
          <t>relations</t>
        </is>
      </c>
      <c r="C87" s="3" t="n">
        <v>0</v>
      </c>
      <c r="D87" s="3" t="inlineStr">
        <is>
          <t>S_W</t>
        </is>
      </c>
    </row>
    <row r="88" ht="30" customHeight="1">
      <c r="A88" s="2" t="inlineStr">
        <is>
          <t>2018::jama.2018.18020::C001</t>
        </is>
      </c>
      <c r="B88" s="2" t="inlineStr">
        <is>
          <t>relations</t>
        </is>
      </c>
      <c r="C88" s="2" t="n">
        <v>0</v>
      </c>
      <c r="D88" s="2" t="inlineStr">
        <is>
          <t>S_W</t>
        </is>
      </c>
    </row>
    <row r="89" ht="30" customHeight="1">
      <c r="A89" s="3" t="inlineStr">
        <is>
          <t>2018::jama.2018.18020::C002</t>
        </is>
      </c>
      <c r="B89" s="3" t="inlineStr">
        <is>
          <t>relations</t>
        </is>
      </c>
      <c r="C89" s="3" t="n">
        <v>0</v>
      </c>
      <c r="D89" s="3" t="inlineStr">
        <is>
          <t>S_W</t>
        </is>
      </c>
    </row>
    <row r="90" ht="30" customHeight="1">
      <c r="A90" s="2" t="inlineStr">
        <is>
          <t>2018::jama.2018.18020::C003</t>
        </is>
      </c>
      <c r="B90" s="2" t="inlineStr">
        <is>
          <t>relations</t>
        </is>
      </c>
      <c r="C90" s="2" t="n">
        <v>0</v>
      </c>
      <c r="D90" s="2" t="inlineStr">
        <is>
          <t>S_W</t>
        </is>
      </c>
    </row>
    <row r="91" ht="30" customHeight="1">
      <c r="A91" s="3" t="inlineStr">
        <is>
          <t>2018::jama.2018.18020::C004</t>
        </is>
      </c>
      <c r="B91" s="3" t="inlineStr">
        <is>
          <t>relations</t>
        </is>
      </c>
      <c r="C91" s="3" t="n">
        <v>0</v>
      </c>
      <c r="D91" s="3" t="inlineStr">
        <is>
          <t>S_W</t>
        </is>
      </c>
    </row>
    <row r="92" ht="30" customHeight="1">
      <c r="A92" s="2" t="inlineStr">
        <is>
          <t>2018::jama.2018.18020::C005</t>
        </is>
      </c>
      <c r="B92" s="2" t="inlineStr">
        <is>
          <t>relations</t>
        </is>
      </c>
      <c r="C92" s="2" t="n">
        <v>0</v>
      </c>
      <c r="D92" s="2" t="inlineStr">
        <is>
          <t>S_W</t>
        </is>
      </c>
    </row>
    <row r="93" ht="30" customHeight="1">
      <c r="A93" s="3" t="inlineStr">
        <is>
          <t>2018::jama.2018.18020::C006</t>
        </is>
      </c>
      <c r="B93" s="3" t="inlineStr">
        <is>
          <t>relations</t>
        </is>
      </c>
      <c r="C93" s="3" t="n">
        <v>0</v>
      </c>
      <c r="D93" s="3" t="inlineStr">
        <is>
          <t>S_W</t>
        </is>
      </c>
    </row>
    <row r="94" ht="30" customHeight="1">
      <c r="A94" s="2" t="inlineStr">
        <is>
          <t>2018::jama.2018.18020::C007</t>
        </is>
      </c>
      <c r="B94" s="2" t="inlineStr">
        <is>
          <t>relations</t>
        </is>
      </c>
      <c r="C94" s="2" t="n">
        <v>0</v>
      </c>
      <c r="D94" s="2" t="inlineStr">
        <is>
          <t>S_W</t>
        </is>
      </c>
    </row>
    <row r="95" ht="30" customHeight="1">
      <c r="A95" s="3" t="inlineStr">
        <is>
          <t>2018::jama.2018.18020::C008</t>
        </is>
      </c>
      <c r="B95" s="3" t="inlineStr">
        <is>
          <t>relations</t>
        </is>
      </c>
      <c r="C95" s="3" t="n">
        <v>0</v>
      </c>
      <c r="D95" s="3" t="inlineStr">
        <is>
          <t>S_W</t>
        </is>
      </c>
    </row>
    <row r="96" ht="30" customHeight="1">
      <c r="A96" s="2" t="inlineStr">
        <is>
          <t>2018::jama.2018.18020::C009</t>
        </is>
      </c>
      <c r="B96" s="2" t="inlineStr">
        <is>
          <t>relations</t>
        </is>
      </c>
      <c r="C96" s="2" t="n">
        <v>0</v>
      </c>
      <c r="D96" s="2" t="inlineStr">
        <is>
          <t>S_W</t>
        </is>
      </c>
    </row>
    <row r="97" ht="30" customHeight="1">
      <c r="A97" s="3" t="inlineStr">
        <is>
          <t>2018::jama.2018.18020::C010</t>
        </is>
      </c>
      <c r="B97" s="3" t="inlineStr">
        <is>
          <t>relations</t>
        </is>
      </c>
      <c r="C97" s="3" t="n">
        <v>0</v>
      </c>
      <c r="D97" s="3" t="inlineStr">
        <is>
          <t>S_W</t>
        </is>
      </c>
    </row>
    <row r="98" ht="30" customHeight="1">
      <c r="A98" s="2" t="inlineStr">
        <is>
          <t>2018::jama.2018.18020::C011</t>
        </is>
      </c>
      <c r="B98" s="2" t="inlineStr">
        <is>
          <t>relations</t>
        </is>
      </c>
      <c r="C98" s="2" t="n">
        <v>0</v>
      </c>
      <c r="D98" s="2" t="inlineStr">
        <is>
          <t>S_W</t>
        </is>
      </c>
    </row>
    <row r="99" ht="30" customHeight="1">
      <c r="A99" s="3" t="inlineStr">
        <is>
          <t>2018::jama.2018.18020::C012</t>
        </is>
      </c>
      <c r="B99" s="3" t="inlineStr">
        <is>
          <t>relations</t>
        </is>
      </c>
      <c r="C99" s="3" t="n">
        <v>0</v>
      </c>
      <c r="D99" s="3" t="inlineStr">
        <is>
          <t>S_W</t>
        </is>
      </c>
    </row>
    <row r="100" ht="30" customHeight="1">
      <c r="A100" s="2" t="inlineStr">
        <is>
          <t>2018::jama.2018.18020::C013</t>
        </is>
      </c>
      <c r="B100" s="2" t="inlineStr">
        <is>
          <t>relations</t>
        </is>
      </c>
      <c r="C100" s="2" t="n">
        <v>0</v>
      </c>
      <c r="D100" s="2" t="inlineStr">
        <is>
          <t>S_W</t>
        </is>
      </c>
    </row>
    <row r="101" ht="30" customHeight="1">
      <c r="A101" s="3" t="inlineStr">
        <is>
          <t>2018::jama.2018.18020::C014</t>
        </is>
      </c>
      <c r="B101" s="3" t="inlineStr">
        <is>
          <t>relations</t>
        </is>
      </c>
      <c r="C101" s="3" t="n">
        <v>0</v>
      </c>
      <c r="D101" s="3" t="inlineStr">
        <is>
          <t>S_W</t>
        </is>
      </c>
    </row>
    <row r="102" ht="30" customHeight="1">
      <c r="A102" s="2" t="inlineStr">
        <is>
          <t>2018::jama.2018.6496::C001</t>
        </is>
      </c>
      <c r="B102" s="2" t="inlineStr">
        <is>
          <t>relations</t>
        </is>
      </c>
      <c r="C102" s="2" t="n">
        <v>0</v>
      </c>
      <c r="D102" s="2" t="inlineStr">
        <is>
          <t>S_W</t>
        </is>
      </c>
    </row>
    <row r="103" ht="30" customHeight="1">
      <c r="A103" s="3" t="inlineStr">
        <is>
          <t>2018::jama.2018.6496::C002</t>
        </is>
      </c>
      <c r="B103" s="3" t="inlineStr">
        <is>
          <t>relations</t>
        </is>
      </c>
      <c r="C103" s="3" t="n">
        <v>0</v>
      </c>
      <c r="D103" s="3" t="inlineStr">
        <is>
          <t>S_W</t>
        </is>
      </c>
    </row>
    <row r="104" ht="30" customHeight="1">
      <c r="A104" s="2" t="inlineStr">
        <is>
          <t>2018::jama.2018.6496::C003</t>
        </is>
      </c>
      <c r="B104" s="2" t="inlineStr">
        <is>
          <t>relations</t>
        </is>
      </c>
      <c r="C104" s="2" t="n">
        <v>0</v>
      </c>
      <c r="D104" s="2" t="inlineStr">
        <is>
          <t>P_R</t>
        </is>
      </c>
    </row>
    <row r="105" ht="30" customHeight="1">
      <c r="A105" s="3" t="inlineStr">
        <is>
          <t>2018::jama.2018.6496::C004</t>
        </is>
      </c>
      <c r="B105" s="3" t="inlineStr">
        <is>
          <t>relations</t>
        </is>
      </c>
      <c r="C105" s="3" t="n">
        <v>0</v>
      </c>
      <c r="D105" s="3" t="inlineStr">
        <is>
          <t>P_R</t>
        </is>
      </c>
    </row>
    <row r="106" ht="30" customHeight="1">
      <c r="A106" s="2" t="inlineStr">
        <is>
          <t>2018::jama.2018.8802::C001</t>
        </is>
      </c>
      <c r="B106" s="2" t="inlineStr">
        <is>
          <t>relations</t>
        </is>
      </c>
      <c r="C106" s="2" t="n">
        <v>0</v>
      </c>
      <c r="D106" s="2" t="inlineStr">
        <is>
          <t>S_W</t>
        </is>
      </c>
    </row>
    <row r="107" ht="30" customHeight="1">
      <c r="A107" s="3" t="inlineStr">
        <is>
          <t>2018::jama.2018.8802::C002</t>
        </is>
      </c>
      <c r="B107" s="3" t="inlineStr">
        <is>
          <t>relations</t>
        </is>
      </c>
      <c r="C107" s="3" t="n">
        <v>0</v>
      </c>
      <c r="D107" s="3" t="inlineStr">
        <is>
          <t>P_R</t>
        </is>
      </c>
    </row>
    <row r="108" ht="30" customHeight="1">
      <c r="A108" s="2" t="inlineStr">
        <is>
          <t>2018::jama.2018.8802::C002</t>
        </is>
      </c>
      <c r="B108" s="2" t="inlineStr">
        <is>
          <t>relations</t>
        </is>
      </c>
      <c r="C108" s="2" t="n">
        <v>1</v>
      </c>
      <c r="D108" s="2" t="inlineStr">
        <is>
          <t>S_C</t>
        </is>
      </c>
    </row>
    <row r="109" ht="30" customHeight="1">
      <c r="A109" s="3" t="inlineStr">
        <is>
          <t>2018::jama.2018.8802::C002</t>
        </is>
      </c>
      <c r="B109" s="3" t="inlineStr">
        <is>
          <t>relations</t>
        </is>
      </c>
      <c r="C109" s="3" t="n">
        <v>2</v>
      </c>
      <c r="D109" s="3" t="inlineStr">
        <is>
          <t>S_W</t>
        </is>
      </c>
    </row>
    <row r="110" ht="30" customHeight="1">
      <c r="A110" s="2" t="inlineStr">
        <is>
          <t>2018::jama.2018.8802::C003</t>
        </is>
      </c>
      <c r="B110" s="2" t="inlineStr">
        <is>
          <t>relations</t>
        </is>
      </c>
      <c r="C110" s="2" t="n">
        <v>0</v>
      </c>
      <c r="D110" s="2" t="inlineStr">
        <is>
          <t>S_W</t>
        </is>
      </c>
    </row>
    <row r="111" ht="30" customHeight="1">
      <c r="A111" s="3" t="inlineStr">
        <is>
          <t>2018::jama.2018.8802::C004</t>
        </is>
      </c>
      <c r="B111" s="3" t="inlineStr">
        <is>
          <t>relations</t>
        </is>
      </c>
      <c r="C111" s="3" t="n">
        <v>0</v>
      </c>
      <c r="D111" s="3" t="inlineStr">
        <is>
          <t>S_W</t>
        </is>
      </c>
    </row>
    <row r="112" ht="30" customHeight="1">
      <c r="A112" s="2" t="inlineStr">
        <is>
          <t>2018::jama.2018.8802::C005</t>
        </is>
      </c>
      <c r="B112" s="2" t="inlineStr">
        <is>
          <t>relations</t>
        </is>
      </c>
      <c r="C112" s="2" t="n">
        <v>0</v>
      </c>
      <c r="D112" s="2" t="inlineStr">
        <is>
          <t>S_W</t>
        </is>
      </c>
    </row>
    <row r="113" ht="30" customHeight="1">
      <c r="A113" s="3" t="inlineStr">
        <is>
          <t>2018::jama.2018.8802::C006</t>
        </is>
      </c>
      <c r="B113" s="3" t="inlineStr">
        <is>
          <t>relations</t>
        </is>
      </c>
      <c r="C113" s="3" t="n">
        <v>0</v>
      </c>
      <c r="D113" s="3" t="inlineStr">
        <is>
          <t>S_W</t>
        </is>
      </c>
    </row>
    <row r="114" ht="30" customHeight="1">
      <c r="A114" s="2" t="inlineStr">
        <is>
          <t>2018::jama.2018.8802::C007</t>
        </is>
      </c>
      <c r="B114" s="2" t="inlineStr">
        <is>
          <t>relations</t>
        </is>
      </c>
      <c r="C114" s="2" t="n">
        <v>0</v>
      </c>
      <c r="D114" s="2" t="inlineStr">
        <is>
          <t>S_C</t>
        </is>
      </c>
    </row>
    <row r="115" ht="30" customHeight="1">
      <c r="A115" s="3" t="inlineStr">
        <is>
          <t>2018::jama.2018.8802::C008</t>
        </is>
      </c>
      <c r="B115" s="3" t="inlineStr">
        <is>
          <t>relations</t>
        </is>
      </c>
      <c r="C115" s="3" t="n">
        <v>0</v>
      </c>
      <c r="D115" s="3" t="inlineStr">
        <is>
          <t>S_W</t>
        </is>
      </c>
    </row>
    <row r="116" ht="30" customHeight="1">
      <c r="A116" s="2" t="inlineStr">
        <is>
          <t>2018::jama.2018.9128::C001</t>
        </is>
      </c>
      <c r="B116" s="2" t="inlineStr">
        <is>
          <t>relations</t>
        </is>
      </c>
      <c r="C116" s="2" t="n">
        <v>0</v>
      </c>
      <c r="D116" s="2" t="inlineStr">
        <is>
          <t>S_C</t>
        </is>
      </c>
    </row>
    <row r="117" ht="30" customHeight="1">
      <c r="A117" s="3" t="inlineStr">
        <is>
          <t>2018::jama.2018.9128::C001</t>
        </is>
      </c>
      <c r="B117" s="3" t="inlineStr">
        <is>
          <t>relations</t>
        </is>
      </c>
      <c r="C117" s="3" t="n">
        <v>1</v>
      </c>
      <c r="D117" s="3" t="inlineStr">
        <is>
          <t>S_W</t>
        </is>
      </c>
    </row>
    <row r="118" ht="30" customHeight="1">
      <c r="A118" s="2" t="inlineStr">
        <is>
          <t>2018::jama.2018.9128::C002</t>
        </is>
      </c>
      <c r="B118" s="2" t="inlineStr">
        <is>
          <t>relations</t>
        </is>
      </c>
      <c r="C118" s="2" t="n">
        <v>0</v>
      </c>
      <c r="D118" s="2" t="inlineStr">
        <is>
          <t>S_C</t>
        </is>
      </c>
    </row>
    <row r="119" ht="30" customHeight="1">
      <c r="A119" s="3" t="inlineStr">
        <is>
          <t>2018::jama.2018.9128::C002</t>
        </is>
      </c>
      <c r="B119" s="3" t="inlineStr">
        <is>
          <t>relations</t>
        </is>
      </c>
      <c r="C119" s="3" t="n">
        <v>1</v>
      </c>
      <c r="D119" s="3" t="inlineStr">
        <is>
          <t>S_W</t>
        </is>
      </c>
    </row>
    <row r="120" ht="30" customHeight="1">
      <c r="A120" s="2" t="inlineStr">
        <is>
          <t>2018::jama.2018.9128::C003</t>
        </is>
      </c>
      <c r="B120" s="2" t="inlineStr">
        <is>
          <t>relations</t>
        </is>
      </c>
      <c r="C120" s="2" t="n">
        <v>0</v>
      </c>
      <c r="D120" s="2" t="inlineStr">
        <is>
          <t>S_C</t>
        </is>
      </c>
    </row>
    <row r="121" ht="30" customHeight="1">
      <c r="A121" s="3" t="inlineStr">
        <is>
          <t>2018::jama.2018.9128::C003</t>
        </is>
      </c>
      <c r="B121" s="3" t="inlineStr">
        <is>
          <t>relations</t>
        </is>
      </c>
      <c r="C121" s="3" t="n">
        <v>1</v>
      </c>
      <c r="D121" s="3" t="inlineStr">
        <is>
          <t>S_W</t>
        </is>
      </c>
    </row>
    <row r="122" ht="30" customHeight="1">
      <c r="A122" s="2" t="inlineStr">
        <is>
          <t>2018::jama.2018.9128::C004</t>
        </is>
      </c>
      <c r="B122" s="2" t="inlineStr">
        <is>
          <t>relations</t>
        </is>
      </c>
      <c r="C122" s="2" t="n">
        <v>0</v>
      </c>
      <c r="D122" s="2" t="inlineStr">
        <is>
          <t>S_C</t>
        </is>
      </c>
    </row>
    <row r="123" ht="30" customHeight="1">
      <c r="A123" s="3" t="inlineStr">
        <is>
          <t>2018::jama.2018.9128::C004</t>
        </is>
      </c>
      <c r="B123" s="3" t="inlineStr">
        <is>
          <t>relations</t>
        </is>
      </c>
      <c r="C123" s="3" t="n">
        <v>1</v>
      </c>
      <c r="D123" s="3" t="inlineStr">
        <is>
          <t>S_W</t>
        </is>
      </c>
    </row>
    <row r="124" ht="30" customHeight="1">
      <c r="A124" s="2" t="inlineStr">
        <is>
          <t>2018::jama.2018.9128::C005</t>
        </is>
      </c>
      <c r="B124" s="2" t="inlineStr">
        <is>
          <t>relations</t>
        </is>
      </c>
      <c r="C124" s="2" t="n">
        <v>0</v>
      </c>
      <c r="D124" s="2" t="inlineStr">
        <is>
          <t>S_C</t>
        </is>
      </c>
    </row>
    <row r="125" ht="30" customHeight="1">
      <c r="A125" s="3" t="inlineStr">
        <is>
          <t>2018::jama.2018.9128::C005</t>
        </is>
      </c>
      <c r="B125" s="3" t="inlineStr">
        <is>
          <t>relations</t>
        </is>
      </c>
      <c r="C125" s="3" t="n">
        <v>1</v>
      </c>
      <c r="D125" s="3" t="inlineStr">
        <is>
          <t>S_W</t>
        </is>
      </c>
    </row>
    <row r="126" ht="30" customHeight="1">
      <c r="A126" s="2" t="inlineStr">
        <is>
          <t>2018::jama.2018.9128::C006</t>
        </is>
      </c>
      <c r="B126" s="2" t="inlineStr">
        <is>
          <t>relations</t>
        </is>
      </c>
      <c r="C126" s="2" t="n">
        <v>0</v>
      </c>
      <c r="D126" s="2" t="inlineStr">
        <is>
          <t>S_C</t>
        </is>
      </c>
    </row>
    <row r="127" ht="30" customHeight="1">
      <c r="A127" s="3" t="inlineStr">
        <is>
          <t>2018::jama.2018.9128::C006</t>
        </is>
      </c>
      <c r="B127" s="3" t="inlineStr">
        <is>
          <t>relations</t>
        </is>
      </c>
      <c r="C127" s="3" t="n">
        <v>1</v>
      </c>
      <c r="D127" s="3" t="inlineStr">
        <is>
          <t>S_W</t>
        </is>
      </c>
    </row>
    <row r="128" ht="30" customHeight="1">
      <c r="A128" s="2" t="inlineStr">
        <is>
          <t>2018::jama.2018.9128::C007</t>
        </is>
      </c>
      <c r="B128" s="2" t="inlineStr">
        <is>
          <t>relations</t>
        </is>
      </c>
      <c r="C128" s="2" t="n">
        <v>0</v>
      </c>
      <c r="D128" s="2" t="inlineStr">
        <is>
          <t>S_C</t>
        </is>
      </c>
    </row>
    <row r="129" ht="30" customHeight="1">
      <c r="A129" s="3" t="inlineStr">
        <is>
          <t>2018::jama.2018.9128::C007</t>
        </is>
      </c>
      <c r="B129" s="3" t="inlineStr">
        <is>
          <t>relations</t>
        </is>
      </c>
      <c r="C129" s="3" t="n">
        <v>1</v>
      </c>
      <c r="D129" s="3" t="inlineStr">
        <is>
          <t>S_W</t>
        </is>
      </c>
    </row>
    <row r="130" ht="30" customHeight="1">
      <c r="A130" s="2" t="inlineStr">
        <is>
          <t>2018::jama.2018.9128::C008</t>
        </is>
      </c>
      <c r="B130" s="2" t="inlineStr">
        <is>
          <t>relations</t>
        </is>
      </c>
      <c r="C130" s="2" t="n">
        <v>0</v>
      </c>
      <c r="D130" s="2" t="inlineStr">
        <is>
          <t>S_C</t>
        </is>
      </c>
    </row>
    <row r="131" ht="30" customHeight="1">
      <c r="A131" s="3" t="inlineStr">
        <is>
          <t>2018::jama.2018.9128::C008</t>
        </is>
      </c>
      <c r="B131" s="3" t="inlineStr">
        <is>
          <t>relations</t>
        </is>
      </c>
      <c r="C131" s="3" t="n">
        <v>1</v>
      </c>
      <c r="D131" s="3" t="inlineStr">
        <is>
          <t>S_W</t>
        </is>
      </c>
    </row>
    <row r="132" ht="30" customHeight="1">
      <c r="A132" s="2" t="inlineStr">
        <is>
          <t>2018::jama.2018.9128::C009</t>
        </is>
      </c>
      <c r="B132" s="2" t="inlineStr">
        <is>
          <t>relations</t>
        </is>
      </c>
      <c r="C132" s="2" t="n">
        <v>0</v>
      </c>
      <c r="D132" s="2" t="inlineStr">
        <is>
          <t>P_P</t>
        </is>
      </c>
    </row>
    <row r="133" ht="30" customHeight="1">
      <c r="A133" s="3" t="inlineStr">
        <is>
          <t>2018::jama.2018.9128::C010</t>
        </is>
      </c>
      <c r="B133" s="3" t="inlineStr">
        <is>
          <t>relations</t>
        </is>
      </c>
      <c r="C133" s="3" t="n">
        <v>0</v>
      </c>
      <c r="D133" s="3" t="inlineStr">
        <is>
          <t>P_P</t>
        </is>
      </c>
    </row>
    <row r="134" ht="30" customHeight="1">
      <c r="A134" s="2" t="inlineStr">
        <is>
          <t>2018::jama.2018.9128::C011</t>
        </is>
      </c>
      <c r="B134" s="2" t="inlineStr">
        <is>
          <t>relations</t>
        </is>
      </c>
      <c r="C134" s="2" t="n">
        <v>0</v>
      </c>
      <c r="D134" s="2" t="inlineStr">
        <is>
          <t>P_R</t>
        </is>
      </c>
    </row>
    <row r="135" ht="30" customHeight="1">
      <c r="A135" s="3" t="inlineStr">
        <is>
          <t>2018::jama.2018.9128::C011</t>
        </is>
      </c>
      <c r="B135" s="3" t="inlineStr">
        <is>
          <t>relations</t>
        </is>
      </c>
      <c r="C135" s="3" t="n">
        <v>1</v>
      </c>
      <c r="D135" s="3" t="inlineStr">
        <is>
          <t>P_P</t>
        </is>
      </c>
    </row>
    <row r="136" ht="30" customHeight="1">
      <c r="A136" s="2" t="inlineStr">
        <is>
          <t>2018::jama.2018.9128::C012</t>
        </is>
      </c>
      <c r="B136" s="2" t="inlineStr">
        <is>
          <t>relations</t>
        </is>
      </c>
      <c r="C136" s="2" t="n">
        <v>0</v>
      </c>
      <c r="D136" s="2" t="inlineStr">
        <is>
          <t>P_R</t>
        </is>
      </c>
    </row>
    <row r="137" ht="30" customHeight="1">
      <c r="A137" s="3" t="inlineStr">
        <is>
          <t>2018::jama.2018.9128::C012</t>
        </is>
      </c>
      <c r="B137" s="3" t="inlineStr">
        <is>
          <t>relations</t>
        </is>
      </c>
      <c r="C137" s="3" t="n">
        <v>1</v>
      </c>
      <c r="D137" s="3" t="inlineStr">
        <is>
          <t>P_P</t>
        </is>
      </c>
    </row>
    <row r="138" ht="30" customHeight="1">
      <c r="A138" s="2" t="inlineStr">
        <is>
          <t>2018::jama.2018.9128::C013</t>
        </is>
      </c>
      <c r="B138" s="2" t="inlineStr">
        <is>
          <t>relations</t>
        </is>
      </c>
      <c r="C138" s="2" t="n">
        <v>0</v>
      </c>
      <c r="D138" s="2" t="inlineStr">
        <is>
          <t>S_C</t>
        </is>
      </c>
    </row>
    <row r="139" ht="30" customHeight="1">
      <c r="A139" s="3" t="inlineStr">
        <is>
          <t>2018::jama.2018.9128::C013</t>
        </is>
      </c>
      <c r="B139" s="3" t="inlineStr">
        <is>
          <t>relations</t>
        </is>
      </c>
      <c r="C139" s="3" t="n">
        <v>1</v>
      </c>
      <c r="D13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13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2026-09-14T05:04:30Z</dcterms:created>
  <dcterms:modified xsi:type="dcterms:W3CDTF">2026-09-14T05:04:30Z</dcterms:modified>
</cp:coreProperties>
</file>