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24.24764" sheetId="4" state="visible" r:id="rId4"/>
    <sheet xmlns:r="http://schemas.openxmlformats.org/officeDocument/2006/relationships" name="C_jama.2024.27643" sheetId="5" state="visible" r:id="rId5"/>
    <sheet xmlns:r="http://schemas.openxmlformats.org/officeDocument/2006/relationships" name="C_jama.2025.11178" sheetId="6" state="visible" r:id="rId6"/>
    <sheet xmlns:r="http://schemas.openxmlformats.org/officeDocument/2006/relationships" name="C_jama.2025.15185" sheetId="7" state="visible" r:id="rId7"/>
    <sheet xmlns:r="http://schemas.openxmlformats.org/officeDocument/2006/relationships" name="C_jama.2025.15440" sheetId="8" state="visible" r:id="rId8"/>
    <sheet xmlns:r="http://schemas.openxmlformats.org/officeDocument/2006/relationships" name="C_jama.2025.16450" sheetId="9" state="visible" r:id="rId9"/>
    <sheet xmlns:r="http://schemas.openxmlformats.org/officeDocument/2006/relationships" name="C_jama.2025.19563" sheetId="10" state="visible" r:id="rId10"/>
    <sheet xmlns:r="http://schemas.openxmlformats.org/officeDocument/2006/relationships" name="C_jama.2025.19843" sheetId="11" state="visible" r:id="rId11"/>
    <sheet xmlns:r="http://schemas.openxmlformats.org/officeDocument/2006/relationships" name="C_jama.2025.20765" sheetId="12" state="visible" r:id="rId12"/>
    <sheet xmlns:r="http://schemas.openxmlformats.org/officeDocument/2006/relationships" name="C_jama.2025.24175" sheetId="13" state="visible" r:id="rId13"/>
    <sheet xmlns:r="http://schemas.openxmlformats.org/officeDocument/2006/relationships" name="C_jama.2025.4390" sheetId="14" state="visible" r:id="rId14"/>
    <sheet xmlns:r="http://schemas.openxmlformats.org/officeDocument/2006/relationships" name="C_jama.2025.7583" sheetId="15" state="visible" r:id="rId15"/>
    <sheet xmlns:r="http://schemas.openxmlformats.org/officeDocument/2006/relationships" name="C_jama.2025.7710" sheetId="16" state="visible" r:id="rId16"/>
    <sheet xmlns:r="http://schemas.openxmlformats.org/officeDocument/2006/relationships" name="C_jama.2025.9110" sheetId="17" state="visible" r:id="rId17"/>
    <sheet xmlns:r="http://schemas.openxmlformats.org/officeDocument/2006/relationships" name="C_jama.2025.9663" sheetId="18" state="visible" r:id="rId18"/>
    <sheet xmlns:r="http://schemas.openxmlformats.org/officeDocument/2006/relationships" name="Candidates" sheetId="19" state="visible" r:id="rId19"/>
    <sheet xmlns:r="http://schemas.openxmlformats.org/officeDocument/2006/relationships" name="Evidence" sheetId="20" state="visible" r:id="rId20"/>
    <sheet xmlns:r="http://schemas.openxmlformats.org/officeDocument/2006/relationships" name="Codebook" sheetId="21" state="visible" r:id="rId21"/>
    <sheet xmlns:r="http://schemas.openxmlformats.org/officeDocument/2006/relationships" name="Manifest" sheetId="22" state="hidden" r:id="rId22"/>
    <sheet xmlns:r="http://schemas.openxmlformats.org/officeDocument/2006/relationships" name="Links" sheetId="23" state="hidden" r:id="rId23"/>
    <sheet xmlns:r="http://schemas.openxmlformats.org/officeDocument/2006/relationships" name="Relations" sheetId="24" state="hidden" r:id="rId24"/>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'C_jama.2024.24764'!$A$1:$R$9</definedName>
    <definedName name="_xlnm.Print_Titles" localSheetId="3">'C_jama.2024.24764'!$1:$1</definedName>
    <definedName name="_xlnm._FilterDatabase" localSheetId="4" hidden="1">'C_jama.2024.27643'!$A$1:$R$9</definedName>
    <definedName name="_xlnm.Print_Titles" localSheetId="4">'C_jama.2024.27643'!$1:$1</definedName>
    <definedName name="_xlnm._FilterDatabase" localSheetId="5" hidden="1">'C_jama.2025.11178'!$A$1:$R$38</definedName>
    <definedName name="_xlnm.Print_Titles" localSheetId="5">'C_jama.2025.11178'!$1:$1</definedName>
    <definedName name="_xlnm._FilterDatabase" localSheetId="6" hidden="1">'C_jama.2025.15185'!$A$1:$R$13</definedName>
    <definedName name="_xlnm.Print_Titles" localSheetId="6">'C_jama.2025.15185'!$1:$1</definedName>
    <definedName name="_xlnm._FilterDatabase" localSheetId="7" hidden="1">'C_jama.2025.15440'!$A$1:$R$3</definedName>
    <definedName name="_xlnm.Print_Titles" localSheetId="7">'C_jama.2025.15440'!$1:$1</definedName>
    <definedName name="_xlnm._FilterDatabase" localSheetId="8" hidden="1">'C_jama.2025.16450'!$A$1:$R$11</definedName>
    <definedName name="_xlnm.Print_Titles" localSheetId="8">'C_jama.2025.16450'!$1:$1</definedName>
    <definedName name="_xlnm._FilterDatabase" localSheetId="9" hidden="1">'C_jama.2025.19563'!$A$1:$R$8</definedName>
    <definedName name="_xlnm.Print_Titles" localSheetId="9">'C_jama.2025.19563'!$1:$1</definedName>
    <definedName name="_xlnm._FilterDatabase" localSheetId="10" hidden="1">'C_jama.2025.19843'!$A$1:$R$2</definedName>
    <definedName name="_xlnm.Print_Titles" localSheetId="10">'C_jama.2025.19843'!$1:$1</definedName>
    <definedName name="_xlnm._FilterDatabase" localSheetId="11" hidden="1">'C_jama.2025.20765'!$A$1:$R$14</definedName>
    <definedName name="_xlnm.Print_Titles" localSheetId="11">'C_jama.2025.20765'!$1:$1</definedName>
    <definedName name="_xlnm._FilterDatabase" localSheetId="12" hidden="1">'C_jama.2025.24175'!$A$1:$R$15</definedName>
    <definedName name="_xlnm.Print_Titles" localSheetId="12">'C_jama.2025.24175'!$1:$1</definedName>
    <definedName name="_xlnm._FilterDatabase" localSheetId="13" hidden="1">'C_jama.2025.4390'!$A$1:$R$4</definedName>
    <definedName name="_xlnm.Print_Titles" localSheetId="13">'C_jama.2025.4390'!$1:$1</definedName>
    <definedName name="_xlnm._FilterDatabase" localSheetId="14" hidden="1">'C_jama.2025.7583'!$A$1:$R$4</definedName>
    <definedName name="_xlnm.Print_Titles" localSheetId="14">'C_jama.2025.7583'!$1:$1</definedName>
    <definedName name="_xlnm._FilterDatabase" localSheetId="15" hidden="1">'C_jama.2025.7710'!$A$1:$R$5</definedName>
    <definedName name="_xlnm.Print_Titles" localSheetId="15">'C_jama.2025.7710'!$1:$1</definedName>
    <definedName name="_xlnm._FilterDatabase" localSheetId="16" hidden="1">'C_jama.2025.9110'!$A$1:$R$7</definedName>
    <definedName name="_xlnm.Print_Titles" localSheetId="16">'C_jama.2025.9110'!$1:$1</definedName>
    <definedName name="_xlnm._FilterDatabase" localSheetId="17" hidden="1">'C_jama.2025.9663'!$A$1:$R$4</definedName>
    <definedName name="_xlnm.Print_Titles" localSheetId="17">'C_jama.2025.9663'!$1:$1</definedName>
    <definedName name="_xlnm._FilterDatabase" localSheetId="18" hidden="1">'Candidates'!$A$1:$AB$132</definedName>
    <definedName name="_xlnm.Print_Titles" localSheetId="18">'Candidates'!$1:$1</definedName>
    <definedName name="_xlnm._FilterDatabase" localSheetId="19" hidden="1">'Evidence'!$A$1:$D$525</definedName>
    <definedName name="_xlnm.Print_Titles" localSheetId="19">'Evidence'!$1:$1</definedName>
    <definedName name="_xlnm.Print_Titles" localSheetId="20">'Codebook'!$1:$1</definedName>
    <definedName name="_xlnm._FilterDatabase" localSheetId="21" hidden="1">'Manifest'!$A$1:$B$11</definedName>
    <definedName name="_xlnm.Print_Titles" localSheetId="21">'Manifest'!$1:$1</definedName>
    <definedName name="_xlnm._FilterDatabase" localSheetId="22" hidden="1">'Links'!$A$1:$E$337</definedName>
    <definedName name="_xlnm.Print_Titles" localSheetId="22">'Links'!$1:$1</definedName>
    <definedName name="_xlnm._FilterDatabase" localSheetId="23" hidden="1">'Relations'!$A$1:$D$146</definedName>
    <definedName name="_xlnm.Print_Titles" localSheetId="23">'Relations'!$1:$1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1.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2.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3.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4.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5.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v.2.1.5.1 | 2025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jama.2024.24764</t>
        </is>
      </c>
      <c r="B2" s="2" t="inlineStr">
        <is>
          <t>C_jama.2024.24764</t>
        </is>
      </c>
      <c r="C2" s="2" t="n">
        <v>8</v>
      </c>
    </row>
    <row r="3" ht="30" customHeight="1">
      <c r="A3" s="3" t="inlineStr">
        <is>
          <t>jama.2024.27643</t>
        </is>
      </c>
      <c r="B3" s="3" t="inlineStr">
        <is>
          <t>C_jama.2024.27643</t>
        </is>
      </c>
      <c r="C3" s="3" t="n">
        <v>8</v>
      </c>
    </row>
    <row r="4" ht="30" customHeight="1">
      <c r="A4" s="2" t="inlineStr">
        <is>
          <t>jama.2025.11178</t>
        </is>
      </c>
      <c r="B4" s="2" t="inlineStr">
        <is>
          <t>C_jama.2025.11178</t>
        </is>
      </c>
      <c r="C4" s="2" t="n">
        <v>37</v>
      </c>
    </row>
    <row r="5" ht="30" customHeight="1">
      <c r="A5" s="3" t="inlineStr">
        <is>
          <t>jama.2025.15185</t>
        </is>
      </c>
      <c r="B5" s="3" t="inlineStr">
        <is>
          <t>C_jama.2025.15185</t>
        </is>
      </c>
      <c r="C5" s="3" t="n">
        <v>12</v>
      </c>
    </row>
    <row r="6" ht="30" customHeight="1">
      <c r="A6" s="2" t="inlineStr">
        <is>
          <t>jama.2025.15440</t>
        </is>
      </c>
      <c r="B6" s="2" t="inlineStr">
        <is>
          <t>C_jama.2025.15440</t>
        </is>
      </c>
      <c r="C6" s="2" t="n">
        <v>2</v>
      </c>
    </row>
    <row r="7" ht="30" customHeight="1">
      <c r="A7" s="3" t="inlineStr">
        <is>
          <t>jama.2025.16450</t>
        </is>
      </c>
      <c r="B7" s="3" t="inlineStr">
        <is>
          <t>C_jama.2025.16450</t>
        </is>
      </c>
      <c r="C7" s="3" t="n">
        <v>10</v>
      </c>
    </row>
    <row r="8" ht="30" customHeight="1">
      <c r="A8" s="2" t="inlineStr">
        <is>
          <t>jama.2025.19563</t>
        </is>
      </c>
      <c r="B8" s="2" t="inlineStr">
        <is>
          <t>C_jama.2025.19563</t>
        </is>
      </c>
      <c r="C8" s="2" t="n">
        <v>7</v>
      </c>
    </row>
    <row r="9" ht="30" customHeight="1">
      <c r="A9" s="3" t="inlineStr">
        <is>
          <t>jama.2025.19843</t>
        </is>
      </c>
      <c r="B9" s="3" t="inlineStr">
        <is>
          <t>C_jama.2025.19843</t>
        </is>
      </c>
      <c r="C9" s="3" t="n">
        <v>1</v>
      </c>
    </row>
    <row r="10" ht="30" customHeight="1">
      <c r="A10" s="2" t="inlineStr">
        <is>
          <t>jama.2025.20765</t>
        </is>
      </c>
      <c r="B10" s="2" t="inlineStr">
        <is>
          <t>C_jama.2025.20765</t>
        </is>
      </c>
      <c r="C10" s="2" t="n">
        <v>13</v>
      </c>
    </row>
    <row r="11" ht="30" customHeight="1">
      <c r="A11" s="3" t="inlineStr">
        <is>
          <t>jama.2025.24175</t>
        </is>
      </c>
      <c r="B11" s="3" t="inlineStr">
        <is>
          <t>C_jama.2025.24175</t>
        </is>
      </c>
      <c r="C11" s="3" t="n">
        <v>14</v>
      </c>
    </row>
    <row r="12" ht="30" customHeight="1">
      <c r="A12" s="2" t="inlineStr">
        <is>
          <t>jama.2025.4390</t>
        </is>
      </c>
      <c r="B12" s="2" t="inlineStr">
        <is>
          <t>C_jama.2025.4390</t>
        </is>
      </c>
      <c r="C12" s="2" t="n">
        <v>3</v>
      </c>
    </row>
    <row r="13" ht="30" customHeight="1">
      <c r="A13" s="3" t="inlineStr">
        <is>
          <t>jama.2025.7583</t>
        </is>
      </c>
      <c r="B13" s="3" t="inlineStr">
        <is>
          <t>C_jama.2025.7583</t>
        </is>
      </c>
      <c r="C13" s="3" t="n">
        <v>3</v>
      </c>
    </row>
    <row r="14" ht="30" customHeight="1">
      <c r="A14" s="2" t="inlineStr">
        <is>
          <t>jama.2025.7710</t>
        </is>
      </c>
      <c r="B14" s="2" t="inlineStr">
        <is>
          <t>C_jama.2025.7710</t>
        </is>
      </c>
      <c r="C14" s="2" t="n">
        <v>4</v>
      </c>
    </row>
    <row r="15" ht="30" customHeight="1">
      <c r="A15" s="3" t="inlineStr">
        <is>
          <t>jama.2025.9110</t>
        </is>
      </c>
      <c r="B15" s="3" t="inlineStr">
        <is>
          <t>C_jama.2025.9110</t>
        </is>
      </c>
      <c r="C15" s="3" t="n">
        <v>6</v>
      </c>
    </row>
    <row r="16" ht="30" customHeight="1">
      <c r="A16" s="2" t="inlineStr">
        <is>
          <t>jama.2025.9663</t>
        </is>
      </c>
      <c r="B16" s="2" t="inlineStr">
        <is>
          <t>C_jama.2025.9663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2025::jama.2025.11178::C001</t>
        </is>
      </c>
      <c r="B2" s="2" t="inlineStr">
        <is>
          <t>Conditional Figure 1 further-ineligibility component subtotal gap</t>
        </is>
      </c>
      <c r="C2" s="2" t="inlineStr">
        <is>
          <t>main article — PDF p. 5, Figure 1, “4481 Ineligible.”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2025::jama.2025.11178::C002</t>
        </is>
      </c>
      <c r="B3" s="3" t="inlineStr">
        <is>
          <t>Overall eTable 1 follow-up-pattern partition</t>
        </is>
      </c>
      <c r="C3" s="3" t="inlineStr">
        <is>
          <t>results supplement — PDF p. 7, eTable 1, Overall column.</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2025::jama.2025.11178::C003</t>
        </is>
      </c>
      <c r="B4" s="2" t="inlineStr">
        <is>
          <t>painTRAINER eTable 1 follow-up-pattern partition</t>
        </is>
      </c>
      <c r="C4" s="2" t="inlineStr">
        <is>
          <t>results supplement — PDF p. 7, eTable 1, painTRAINER column.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2025::jama.2025.11178::C004</t>
        </is>
      </c>
      <c r="B5" s="3" t="inlineStr">
        <is>
          <t>Health Coach eTable 1 follow-up-pattern partition</t>
        </is>
      </c>
      <c r="C5" s="3" t="inlineStr">
        <is>
          <t>results supplement — PDF p. 7, eTable 1, Health Coach column.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2025::jama.2025.11178::C005</t>
        </is>
      </c>
      <c r="B6" s="2" t="inlineStr">
        <is>
          <t>Workbook current-depression percentage incompatible with its count</t>
        </is>
      </c>
      <c r="C6" s="2" t="inlineStr">
        <is>
          <t>workbook, worksheet eTable 3, cells A82:E83 and E2:E3.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2025::jama.2025.11178::C006</t>
        </is>
      </c>
      <c r="B7" s="3" t="inlineStr">
        <is>
          <t>Workbook social-role cutoff labeled as mean (SD)</t>
        </is>
      </c>
      <c r="C7" s="3" t="inlineStr">
        <is>
          <t>workbook, worksheet eTable 3, cells A103:E104.</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2025::jama.2025.11178::C007</t>
        </is>
      </c>
      <c r="B8" s="2" t="inlineStr">
        <is>
          <t>Workbook physical-function cutoff labeled as mean (SD)</t>
        </is>
      </c>
      <c r="C8" s="2" t="inlineStr">
        <is>
          <t>workbook, worksheet eTable 3, cells A106:E107.</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is>
          <t>PRIMARY REVIEW - complete this row before handoff. The primary snapshot appears here in the prepared checker copy.</t>
        </is>
      </c>
      <c r="N15" s="10" t="inlineStr"/>
      <c r="O15" s="11" t="inlineStr"/>
      <c r="P15" s="10" t="inlineStr"/>
      <c r="Q15" s="11" t="inlineStr"/>
      <c r="R15" s="12" t="inlineStr"/>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is>
          <t>PRIMARY REVIEW - complete this row before handoff. The primary snapshot appears here in the prepared checker copy.</t>
        </is>
      </c>
      <c r="N16" s="10" t="inlineStr"/>
      <c r="O16" s="11" t="inlineStr"/>
      <c r="P16" s="10" t="inlineStr"/>
      <c r="Q16" s="11" t="inlineStr"/>
      <c r="R16" s="12" t="inlineStr"/>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is>
          <t>PRIMARY REVIEW - complete this row before handoff. The primary snapshot appears here in the prepared checker copy.</t>
        </is>
      </c>
      <c r="N17" s="10" t="inlineStr"/>
      <c r="O17" s="11" t="inlineStr"/>
      <c r="P17" s="10" t="inlineStr"/>
      <c r="Q17" s="11" t="inlineStr"/>
      <c r="R17" s="12" t="inlineStr"/>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is>
          <t>PRIMARY REVIEW - complete this row before handoff. The primary snapshot appears here in the prepared checker copy.</t>
        </is>
      </c>
      <c r="N18" s="10" t="inlineStr"/>
      <c r="O18" s="11" t="inlineStr"/>
      <c r="P18" s="10" t="inlineStr"/>
      <c r="Q18" s="11" t="inlineStr"/>
      <c r="R18" s="12" t="inlineStr"/>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is>
          <t>PRIMARY REVIEW - complete this row before handoff. The primary snapshot appears here in the prepared checker copy.</t>
        </is>
      </c>
      <c r="N19" s="10" t="inlineStr"/>
      <c r="O19" s="11" t="inlineStr"/>
      <c r="P19" s="10" t="inlineStr"/>
      <c r="Q19" s="11" t="inlineStr"/>
      <c r="R19" s="12" t="inlineStr"/>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is>
          <t>PRIMARY REVIEW - complete this row before handoff. The primary snapshot appears here in the prepared checker copy.</t>
        </is>
      </c>
      <c r="N20" s="10" t="inlineStr"/>
      <c r="O20" s="11" t="inlineStr"/>
      <c r="P20" s="10" t="inlineStr"/>
      <c r="Q20" s="11" t="inlineStr"/>
      <c r="R20" s="12" t="inlineStr"/>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is>
          <t>PRIMARY REVIEW - complete this row before handoff. The primary snapshot appears here in the prepared checker copy.</t>
        </is>
      </c>
      <c r="N21" s="10" t="inlineStr"/>
      <c r="O21" s="11" t="inlineStr"/>
      <c r="P21" s="10" t="inlineStr"/>
      <c r="Q21" s="11" t="inlineStr"/>
      <c r="R21" s="12" t="inlineStr"/>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is>
          <t>PRIMARY REVIEW - complete this row before handoff. The primary snapshot appears here in the prepared checker copy.</t>
        </is>
      </c>
      <c r="N22" s="10" t="inlineStr"/>
      <c r="O22" s="11" t="inlineStr"/>
      <c r="P22" s="10" t="inlineStr"/>
      <c r="Q22" s="11" t="inlineStr"/>
      <c r="R22" s="12" t="inlineStr"/>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is>
          <t>PRIMARY REVIEW - complete this row before handoff. The primary snapshot appears here in the prepared checker copy.</t>
        </is>
      </c>
      <c r="N23" s="10" t="inlineStr"/>
      <c r="O23" s="11" t="inlineStr"/>
      <c r="P23" s="10" t="inlineStr"/>
      <c r="Q23" s="11" t="inlineStr"/>
      <c r="R23" s="12" t="inlineStr"/>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8" t="inlineStr"/>
      <c r="E24" s="8" t="inlineStr">
        <is>
          <t>statistical_results</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is>
          <t>PRIMARY REVIEW - complete this row before handoff. The primary snapshot appears here in the prepared checker copy.</t>
        </is>
      </c>
      <c r="N24" s="10" t="inlineStr"/>
      <c r="O24" s="11" t="inlineStr"/>
      <c r="P24" s="10" t="inlineStr"/>
      <c r="Q24" s="11" t="inlineStr"/>
      <c r="R24" s="12" t="inlineStr"/>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is>
          <t>PRIMARY REVIEW - complete this row before handoff. The primary snapshot appears here in the prepared checker copy.</t>
        </is>
      </c>
      <c r="N25" s="10" t="inlineStr"/>
      <c r="O25" s="11" t="inlineStr"/>
      <c r="P25" s="10" t="inlineStr"/>
      <c r="Q25" s="11" t="inlineStr"/>
      <c r="R25" s="12" t="inlineStr"/>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report_internal_inconsistency",$E26="plan_material"))),K26&lt;&gt;"",K26&lt;&gt;"not_applicable"),AND(OR(AND($D26&lt;&gt;"",$D26&lt;&gt;"retain"),NOT(OR($E26="protocol_report"))),L26&lt;&gt;"",L26&lt;&gt;"not_applicable")),"CLEAR INACTIVE VALUES",IF(OR(COUNTIF(opt_disposition,D26)&lt;&gt;1,COUNTIF(opt_domain,E26)&lt;&gt;1,AND(D26="retain",E26="statistical_results",OR(OR(COUNTIF(opt_statisticalIssueStatus,H26)&lt;&gt;1,H26="not_applicable"),OR(COUNTIF(opt_substantiveStatus,I26)&lt;&gt;1,I26="not_applicable"))),AND(D26="retain",E26="report_internal_inconsistency",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IF(OR(AND($D26&lt;&gt;"",$D26&lt;&gt;"retain"),NOT(OR($E26="report_internal_inconsistency",$E26="plan_material"))),"not_applicable","")</f>
        <v/>
      </c>
      <c r="L26" s="9">
        <f>IF(OR(AND($D26&lt;&gt;"",$D26&lt;&gt;"retain"),NOT(OR($E26="protocol_report"))),"not_applicable","")</f>
        <v/>
      </c>
      <c r="M26" s="2" t="inlineStr">
        <is>
          <t>PRIMARY REVIEW - complete this row before handoff. The primary snapshot appears here in the prepared checker copy.</t>
        </is>
      </c>
      <c r="N26" s="10" t="inlineStr"/>
      <c r="O26" s="11" t="inlineStr"/>
      <c r="P26" s="10" t="inlineStr"/>
      <c r="Q26" s="11" t="inlineStr"/>
      <c r="R26" s="12" t="inlineStr"/>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8" t="inlineStr"/>
      <c r="E27" s="8" t="inlineStr">
        <is>
          <t>statistical_results</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report_internal_inconsistency",$E27="plan_material"))),K27&lt;&gt;"",K27&lt;&gt;"not_applicable"),AND(OR(AND($D27&lt;&gt;"",$D27&lt;&gt;"retain"),NOT(OR($E27="protocol_report"))),L27&lt;&gt;"",L27&lt;&gt;"not_applicable")),"CLEAR INACTIVE VALUES",IF(OR(COUNTIF(opt_disposition,D27)&lt;&gt;1,COUNTIF(opt_domain,E27)&lt;&gt;1,AND(D27="retain",E27="statistical_results",OR(OR(COUNTIF(opt_statisticalIssueStatus,H27)&lt;&gt;1,H27="not_applicable"),OR(COUNTIF(opt_substantiveStatus,I27)&lt;&gt;1,I27="not_applicable"))),AND(D27="retain",E27="report_internal_inconsistency",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IF(OR(AND($D27&lt;&gt;"",$D27&lt;&gt;"retain"),NOT(OR($E27="report_internal_inconsistency",$E27="plan_material"))),"not_applicable","")</f>
        <v/>
      </c>
      <c r="L27" s="9">
        <f>IF(OR(AND($D27&lt;&gt;"",$D27&lt;&gt;"retain"),NOT(OR($E27="protocol_report"))),"not_applicable","")</f>
        <v/>
      </c>
      <c r="M27" s="3" t="inlineStr">
        <is>
          <t>PRIMARY REVIEW - complete this row before handoff. The primary snapshot appears here in the prepared checker copy.</t>
        </is>
      </c>
      <c r="N27" s="10" t="inlineStr"/>
      <c r="O27" s="11" t="inlineStr"/>
      <c r="P27" s="10" t="inlineStr"/>
      <c r="Q27" s="11" t="inlineStr"/>
      <c r="R27" s="12" t="inlineStr"/>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8" t="inlineStr"/>
      <c r="E28" s="8" t="inlineStr">
        <is>
          <t>statistical_results</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report_internal_inconsistency",$E28="plan_material"))),K28&lt;&gt;"",K28&lt;&gt;"not_applicable"),AND(OR(AND($D28&lt;&gt;"",$D28&lt;&gt;"retain"),NOT(OR($E28="protocol_report"))),L28&lt;&gt;"",L28&lt;&gt;"not_applicable")),"CLEAR INACTIVE VALUES",IF(OR(COUNTIF(opt_disposition,D28)&lt;&gt;1,COUNTIF(opt_domain,E28)&lt;&gt;1,AND(D28="retain",E28="statistical_results",OR(OR(COUNTIF(opt_statisticalIssueStatus,H28)&lt;&gt;1,H28="not_applicable"),OR(COUNTIF(opt_substantiveStatus,I28)&lt;&gt;1,I28="not_applicable"))),AND(D28="retain",E28="report_internal_inconsistency",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IF(OR(AND($D28&lt;&gt;"",$D28&lt;&gt;"retain"),NOT(OR($E28="report_internal_inconsistency",$E28="plan_material"))),"not_applicable","")</f>
        <v/>
      </c>
      <c r="L28" s="9">
        <f>IF(OR(AND($D28&lt;&gt;"",$D28&lt;&gt;"retain"),NOT(OR($E28="protocol_report"))),"not_applicable","")</f>
        <v/>
      </c>
      <c r="M28" s="2" t="inlineStr">
        <is>
          <t>PRIMARY REVIEW - complete this row before handoff. The primary snapshot appears here in the prepared checker copy.</t>
        </is>
      </c>
      <c r="N28" s="10" t="inlineStr"/>
      <c r="O28" s="11" t="inlineStr"/>
      <c r="P28" s="10" t="inlineStr"/>
      <c r="Q28" s="11" t="inlineStr"/>
      <c r="R28" s="12" t="inlineStr"/>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8" t="inlineStr"/>
      <c r="E29" s="8" t="inlineStr">
        <is>
          <t>statistical_results</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report_internal_inconsistency",$E29="plan_material"))),K29&lt;&gt;"",K29&lt;&gt;"not_applicable"),AND(OR(AND($D29&lt;&gt;"",$D29&lt;&gt;"retain"),NOT(OR($E29="protocol_report"))),L29&lt;&gt;"",L29&lt;&gt;"not_applicable")),"CLEAR INACTIVE VALUES",IF(OR(COUNTIF(opt_disposition,D29)&lt;&gt;1,COUNTIF(opt_domain,E29)&lt;&gt;1,AND(D29="retain",E29="statistical_results",OR(OR(COUNTIF(opt_statisticalIssueStatus,H29)&lt;&gt;1,H29="not_applicable"),OR(COUNTIF(opt_substantiveStatus,I29)&lt;&gt;1,I29="not_applicable"))),AND(D29="retain",E29="report_internal_inconsistency",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IF(OR(AND($D29&lt;&gt;"",$D29&lt;&gt;"retain"),NOT(OR($E29="report_internal_inconsistency",$E29="plan_material"))),"not_applicable","")</f>
        <v/>
      </c>
      <c r="L29" s="9">
        <f>IF(OR(AND($D29&lt;&gt;"",$D29&lt;&gt;"retain"),NOT(OR($E29="protocol_report"))),"not_applicable","")</f>
        <v/>
      </c>
      <c r="M29" s="3" t="inlineStr">
        <is>
          <t>PRIMARY REVIEW - complete this row before handoff. The primary snapshot appears here in the prepared checker copy.</t>
        </is>
      </c>
      <c r="N29" s="10" t="inlineStr"/>
      <c r="O29" s="11" t="inlineStr"/>
      <c r="P29" s="10" t="inlineStr"/>
      <c r="Q29" s="11" t="inlineStr"/>
      <c r="R29" s="12" t="inlineStr"/>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8" t="inlineStr"/>
      <c r="E30" s="8" t="inlineStr">
        <is>
          <t>statistical_results</t>
        </is>
      </c>
      <c r="F30" s="8" t="inlineStr">
        <is>
          <t>no</t>
        </is>
      </c>
      <c r="G30" s="2">
        <f>IF(OR(AND(OR(AND($D30&lt;&gt;"",$D30&lt;&gt;"retain"),NOT(OR($E30="statistical_results"))),H30&lt;&gt;"",H30&lt;&gt;"not_applicable"),AND(OR(AND($D30&lt;&gt;"",$D30&lt;&gt;"retain"),NOT(OR($E30="statistical_results"))),I30&lt;&gt;"",I30&lt;&gt;"not_applicable"),AND(OR(AND($D30&lt;&gt;"",$D30&lt;&gt;"retain"),NOT(OR($E30="statistical_results"))),J30&lt;&gt;"",J30&lt;&gt;"not_applicable"),AND(OR(AND($D30&lt;&gt;"",$D30&lt;&gt;"retain"),NOT(OR($E30="report_internal_inconsistency",$E30="plan_material"))),K30&lt;&gt;"",K30&lt;&gt;"not_applicable"),AND(OR(AND($D30&lt;&gt;"",$D30&lt;&gt;"retain"),NOT(OR($E30="protocol_report"))),L30&lt;&gt;"",L30&lt;&gt;"not_applicable")),"CLEAR INACTIVE VALUES",IF(OR(COUNTIF(opt_disposition,D30)&lt;&gt;1,COUNTIF(opt_domain,E30)&lt;&gt;1,AND(D30="retain",E30="statistical_results",OR(OR(COUNTIF(opt_statisticalIssueStatus,H30)&lt;&gt;1,H30="not_applicable"),OR(COUNTIF(opt_substantiveStatus,I30)&lt;&gt;1,I30="not_applicable"))),AND(D30="retain",E30="report_internal_inconsistency",OR(OR(COUNTIF(opt_internalStatus,K30)&lt;&gt;1,K30="not_applicable"))),AND(D30="retain",E30="plan_material",OR(OR(COUNTIF(opt_internalStatus,K30)&lt;&gt;1,K30="not_applicable")))),"CHECK FIELDS",IF(F30="yes","READY - validate saved file","DRAFT")))</f>
        <v/>
      </c>
      <c r="H30" s="8">
        <f>IF(OR(AND($D30&lt;&gt;"",$D30&lt;&gt;"retain"),NOT(OR($E30="statistical_results"))),"not_applicable","")</f>
        <v/>
      </c>
      <c r="I30" s="8">
        <f>IF(OR(AND($D30&lt;&gt;"",$D30&lt;&gt;"retain"),NOT(OR($E30="statistical_results"))),"not_applicable","")</f>
        <v/>
      </c>
      <c r="J30" s="9">
        <f>IF(OR(AND($D30&lt;&gt;"",$D30&lt;&gt;"retain"),NOT(OR($E30="statistical_results"))),"not_applicable","")</f>
        <v/>
      </c>
      <c r="K30" s="8">
        <f>IF(OR(AND($D30&lt;&gt;"",$D30&lt;&gt;"retain"),NOT(OR($E30="report_internal_inconsistency",$E30="plan_material"))),"not_applicable","")</f>
        <v/>
      </c>
      <c r="L30" s="9">
        <f>IF(OR(AND($D30&lt;&gt;"",$D30&lt;&gt;"retain"),NOT(OR($E30="protocol_report"))),"not_applicable","")</f>
        <v/>
      </c>
      <c r="M30" s="2" t="inlineStr">
        <is>
          <t>PRIMARY REVIEW - complete this row before handoff. The primary snapshot appears here in the prepared checker copy.</t>
        </is>
      </c>
      <c r="N30" s="10" t="inlineStr"/>
      <c r="O30" s="11" t="inlineStr"/>
      <c r="P30" s="10" t="inlineStr"/>
      <c r="Q30" s="11" t="inlineStr"/>
      <c r="R30" s="12" t="inlineStr"/>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8" t="inlineStr"/>
      <c r="E31" s="8" t="inlineStr">
        <is>
          <t>statistical_results</t>
        </is>
      </c>
      <c r="F31" s="8" t="inlineStr">
        <is>
          <t>no</t>
        </is>
      </c>
      <c r="G31" s="3">
        <f>IF(OR(AND(OR(AND($D31&lt;&gt;"",$D31&lt;&gt;"retain"),NOT(OR($E31="statistical_results"))),H31&lt;&gt;"",H31&lt;&gt;"not_applicable"),AND(OR(AND($D31&lt;&gt;"",$D31&lt;&gt;"retain"),NOT(OR($E31="statistical_results"))),I31&lt;&gt;"",I31&lt;&gt;"not_applicable"),AND(OR(AND($D31&lt;&gt;"",$D31&lt;&gt;"retain"),NOT(OR($E31="statistical_results"))),J31&lt;&gt;"",J31&lt;&gt;"not_applicable"),AND(OR(AND($D31&lt;&gt;"",$D31&lt;&gt;"retain"),NOT(OR($E31="report_internal_inconsistency",$E31="plan_material"))),K31&lt;&gt;"",K31&lt;&gt;"not_applicable"),AND(OR(AND($D31&lt;&gt;"",$D31&lt;&gt;"retain"),NOT(OR($E31="protocol_report"))),L31&lt;&gt;"",L31&lt;&gt;"not_applicable")),"CLEAR INACTIVE VALUES",IF(OR(COUNTIF(opt_disposition,D31)&lt;&gt;1,COUNTIF(opt_domain,E31)&lt;&gt;1,AND(D31="retain",E31="statistical_results",OR(OR(COUNTIF(opt_statisticalIssueStatus,H31)&lt;&gt;1,H31="not_applicable"),OR(COUNTIF(opt_substantiveStatus,I31)&lt;&gt;1,I31="not_applicable"))),AND(D31="retain",E31="report_internal_inconsistency",OR(OR(COUNTIF(opt_internalStatus,K31)&lt;&gt;1,K31="not_applicable"))),AND(D31="retain",E31="plan_material",OR(OR(COUNTIF(opt_internalStatus,K31)&lt;&gt;1,K31="not_applicable")))),"CHECK FIELDS",IF(F31="yes","READY - validate saved file","DRAFT")))</f>
        <v/>
      </c>
      <c r="H31" s="8">
        <f>IF(OR(AND($D31&lt;&gt;"",$D31&lt;&gt;"retain"),NOT(OR($E31="statistical_results"))),"not_applicable","")</f>
        <v/>
      </c>
      <c r="I31" s="8">
        <f>IF(OR(AND($D31&lt;&gt;"",$D31&lt;&gt;"retain"),NOT(OR($E31="statistical_results"))),"not_applicable","")</f>
        <v/>
      </c>
      <c r="J31" s="9">
        <f>IF(OR(AND($D31&lt;&gt;"",$D31&lt;&gt;"retain"),NOT(OR($E31="statistical_results"))),"not_applicable","")</f>
        <v/>
      </c>
      <c r="K31" s="8">
        <f>IF(OR(AND($D31&lt;&gt;"",$D31&lt;&gt;"retain"),NOT(OR($E31="report_internal_inconsistency",$E31="plan_material"))),"not_applicable","")</f>
        <v/>
      </c>
      <c r="L31" s="9">
        <f>IF(OR(AND($D31&lt;&gt;"",$D31&lt;&gt;"retain"),NOT(OR($E31="protocol_report"))),"not_applicable","")</f>
        <v/>
      </c>
      <c r="M31" s="3" t="inlineStr">
        <is>
          <t>PRIMARY REVIEW - complete this row before handoff. The primary snapshot appears here in the prepared checker copy.</t>
        </is>
      </c>
      <c r="N31" s="10" t="inlineStr"/>
      <c r="O31" s="11" t="inlineStr"/>
      <c r="P31" s="10" t="inlineStr"/>
      <c r="Q31" s="11" t="inlineStr"/>
      <c r="R31" s="12" t="inlineStr"/>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8" t="inlineStr"/>
      <c r="E32" s="8" t="inlineStr">
        <is>
          <t>statistical_results</t>
        </is>
      </c>
      <c r="F32" s="8" t="inlineStr">
        <is>
          <t>no</t>
        </is>
      </c>
      <c r="G32" s="2">
        <f>IF(OR(AND(OR(AND($D32&lt;&gt;"",$D32&lt;&gt;"retain"),NOT(OR($E32="statistical_results"))),H32&lt;&gt;"",H32&lt;&gt;"not_applicable"),AND(OR(AND($D32&lt;&gt;"",$D32&lt;&gt;"retain"),NOT(OR($E32="statistical_results"))),I32&lt;&gt;"",I32&lt;&gt;"not_applicable"),AND(OR(AND($D32&lt;&gt;"",$D32&lt;&gt;"retain"),NOT(OR($E32="statistical_results"))),J32&lt;&gt;"",J32&lt;&gt;"not_applicable"),AND(OR(AND($D32&lt;&gt;"",$D32&lt;&gt;"retain"),NOT(OR($E32="report_internal_inconsistency",$E32="plan_material"))),K32&lt;&gt;"",K32&lt;&gt;"not_applicable"),AND(OR(AND($D32&lt;&gt;"",$D32&lt;&gt;"retain"),NOT(OR($E32="protocol_report"))),L32&lt;&gt;"",L32&lt;&gt;"not_applicable")),"CLEAR INACTIVE VALUES",IF(OR(COUNTIF(opt_disposition,D32)&lt;&gt;1,COUNTIF(opt_domain,E32)&lt;&gt;1,AND(D32="retain",E32="statistical_results",OR(OR(COUNTIF(opt_statisticalIssueStatus,H32)&lt;&gt;1,H32="not_applicable"),OR(COUNTIF(opt_substantiveStatus,I32)&lt;&gt;1,I32="not_applicable"))),AND(D32="retain",E32="report_internal_inconsistency",OR(OR(COUNTIF(opt_internalStatus,K32)&lt;&gt;1,K32="not_applicable"))),AND(D32="retain",E32="plan_material",OR(OR(COUNTIF(opt_internalStatus,K32)&lt;&gt;1,K32="not_applicable")))),"CHECK FIELDS",IF(F32="yes","READY - validate saved file","DRAFT")))</f>
        <v/>
      </c>
      <c r="H32" s="8">
        <f>IF(OR(AND($D32&lt;&gt;"",$D32&lt;&gt;"retain"),NOT(OR($E32="statistical_results"))),"not_applicable","")</f>
        <v/>
      </c>
      <c r="I32" s="8">
        <f>IF(OR(AND($D32&lt;&gt;"",$D32&lt;&gt;"retain"),NOT(OR($E32="statistical_results"))),"not_applicable","")</f>
        <v/>
      </c>
      <c r="J32" s="9">
        <f>IF(OR(AND($D32&lt;&gt;"",$D32&lt;&gt;"retain"),NOT(OR($E32="statistical_results"))),"not_applicable","")</f>
        <v/>
      </c>
      <c r="K32" s="8">
        <f>IF(OR(AND($D32&lt;&gt;"",$D32&lt;&gt;"retain"),NOT(OR($E32="report_internal_inconsistency",$E32="plan_material"))),"not_applicable","")</f>
        <v/>
      </c>
      <c r="L32" s="9">
        <f>IF(OR(AND($D32&lt;&gt;"",$D32&lt;&gt;"retain"),NOT(OR($E32="protocol_report"))),"not_applicable","")</f>
        <v/>
      </c>
      <c r="M32" s="2" t="inlineStr">
        <is>
          <t>PRIMARY REVIEW - complete this row before handoff. The primary snapshot appears here in the prepared checker copy.</t>
        </is>
      </c>
      <c r="N32" s="10" t="inlineStr"/>
      <c r="O32" s="11" t="inlineStr"/>
      <c r="P32" s="10" t="inlineStr"/>
      <c r="Q32" s="11" t="inlineStr"/>
      <c r="R32" s="12" t="inlineStr"/>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8" t="inlineStr"/>
      <c r="E33" s="8" t="inlineStr">
        <is>
          <t>statistical_results</t>
        </is>
      </c>
      <c r="F33" s="8" t="inlineStr">
        <is>
          <t>no</t>
        </is>
      </c>
      <c r="G33" s="3">
        <f>IF(OR(AND(OR(AND($D33&lt;&gt;"",$D33&lt;&gt;"retain"),NOT(OR($E33="statistical_results"))),H33&lt;&gt;"",H33&lt;&gt;"not_applicable"),AND(OR(AND($D33&lt;&gt;"",$D33&lt;&gt;"retain"),NOT(OR($E33="statistical_results"))),I33&lt;&gt;"",I33&lt;&gt;"not_applicable"),AND(OR(AND($D33&lt;&gt;"",$D33&lt;&gt;"retain"),NOT(OR($E33="statistical_results"))),J33&lt;&gt;"",J33&lt;&gt;"not_applicable"),AND(OR(AND($D33&lt;&gt;"",$D33&lt;&gt;"retain"),NOT(OR($E33="report_internal_inconsistency",$E33="plan_material"))),K33&lt;&gt;"",K33&lt;&gt;"not_applicable"),AND(OR(AND($D33&lt;&gt;"",$D33&lt;&gt;"retain"),NOT(OR($E33="protocol_report"))),L33&lt;&gt;"",L33&lt;&gt;"not_applicable")),"CLEAR INACTIVE VALUES",IF(OR(COUNTIF(opt_disposition,D33)&lt;&gt;1,COUNTIF(opt_domain,E33)&lt;&gt;1,AND(D33="retain",E33="statistical_results",OR(OR(COUNTIF(opt_statisticalIssueStatus,H33)&lt;&gt;1,H33="not_applicable"),OR(COUNTIF(opt_substantiveStatus,I33)&lt;&gt;1,I33="not_applicable"))),AND(D33="retain",E33="report_internal_inconsistency",OR(OR(COUNTIF(opt_internalStatus,K33)&lt;&gt;1,K33="not_applicable"))),AND(D33="retain",E33="plan_material",OR(OR(COUNTIF(opt_internalStatus,K33)&lt;&gt;1,K33="not_applicable")))),"CHECK FIELDS",IF(F33="yes","READY - validate saved file","DRAFT")))</f>
        <v/>
      </c>
      <c r="H33" s="8">
        <f>IF(OR(AND($D33&lt;&gt;"",$D33&lt;&gt;"retain"),NOT(OR($E33="statistical_results"))),"not_applicable","")</f>
        <v/>
      </c>
      <c r="I33" s="8">
        <f>IF(OR(AND($D33&lt;&gt;"",$D33&lt;&gt;"retain"),NOT(OR($E33="statistical_results"))),"not_applicable","")</f>
        <v/>
      </c>
      <c r="J33" s="9">
        <f>IF(OR(AND($D33&lt;&gt;"",$D33&lt;&gt;"retain"),NOT(OR($E33="statistical_results"))),"not_applicable","")</f>
        <v/>
      </c>
      <c r="K33" s="8">
        <f>IF(OR(AND($D33&lt;&gt;"",$D33&lt;&gt;"retain"),NOT(OR($E33="report_internal_inconsistency",$E33="plan_material"))),"not_applicable","")</f>
        <v/>
      </c>
      <c r="L33" s="9">
        <f>IF(OR(AND($D33&lt;&gt;"",$D33&lt;&gt;"retain"),NOT(OR($E33="protocol_report"))),"not_applicable","")</f>
        <v/>
      </c>
      <c r="M33" s="3" t="inlineStr">
        <is>
          <t>PRIMARY REVIEW - complete this row before handoff. The primary snapshot appears here in the prepared checker copy.</t>
        </is>
      </c>
      <c r="N33" s="10" t="inlineStr"/>
      <c r="O33" s="11" t="inlineStr"/>
      <c r="P33" s="10" t="inlineStr"/>
      <c r="Q33" s="11" t="inlineStr"/>
      <c r="R33" s="12" t="inlineStr"/>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8" t="inlineStr"/>
      <c r="E34" s="8" t="inlineStr">
        <is>
          <t>statistical_results</t>
        </is>
      </c>
      <c r="F34" s="8" t="inlineStr">
        <is>
          <t>no</t>
        </is>
      </c>
      <c r="G34" s="2">
        <f>IF(OR(AND(OR(AND($D34&lt;&gt;"",$D34&lt;&gt;"retain"),NOT(OR($E34="statistical_results"))),H34&lt;&gt;"",H34&lt;&gt;"not_applicable"),AND(OR(AND($D34&lt;&gt;"",$D34&lt;&gt;"retain"),NOT(OR($E34="statistical_results"))),I34&lt;&gt;"",I34&lt;&gt;"not_applicable"),AND(OR(AND($D34&lt;&gt;"",$D34&lt;&gt;"retain"),NOT(OR($E34="statistical_results"))),J34&lt;&gt;"",J34&lt;&gt;"not_applicable"),AND(OR(AND($D34&lt;&gt;"",$D34&lt;&gt;"retain"),NOT(OR($E34="report_internal_inconsistency",$E34="plan_material"))),K34&lt;&gt;"",K34&lt;&gt;"not_applicable"),AND(OR(AND($D34&lt;&gt;"",$D34&lt;&gt;"retain"),NOT(OR($E34="protocol_report"))),L34&lt;&gt;"",L34&lt;&gt;"not_applicable")),"CLEAR INACTIVE VALUES",IF(OR(COUNTIF(opt_disposition,D34)&lt;&gt;1,COUNTIF(opt_domain,E34)&lt;&gt;1,AND(D34="retain",E34="statistical_results",OR(OR(COUNTIF(opt_statisticalIssueStatus,H34)&lt;&gt;1,H34="not_applicable"),OR(COUNTIF(opt_substantiveStatus,I34)&lt;&gt;1,I34="not_applicable"))),AND(D34="retain",E34="report_internal_inconsistency",OR(OR(COUNTIF(opt_internalStatus,K34)&lt;&gt;1,K34="not_applicable"))),AND(D34="retain",E34="plan_material",OR(OR(COUNTIF(opt_internalStatus,K34)&lt;&gt;1,K34="not_applicable")))),"CHECK FIELDS",IF(F34="yes","READY - validate saved file","DRAFT")))</f>
        <v/>
      </c>
      <c r="H34" s="8">
        <f>IF(OR(AND($D34&lt;&gt;"",$D34&lt;&gt;"retain"),NOT(OR($E34="statistical_results"))),"not_applicable","")</f>
        <v/>
      </c>
      <c r="I34" s="8">
        <f>IF(OR(AND($D34&lt;&gt;"",$D34&lt;&gt;"retain"),NOT(OR($E34="statistical_results"))),"not_applicable","")</f>
        <v/>
      </c>
      <c r="J34" s="9">
        <f>IF(OR(AND($D34&lt;&gt;"",$D34&lt;&gt;"retain"),NOT(OR($E34="statistical_results"))),"not_applicable","")</f>
        <v/>
      </c>
      <c r="K34" s="8">
        <f>IF(OR(AND($D34&lt;&gt;"",$D34&lt;&gt;"retain"),NOT(OR($E34="report_internal_inconsistency",$E34="plan_material"))),"not_applicable","")</f>
        <v/>
      </c>
      <c r="L34" s="9">
        <f>IF(OR(AND($D34&lt;&gt;"",$D34&lt;&gt;"retain"),NOT(OR($E34="protocol_report"))),"not_applicable","")</f>
        <v/>
      </c>
      <c r="M34" s="2" t="inlineStr">
        <is>
          <t>PRIMARY REVIEW - complete this row before handoff. The primary snapshot appears here in the prepared checker copy.</t>
        </is>
      </c>
      <c r="N34" s="10" t="inlineStr"/>
      <c r="O34" s="11" t="inlineStr"/>
      <c r="P34" s="10" t="inlineStr"/>
      <c r="Q34" s="11" t="inlineStr"/>
      <c r="R34" s="12" t="inlineStr"/>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8" t="inlineStr"/>
      <c r="E35" s="8" t="inlineStr">
        <is>
          <t>report_internal_inconsistency</t>
        </is>
      </c>
      <c r="F35" s="8" t="inlineStr">
        <is>
          <t>no</t>
        </is>
      </c>
      <c r="G35" s="3">
        <f>IF(OR(AND(OR(AND($D35&lt;&gt;"",$D35&lt;&gt;"retain"),NOT(OR($E35="statistical_results"))),H35&lt;&gt;"",H35&lt;&gt;"not_applicable"),AND(OR(AND($D35&lt;&gt;"",$D35&lt;&gt;"retain"),NOT(OR($E35="statistical_results"))),I35&lt;&gt;"",I35&lt;&gt;"not_applicable"),AND(OR(AND($D35&lt;&gt;"",$D35&lt;&gt;"retain"),NOT(OR($E35="statistical_results"))),J35&lt;&gt;"",J35&lt;&gt;"not_applicable"),AND(OR(AND($D35&lt;&gt;"",$D35&lt;&gt;"retain"),NOT(OR($E35="report_internal_inconsistency",$E35="plan_material"))),K35&lt;&gt;"",K35&lt;&gt;"not_applicable"),AND(OR(AND($D35&lt;&gt;"",$D35&lt;&gt;"retain"),NOT(OR($E35="protocol_report"))),L35&lt;&gt;"",L35&lt;&gt;"not_applicable")),"CLEAR INACTIVE VALUES",IF(OR(COUNTIF(opt_disposition,D35)&lt;&gt;1,COUNTIF(opt_domain,E35)&lt;&gt;1,AND(D35="retain",E35="statistical_results",OR(OR(COUNTIF(opt_statisticalIssueStatus,H35)&lt;&gt;1,H35="not_applicable"),OR(COUNTIF(opt_substantiveStatus,I35)&lt;&gt;1,I35="not_applicable"))),AND(D35="retain",E35="report_internal_inconsistency",OR(OR(COUNTIF(opt_internalStatus,K35)&lt;&gt;1,K35="not_applicable"))),AND(D35="retain",E35="plan_material",OR(OR(COUNTIF(opt_internalStatus,K35)&lt;&gt;1,K35="not_applicable")))),"CHECK FIELDS",IF(F35="yes","READY - validate saved file","DRAFT")))</f>
        <v/>
      </c>
      <c r="H35" s="8">
        <f>IF(OR(AND($D35&lt;&gt;"",$D35&lt;&gt;"retain"),NOT(OR($E35="statistical_results"))),"not_applicable","")</f>
        <v/>
      </c>
      <c r="I35" s="8">
        <f>IF(OR(AND($D35&lt;&gt;"",$D35&lt;&gt;"retain"),NOT(OR($E35="statistical_results"))),"not_applicable","")</f>
        <v/>
      </c>
      <c r="J35" s="9">
        <f>IF(OR(AND($D35&lt;&gt;"",$D35&lt;&gt;"retain"),NOT(OR($E35="statistical_results"))),"not_applicable","")</f>
        <v/>
      </c>
      <c r="K35" s="8">
        <f>IF(OR(AND($D35&lt;&gt;"",$D35&lt;&gt;"retain"),NOT(OR($E35="report_internal_inconsistency",$E35="plan_material"))),"not_applicable","")</f>
        <v/>
      </c>
      <c r="L35" s="9">
        <f>IF(OR(AND($D35&lt;&gt;"",$D35&lt;&gt;"retain"),NOT(OR($E35="protocol_report"))),"not_applicable","")</f>
        <v/>
      </c>
      <c r="M35" s="3" t="inlineStr">
        <is>
          <t>PRIMARY REVIEW - complete this row before handoff. The primary snapshot appears here in the prepared checker copy.</t>
        </is>
      </c>
      <c r="N35" s="10" t="inlineStr"/>
      <c r="O35" s="11" t="inlineStr"/>
      <c r="P35" s="10" t="inlineStr"/>
      <c r="Q35" s="11" t="inlineStr"/>
      <c r="R35" s="12" t="inlineStr"/>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8" t="inlineStr"/>
      <c r="E36" s="8" t="inlineStr">
        <is>
          <t>report_internal_inconsistency</t>
        </is>
      </c>
      <c r="F36" s="8" t="inlineStr">
        <is>
          <t>no</t>
        </is>
      </c>
      <c r="G36" s="2">
        <f>IF(OR(AND(OR(AND($D36&lt;&gt;"",$D36&lt;&gt;"retain"),NOT(OR($E36="statistical_results"))),H36&lt;&gt;"",H36&lt;&gt;"not_applicable"),AND(OR(AND($D36&lt;&gt;"",$D36&lt;&gt;"retain"),NOT(OR($E36="statistical_results"))),I36&lt;&gt;"",I36&lt;&gt;"not_applicable"),AND(OR(AND($D36&lt;&gt;"",$D36&lt;&gt;"retain"),NOT(OR($E36="statistical_results"))),J36&lt;&gt;"",J36&lt;&gt;"not_applicable"),AND(OR(AND($D36&lt;&gt;"",$D36&lt;&gt;"retain"),NOT(OR($E36="report_internal_inconsistency",$E36="plan_material"))),K36&lt;&gt;"",K36&lt;&gt;"not_applicable"),AND(OR(AND($D36&lt;&gt;"",$D36&lt;&gt;"retain"),NOT(OR($E36="protocol_report"))),L36&lt;&gt;"",L36&lt;&gt;"not_applicable")),"CLEAR INACTIVE VALUES",IF(OR(COUNTIF(opt_disposition,D36)&lt;&gt;1,COUNTIF(opt_domain,E36)&lt;&gt;1,AND(D36="retain",E36="statistical_results",OR(OR(COUNTIF(opt_statisticalIssueStatus,H36)&lt;&gt;1,H36="not_applicable"),OR(COUNTIF(opt_substantiveStatus,I36)&lt;&gt;1,I36="not_applicable"))),AND(D36="retain",E36="report_internal_inconsistency",OR(OR(COUNTIF(opt_internalStatus,K36)&lt;&gt;1,K36="not_applicable"))),AND(D36="retain",E36="plan_material",OR(OR(COUNTIF(opt_internalStatus,K36)&lt;&gt;1,K36="not_applicable")))),"CHECK FIELDS",IF(F36="yes","READY - validate saved file","DRAFT")))</f>
        <v/>
      </c>
      <c r="H36" s="8">
        <f>IF(OR(AND($D36&lt;&gt;"",$D36&lt;&gt;"retain"),NOT(OR($E36="statistical_results"))),"not_applicable","")</f>
        <v/>
      </c>
      <c r="I36" s="8">
        <f>IF(OR(AND($D36&lt;&gt;"",$D36&lt;&gt;"retain"),NOT(OR($E36="statistical_results"))),"not_applicable","")</f>
        <v/>
      </c>
      <c r="J36" s="9">
        <f>IF(OR(AND($D36&lt;&gt;"",$D36&lt;&gt;"retain"),NOT(OR($E36="statistical_results"))),"not_applicable","")</f>
        <v/>
      </c>
      <c r="K36" s="8">
        <f>IF(OR(AND($D36&lt;&gt;"",$D36&lt;&gt;"retain"),NOT(OR($E36="report_internal_inconsistency",$E36="plan_material"))),"not_applicable","")</f>
        <v/>
      </c>
      <c r="L36" s="9">
        <f>IF(OR(AND($D36&lt;&gt;"",$D36&lt;&gt;"retain"),NOT(OR($E36="protocol_report"))),"not_applicable","")</f>
        <v/>
      </c>
      <c r="M36" s="2" t="inlineStr">
        <is>
          <t>PRIMARY REVIEW - complete this row before handoff. The primary snapshot appears here in the prepared checker copy.</t>
        </is>
      </c>
      <c r="N36" s="10" t="inlineStr"/>
      <c r="O36" s="11" t="inlineStr"/>
      <c r="P36" s="10" t="inlineStr"/>
      <c r="Q36" s="11" t="inlineStr"/>
      <c r="R36" s="12" t="inlineStr"/>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8" t="inlineStr"/>
      <c r="E37" s="8" t="inlineStr">
        <is>
          <t>report_internal_inconsistency</t>
        </is>
      </c>
      <c r="F37" s="8" t="inlineStr">
        <is>
          <t>no</t>
        </is>
      </c>
      <c r="G37" s="3">
        <f>IF(OR(AND(OR(AND($D37&lt;&gt;"",$D37&lt;&gt;"retain"),NOT(OR($E37="statistical_results"))),H37&lt;&gt;"",H37&lt;&gt;"not_applicable"),AND(OR(AND($D37&lt;&gt;"",$D37&lt;&gt;"retain"),NOT(OR($E37="statistical_results"))),I37&lt;&gt;"",I37&lt;&gt;"not_applicable"),AND(OR(AND($D37&lt;&gt;"",$D37&lt;&gt;"retain"),NOT(OR($E37="statistical_results"))),J37&lt;&gt;"",J37&lt;&gt;"not_applicable"),AND(OR(AND($D37&lt;&gt;"",$D37&lt;&gt;"retain"),NOT(OR($E37="report_internal_inconsistency",$E37="plan_material"))),K37&lt;&gt;"",K37&lt;&gt;"not_applicable"),AND(OR(AND($D37&lt;&gt;"",$D37&lt;&gt;"retain"),NOT(OR($E37="protocol_report"))),L37&lt;&gt;"",L37&lt;&gt;"not_applicable")),"CLEAR INACTIVE VALUES",IF(OR(COUNTIF(opt_disposition,D37)&lt;&gt;1,COUNTIF(opt_domain,E37)&lt;&gt;1,AND(D37="retain",E37="statistical_results",OR(OR(COUNTIF(opt_statisticalIssueStatus,H37)&lt;&gt;1,H37="not_applicable"),OR(COUNTIF(opt_substantiveStatus,I37)&lt;&gt;1,I37="not_applicable"))),AND(D37="retain",E37="report_internal_inconsistency",OR(OR(COUNTIF(opt_internalStatus,K37)&lt;&gt;1,K37="not_applicable"))),AND(D37="retain",E37="plan_material",OR(OR(COUNTIF(opt_internalStatus,K37)&lt;&gt;1,K37="not_applicable")))),"CHECK FIELDS",IF(F37="yes","READY - validate saved file","DRAFT")))</f>
        <v/>
      </c>
      <c r="H37" s="8">
        <f>IF(OR(AND($D37&lt;&gt;"",$D37&lt;&gt;"retain"),NOT(OR($E37="statistical_results"))),"not_applicable","")</f>
        <v/>
      </c>
      <c r="I37" s="8">
        <f>IF(OR(AND($D37&lt;&gt;"",$D37&lt;&gt;"retain"),NOT(OR($E37="statistical_results"))),"not_applicable","")</f>
        <v/>
      </c>
      <c r="J37" s="9">
        <f>IF(OR(AND($D37&lt;&gt;"",$D37&lt;&gt;"retain"),NOT(OR($E37="statistical_results"))),"not_applicable","")</f>
        <v/>
      </c>
      <c r="K37" s="8">
        <f>IF(OR(AND($D37&lt;&gt;"",$D37&lt;&gt;"retain"),NOT(OR($E37="report_internal_inconsistency",$E37="plan_material"))),"not_applicable","")</f>
        <v/>
      </c>
      <c r="L37" s="9">
        <f>IF(OR(AND($D37&lt;&gt;"",$D37&lt;&gt;"retain"),NOT(OR($E37="protocol_report"))),"not_applicable","")</f>
        <v/>
      </c>
      <c r="M37" s="3" t="inlineStr">
        <is>
          <t>PRIMARY REVIEW - complete this row before handoff. The primary snapshot appears here in the prepared checker copy.</t>
        </is>
      </c>
      <c r="N37" s="10" t="inlineStr"/>
      <c r="O37" s="11" t="inlineStr"/>
      <c r="P37" s="10" t="inlineStr"/>
      <c r="Q37" s="11" t="inlineStr"/>
      <c r="R37" s="12" t="inlineStr"/>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8" t="inlineStr"/>
      <c r="E38" s="8" t="inlineStr">
        <is>
          <t>report_internal_inconsistency</t>
        </is>
      </c>
      <c r="F38" s="8" t="inlineStr">
        <is>
          <t>no</t>
        </is>
      </c>
      <c r="G38" s="2">
        <f>IF(OR(AND(OR(AND($D38&lt;&gt;"",$D38&lt;&gt;"retain"),NOT(OR($E38="statistical_results"))),H38&lt;&gt;"",H38&lt;&gt;"not_applicable"),AND(OR(AND($D38&lt;&gt;"",$D38&lt;&gt;"retain"),NOT(OR($E38="statistical_results"))),I38&lt;&gt;"",I38&lt;&gt;"not_applicable"),AND(OR(AND($D38&lt;&gt;"",$D38&lt;&gt;"retain"),NOT(OR($E38="statistical_results"))),J38&lt;&gt;"",J38&lt;&gt;"not_applicable"),AND(OR(AND($D38&lt;&gt;"",$D38&lt;&gt;"retain"),NOT(OR($E38="report_internal_inconsistency",$E38="plan_material"))),K38&lt;&gt;"",K38&lt;&gt;"not_applicable"),AND(OR(AND($D38&lt;&gt;"",$D38&lt;&gt;"retain"),NOT(OR($E38="protocol_report"))),L38&lt;&gt;"",L38&lt;&gt;"not_applicable")),"CLEAR INACTIVE VALUES",IF(OR(COUNTIF(opt_disposition,D38)&lt;&gt;1,COUNTIF(opt_domain,E38)&lt;&gt;1,AND(D38="retain",E38="statistical_results",OR(OR(COUNTIF(opt_statisticalIssueStatus,H38)&lt;&gt;1,H38="not_applicable"),OR(COUNTIF(opt_substantiveStatus,I38)&lt;&gt;1,I38="not_applicable"))),AND(D38="retain",E38="report_internal_inconsistency",OR(OR(COUNTIF(opt_internalStatus,K38)&lt;&gt;1,K38="not_applicable"))),AND(D38="retain",E38="plan_material",OR(OR(COUNTIF(opt_internalStatus,K38)&lt;&gt;1,K38="not_applicable")))),"CHECK FIELDS",IF(F38="yes","READY - validate saved file","DRAFT")))</f>
        <v/>
      </c>
      <c r="H38" s="8">
        <f>IF(OR(AND($D38&lt;&gt;"",$D38&lt;&gt;"retain"),NOT(OR($E38="statistical_results"))),"not_applicable","")</f>
        <v/>
      </c>
      <c r="I38" s="8">
        <f>IF(OR(AND($D38&lt;&gt;"",$D38&lt;&gt;"retain"),NOT(OR($E38="statistical_results"))),"not_applicable","")</f>
        <v/>
      </c>
      <c r="J38" s="9">
        <f>IF(OR(AND($D38&lt;&gt;"",$D38&lt;&gt;"retain"),NOT(OR($E38="statistical_results"))),"not_applicable","")</f>
        <v/>
      </c>
      <c r="K38" s="8">
        <f>IF(OR(AND($D38&lt;&gt;"",$D38&lt;&gt;"retain"),NOT(OR($E38="report_internal_inconsistency",$E38="plan_material"))),"not_applicable","")</f>
        <v/>
      </c>
      <c r="L38" s="9">
        <f>IF(OR(AND($D38&lt;&gt;"",$D38&lt;&gt;"retain"),NOT(OR($E38="protocol_report"))),"not_applicable","")</f>
        <v/>
      </c>
      <c r="M38" s="2" t="inlineStr">
        <is>
          <t>PRIMARY REVIEW - complete this row before handoff. The primary snapshot appears here in the prepared checker copy.</t>
        </is>
      </c>
      <c r="N38" s="10" t="inlineStr"/>
      <c r="O38" s="11" t="inlineStr"/>
      <c r="P38" s="10" t="inlineStr"/>
      <c r="Q38" s="11" t="inlineStr"/>
      <c r="R38" s="12" t="inlineStr"/>
    </row>
  </sheetData>
  <sheetProtection selectLockedCells="0" selectUnlockedCells="0" sheet="1" objects="0" insertRows="1" insertHyperlinks="1" autoFilter="0" scenarios="0" formatColumns="1" deleteColumns="1" insertColumns="1" pivotTables="1" deleteRows="1" formatCells="1" formatRows="1" sort="1"/>
  <autoFilter ref="A1:R38"/>
  <conditionalFormatting sqref="H2:H3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Review domain" prompt="See Codebook for meanings." type="list" errorStyle="stop">
      <formula1>opt_domain</formula1>
    </dataValidation>
    <dataValidation sqref="F2:F38" showDropDown="0" showInputMessage="1" showErrorMessage="1" allowBlank="1" errorTitle="Invalid option" error="Choose a listed value." promptTitle="Complete" prompt="See Codebook for meanings." type="list" errorStyle="stop">
      <formula1>opt_reviewComplete</formula1>
    </dataValidation>
    <dataValidation sqref="H2:H3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8" showDropDown="0" showInputMessage="1" showErrorMessage="1" allowBlank="1" errorTitle="Invalid option" error="Choose a listed value." promptTitle="Substantiveness" prompt="See Codebook for meanings." type="list" errorStyle="stop">
      <formula1>opt_substantiveStatus</formula1>
    </dataValidation>
    <dataValidation sqref="J2:J38" showDropDown="0" showInputMessage="1" showErrorMessage="1" allowBlank="1" errorTitle="Invalid option" error="Choose a listed value." promptTitle="Downstream impact" prompt="See Codebook for meanings." type="list" errorStyle="stop">
      <formula1>opt_downstreamImpact</formula1>
    </dataValidation>
    <dataValidation sqref="K2:K3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8" t="inlineStr"/>
      <c r="E11" s="8" t="inlineStr">
        <is>
          <t>report_internal_inconsistency</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sheetData>
  <sheetProtection selectLockedCells="0" selectUnlockedCells="0" sheet="1" objects="0" insertRows="1" insertHyperlinks="1" autoFilter="0" scenarios="0" formatColumns="1" deleteColumns="1" insertColumns="1" pivotTables="1" deleteRows="1" formatCells="1" formatRows="1" sort="1"/>
  <autoFilter ref="A1:R13"/>
  <conditionalFormatting sqref="H2:H1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Review domain" prompt="See Codebook for meanings." type="list" errorStyle="stop">
      <formula1>opt_domain</formula1>
    </dataValidation>
    <dataValidation sqref="F2:F13" showDropDown="0" showInputMessage="1" showErrorMessage="1" allowBlank="1" errorTitle="Invalid option" error="Choose a listed value." promptTitle="Complete" prompt="See Codebook for meanings." type="list" errorStyle="stop">
      <formula1>opt_reviewComplete</formula1>
    </dataValidation>
    <dataValidation sqref="H2:H1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3" showDropDown="0" showInputMessage="1" showErrorMessage="1" allowBlank="1" errorTitle="Invalid option" error="Choose a listed value." promptTitle="Substantiveness" prompt="See Codebook for meanings." type="list" errorStyle="stop">
      <formula1>opt_substantiveStatus</formula1>
    </dataValidation>
    <dataValidation sqref="J2:J13" showDropDown="0" showInputMessage="1" showErrorMessage="1" allowBlank="1" errorTitle="Invalid option" error="Choose a listed value." promptTitle="Downstream impact" prompt="See Codebook for meanings." type="list" errorStyle="stop">
      <formula1>opt_downstreamImpact</formula1>
    </dataValidation>
    <dataValidation sqref="K2:K1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sheetData>
  <sheetProtection selectLockedCells="0" selectUnlockedCells="0" sheet="1" objects="0" insertRows="1" insertHyperlinks="1" autoFilter="0" scenarios="0" formatColumns="1" deleteColumns="1" insertColumns="1" pivotTables="1" deleteRows="1" formatCells="1" formatRows="1" sort="1"/>
  <autoFilter ref="A1:R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8" t="inlineStr"/>
      <c r="E11" s="8" t="inlineStr">
        <is>
          <t>report_internal_inconsistency</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sheetData>
  <sheetProtection selectLockedCells="0" selectUnlockedCells="0" sheet="1" objects="0" insertRows="1" insertHyperlinks="1" autoFilter="0" scenarios="0" formatColumns="1" deleteColumns="1" insertColumns="1" pivotTables="1" deleteRows="1" formatCells="1" formatRows="1" sort="1"/>
  <autoFilter ref="A1:R11"/>
  <conditionalFormatting sqref="H2:H11">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1">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1">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1">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1">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Review domain" prompt="See Codebook for meanings." type="list" errorStyle="stop">
      <formula1>opt_domain</formula1>
    </dataValidation>
    <dataValidation sqref="F2:F11" showDropDown="0" showInputMessage="1" showErrorMessage="1" allowBlank="1" errorTitle="Invalid option" error="Choose a listed value." promptTitle="Complete" prompt="See Codebook for meanings." type="list" errorStyle="stop">
      <formula1>opt_reviewComplete</formula1>
    </dataValidation>
    <dataValidation sqref="H2:H11"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1" showDropDown="0" showInputMessage="1" showErrorMessage="1" allowBlank="1" errorTitle="Invalid option" error="Choose a listed value." promptTitle="Substantiveness" prompt="See Codebook for meanings." type="list" errorStyle="stop">
      <formula1>opt_substantiveStatus</formula1>
    </dataValidation>
    <dataValidation sqref="J2:J11" showDropDown="0" showInputMessage="1" showErrorMessage="1" allowBlank="1" errorTitle="Invalid option" error="Choose a listed value." promptTitle="Downstream impact" prompt="See Codebook for meanings." type="list" errorStyle="stop">
      <formula1>opt_downstreamImpact</formula1>
    </dataValidation>
    <dataValidation sqref="K2:K11"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1"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2025::jama.2025.19563::C005</t>
        </is>
      </c>
      <c r="B6" s="2" t="inlineStr">
        <is>
          <t>eTable 7 pairs “no statistically significant” with p&lt;0.05</t>
        </is>
      </c>
      <c r="C6" s="2" t="inlineStr">
        <is>
          <t>DOC-003 supplement — PDF p. 46; DOC-003 supplement — PDF p. 47.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2025::jama.2025.19563::C006</t>
        </is>
      </c>
      <c r="B7" s="3" t="inlineStr">
        <is>
          <t>eTable 10b labels one comparison as both chi-squared and Wilcoxon rank-sum</t>
        </is>
      </c>
      <c r="C7" s="3" t="inlineStr">
        <is>
          <t>DOC-003 supplement — PDF p. 29; DOC-003 supplement — PDF p. 52.</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sheetData>
  <sheetProtection selectLockedCells="0" selectUnlockedCells="0" sheet="1" objects="0" insertRows="1" insertHyperlinks="1" autoFilter="0" scenarios="0" formatColumns="1" deleteColumns="1" insertColumns="1" pivotTables="1" deleteRows="1" formatCells="1" formatRows="1" sort="1"/>
  <autoFilter ref="A1:R2"/>
  <conditionalFormatting sqref="H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Review domain" prompt="See Codebook for meanings." type="list" errorStyle="stop">
      <formula1>opt_domain</formula1>
    </dataValidation>
    <dataValidation sqref="F2" showDropDown="0" showInputMessage="1" showErrorMessage="1" allowBlank="1" errorTitle="Invalid option" error="Choose a listed value." promptTitle="Complete" prompt="See Codebook for meanings." type="list" errorStyle="stop">
      <formula1>opt_reviewComplete</formula1>
    </dataValidation>
    <dataValidation sqref="H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 showDropDown="0" showInputMessage="1" showErrorMessage="1" allowBlank="1" errorTitle="Invalid option" error="Choose a listed value." promptTitle="Substantiveness" prompt="See Codebook for meanings." type="list" errorStyle="stop">
      <formula1>opt_substantiveStatus</formula1>
    </dataValidation>
    <dataValidation sqref="J2" showDropDown="0" showInputMessage="1" showErrorMessage="1" allowBlank="1" errorTitle="Invalid option" error="Choose a listed value." promptTitle="Downstream impact" prompt="See Codebook for meanings." type="list" errorStyle="stop">
      <formula1>opt_downstreamImpact</formula1>
    </dataValidation>
    <dataValidation sqref="K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2025::jama.2025.20765::C003</t>
        </is>
      </c>
      <c r="B4" s="2" t="inlineStr">
        <is>
          <t>178-message total conflicts with its printed frequency schedule</t>
        </is>
      </c>
      <c r="C4" s="2" t="inlineStr">
        <is>
          <t>DOC-002 Supplement 1 — PDF p. 16.</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2025::jama.2025.20765::C004</t>
        </is>
      </c>
      <c r="B5" s="3" t="inlineStr">
        <is>
          <t>Repeated 2,384-participant plan names 44 and 48 facilities</t>
        </is>
      </c>
      <c r="C5" s="3" t="inlineStr">
        <is>
          <t>DOC-002 Supplement 1 — PDF p. 10 and PDF p. 26.</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2025::jama.2025.20765::C005</t>
        </is>
      </c>
      <c r="B6" s="2" t="inlineStr">
        <is>
          <t>134-message total conflicts with its printed frequency schedule</t>
        </is>
      </c>
      <c r="C6" s="2" t="inlineStr">
        <is>
          <t>DOC-002 Supplement 1 — PDF p. 53.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2025::jama.2025.20765::C006</t>
        </is>
      </c>
      <c r="B7" s="3" t="inlineStr">
        <is>
          <t>TAM sampling header conflicts with contemporaneous narrative and equations</t>
        </is>
      </c>
      <c r="C7" s="3" t="inlineStr">
        <is>
          <t>DOC-002 Supplement 1 — PDF p. 55.</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2025::jama.2025.20765::C007</t>
        </is>
      </c>
      <c r="B8" s="2" t="inlineStr">
        <is>
          <t>Later 2,716-participant plan gives 48 clinics versus a 63-site diagram</t>
        </is>
      </c>
      <c r="C8" s="2" t="inlineStr">
        <is>
          <t>DOC-002 Supplement 1 — PDF p. 48, PDF p. 51, PDF p. 52, and PDF p. 62.</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2025::jama.2025.20765::C008</t>
        </is>
      </c>
      <c r="B9" s="3" t="inlineStr">
        <is>
          <t>Phase-4 design-effect equality does not reproduce from printed inputs</t>
        </is>
      </c>
      <c r="C9" s="3" t="inlineStr">
        <is>
          <t>DOC-002 Supplement 1 — PDF p. 64.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2025::jama.2025.20765::C009</t>
        </is>
      </c>
      <c r="B10" s="2" t="inlineStr">
        <is>
          <t>Phase-4 diagram is labelled Phase 3/Superiority</t>
        </is>
      </c>
      <c r="C10" s="2" t="inlineStr">
        <is>
          <t>DOC-002 Supplement 1 — PDF p. 64.</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2025::jama.2025.20765::C010</t>
        </is>
      </c>
      <c r="B11" s="3" t="inlineStr">
        <is>
          <t>Phase-3 design-effect display gives undocumented 1,080 effective sample size</t>
        </is>
      </c>
      <c r="C11" s="3" t="inlineStr">
        <is>
          <t>DOC-002 Supplement 1 — PDF p. 63 and PDF p. 83.</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2025::jama.2025.20765::C011</t>
        </is>
      </c>
      <c r="B12" s="2" t="inlineStr">
        <is>
          <t>MPSS score range conflicts with stated item scale</t>
        </is>
      </c>
      <c r="C12" s="2" t="inlineStr">
        <is>
          <t>DOC-002 Supplement 1 — PDF p. 85.</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8" t="inlineStr"/>
      <c r="E14" s="8" t="inlineStr">
        <is>
          <t>protocol_report</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sheetData>
  <sheetProtection selectLockedCells="0" selectUnlockedCells="0" sheet="1" objects="0" insertRows="1" insertHyperlinks="1" autoFilter="0" scenarios="0" formatColumns="1" deleteColumns="1" insertColumns="1" pivotTables="1" deleteRows="1" formatCells="1" formatRows="1" sort="1"/>
  <autoFilter ref="A1:R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2025::jama.2025.24175::C002</t>
        </is>
      </c>
      <c r="B3" s="3" t="inlineStr">
        <is>
          <t>Protocol and report IFN-gamma dose comparison</t>
        </is>
      </c>
      <c r="C3" s="3" t="inlineStr">
        <is>
          <t>DOC-002 protocol, PDF p. 6; DOC-001 regimen,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2025::jama.2025.24175::C003</t>
        </is>
      </c>
      <c r="B4" s="2" t="inlineStr">
        <is>
          <t>Primary responder cutoff comparison</t>
        </is>
      </c>
      <c r="C4" s="2" t="inlineStr">
        <is>
          <t>DOC-002 protocol, PDF p. 7; DOC-001 report, PDF p. 1; DOC-002 SAP, PDF p. 66.</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2025::jama.2025.24175::C005</t>
        </is>
      </c>
      <c r="B6" s="2" t="inlineStr">
        <is>
          <t>Protocol sample-size, dropout, and total-target arithmetic</t>
        </is>
      </c>
      <c r="C6" s="2" t="inlineStr">
        <is>
          <t>DOC-002 protocol, PDF p. 25 and PDF p. 26.</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2025::jama.2025.24175::C006</t>
        </is>
      </c>
      <c r="B7" s="3" t="inlineStr">
        <is>
          <t>Historical-trial narrative and flow diagram death counts</t>
        </is>
      </c>
      <c r="C7" s="3" t="inlineStr">
        <is>
          <t>DOC-002 narrative, PDF p. 41; DOC-002 Figure 1, PDF p. 50.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2025::jama.2025.24175::C007</t>
        </is>
      </c>
      <c r="B8" s="2" t="inlineStr">
        <is>
          <t>APACHE II Table 2 P value versus displayed t-test inputs</t>
        </is>
      </c>
      <c r="C8" s="2" t="inlineStr">
        <is>
          <t>DOC-002 Table 2, PDF p. 48.</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2025::jama.2025.24175::C008</t>
        </is>
      </c>
      <c r="B9" s="3" t="inlineStr">
        <is>
          <t>Figure 1 septic-shock classification children exceed their parent total</t>
        </is>
      </c>
      <c r="C9" s="3" t="inlineStr">
        <is>
          <t>DOC-002 Figure 1, PDF p. 50.</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2025::jama.2025.24175::C010</t>
        </is>
      </c>
      <c r="B11" s="3" t="inlineStr">
        <is>
          <t>Figure 2C relative-risk label versus displayed association</t>
        </is>
      </c>
      <c r="C11" s="3" t="inlineStr">
        <is>
          <t>DOC-002 Figure 2C, PDF p. 51; DOC-002 Figure 3, PDF p. 52.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2025::jama.2025.24175::C011</t>
        </is>
      </c>
      <c r="B12" s="2" t="inlineStr">
        <is>
          <t>eTable 10 SII day-15 OR versus counts, CI, and P value</t>
        </is>
      </c>
      <c r="C12" s="2" t="inlineStr">
        <is>
          <t>DOC-003 eTable 10, PDF p. 22.</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is>
          <t>PRIMARY REVIEW - complete this row before handoff. The primary snapshot appears here in the prepared checker copy.</t>
        </is>
      </c>
      <c r="N13" s="10" t="inlineStr"/>
      <c r="O13" s="11" t="inlineStr"/>
      <c r="P13" s="10" t="inlineStr"/>
      <c r="Q13" s="11" t="inlineStr"/>
      <c r="R13" s="12" t="inlineStr"/>
    </row>
    <row r="14" ht="76" customHeight="1">
      <c r="A14" s="2" t="inlineStr">
        <is>
          <t>2025::jama.2025.24175::C013</t>
        </is>
      </c>
      <c r="B14" s="2" t="inlineStr">
        <is>
          <t>eFigure 9B APACHE interaction point estimate outside its CI</t>
        </is>
      </c>
      <c r="C14" s="2" t="inlineStr">
        <is>
          <t>DOC-003 eFigure 9B, PDF p. 53.</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is>
          <t>PRIMARY REVIEW - complete this row before handoff. The primary snapshot appears here in the prepared checker copy.</t>
        </is>
      </c>
      <c r="N14" s="10" t="inlineStr"/>
      <c r="O14" s="11" t="inlineStr"/>
      <c r="P14" s="10" t="inlineStr"/>
      <c r="Q14" s="11" t="inlineStr"/>
      <c r="R14" s="12" t="inlineStr"/>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8" t="inlineStr"/>
      <c r="E15" s="8" t="inlineStr">
        <is>
          <t>plan_material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is>
          <t>PRIMARY REVIEW - complete this row before handoff. The primary snapshot appears here in the prepared checker copy.</t>
        </is>
      </c>
      <c r="N15" s="10" t="inlineStr"/>
      <c r="O15" s="11" t="inlineStr"/>
      <c r="P15" s="10" t="inlineStr"/>
      <c r="Q15" s="11" t="inlineStr"/>
      <c r="R15" s="12" t="inlineStr"/>
    </row>
  </sheetData>
  <sheetProtection selectLockedCells="0" selectUnlockedCells="0" sheet="1" objects="0" insertRows="1" insertHyperlinks="1" autoFilter="0" scenarios="0" formatColumns="1" deleteColumns="1" insertColumns="1" pivotTables="1" deleteRows="1" formatCells="1" formatRows="1" sort="1"/>
  <autoFilter ref="A1:R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2025::jama.2025.7583::C003</t>
        </is>
      </c>
      <c r="B4" s="2" t="inlineStr">
        <is>
          <t>Standard-care surgery-type counts exceed their shared printed denominator</t>
        </is>
      </c>
      <c r="C4" s="2" t="inlineStr">
        <is>
          <t>Main article — PDF p. 5, Table 1, Treatment rows.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report_internal_inconsistency</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report_internal_inconsistency</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report_internal_inconsistency</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report_internal_inconsistency</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report_internal_inconsistency</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report_internal_inconsistency</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report_internal_inconsistency</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report_internal_inconsistency</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report_internal_inconsistency</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report_internal_inconsistency</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report_internal_inconsistency</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report_internal_inconsistency</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report_internal_inconsistency</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report_internal_inconsistency</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report_internal_inconsistency</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report_internal_inconsistency</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report_internal_inconsistency</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report_internal_inconsistency</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report_internal_inconsistency</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report_internal_inconsistency</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report_internal_inconsistency</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report_internal_inconsistency</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report_internal_inconsistency</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report_internal_inconsistency</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report_internal_inconsistency</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report_internal_inconsistency</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report_internal_inconsistency</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report_internal_inconsistency</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report_internal_inconsistency</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report_internal_inconsistency</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report_internal_inconsistency</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report_internal_inconsistency</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report_internal_inconsistency</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report_internal_inconsistency</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report_internal_inconsistency</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report_internal_inconsistency</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report_internal_inconsistency</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report_internal_inconsistency</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report_internal_inconsistency</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report_internal_inconsistency</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report_internal_inconsistency</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report_internal_inconsistency</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report_internal_inconsistency</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report_internal_inconsistency</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report_internal_inconsistency</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report_internal_inconsistency</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report_internal_inconsistency</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report_internal_inconsistency</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report_internal_inconsistency</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report_internal_inconsistency</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report_internal_inconsistency</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report_internal_inconsistency</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report_internal_inconsistency</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report_internal_inconsistency</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report_internal_inconsistency</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report_internal_inconsistency</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report_internal_inconsistency</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report_internal_inconsistency</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report_internal_inconsistency</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report_internal_inconsistency</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report_internal_inconsistency</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report_internal_inconsistency</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report_internal_inconsistency</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report_internal_inconsistency</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report_internal_inconsistency</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report_internal_inconsistency</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report_internal_inconsistency</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report_internal_inconsistency</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report_internal_inconsistency</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report_internal_inconsistency</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report_internal_inconsistency</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report_internal_inconsistency</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report_internal_inconsistency</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report_internal_inconsistency</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report_internal_inconsistency</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report_internal_inconsistency</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report_internal_inconsistency</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report_internal_inconsistency</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report_internal_inconsistency</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report_internal_inconsistency</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report_internal_inconsistency</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1.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v.2.1.5.1</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2025</t>
        </is>
      </c>
    </row>
    <row r="6" ht="30" customHeight="1">
      <c r="A6" s="2" t="inlineStr">
        <is>
          <t>createdAt</t>
        </is>
      </c>
      <c r="B6" s="2" t="inlineStr">
        <is>
          <t>2026-09-17T17:00:18+00:00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a214786bee1f520119a01e7b32c6a5130b60b12bc4d6201b67c277b4eb4d69e1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2026-09-17T17:00:18Z</dcterms:created>
  <dcterms:modified xmlns:dcterms="http://purl.org/dc/terms/" xmlns:xsi="http://www.w3.org/2001/XMLSchema-instance" xsi:type="dcterms:W3CDTF">2026-09-17T17:00:18Z</dcterms:modified>
</cp:coreProperties>
</file>