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17.21906" sheetId="4" state="visible" r:id="rId4"/>
    <sheet name="C_jama.2018.0156" sheetId="5" state="visible" r:id="rId5"/>
    <sheet name="C_jama.2018.0948" sheetId="6" state="visible" r:id="rId6"/>
    <sheet name="C_jama.2018.14280" sheetId="7" state="visible" r:id="rId7"/>
    <sheet name="C_jama.2018.14282" sheetId="8" state="visible" r:id="rId8"/>
    <sheet name="C_jama.2018.17075" sheetId="9" state="visible" r:id="rId9"/>
    <sheet name="C_jama.2018.18020" sheetId="10" state="visible" r:id="rId10"/>
    <sheet name="C_jama.2018.6496" sheetId="11" state="visible" r:id="rId11"/>
    <sheet name="C_jama.2018.8802" sheetId="12" state="visible" r:id="rId12"/>
    <sheet name="C_jama.2018.9128"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 name="_Primary" sheetId="20" state="veryHidden" r:id="rId20"/>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primary_jama_2017_21906_key">'_Primary'!$A$2:$A$120</definedName>
    <definedName name="primary_jama_2017_21906_disposition">'_Primary'!$B$2:$B$120</definedName>
    <definedName name="primary_jama_2017_21906_domain">'_Primary'!$C$2:$C$120</definedName>
    <definedName name="primary_jama_2018_0156_key">'_Primary'!$A$2:$A$120</definedName>
    <definedName name="primary_jama_2018_0156_disposition">'_Primary'!$B$2:$B$120</definedName>
    <definedName name="primary_jama_2018_0156_domain">'_Primary'!$C$2:$C$120</definedName>
    <definedName name="primary_jama_2018_0948_key">'_Primary'!$A$2:$A$120</definedName>
    <definedName name="primary_jama_2018_0948_disposition">'_Primary'!$B$2:$B$120</definedName>
    <definedName name="primary_jama_2018_0948_domain">'_Primary'!$C$2:$C$120</definedName>
    <definedName name="primary_jama_2018_14280_key">'_Primary'!$A$2:$A$120</definedName>
    <definedName name="primary_jama_2018_14280_disposition">'_Primary'!$B$2:$B$120</definedName>
    <definedName name="primary_jama_2018_14280_domain">'_Primary'!$C$2:$C$120</definedName>
    <definedName name="primary_jama_2018_14282_key">'_Primary'!$A$2:$A$120</definedName>
    <definedName name="primary_jama_2018_14282_disposition">'_Primary'!$B$2:$B$120</definedName>
    <definedName name="primary_jama_2018_14282_domain">'_Primary'!$C$2:$C$120</definedName>
    <definedName name="primary_jama_2018_17075_key">'_Primary'!$A$2:$A$120</definedName>
    <definedName name="primary_jama_2018_17075_disposition">'_Primary'!$B$2:$B$120</definedName>
    <definedName name="primary_jama_2018_17075_domain">'_Primary'!$C$2:$C$120</definedName>
    <definedName name="primary_jama_2018_18020_key">'_Primary'!$A$2:$A$120</definedName>
    <definedName name="primary_jama_2018_18020_disposition">'_Primary'!$B$2:$B$120</definedName>
    <definedName name="primary_jama_2018_18020_domain">'_Primary'!$C$2:$C$120</definedName>
    <definedName name="primary_jama_2018_6496_key">'_Primary'!$A$2:$A$120</definedName>
    <definedName name="primary_jama_2018_6496_disposition">'_Primary'!$B$2:$B$120</definedName>
    <definedName name="primary_jama_2018_6496_domain">'_Primary'!$C$2:$C$120</definedName>
    <definedName name="primary_jama_2018_8802_key">'_Primary'!$A$2:$A$120</definedName>
    <definedName name="primary_jama_2018_8802_disposition">'_Primary'!$B$2:$B$120</definedName>
    <definedName name="primary_jama_2018_8802_domain">'_Primary'!$C$2:$C$120</definedName>
    <definedName name="primary_jama_2018_9128_key">'_Primary'!$A$2:$A$120</definedName>
    <definedName name="primary_jama_2018_9128_disposition">'_Primary'!$B$2:$B$120</definedName>
    <definedName name="primary_jama_2018_9128_domain">'_Primary'!$C$2:$C$120</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'C_jama.2017.21906'!$A$1:$S$7</definedName>
    <definedName name="_xlnm.Print_Titles" localSheetId="3">'C_jama.2017.21906'!$1:$1</definedName>
    <definedName name="_xlnm._FilterDatabase" localSheetId="4" hidden="1">'C_jama.2018.0156'!$A$1:$S$9</definedName>
    <definedName name="_xlnm.Print_Titles" localSheetId="4">'C_jama.2018.0156'!$1:$1</definedName>
    <definedName name="_xlnm._FilterDatabase" localSheetId="5" hidden="1">'C_jama.2018.0948'!$A$1:$S$8</definedName>
    <definedName name="_xlnm.Print_Titles" localSheetId="5">'C_jama.2018.0948'!$1:$1</definedName>
    <definedName name="_xlnm._FilterDatabase" localSheetId="6" hidden="1">'C_jama.2018.14280'!$A$1:$S$24</definedName>
    <definedName name="_xlnm.Print_Titles" localSheetId="6">'C_jama.2018.14280'!$1:$1</definedName>
    <definedName name="_xlnm._FilterDatabase" localSheetId="7" hidden="1">'C_jama.2018.14282'!$A$1:$S$29</definedName>
    <definedName name="_xlnm.Print_Titles" localSheetId="7">'C_jama.2018.14282'!$1:$1</definedName>
    <definedName name="_xlnm._FilterDatabase" localSheetId="8" hidden="1">'C_jama.2018.17075'!$A$1:$S$9</definedName>
    <definedName name="_xlnm.Print_Titles" localSheetId="8">'C_jama.2018.17075'!$1:$1</definedName>
    <definedName name="_xlnm._FilterDatabase" localSheetId="9" hidden="1">'C_jama.2018.18020'!$A$1:$S$15</definedName>
    <definedName name="_xlnm.Print_Titles" localSheetId="9">'C_jama.2018.18020'!$1:$1</definedName>
    <definedName name="_xlnm._FilterDatabase" localSheetId="10" hidden="1">'C_jama.2018.6496'!$A$1:$S$5</definedName>
    <definedName name="_xlnm.Print_Titles" localSheetId="10">'C_jama.2018.6496'!$1:$1</definedName>
    <definedName name="_xlnm._FilterDatabase" localSheetId="11" hidden="1">'C_jama.2018.8802'!$A$1:$S$9</definedName>
    <definedName name="_xlnm.Print_Titles" localSheetId="11">'C_jama.2018.8802'!$1:$1</definedName>
    <definedName name="_xlnm._FilterDatabase" localSheetId="12" hidden="1">'C_jama.2018.9128'!$A$1:$S$14</definedName>
    <definedName name="_xlnm.Print_Titles" localSheetId="12">'C_jama.2018.9128'!$1:$1</definedName>
    <definedName name="_xlnm._FilterDatabase" localSheetId="13" hidden="1">'Candidates'!$A$1:$AB$120</definedName>
    <definedName name="_xlnm.Print_Titles" localSheetId="13">'Candidates'!$1:$1</definedName>
    <definedName name="_xlnm._FilterDatabase" localSheetId="14" hidden="1">'Evidence'!$A$1:$D$477</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'Links'!$A$1:$E$397</definedName>
    <definedName name="_xlnm.Print_Titles" localSheetId="17">'Links'!$1:$1</definedName>
    <definedName name="_xlnm._FilterDatabase" localSheetId="18" hidden="1">'Relations'!$A$1:$D$139</definedName>
    <definedName name="_xlnm.Print_Titles" localSheetId="18">'Relations'!$1:$1</definedName>
    <definedName name="_xlnm._FilterDatabase" localSheetId="19" hidden="1">'_Primary'!$A$1:$K$120</definedName>
    <definedName name="_xlnm.Print_Titles" localSheetId="19">'_Primary'!$1:$1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4"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v.2.1.3 | 2018 | checker_template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file has one review worksheet per paper: P_&lt;paper&gt; in a Primary file and C_&lt;paper&gt; in a Checker file. The common columns, widths, colors and freeze panes match. Both files contain Papers, Candidates, Evidence and Codebook.</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Keep the completed Primary file. The manager runs prepare-checker to create a separate ready Checker file containing its frozen primary snapshot. The eight release files include four blank Checker layout templates; these must be prepared before review.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AWAITING PRIMARY HANDOFF: layout template only. Run prepare-checker on the completed Primary file to create a ready Checker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2" t="inlineStr"/>
    </row>
    <row r="3" ht="30" customHeight="1">
      <c r="A3" s="3" t="inlineStr">
        <is>
          <t>primaryReviewerName</t>
        </is>
      </c>
      <c r="B3" s="3"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jama.2017.21906</t>
        </is>
      </c>
      <c r="B2" s="2" t="inlineStr">
        <is>
          <t>C_jama.2017.21906</t>
        </is>
      </c>
      <c r="C2" s="2" t="n">
        <v>6</v>
      </c>
    </row>
    <row r="3" ht="30" customHeight="1">
      <c r="A3" s="3" t="inlineStr">
        <is>
          <t>jama.2018.0156</t>
        </is>
      </c>
      <c r="B3" s="3" t="inlineStr">
        <is>
          <t>C_jama.2018.0156</t>
        </is>
      </c>
      <c r="C3" s="3" t="n">
        <v>8</v>
      </c>
    </row>
    <row r="4" ht="30" customHeight="1">
      <c r="A4" s="2" t="inlineStr">
        <is>
          <t>jama.2018.0948</t>
        </is>
      </c>
      <c r="B4" s="2" t="inlineStr">
        <is>
          <t>C_jama.2018.0948</t>
        </is>
      </c>
      <c r="C4" s="2" t="n">
        <v>7</v>
      </c>
    </row>
    <row r="5" ht="30" customHeight="1">
      <c r="A5" s="3" t="inlineStr">
        <is>
          <t>jama.2018.14280</t>
        </is>
      </c>
      <c r="B5" s="3" t="inlineStr">
        <is>
          <t>C_jama.2018.14280</t>
        </is>
      </c>
      <c r="C5" s="3" t="n">
        <v>23</v>
      </c>
    </row>
    <row r="6" ht="30" customHeight="1">
      <c r="A6" s="2" t="inlineStr">
        <is>
          <t>jama.2018.14282</t>
        </is>
      </c>
      <c r="B6" s="2" t="inlineStr">
        <is>
          <t>C_jama.2018.14282</t>
        </is>
      </c>
      <c r="C6" s="2" t="n">
        <v>28</v>
      </c>
    </row>
    <row r="7" ht="30" customHeight="1">
      <c r="A7" s="3" t="inlineStr">
        <is>
          <t>jama.2018.17075</t>
        </is>
      </c>
      <c r="B7" s="3" t="inlineStr">
        <is>
          <t>C_jama.2018.17075</t>
        </is>
      </c>
      <c r="C7" s="3" t="n">
        <v>8</v>
      </c>
    </row>
    <row r="8" ht="30" customHeight="1">
      <c r="A8" s="2" t="inlineStr">
        <is>
          <t>jama.2018.18020</t>
        </is>
      </c>
      <c r="B8" s="2" t="inlineStr">
        <is>
          <t>C_jama.2018.18020</t>
        </is>
      </c>
      <c r="C8" s="2" t="n">
        <v>14</v>
      </c>
    </row>
    <row r="9" ht="30" customHeight="1">
      <c r="A9" s="3" t="inlineStr">
        <is>
          <t>jama.2018.6496</t>
        </is>
      </c>
      <c r="B9" s="3" t="inlineStr">
        <is>
          <t>C_jama.2018.6496</t>
        </is>
      </c>
      <c r="C9" s="3" t="n">
        <v>4</v>
      </c>
    </row>
    <row r="10" ht="30" customHeight="1">
      <c r="A10" s="2" t="inlineStr">
        <is>
          <t>jama.2018.8802</t>
        </is>
      </c>
      <c r="B10" s="2" t="inlineStr">
        <is>
          <t>C_jama.2018.8802</t>
        </is>
      </c>
      <c r="C10" s="2" t="n">
        <v>8</v>
      </c>
    </row>
    <row r="11" ht="30" customHeight="1">
      <c r="A11" s="3" t="inlineStr">
        <is>
          <t>jama.2018.9128</t>
        </is>
      </c>
      <c r="B11" s="3" t="inlineStr">
        <is>
          <t>C_jama.2018.9128</t>
        </is>
      </c>
      <c r="C11" s="3" t="n">
        <v>13</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2018::jama.2017.21906::C001</t>
        </is>
      </c>
      <c r="B2" s="2" t="inlineStr">
        <is>
          <t>In-hospital beta-blocker adjusted-risk-difference CI endpoint differs between Table 2 and narrative</t>
        </is>
      </c>
      <c r="C2" s="2" t="inlineStr">
        <is>
          <t>Main article — PDF p. 6, Table 2 In-hospital β-blocker row and adjacent Results narrative.</t>
        </is>
      </c>
      <c r="D2" s="8" t="inlineStr"/>
      <c r="E2" s="8" t="inlineStr"/>
      <c r="F2" s="8" t="inlineStr">
        <is>
          <t>no</t>
        </is>
      </c>
      <c r="G2" s="2">
        <f>IF(OR(AND(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H2&lt;&gt;"",H2&lt;&gt;"not_applicable"),AND(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I2&lt;&gt;"",I2&lt;&gt;"not_applicable"),AND(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J2&lt;&gt;"",J2&lt;&gt;"not_applicable"),AND(OR(AND(IF($D2="",INDEX(primary_jama_2017_21906_disposition,MATCH($A2,primary_jama_2017_21906_key,0)),$D2)&lt;&gt;"",IF($D2="",INDEX(primary_jama_2017_21906_disposition,MATCH($A2,primary_jama_2017_21906_key,0)),$D2)&lt;&gt;"retain"),NOT(OR(IF($E2="",INDEX(primary_jama_2017_21906_domain,MATCH($A2,primary_jama_2017_21906_key,0)),$E2)="internal_nonstatistical",IF($E2="",INDEX(primary_jama_2017_21906_domain,MATCH($A2,primary_jama_2017_21906_key,0)),$E2)="plan_material"))),K2&lt;&gt;"",K2&lt;&gt;"not_applicable"),AND(OR(AND(IF($D2="",INDEX(primary_jama_2017_21906_disposition,MATCH($A2,primary_jama_2017_21906_key,0)),$D2)&lt;&gt;"",IF($D2="",INDEX(primary_jama_2017_21906_disposition,MATCH($A2,primary_jama_2017_21906_key,0)),$D2)&lt;&gt;"retain"),NOT(OR(IF($E2="",INDEX(primary_jama_2017_21906_domain,MATCH($A2,primary_jama_2017_21906_key,0)),$E2)="protocol_report"))),L2&lt;&gt;"",L2&lt;&gt;"not_applicable")),"CLEAR INACTIVE VALUES",IF(O2="","PENDING",IF(AND(O2&lt;&gt;"agree",LEN(TRIM(P2))=0),"COMMENT NEEDED",IF(F2="yes","CHECKED - see resolution","DRAFT"))))</f>
        <v/>
      </c>
      <c r="H2" s="8">
        <f>IF(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not_applicable","")</f>
        <v/>
      </c>
      <c r="I2" s="8">
        <f>IF(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not_applicable","")</f>
        <v/>
      </c>
      <c r="J2" s="9">
        <f>IF(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not_applicable","")</f>
        <v/>
      </c>
      <c r="K2" s="8">
        <f>IF(OR(AND(IF($D2="",INDEX(primary_jama_2017_21906_disposition,MATCH($A2,primary_jama_2017_21906_key,0)),$D2)&lt;&gt;"",IF($D2="",INDEX(primary_jama_2017_21906_disposition,MATCH($A2,primary_jama_2017_21906_key,0)),$D2)&lt;&gt;"retain"),NOT(OR(IF($E2="",INDEX(primary_jama_2017_21906_domain,MATCH($A2,primary_jama_2017_21906_key,0)),$E2)="internal_nonstatistical",IF($E2="",INDEX(primary_jama_2017_21906_domain,MATCH($A2,primary_jama_2017_21906_key,0)),$E2)="plan_material"))),"not_applicable","")</f>
        <v/>
      </c>
      <c r="L2" s="9">
        <f>IF(OR(AND(IF($D2="",INDEX(primary_jama_2017_21906_disposition,MATCH($A2,primary_jama_2017_21906_key,0)),$D2)&lt;&gt;"",IF($D2="",INDEX(primary_jama_2017_21906_disposition,MATCH($A2,primary_jama_2017_21906_key,0)),$D2)&lt;&gt;"retain"),NOT(OR(IF($E2="",INDEX(primary_jama_2017_21906_domain,MATCH($A2,primary_jama_2017_21906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2018::jama.2017.21906::C002</t>
        </is>
      </c>
      <c r="B3" s="3" t="inlineStr">
        <is>
          <t>Discharge beta-blocker adjusted point estimates differ between Table 2 and narrative</t>
        </is>
      </c>
      <c r="C3" s="3" t="inlineStr">
        <is>
          <t>Main article — PDF p. 6, Table 2 Discharge β-blocker row; Main article — PDF p. 7, Results narrative.</t>
        </is>
      </c>
      <c r="D3" s="8" t="inlineStr"/>
      <c r="E3" s="8" t="inlineStr"/>
      <c r="F3" s="8" t="inlineStr">
        <is>
          <t>no</t>
        </is>
      </c>
      <c r="G3" s="3">
        <f>IF(OR(AND(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H3&lt;&gt;"",H3&lt;&gt;"not_applicable"),AND(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I3&lt;&gt;"",I3&lt;&gt;"not_applicable"),AND(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J3&lt;&gt;"",J3&lt;&gt;"not_applicable"),AND(OR(AND(IF($D3="",INDEX(primary_jama_2017_21906_disposition,MATCH($A3,primary_jama_2017_21906_key,0)),$D3)&lt;&gt;"",IF($D3="",INDEX(primary_jama_2017_21906_disposition,MATCH($A3,primary_jama_2017_21906_key,0)),$D3)&lt;&gt;"retain"),NOT(OR(IF($E3="",INDEX(primary_jama_2017_21906_domain,MATCH($A3,primary_jama_2017_21906_key,0)),$E3)="internal_nonstatistical",IF($E3="",INDEX(primary_jama_2017_21906_domain,MATCH($A3,primary_jama_2017_21906_key,0)),$E3)="plan_material"))),K3&lt;&gt;"",K3&lt;&gt;"not_applicable"),AND(OR(AND(IF($D3="",INDEX(primary_jama_2017_21906_disposition,MATCH($A3,primary_jama_2017_21906_key,0)),$D3)&lt;&gt;"",IF($D3="",INDEX(primary_jama_2017_21906_disposition,MATCH($A3,primary_jama_2017_21906_key,0)),$D3)&lt;&gt;"retain"),NOT(OR(IF($E3="",INDEX(primary_jama_2017_21906_domain,MATCH($A3,primary_jama_2017_21906_key,0)),$E3)="protocol_report"))),L3&lt;&gt;"",L3&lt;&gt;"not_applicable")),"CLEAR INACTIVE VALUES",IF(O3="","PENDING",IF(AND(O3&lt;&gt;"agree",LEN(TRIM(P3))=0),"COMMENT NEEDED",IF(F3="yes","CHECKED - see resolution","DRAFT"))))</f>
        <v/>
      </c>
      <c r="H3" s="8">
        <f>IF(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not_applicable","")</f>
        <v/>
      </c>
      <c r="I3" s="8">
        <f>IF(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not_applicable","")</f>
        <v/>
      </c>
      <c r="J3" s="9">
        <f>IF(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not_applicable","")</f>
        <v/>
      </c>
      <c r="K3" s="8">
        <f>IF(OR(AND(IF($D3="",INDEX(primary_jama_2017_21906_disposition,MATCH($A3,primary_jama_2017_21906_key,0)),$D3)&lt;&gt;"",IF($D3="",INDEX(primary_jama_2017_21906_disposition,MATCH($A3,primary_jama_2017_21906_key,0)),$D3)&lt;&gt;"retain"),NOT(OR(IF($E3="",INDEX(primary_jama_2017_21906_domain,MATCH($A3,primary_jama_2017_21906_key,0)),$E3)="internal_nonstatistical",IF($E3="",INDEX(primary_jama_2017_21906_domain,MATCH($A3,primary_jama_2017_21906_key,0)),$E3)="plan_material"))),"not_applicable","")</f>
        <v/>
      </c>
      <c r="L3" s="9">
        <f>IF(OR(AND(IF($D3="",INDEX(primary_jama_2017_21906_disposition,MATCH($A3,primary_jama_2017_21906_key,0)),$D3)&lt;&gt;"",IF($D3="",INDEX(primary_jama_2017_21906_disposition,MATCH($A3,primary_jama_2017_21906_key,0)),$D3)&lt;&gt;"retain"),NOT(OR(IF($E3="",INDEX(primary_jama_2017_21906_domain,MATCH($A3,primary_jama_2017_21906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2018::jama.2017.21906::C003</t>
        </is>
      </c>
      <c r="B4" s="2" t="inlineStr">
        <is>
          <t>eTable 1 difference footnote names groups not displayed in the table</t>
        </is>
      </c>
      <c r="C4" s="2" t="inlineStr">
        <is>
          <t>Online supplement — PDF p. 17, eTable 1 title, headers, values, and footnote a.</t>
        </is>
      </c>
      <c r="D4" s="8" t="inlineStr"/>
      <c r="E4" s="8" t="inlineStr"/>
      <c r="F4" s="8" t="inlineStr">
        <is>
          <t>no</t>
        </is>
      </c>
      <c r="G4" s="2">
        <f>IF(OR(AND(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H4&lt;&gt;"",H4&lt;&gt;"not_applicable"),AND(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I4&lt;&gt;"",I4&lt;&gt;"not_applicable"),AND(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J4&lt;&gt;"",J4&lt;&gt;"not_applicable"),AND(OR(AND(IF($D4="",INDEX(primary_jama_2017_21906_disposition,MATCH($A4,primary_jama_2017_21906_key,0)),$D4)&lt;&gt;"",IF($D4="",INDEX(primary_jama_2017_21906_disposition,MATCH($A4,primary_jama_2017_21906_key,0)),$D4)&lt;&gt;"retain"),NOT(OR(IF($E4="",INDEX(primary_jama_2017_21906_domain,MATCH($A4,primary_jama_2017_21906_key,0)),$E4)="internal_nonstatistical",IF($E4="",INDEX(primary_jama_2017_21906_domain,MATCH($A4,primary_jama_2017_21906_key,0)),$E4)="plan_material"))),K4&lt;&gt;"",K4&lt;&gt;"not_applicable"),AND(OR(AND(IF($D4="",INDEX(primary_jama_2017_21906_disposition,MATCH($A4,primary_jama_2017_21906_key,0)),$D4)&lt;&gt;"",IF($D4="",INDEX(primary_jama_2017_21906_disposition,MATCH($A4,primary_jama_2017_21906_key,0)),$D4)&lt;&gt;"retain"),NOT(OR(IF($E4="",INDEX(primary_jama_2017_21906_domain,MATCH($A4,primary_jama_2017_21906_key,0)),$E4)="protocol_report"))),L4&lt;&gt;"",L4&lt;&gt;"not_applicable")),"CLEAR INACTIVE VALUES",IF(O4="","PENDING",IF(AND(O4&lt;&gt;"agree",LEN(TRIM(P4))=0),"COMMENT NEEDED",IF(F4="yes","CHECKED - see resolution","DRAFT"))))</f>
        <v/>
      </c>
      <c r="H4" s="8">
        <f>IF(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not_applicable","")</f>
        <v/>
      </c>
      <c r="I4" s="8">
        <f>IF(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not_applicable","")</f>
        <v/>
      </c>
      <c r="J4" s="9">
        <f>IF(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not_applicable","")</f>
        <v/>
      </c>
      <c r="K4" s="8">
        <f>IF(OR(AND(IF($D4="",INDEX(primary_jama_2017_21906_disposition,MATCH($A4,primary_jama_2017_21906_key,0)),$D4)&lt;&gt;"",IF($D4="",INDEX(primary_jama_2017_21906_disposition,MATCH($A4,primary_jama_2017_21906_key,0)),$D4)&lt;&gt;"retain"),NOT(OR(IF($E4="",INDEX(primary_jama_2017_21906_domain,MATCH($A4,primary_jama_2017_21906_key,0)),$E4)="internal_nonstatistical",IF($E4="",INDEX(primary_jama_2017_21906_domain,MATCH($A4,primary_jama_2017_21906_key,0)),$E4)="plan_material"))),"not_applicable","")</f>
        <v/>
      </c>
      <c r="L4" s="9">
        <f>IF(OR(AND(IF($D4="",INDEX(primary_jama_2017_21906_disposition,MATCH($A4,primary_jama_2017_21906_key,0)),$D4)&lt;&gt;"",IF($D4="",INDEX(primary_jama_2017_21906_disposition,MATCH($A4,primary_jama_2017_21906_key,0)),$D4)&lt;&gt;"retain"),NOT(OR(IF($E4="",INDEX(primary_jama_2017_21906_domain,MATCH($A4,primary_jama_2017_21906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2018::jama.2017.21906::C004</t>
        </is>
      </c>
      <c r="B5" s="3" t="inlineStr">
        <is>
          <t>Reported prespecified age-subgroup boundaries differ from the supplied SAP</t>
        </is>
      </c>
      <c r="C5" s="3" t="inlineStr">
        <is>
          <t>SAP — PDF p. 7, section 7.5.2; main article — PDF p. 3, Statistical Analysis; main article — PDF p. 9, Figure 3 and adjacent Results narrative.</t>
        </is>
      </c>
      <c r="D5" s="8" t="inlineStr"/>
      <c r="E5" s="8" t="inlineStr"/>
      <c r="F5" s="8" t="inlineStr">
        <is>
          <t>no</t>
        </is>
      </c>
      <c r="G5" s="3">
        <f>IF(OR(AND(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H5&lt;&gt;"",H5&lt;&gt;"not_applicable"),AND(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I5&lt;&gt;"",I5&lt;&gt;"not_applicable"),AND(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J5&lt;&gt;"",J5&lt;&gt;"not_applicable"),AND(OR(AND(IF($D5="",INDEX(primary_jama_2017_21906_disposition,MATCH($A5,primary_jama_2017_21906_key,0)),$D5)&lt;&gt;"",IF($D5="",INDEX(primary_jama_2017_21906_disposition,MATCH($A5,primary_jama_2017_21906_key,0)),$D5)&lt;&gt;"retain"),NOT(OR(IF($E5="",INDEX(primary_jama_2017_21906_domain,MATCH($A5,primary_jama_2017_21906_key,0)),$E5)="internal_nonstatistical",IF($E5="",INDEX(primary_jama_2017_21906_domain,MATCH($A5,primary_jama_2017_21906_key,0)),$E5)="plan_material"))),K5&lt;&gt;"",K5&lt;&gt;"not_applicable"),AND(OR(AND(IF($D5="",INDEX(primary_jama_2017_21906_disposition,MATCH($A5,primary_jama_2017_21906_key,0)),$D5)&lt;&gt;"",IF($D5="",INDEX(primary_jama_2017_21906_disposition,MATCH($A5,primary_jama_2017_21906_key,0)),$D5)&lt;&gt;"retain"),NOT(OR(IF($E5="",INDEX(primary_jama_2017_21906_domain,MATCH($A5,primary_jama_2017_21906_key,0)),$E5)="protocol_report"))),L5&lt;&gt;"",L5&lt;&gt;"not_applicable")),"CLEAR INACTIVE VALUES",IF(O5="","PENDING",IF(AND(O5&lt;&gt;"agree",LEN(TRIM(P5))=0),"COMMENT NEEDED",IF(F5="yes","CHECKED - see resolution","DRAFT"))))</f>
        <v/>
      </c>
      <c r="H5" s="8">
        <f>IF(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not_applicable","")</f>
        <v/>
      </c>
      <c r="I5" s="8">
        <f>IF(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not_applicable","")</f>
        <v/>
      </c>
      <c r="J5" s="9">
        <f>IF(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not_applicable","")</f>
        <v/>
      </c>
      <c r="K5" s="8">
        <f>IF(OR(AND(IF($D5="",INDEX(primary_jama_2017_21906_disposition,MATCH($A5,primary_jama_2017_21906_key,0)),$D5)&lt;&gt;"",IF($D5="",INDEX(primary_jama_2017_21906_disposition,MATCH($A5,primary_jama_2017_21906_key,0)),$D5)&lt;&gt;"retain"),NOT(OR(IF($E5="",INDEX(primary_jama_2017_21906_domain,MATCH($A5,primary_jama_2017_21906_key,0)),$E5)="internal_nonstatistical",IF($E5="",INDEX(primary_jama_2017_21906_domain,MATCH($A5,primary_jama_2017_21906_key,0)),$E5)="plan_material"))),"not_applicable","")</f>
        <v/>
      </c>
      <c r="L5" s="9">
        <f>IF(OR(AND(IF($D5="",INDEX(primary_jama_2017_21906_disposition,MATCH($A5,primary_jama_2017_21906_key,0)),$D5)&lt;&gt;"",IF($D5="",INDEX(primary_jama_2017_21906_disposition,MATCH($A5,primary_jama_2017_21906_key,0)),$D5)&lt;&gt;"retain"),NOT(OR(IF($E5="",INDEX(primary_jama_2017_21906_domain,MATCH($A5,primary_jama_2017_21906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2018::jama.2017.21906::C005</t>
        </is>
      </c>
      <c r="B6" s="2" t="inlineStr">
        <is>
          <t>The named optimal in-hospital medication composite uses different component labels across final-result tables</t>
        </is>
      </c>
      <c r="C6" s="2" t="inlineStr">
        <is>
          <t>Main article — PDF p. 3, Outcomes; main article — PDF p. 7, Table 3 footnote c; online supplement — PDF p. 21, eTable 5 footnote c; online supplement — PDF p. 22, eTable 6 footnote b.</t>
        </is>
      </c>
      <c r="D6" s="8" t="inlineStr"/>
      <c r="E6" s="8" t="inlineStr"/>
      <c r="F6" s="8" t="inlineStr">
        <is>
          <t>no</t>
        </is>
      </c>
      <c r="G6" s="2">
        <f>IF(OR(AND(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H6&lt;&gt;"",H6&lt;&gt;"not_applicable"),AND(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I6&lt;&gt;"",I6&lt;&gt;"not_applicable"),AND(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J6&lt;&gt;"",J6&lt;&gt;"not_applicable"),AND(OR(AND(IF($D6="",INDEX(primary_jama_2017_21906_disposition,MATCH($A6,primary_jama_2017_21906_key,0)),$D6)&lt;&gt;"",IF($D6="",INDEX(primary_jama_2017_21906_disposition,MATCH($A6,primary_jama_2017_21906_key,0)),$D6)&lt;&gt;"retain"),NOT(OR(IF($E6="",INDEX(primary_jama_2017_21906_domain,MATCH($A6,primary_jama_2017_21906_key,0)),$E6)="internal_nonstatistical",IF($E6="",INDEX(primary_jama_2017_21906_domain,MATCH($A6,primary_jama_2017_21906_key,0)),$E6)="plan_material"))),K6&lt;&gt;"",K6&lt;&gt;"not_applicable"),AND(OR(AND(IF($D6="",INDEX(primary_jama_2017_21906_disposition,MATCH($A6,primary_jama_2017_21906_key,0)),$D6)&lt;&gt;"",IF($D6="",INDEX(primary_jama_2017_21906_disposition,MATCH($A6,primary_jama_2017_21906_key,0)),$D6)&lt;&gt;"retain"),NOT(OR(IF($E6="",INDEX(primary_jama_2017_21906_domain,MATCH($A6,primary_jama_2017_21906_key,0)),$E6)="protocol_report"))),L6&lt;&gt;"",L6&lt;&gt;"not_applicable")),"CLEAR INACTIVE VALUES",IF(O6="","PENDING",IF(AND(O6&lt;&gt;"agree",LEN(TRIM(P6))=0),"COMMENT NEEDED",IF(F6="yes","CHECKED - see resolution","DRAFT"))))</f>
        <v/>
      </c>
      <c r="H6" s="8">
        <f>IF(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not_applicable","")</f>
        <v/>
      </c>
      <c r="I6" s="8">
        <f>IF(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not_applicable","")</f>
        <v/>
      </c>
      <c r="J6" s="9">
        <f>IF(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not_applicable","")</f>
        <v/>
      </c>
      <c r="K6" s="8">
        <f>IF(OR(AND(IF($D6="",INDEX(primary_jama_2017_21906_disposition,MATCH($A6,primary_jama_2017_21906_key,0)),$D6)&lt;&gt;"",IF($D6="",INDEX(primary_jama_2017_21906_disposition,MATCH($A6,primary_jama_2017_21906_key,0)),$D6)&lt;&gt;"retain"),NOT(OR(IF($E6="",INDEX(primary_jama_2017_21906_domain,MATCH($A6,primary_jama_2017_21906_key,0)),$E6)="internal_nonstatistical",IF($E6="",INDEX(primary_jama_2017_21906_domain,MATCH($A6,primary_jama_2017_21906_key,0)),$E6)="plan_material"))),"not_applicable","")</f>
        <v/>
      </c>
      <c r="L6" s="9">
        <f>IF(OR(AND(IF($D6="",INDEX(primary_jama_2017_21906_disposition,MATCH($A6,primary_jama_2017_21906_key,0)),$D6)&lt;&gt;"",IF($D6="",INDEX(primary_jama_2017_21906_disposition,MATCH($A6,primary_jama_2017_21906_key,0)),$D6)&lt;&gt;"retain"),NOT(OR(IF($E6="",INDEX(primary_jama_2017_21906_domain,MATCH($A6,primary_jama_2017_21906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2018::jama.2017.21906::C006</t>
        </is>
      </c>
      <c r="B7" s="3" t="inlineStr">
        <is>
          <t>Hospital-type subgroup is reported as prespecified but is absent from the supplied SAP subgroup list</t>
        </is>
      </c>
      <c r="C7" s="3" t="inlineStr">
        <is>
          <t>Main article — PDF p. 3, Statistical Analysis; main article — PDF p. 9, Figure 3 and adjacent Results narrative; SAP — PDF p. 7, section 7.5.2.</t>
        </is>
      </c>
      <c r="D7" s="8" t="inlineStr"/>
      <c r="E7" s="8" t="inlineStr"/>
      <c r="F7" s="8" t="inlineStr">
        <is>
          <t>no</t>
        </is>
      </c>
      <c r="G7" s="3">
        <f>IF(OR(AND(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H7&lt;&gt;"",H7&lt;&gt;"not_applicable"),AND(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I7&lt;&gt;"",I7&lt;&gt;"not_applicable"),AND(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J7&lt;&gt;"",J7&lt;&gt;"not_applicable"),AND(OR(AND(IF($D7="",INDEX(primary_jama_2017_21906_disposition,MATCH($A7,primary_jama_2017_21906_key,0)),$D7)&lt;&gt;"",IF($D7="",INDEX(primary_jama_2017_21906_disposition,MATCH($A7,primary_jama_2017_21906_key,0)),$D7)&lt;&gt;"retain"),NOT(OR(IF($E7="",INDEX(primary_jama_2017_21906_domain,MATCH($A7,primary_jama_2017_21906_key,0)),$E7)="internal_nonstatistical",IF($E7="",INDEX(primary_jama_2017_21906_domain,MATCH($A7,primary_jama_2017_21906_key,0)),$E7)="plan_material"))),K7&lt;&gt;"",K7&lt;&gt;"not_applicable"),AND(OR(AND(IF($D7="",INDEX(primary_jama_2017_21906_disposition,MATCH($A7,primary_jama_2017_21906_key,0)),$D7)&lt;&gt;"",IF($D7="",INDEX(primary_jama_2017_21906_disposition,MATCH($A7,primary_jama_2017_21906_key,0)),$D7)&lt;&gt;"retain"),NOT(OR(IF($E7="",INDEX(primary_jama_2017_21906_domain,MATCH($A7,primary_jama_2017_21906_key,0)),$E7)="protocol_report"))),L7&lt;&gt;"",L7&lt;&gt;"not_applicable")),"CLEAR INACTIVE VALUES",IF(O7="","PENDING",IF(AND(O7&lt;&gt;"agree",LEN(TRIM(P7))=0),"COMMENT NEEDED",IF(F7="yes","CHECKED - see resolution","DRAFT"))))</f>
        <v/>
      </c>
      <c r="H7" s="8">
        <f>IF(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not_applicable","")</f>
        <v/>
      </c>
      <c r="I7" s="8">
        <f>IF(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not_applicable","")</f>
        <v/>
      </c>
      <c r="J7" s="9">
        <f>IF(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not_applicable","")</f>
        <v/>
      </c>
      <c r="K7" s="8">
        <f>IF(OR(AND(IF($D7="",INDEX(primary_jama_2017_21906_disposition,MATCH($A7,primary_jama_2017_21906_key,0)),$D7)&lt;&gt;"",IF($D7="",INDEX(primary_jama_2017_21906_disposition,MATCH($A7,primary_jama_2017_21906_key,0)),$D7)&lt;&gt;"retain"),NOT(OR(IF($E7="",INDEX(primary_jama_2017_21906_domain,MATCH($A7,primary_jama_2017_21906_key,0)),$E7)="internal_nonstatistical",IF($E7="",INDEX(primary_jama_2017_21906_domain,MATCH($A7,primary_jama_2017_21906_key,0)),$E7)="plan_material"))),"not_applicable","")</f>
        <v/>
      </c>
      <c r="L7" s="9">
        <f>IF(OR(AND(IF($D7="",INDEX(primary_jama_2017_21906_disposition,MATCH($A7,primary_jama_2017_21906_key,0)),$D7)&lt;&gt;"",IF($D7="",INDEX(primary_jama_2017_21906_disposition,MATCH($A7,primary_jama_2017_21906_key,0)),$D7)&lt;&gt;"retain"),NOT(OR(IF($E7="",INDEX(primary_jama_2017_21906_domain,MATCH($A7,primary_jama_2017_21906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
    <cfRule type="expression" priority="1" dxfId="0" stopIfTrue="1">
      <formula>AND(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H2&lt;&gt;"",H2&lt;&gt;"not_applicable")</formula>
    </cfRule>
    <cfRule type="expression" priority="2" dxfId="1">
      <formula>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formula>
    </cfRule>
  </conditionalFormatting>
  <conditionalFormatting sqref="H3">
    <cfRule type="expression" priority="3" dxfId="0" stopIfTrue="1">
      <formula>AND(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H3&lt;&gt;"",H3&lt;&gt;"not_applicable")</formula>
    </cfRule>
    <cfRule type="expression" priority="4" dxfId="1">
      <formula>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formula>
    </cfRule>
  </conditionalFormatting>
  <conditionalFormatting sqref="H4">
    <cfRule type="expression" priority="5" dxfId="0" stopIfTrue="1">
      <formula>AND(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H4&lt;&gt;"",H4&lt;&gt;"not_applicable")</formula>
    </cfRule>
    <cfRule type="expression" priority="6" dxfId="1">
      <formula>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formula>
    </cfRule>
  </conditionalFormatting>
  <conditionalFormatting sqref="H5">
    <cfRule type="expression" priority="7" dxfId="0" stopIfTrue="1">
      <formula>AND(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H5&lt;&gt;"",H5&lt;&gt;"not_applicable")</formula>
    </cfRule>
    <cfRule type="expression" priority="8" dxfId="1">
      <formula>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formula>
    </cfRule>
  </conditionalFormatting>
  <conditionalFormatting sqref="H6">
    <cfRule type="expression" priority="9" dxfId="0" stopIfTrue="1">
      <formula>AND(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H6&lt;&gt;"",H6&lt;&gt;"not_applicable")</formula>
    </cfRule>
    <cfRule type="expression" priority="10" dxfId="1">
      <formula>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formula>
    </cfRule>
  </conditionalFormatting>
  <conditionalFormatting sqref="H7">
    <cfRule type="expression" priority="11" dxfId="0" stopIfTrue="1">
      <formula>AND(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H7&lt;&gt;"",H7&lt;&gt;"not_applicable")</formula>
    </cfRule>
    <cfRule type="expression" priority="12" dxfId="1">
      <formula>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formula>
    </cfRule>
  </conditionalFormatting>
  <conditionalFormatting sqref="I2">
    <cfRule type="expression" priority="13" dxfId="0" stopIfTrue="1">
      <formula>AND(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I2&lt;&gt;"",I2&lt;&gt;"not_applicable")</formula>
    </cfRule>
    <cfRule type="expression" priority="14" dxfId="1">
      <formula>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formula>
    </cfRule>
  </conditionalFormatting>
  <conditionalFormatting sqref="I3">
    <cfRule type="expression" priority="15" dxfId="0" stopIfTrue="1">
      <formula>AND(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I3&lt;&gt;"",I3&lt;&gt;"not_applicable")</formula>
    </cfRule>
    <cfRule type="expression" priority="16" dxfId="1">
      <formula>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formula>
    </cfRule>
  </conditionalFormatting>
  <conditionalFormatting sqref="I4">
    <cfRule type="expression" priority="17" dxfId="0" stopIfTrue="1">
      <formula>AND(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I4&lt;&gt;"",I4&lt;&gt;"not_applicable")</formula>
    </cfRule>
    <cfRule type="expression" priority="18" dxfId="1">
      <formula>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formula>
    </cfRule>
  </conditionalFormatting>
  <conditionalFormatting sqref="I5">
    <cfRule type="expression" priority="19" dxfId="0" stopIfTrue="1">
      <formula>AND(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I5&lt;&gt;"",I5&lt;&gt;"not_applicable")</formula>
    </cfRule>
    <cfRule type="expression" priority="20" dxfId="1">
      <formula>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formula>
    </cfRule>
  </conditionalFormatting>
  <conditionalFormatting sqref="I6">
    <cfRule type="expression" priority="21" dxfId="0" stopIfTrue="1">
      <formula>AND(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I6&lt;&gt;"",I6&lt;&gt;"not_applicable")</formula>
    </cfRule>
    <cfRule type="expression" priority="22" dxfId="1">
      <formula>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formula>
    </cfRule>
  </conditionalFormatting>
  <conditionalFormatting sqref="I7">
    <cfRule type="expression" priority="23" dxfId="0" stopIfTrue="1">
      <formula>AND(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I7&lt;&gt;"",I7&lt;&gt;"not_applicable")</formula>
    </cfRule>
    <cfRule type="expression" priority="24" dxfId="1">
      <formula>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formula>
    </cfRule>
  </conditionalFormatting>
  <conditionalFormatting sqref="J2">
    <cfRule type="expression" priority="25" dxfId="0" stopIfTrue="1">
      <formula>AND(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J2&lt;&gt;"",J2&lt;&gt;"not_applicable")</formula>
    </cfRule>
    <cfRule type="expression" priority="26" dxfId="1">
      <formula>OR(AND(IF($D2="",INDEX(primary_jama_2017_21906_disposition,MATCH($A2,primary_jama_2017_21906_key,0)),$D2)&lt;&gt;"",IF($D2="",INDEX(primary_jama_2017_21906_disposition,MATCH($A2,primary_jama_2017_21906_key,0)),$D2)&lt;&gt;"retain"),NOT(OR(IF($E2="",INDEX(primary_jama_2017_21906_domain,MATCH($A2,primary_jama_2017_21906_key,0)),$E2)="statistical_results")))</formula>
    </cfRule>
  </conditionalFormatting>
  <conditionalFormatting sqref="J3">
    <cfRule type="expression" priority="27" dxfId="0" stopIfTrue="1">
      <formula>AND(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J3&lt;&gt;"",J3&lt;&gt;"not_applicable")</formula>
    </cfRule>
    <cfRule type="expression" priority="28" dxfId="1">
      <formula>OR(AND(IF($D3="",INDEX(primary_jama_2017_21906_disposition,MATCH($A3,primary_jama_2017_21906_key,0)),$D3)&lt;&gt;"",IF($D3="",INDEX(primary_jama_2017_21906_disposition,MATCH($A3,primary_jama_2017_21906_key,0)),$D3)&lt;&gt;"retain"),NOT(OR(IF($E3="",INDEX(primary_jama_2017_21906_domain,MATCH($A3,primary_jama_2017_21906_key,0)),$E3)="statistical_results")))</formula>
    </cfRule>
  </conditionalFormatting>
  <conditionalFormatting sqref="J4">
    <cfRule type="expression" priority="29" dxfId="0" stopIfTrue="1">
      <formula>AND(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J4&lt;&gt;"",J4&lt;&gt;"not_applicable")</formula>
    </cfRule>
    <cfRule type="expression" priority="30" dxfId="1">
      <formula>OR(AND(IF($D4="",INDEX(primary_jama_2017_21906_disposition,MATCH($A4,primary_jama_2017_21906_key,0)),$D4)&lt;&gt;"",IF($D4="",INDEX(primary_jama_2017_21906_disposition,MATCH($A4,primary_jama_2017_21906_key,0)),$D4)&lt;&gt;"retain"),NOT(OR(IF($E4="",INDEX(primary_jama_2017_21906_domain,MATCH($A4,primary_jama_2017_21906_key,0)),$E4)="statistical_results")))</formula>
    </cfRule>
  </conditionalFormatting>
  <conditionalFormatting sqref="J5">
    <cfRule type="expression" priority="31" dxfId="0" stopIfTrue="1">
      <formula>AND(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J5&lt;&gt;"",J5&lt;&gt;"not_applicable")</formula>
    </cfRule>
    <cfRule type="expression" priority="32" dxfId="1">
      <formula>OR(AND(IF($D5="",INDEX(primary_jama_2017_21906_disposition,MATCH($A5,primary_jama_2017_21906_key,0)),$D5)&lt;&gt;"",IF($D5="",INDEX(primary_jama_2017_21906_disposition,MATCH($A5,primary_jama_2017_21906_key,0)),$D5)&lt;&gt;"retain"),NOT(OR(IF($E5="",INDEX(primary_jama_2017_21906_domain,MATCH($A5,primary_jama_2017_21906_key,0)),$E5)="statistical_results")))</formula>
    </cfRule>
  </conditionalFormatting>
  <conditionalFormatting sqref="J6">
    <cfRule type="expression" priority="33" dxfId="0" stopIfTrue="1">
      <formula>AND(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J6&lt;&gt;"",J6&lt;&gt;"not_applicable")</formula>
    </cfRule>
    <cfRule type="expression" priority="34" dxfId="1">
      <formula>OR(AND(IF($D6="",INDEX(primary_jama_2017_21906_disposition,MATCH($A6,primary_jama_2017_21906_key,0)),$D6)&lt;&gt;"",IF($D6="",INDEX(primary_jama_2017_21906_disposition,MATCH($A6,primary_jama_2017_21906_key,0)),$D6)&lt;&gt;"retain"),NOT(OR(IF($E6="",INDEX(primary_jama_2017_21906_domain,MATCH($A6,primary_jama_2017_21906_key,0)),$E6)="statistical_results")))</formula>
    </cfRule>
  </conditionalFormatting>
  <conditionalFormatting sqref="J7">
    <cfRule type="expression" priority="35" dxfId="0" stopIfTrue="1">
      <formula>AND(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J7&lt;&gt;"",J7&lt;&gt;"not_applicable")</formula>
    </cfRule>
    <cfRule type="expression" priority="36" dxfId="1">
      <formula>OR(AND(IF($D7="",INDEX(primary_jama_2017_21906_disposition,MATCH($A7,primary_jama_2017_21906_key,0)),$D7)&lt;&gt;"",IF($D7="",INDEX(primary_jama_2017_21906_disposition,MATCH($A7,primary_jama_2017_21906_key,0)),$D7)&lt;&gt;"retain"),NOT(OR(IF($E7="",INDEX(primary_jama_2017_21906_domain,MATCH($A7,primary_jama_2017_21906_key,0)),$E7)="statistical_results")))</formula>
    </cfRule>
  </conditionalFormatting>
  <conditionalFormatting sqref="K2">
    <cfRule type="expression" priority="37" dxfId="0" stopIfTrue="1">
      <formula>AND(OR(AND(IF($D2="",INDEX(primary_jama_2017_21906_disposition,MATCH($A2,primary_jama_2017_21906_key,0)),$D2)&lt;&gt;"",IF($D2="",INDEX(primary_jama_2017_21906_disposition,MATCH($A2,primary_jama_2017_21906_key,0)),$D2)&lt;&gt;"retain"),NOT(OR(IF($E2="",INDEX(primary_jama_2017_21906_domain,MATCH($A2,primary_jama_2017_21906_key,0)),$E2)="internal_nonstatistical",IF($E2="",INDEX(primary_jama_2017_21906_domain,MATCH($A2,primary_jama_2017_21906_key,0)),$E2)="plan_material"))),K2&lt;&gt;"",K2&lt;&gt;"not_applicable")</formula>
    </cfRule>
    <cfRule type="expression" priority="38" dxfId="1">
      <formula>OR(AND(IF($D2="",INDEX(primary_jama_2017_21906_disposition,MATCH($A2,primary_jama_2017_21906_key,0)),$D2)&lt;&gt;"",IF($D2="",INDEX(primary_jama_2017_21906_disposition,MATCH($A2,primary_jama_2017_21906_key,0)),$D2)&lt;&gt;"retain"),NOT(OR(IF($E2="",INDEX(primary_jama_2017_21906_domain,MATCH($A2,primary_jama_2017_21906_key,0)),$E2)="internal_nonstatistical",IF($E2="",INDEX(primary_jama_2017_21906_domain,MATCH($A2,primary_jama_2017_21906_key,0)),$E2)="plan_material")))</formula>
    </cfRule>
  </conditionalFormatting>
  <conditionalFormatting sqref="K3">
    <cfRule type="expression" priority="39" dxfId="0" stopIfTrue="1">
      <formula>AND(OR(AND(IF($D3="",INDEX(primary_jama_2017_21906_disposition,MATCH($A3,primary_jama_2017_21906_key,0)),$D3)&lt;&gt;"",IF($D3="",INDEX(primary_jama_2017_21906_disposition,MATCH($A3,primary_jama_2017_21906_key,0)),$D3)&lt;&gt;"retain"),NOT(OR(IF($E3="",INDEX(primary_jama_2017_21906_domain,MATCH($A3,primary_jama_2017_21906_key,0)),$E3)="internal_nonstatistical",IF($E3="",INDEX(primary_jama_2017_21906_domain,MATCH($A3,primary_jama_2017_21906_key,0)),$E3)="plan_material"))),K3&lt;&gt;"",K3&lt;&gt;"not_applicable")</formula>
    </cfRule>
    <cfRule type="expression" priority="40" dxfId="1">
      <formula>OR(AND(IF($D3="",INDEX(primary_jama_2017_21906_disposition,MATCH($A3,primary_jama_2017_21906_key,0)),$D3)&lt;&gt;"",IF($D3="",INDEX(primary_jama_2017_21906_disposition,MATCH($A3,primary_jama_2017_21906_key,0)),$D3)&lt;&gt;"retain"),NOT(OR(IF($E3="",INDEX(primary_jama_2017_21906_domain,MATCH($A3,primary_jama_2017_21906_key,0)),$E3)="internal_nonstatistical",IF($E3="",INDEX(primary_jama_2017_21906_domain,MATCH($A3,primary_jama_2017_21906_key,0)),$E3)="plan_material")))</formula>
    </cfRule>
  </conditionalFormatting>
  <conditionalFormatting sqref="K4">
    <cfRule type="expression" priority="41" dxfId="0" stopIfTrue="1">
      <formula>AND(OR(AND(IF($D4="",INDEX(primary_jama_2017_21906_disposition,MATCH($A4,primary_jama_2017_21906_key,0)),$D4)&lt;&gt;"",IF($D4="",INDEX(primary_jama_2017_21906_disposition,MATCH($A4,primary_jama_2017_21906_key,0)),$D4)&lt;&gt;"retain"),NOT(OR(IF($E4="",INDEX(primary_jama_2017_21906_domain,MATCH($A4,primary_jama_2017_21906_key,0)),$E4)="internal_nonstatistical",IF($E4="",INDEX(primary_jama_2017_21906_domain,MATCH($A4,primary_jama_2017_21906_key,0)),$E4)="plan_material"))),K4&lt;&gt;"",K4&lt;&gt;"not_applicable")</formula>
    </cfRule>
    <cfRule type="expression" priority="42" dxfId="1">
      <formula>OR(AND(IF($D4="",INDEX(primary_jama_2017_21906_disposition,MATCH($A4,primary_jama_2017_21906_key,0)),$D4)&lt;&gt;"",IF($D4="",INDEX(primary_jama_2017_21906_disposition,MATCH($A4,primary_jama_2017_21906_key,0)),$D4)&lt;&gt;"retain"),NOT(OR(IF($E4="",INDEX(primary_jama_2017_21906_domain,MATCH($A4,primary_jama_2017_21906_key,0)),$E4)="internal_nonstatistical",IF($E4="",INDEX(primary_jama_2017_21906_domain,MATCH($A4,primary_jama_2017_21906_key,0)),$E4)="plan_material")))</formula>
    </cfRule>
  </conditionalFormatting>
  <conditionalFormatting sqref="K5">
    <cfRule type="expression" priority="43" dxfId="0" stopIfTrue="1">
      <formula>AND(OR(AND(IF($D5="",INDEX(primary_jama_2017_21906_disposition,MATCH($A5,primary_jama_2017_21906_key,0)),$D5)&lt;&gt;"",IF($D5="",INDEX(primary_jama_2017_21906_disposition,MATCH($A5,primary_jama_2017_21906_key,0)),$D5)&lt;&gt;"retain"),NOT(OR(IF($E5="",INDEX(primary_jama_2017_21906_domain,MATCH($A5,primary_jama_2017_21906_key,0)),$E5)="internal_nonstatistical",IF($E5="",INDEX(primary_jama_2017_21906_domain,MATCH($A5,primary_jama_2017_21906_key,0)),$E5)="plan_material"))),K5&lt;&gt;"",K5&lt;&gt;"not_applicable")</formula>
    </cfRule>
    <cfRule type="expression" priority="44" dxfId="1">
      <formula>OR(AND(IF($D5="",INDEX(primary_jama_2017_21906_disposition,MATCH($A5,primary_jama_2017_21906_key,0)),$D5)&lt;&gt;"",IF($D5="",INDEX(primary_jama_2017_21906_disposition,MATCH($A5,primary_jama_2017_21906_key,0)),$D5)&lt;&gt;"retain"),NOT(OR(IF($E5="",INDEX(primary_jama_2017_21906_domain,MATCH($A5,primary_jama_2017_21906_key,0)),$E5)="internal_nonstatistical",IF($E5="",INDEX(primary_jama_2017_21906_domain,MATCH($A5,primary_jama_2017_21906_key,0)),$E5)="plan_material")))</formula>
    </cfRule>
  </conditionalFormatting>
  <conditionalFormatting sqref="K6">
    <cfRule type="expression" priority="45" dxfId="0" stopIfTrue="1">
      <formula>AND(OR(AND(IF($D6="",INDEX(primary_jama_2017_21906_disposition,MATCH($A6,primary_jama_2017_21906_key,0)),$D6)&lt;&gt;"",IF($D6="",INDEX(primary_jama_2017_21906_disposition,MATCH($A6,primary_jama_2017_21906_key,0)),$D6)&lt;&gt;"retain"),NOT(OR(IF($E6="",INDEX(primary_jama_2017_21906_domain,MATCH($A6,primary_jama_2017_21906_key,0)),$E6)="internal_nonstatistical",IF($E6="",INDEX(primary_jama_2017_21906_domain,MATCH($A6,primary_jama_2017_21906_key,0)),$E6)="plan_material"))),K6&lt;&gt;"",K6&lt;&gt;"not_applicable")</formula>
    </cfRule>
    <cfRule type="expression" priority="46" dxfId="1">
      <formula>OR(AND(IF($D6="",INDEX(primary_jama_2017_21906_disposition,MATCH($A6,primary_jama_2017_21906_key,0)),$D6)&lt;&gt;"",IF($D6="",INDEX(primary_jama_2017_21906_disposition,MATCH($A6,primary_jama_2017_21906_key,0)),$D6)&lt;&gt;"retain"),NOT(OR(IF($E6="",INDEX(primary_jama_2017_21906_domain,MATCH($A6,primary_jama_2017_21906_key,0)),$E6)="internal_nonstatistical",IF($E6="",INDEX(primary_jama_2017_21906_domain,MATCH($A6,primary_jama_2017_21906_key,0)),$E6)="plan_material")))</formula>
    </cfRule>
  </conditionalFormatting>
  <conditionalFormatting sqref="K7">
    <cfRule type="expression" priority="47" dxfId="0" stopIfTrue="1">
      <formula>AND(OR(AND(IF($D7="",INDEX(primary_jama_2017_21906_disposition,MATCH($A7,primary_jama_2017_21906_key,0)),$D7)&lt;&gt;"",IF($D7="",INDEX(primary_jama_2017_21906_disposition,MATCH($A7,primary_jama_2017_21906_key,0)),$D7)&lt;&gt;"retain"),NOT(OR(IF($E7="",INDEX(primary_jama_2017_21906_domain,MATCH($A7,primary_jama_2017_21906_key,0)),$E7)="internal_nonstatistical",IF($E7="",INDEX(primary_jama_2017_21906_domain,MATCH($A7,primary_jama_2017_21906_key,0)),$E7)="plan_material"))),K7&lt;&gt;"",K7&lt;&gt;"not_applicable")</formula>
    </cfRule>
    <cfRule type="expression" priority="48" dxfId="1">
      <formula>OR(AND(IF($D7="",INDEX(primary_jama_2017_21906_disposition,MATCH($A7,primary_jama_2017_21906_key,0)),$D7)&lt;&gt;"",IF($D7="",INDEX(primary_jama_2017_21906_disposition,MATCH($A7,primary_jama_2017_21906_key,0)),$D7)&lt;&gt;"retain"),NOT(OR(IF($E7="",INDEX(primary_jama_2017_21906_domain,MATCH($A7,primary_jama_2017_21906_key,0)),$E7)="internal_nonstatistical",IF($E7="",INDEX(primary_jama_2017_21906_domain,MATCH($A7,primary_jama_2017_21906_key,0)),$E7)="plan_material")))</formula>
    </cfRule>
  </conditionalFormatting>
  <conditionalFormatting sqref="L2">
    <cfRule type="expression" priority="49" dxfId="0" stopIfTrue="1">
      <formula>AND(OR(AND(IF($D2="",INDEX(primary_jama_2017_21906_disposition,MATCH($A2,primary_jama_2017_21906_key,0)),$D2)&lt;&gt;"",IF($D2="",INDEX(primary_jama_2017_21906_disposition,MATCH($A2,primary_jama_2017_21906_key,0)),$D2)&lt;&gt;"retain"),NOT(OR(IF($E2="",INDEX(primary_jama_2017_21906_domain,MATCH($A2,primary_jama_2017_21906_key,0)),$E2)="protocol_report"))),L2&lt;&gt;"",L2&lt;&gt;"not_applicable")</formula>
    </cfRule>
    <cfRule type="expression" priority="50" dxfId="1">
      <formula>OR(AND(IF($D2="",INDEX(primary_jama_2017_21906_disposition,MATCH($A2,primary_jama_2017_21906_key,0)),$D2)&lt;&gt;"",IF($D2="",INDEX(primary_jama_2017_21906_disposition,MATCH($A2,primary_jama_2017_21906_key,0)),$D2)&lt;&gt;"retain"),NOT(OR(IF($E2="",INDEX(primary_jama_2017_21906_domain,MATCH($A2,primary_jama_2017_21906_key,0)),$E2)="protocol_report")))</formula>
    </cfRule>
  </conditionalFormatting>
  <conditionalFormatting sqref="L3">
    <cfRule type="expression" priority="51" dxfId="0" stopIfTrue="1">
      <formula>AND(OR(AND(IF($D3="",INDEX(primary_jama_2017_21906_disposition,MATCH($A3,primary_jama_2017_21906_key,0)),$D3)&lt;&gt;"",IF($D3="",INDEX(primary_jama_2017_21906_disposition,MATCH($A3,primary_jama_2017_21906_key,0)),$D3)&lt;&gt;"retain"),NOT(OR(IF($E3="",INDEX(primary_jama_2017_21906_domain,MATCH($A3,primary_jama_2017_21906_key,0)),$E3)="protocol_report"))),L3&lt;&gt;"",L3&lt;&gt;"not_applicable")</formula>
    </cfRule>
    <cfRule type="expression" priority="52" dxfId="1">
      <formula>OR(AND(IF($D3="",INDEX(primary_jama_2017_21906_disposition,MATCH($A3,primary_jama_2017_21906_key,0)),$D3)&lt;&gt;"",IF($D3="",INDEX(primary_jama_2017_21906_disposition,MATCH($A3,primary_jama_2017_21906_key,0)),$D3)&lt;&gt;"retain"),NOT(OR(IF($E3="",INDEX(primary_jama_2017_21906_domain,MATCH($A3,primary_jama_2017_21906_key,0)),$E3)="protocol_report")))</formula>
    </cfRule>
  </conditionalFormatting>
  <conditionalFormatting sqref="L4">
    <cfRule type="expression" priority="53" dxfId="0" stopIfTrue="1">
      <formula>AND(OR(AND(IF($D4="",INDEX(primary_jama_2017_21906_disposition,MATCH($A4,primary_jama_2017_21906_key,0)),$D4)&lt;&gt;"",IF($D4="",INDEX(primary_jama_2017_21906_disposition,MATCH($A4,primary_jama_2017_21906_key,0)),$D4)&lt;&gt;"retain"),NOT(OR(IF($E4="",INDEX(primary_jama_2017_21906_domain,MATCH($A4,primary_jama_2017_21906_key,0)),$E4)="protocol_report"))),L4&lt;&gt;"",L4&lt;&gt;"not_applicable")</formula>
    </cfRule>
    <cfRule type="expression" priority="54" dxfId="1">
      <formula>OR(AND(IF($D4="",INDEX(primary_jama_2017_21906_disposition,MATCH($A4,primary_jama_2017_21906_key,0)),$D4)&lt;&gt;"",IF($D4="",INDEX(primary_jama_2017_21906_disposition,MATCH($A4,primary_jama_2017_21906_key,0)),$D4)&lt;&gt;"retain"),NOT(OR(IF($E4="",INDEX(primary_jama_2017_21906_domain,MATCH($A4,primary_jama_2017_21906_key,0)),$E4)="protocol_report")))</formula>
    </cfRule>
  </conditionalFormatting>
  <conditionalFormatting sqref="L5">
    <cfRule type="expression" priority="55" dxfId="0" stopIfTrue="1">
      <formula>AND(OR(AND(IF($D5="",INDEX(primary_jama_2017_21906_disposition,MATCH($A5,primary_jama_2017_21906_key,0)),$D5)&lt;&gt;"",IF($D5="",INDEX(primary_jama_2017_21906_disposition,MATCH($A5,primary_jama_2017_21906_key,0)),$D5)&lt;&gt;"retain"),NOT(OR(IF($E5="",INDEX(primary_jama_2017_21906_domain,MATCH($A5,primary_jama_2017_21906_key,0)),$E5)="protocol_report"))),L5&lt;&gt;"",L5&lt;&gt;"not_applicable")</formula>
    </cfRule>
    <cfRule type="expression" priority="56" dxfId="1">
      <formula>OR(AND(IF($D5="",INDEX(primary_jama_2017_21906_disposition,MATCH($A5,primary_jama_2017_21906_key,0)),$D5)&lt;&gt;"",IF($D5="",INDEX(primary_jama_2017_21906_disposition,MATCH($A5,primary_jama_2017_21906_key,0)),$D5)&lt;&gt;"retain"),NOT(OR(IF($E5="",INDEX(primary_jama_2017_21906_domain,MATCH($A5,primary_jama_2017_21906_key,0)),$E5)="protocol_report")))</formula>
    </cfRule>
  </conditionalFormatting>
  <conditionalFormatting sqref="L6">
    <cfRule type="expression" priority="57" dxfId="0" stopIfTrue="1">
      <formula>AND(OR(AND(IF($D6="",INDEX(primary_jama_2017_21906_disposition,MATCH($A6,primary_jama_2017_21906_key,0)),$D6)&lt;&gt;"",IF($D6="",INDEX(primary_jama_2017_21906_disposition,MATCH($A6,primary_jama_2017_21906_key,0)),$D6)&lt;&gt;"retain"),NOT(OR(IF($E6="",INDEX(primary_jama_2017_21906_domain,MATCH($A6,primary_jama_2017_21906_key,0)),$E6)="protocol_report"))),L6&lt;&gt;"",L6&lt;&gt;"not_applicable")</formula>
    </cfRule>
    <cfRule type="expression" priority="58" dxfId="1">
      <formula>OR(AND(IF($D6="",INDEX(primary_jama_2017_21906_disposition,MATCH($A6,primary_jama_2017_21906_key,0)),$D6)&lt;&gt;"",IF($D6="",INDEX(primary_jama_2017_21906_disposition,MATCH($A6,primary_jama_2017_21906_key,0)),$D6)&lt;&gt;"retain"),NOT(OR(IF($E6="",INDEX(primary_jama_2017_21906_domain,MATCH($A6,primary_jama_2017_21906_key,0)),$E6)="protocol_report")))</formula>
    </cfRule>
  </conditionalFormatting>
  <conditionalFormatting sqref="L7">
    <cfRule type="expression" priority="59" dxfId="0" stopIfTrue="1">
      <formula>AND(OR(AND(IF($D7="",INDEX(primary_jama_2017_21906_disposition,MATCH($A7,primary_jama_2017_21906_key,0)),$D7)&lt;&gt;"",IF($D7="",INDEX(primary_jama_2017_21906_disposition,MATCH($A7,primary_jama_2017_21906_key,0)),$D7)&lt;&gt;"retain"),NOT(OR(IF($E7="",INDEX(primary_jama_2017_21906_domain,MATCH($A7,primary_jama_2017_21906_key,0)),$E7)="protocol_report"))),L7&lt;&gt;"",L7&lt;&gt;"not_applicable")</formula>
    </cfRule>
    <cfRule type="expression" priority="60" dxfId="1">
      <formula>OR(AND(IF($D7="",INDEX(primary_jama_2017_21906_disposition,MATCH($A7,primary_jama_2017_21906_key,0)),$D7)&lt;&gt;"",IF($D7="",INDEX(primary_jama_2017_21906_disposition,MATCH($A7,primary_jama_2017_21906_key,0)),$D7)&lt;&gt;"retain"),NOT(OR(IF($E7="",INDEX(primary_jama_2017_21906_domain,MATCH($A7,primary_jama_2017_21906_key,0)),$E7)="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7" showDropDown="0" showInputMessage="1" showErrorMessage="1" allowBlank="1" errorTitle="Invalid option" error="Choose a listed value." promptTitle="Checker result" prompt="See Codebook for meanings." type="list" errorStyle="stop">
      <formula1>opt_checkStatus</formula1>
    </dataValidation>
    <dataValidation sqref="Q2:Q7"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2018::jama.2018.0156::C001</t>
        </is>
      </c>
      <c r="B2" s="2" t="inlineStr">
        <is>
          <t>Noninferiority narrative reverses the displayed bound direction</t>
        </is>
      </c>
      <c r="C2" s="2" t="inlineStr">
        <is>
          <t>jama_jabre_2018_oi_180004.pdf — PDF p. 3 (rule); jama_jabre_2018_oi_180004.pdf — PDF p. 4 (result/narrative).</t>
        </is>
      </c>
      <c r="D2" s="8" t="inlineStr"/>
      <c r="E2" s="8" t="inlineStr"/>
      <c r="F2" s="8" t="inlineStr">
        <is>
          <t>no</t>
        </is>
      </c>
      <c r="G2" s="2">
        <f>IF(OR(AND(OR(AND(IF($D2="",INDEX(primary_jama_2018_0156_disposition,MATCH($A2,primary_jama_2018_0156_key,0)),$D2)&lt;&gt;"",IF($D2="",INDEX(primary_jama_2018_0156_disposition,MATCH($A2,primary_jama_2018_0156_key,0)),$D2)&lt;&gt;"retain"),NOT(OR(IF($E2="",INDEX(primary_jama_2018_0156_domain,MATCH($A2,primary_jama_2018_0156_key,0)),$E2)="statistical_results"))),H2&lt;&gt;"",H2&lt;&gt;"not_applicable"),AND(OR(AND(IF($D2="",INDEX(primary_jama_2018_0156_disposition,MATCH($A2,primary_jama_2018_0156_key,0)),$D2)&lt;&gt;"",IF($D2="",INDEX(primary_jama_2018_0156_disposition,MATCH($A2,primary_jama_2018_0156_key,0)),$D2)&lt;&gt;"retain"),NOT(OR(IF($E2="",INDEX(primary_jama_2018_0156_domain,MATCH($A2,primary_jama_2018_0156_key,0)),$E2)="statistical_results"))),I2&lt;&gt;"",I2&lt;&gt;"not_applicable"),AND(OR(AND(IF($D2="",INDEX(primary_jama_2018_0156_disposition,MATCH($A2,primary_jama_2018_0156_key,0)),$D2)&lt;&gt;"",IF($D2="",INDEX(primary_jama_2018_0156_disposition,MATCH($A2,primary_jama_2018_0156_key,0)),$D2)&lt;&gt;"retain"),NOT(OR(IF($E2="",INDEX(primary_jama_2018_0156_domain,MATCH($A2,primary_jama_2018_0156_key,0)),$E2)="statistical_results"))),J2&lt;&gt;"",J2&lt;&gt;"not_applicable"),AND(OR(AND(IF($D2="",INDEX(primary_jama_2018_0156_disposition,MATCH($A2,primary_jama_2018_0156_key,0)),$D2)&lt;&gt;"",IF($D2="",INDEX(primary_jama_2018_0156_disposition,MATCH($A2,primary_jama_2018_0156_key,0)),$D2)&lt;&gt;"retain"),NOT(OR(IF($E2="",INDEX(primary_jama_2018_0156_domain,MATCH($A2,primary_jama_2018_0156_key,0)),$E2)="internal_nonstatistical",IF($E2="",INDEX(primary_jama_2018_0156_domain,MATCH($A2,primary_jama_2018_0156_key,0)),$E2)="plan_material"))),K2&lt;&gt;"",K2&lt;&gt;"not_applicable"),AND(OR(AND(IF($D2="",INDEX(primary_jama_2018_0156_disposition,MATCH($A2,primary_jama_2018_0156_key,0)),$D2)&lt;&gt;"",IF($D2="",INDEX(primary_jama_2018_0156_disposition,MATCH($A2,primary_jama_2018_0156_key,0)),$D2)&lt;&gt;"retain"),NOT(OR(IF($E2="",INDEX(primary_jama_2018_0156_domain,MATCH($A2,primary_jama_2018_0156_key,0)),$E2)="protocol_report"))),L2&lt;&gt;"",L2&lt;&gt;"not_applicable")),"CLEAR INACTIVE VALUES",IF(O2="","PENDING",IF(AND(O2&lt;&gt;"agree",LEN(TRIM(P2))=0),"COMMENT NEEDED",IF(F2="yes","CHECKED - see resolution","DRAFT"))))</f>
        <v/>
      </c>
      <c r="H2" s="8">
        <f>IF(OR(AND(IF($D2="",INDEX(primary_jama_2018_0156_disposition,MATCH($A2,primary_jama_2018_0156_key,0)),$D2)&lt;&gt;"",IF($D2="",INDEX(primary_jama_2018_0156_disposition,MATCH($A2,primary_jama_2018_0156_key,0)),$D2)&lt;&gt;"retain"),NOT(OR(IF($E2="",INDEX(primary_jama_2018_0156_domain,MATCH($A2,primary_jama_2018_0156_key,0)),$E2)="statistical_results"))),"not_applicable","")</f>
        <v/>
      </c>
      <c r="I2" s="8">
        <f>IF(OR(AND(IF($D2="",INDEX(primary_jama_2018_0156_disposition,MATCH($A2,primary_jama_2018_0156_key,0)),$D2)&lt;&gt;"",IF($D2="",INDEX(primary_jama_2018_0156_disposition,MATCH($A2,primary_jama_2018_0156_key,0)),$D2)&lt;&gt;"retain"),NOT(OR(IF($E2="",INDEX(primary_jama_2018_0156_domain,MATCH($A2,primary_jama_2018_0156_key,0)),$E2)="statistical_results"))),"not_applicable","")</f>
        <v/>
      </c>
      <c r="J2" s="9">
        <f>IF(OR(AND(IF($D2="",INDEX(primary_jama_2018_0156_disposition,MATCH($A2,primary_jama_2018_0156_key,0)),$D2)&lt;&gt;"",IF($D2="",INDEX(primary_jama_2018_0156_disposition,MATCH($A2,primary_jama_2018_0156_key,0)),$D2)&lt;&gt;"retain"),NOT(OR(IF($E2="",INDEX(primary_jama_2018_0156_domain,MATCH($A2,primary_jama_2018_0156_key,0)),$E2)="statistical_results"))),"not_applicable","")</f>
        <v/>
      </c>
      <c r="K2" s="8">
        <f>IF(OR(AND(IF($D2="",INDEX(primary_jama_2018_0156_disposition,MATCH($A2,primary_jama_2018_0156_key,0)),$D2)&lt;&gt;"",IF($D2="",INDEX(primary_jama_2018_0156_disposition,MATCH($A2,primary_jama_2018_0156_key,0)),$D2)&lt;&gt;"retain"),NOT(OR(IF($E2="",INDEX(primary_jama_2018_0156_domain,MATCH($A2,primary_jama_2018_0156_key,0)),$E2)="internal_nonstatistical",IF($E2="",INDEX(primary_jama_2018_0156_domain,MATCH($A2,primary_jama_2018_0156_key,0)),$E2)="plan_material"))),"not_applicable","")</f>
        <v/>
      </c>
      <c r="L2" s="9">
        <f>IF(OR(AND(IF($D2="",INDEX(primary_jama_2018_0156_disposition,MATCH($A2,primary_jama_2018_0156_key,0)),$D2)&lt;&gt;"",IF($D2="",INDEX(primary_jama_2018_0156_disposition,MATCH($A2,primary_jama_2018_0156_key,0)),$D2)&lt;&gt;"retain"),NOT(OR(IF($E2="",INDEX(primary_jama_2018_0156_domain,MATCH($A2,primary_jama_2018_0156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2018::jama.2018.0156::C002</t>
        </is>
      </c>
      <c r="B3" s="3" t="inlineStr">
        <is>
          <t>Centre-5 pause contrast mixes a count outcome with seconds</t>
        </is>
      </c>
      <c r="C3" s="3" t="inlineStr">
        <is>
          <t>jama_jabre_2018_oi_180004.pdf — PDF p. 3 (definition); jama_jabre_2018_oi_180004.pdf — PDF p. 4 (contrast).</t>
        </is>
      </c>
      <c r="D3" s="8" t="inlineStr"/>
      <c r="E3" s="8" t="inlineStr"/>
      <c r="F3" s="8" t="inlineStr">
        <is>
          <t>no</t>
        </is>
      </c>
      <c r="G3" s="3">
        <f>IF(OR(AND(OR(AND(IF($D3="",INDEX(primary_jama_2018_0156_disposition,MATCH($A3,primary_jama_2018_0156_key,0)),$D3)&lt;&gt;"",IF($D3="",INDEX(primary_jama_2018_0156_disposition,MATCH($A3,primary_jama_2018_0156_key,0)),$D3)&lt;&gt;"retain"),NOT(OR(IF($E3="",INDEX(primary_jama_2018_0156_domain,MATCH($A3,primary_jama_2018_0156_key,0)),$E3)="statistical_results"))),H3&lt;&gt;"",H3&lt;&gt;"not_applicable"),AND(OR(AND(IF($D3="",INDEX(primary_jama_2018_0156_disposition,MATCH($A3,primary_jama_2018_0156_key,0)),$D3)&lt;&gt;"",IF($D3="",INDEX(primary_jama_2018_0156_disposition,MATCH($A3,primary_jama_2018_0156_key,0)),$D3)&lt;&gt;"retain"),NOT(OR(IF($E3="",INDEX(primary_jama_2018_0156_domain,MATCH($A3,primary_jama_2018_0156_key,0)),$E3)="statistical_results"))),I3&lt;&gt;"",I3&lt;&gt;"not_applicable"),AND(OR(AND(IF($D3="",INDEX(primary_jama_2018_0156_disposition,MATCH($A3,primary_jama_2018_0156_key,0)),$D3)&lt;&gt;"",IF($D3="",INDEX(primary_jama_2018_0156_disposition,MATCH($A3,primary_jama_2018_0156_key,0)),$D3)&lt;&gt;"retain"),NOT(OR(IF($E3="",INDEX(primary_jama_2018_0156_domain,MATCH($A3,primary_jama_2018_0156_key,0)),$E3)="statistical_results"))),J3&lt;&gt;"",J3&lt;&gt;"not_applicable"),AND(OR(AND(IF($D3="",INDEX(primary_jama_2018_0156_disposition,MATCH($A3,primary_jama_2018_0156_key,0)),$D3)&lt;&gt;"",IF($D3="",INDEX(primary_jama_2018_0156_disposition,MATCH($A3,primary_jama_2018_0156_key,0)),$D3)&lt;&gt;"retain"),NOT(OR(IF($E3="",INDEX(primary_jama_2018_0156_domain,MATCH($A3,primary_jama_2018_0156_key,0)),$E3)="internal_nonstatistical",IF($E3="",INDEX(primary_jama_2018_0156_domain,MATCH($A3,primary_jama_2018_0156_key,0)),$E3)="plan_material"))),K3&lt;&gt;"",K3&lt;&gt;"not_applicable"),AND(OR(AND(IF($D3="",INDEX(primary_jama_2018_0156_disposition,MATCH($A3,primary_jama_2018_0156_key,0)),$D3)&lt;&gt;"",IF($D3="",INDEX(primary_jama_2018_0156_disposition,MATCH($A3,primary_jama_2018_0156_key,0)),$D3)&lt;&gt;"retain"),NOT(OR(IF($E3="",INDEX(primary_jama_2018_0156_domain,MATCH($A3,primary_jama_2018_0156_key,0)),$E3)="protocol_report"))),L3&lt;&gt;"",L3&lt;&gt;"not_applicable")),"CLEAR INACTIVE VALUES",IF(O3="","PENDING",IF(AND(O3&lt;&gt;"agree",LEN(TRIM(P3))=0),"COMMENT NEEDED",IF(F3="yes","CHECKED - see resolution","DRAFT"))))</f>
        <v/>
      </c>
      <c r="H3" s="8">
        <f>IF(OR(AND(IF($D3="",INDEX(primary_jama_2018_0156_disposition,MATCH($A3,primary_jama_2018_0156_key,0)),$D3)&lt;&gt;"",IF($D3="",INDEX(primary_jama_2018_0156_disposition,MATCH($A3,primary_jama_2018_0156_key,0)),$D3)&lt;&gt;"retain"),NOT(OR(IF($E3="",INDEX(primary_jama_2018_0156_domain,MATCH($A3,primary_jama_2018_0156_key,0)),$E3)="statistical_results"))),"not_applicable","")</f>
        <v/>
      </c>
      <c r="I3" s="8">
        <f>IF(OR(AND(IF($D3="",INDEX(primary_jama_2018_0156_disposition,MATCH($A3,primary_jama_2018_0156_key,0)),$D3)&lt;&gt;"",IF($D3="",INDEX(primary_jama_2018_0156_disposition,MATCH($A3,primary_jama_2018_0156_key,0)),$D3)&lt;&gt;"retain"),NOT(OR(IF($E3="",INDEX(primary_jama_2018_0156_domain,MATCH($A3,primary_jama_2018_0156_key,0)),$E3)="statistical_results"))),"not_applicable","")</f>
        <v/>
      </c>
      <c r="J3" s="9">
        <f>IF(OR(AND(IF($D3="",INDEX(primary_jama_2018_0156_disposition,MATCH($A3,primary_jama_2018_0156_key,0)),$D3)&lt;&gt;"",IF($D3="",INDEX(primary_jama_2018_0156_disposition,MATCH($A3,primary_jama_2018_0156_key,0)),$D3)&lt;&gt;"retain"),NOT(OR(IF($E3="",INDEX(primary_jama_2018_0156_domain,MATCH($A3,primary_jama_2018_0156_key,0)),$E3)="statistical_results"))),"not_applicable","")</f>
        <v/>
      </c>
      <c r="K3" s="8">
        <f>IF(OR(AND(IF($D3="",INDEX(primary_jama_2018_0156_disposition,MATCH($A3,primary_jama_2018_0156_key,0)),$D3)&lt;&gt;"",IF($D3="",INDEX(primary_jama_2018_0156_disposition,MATCH($A3,primary_jama_2018_0156_key,0)),$D3)&lt;&gt;"retain"),NOT(OR(IF($E3="",INDEX(primary_jama_2018_0156_domain,MATCH($A3,primary_jama_2018_0156_key,0)),$E3)="internal_nonstatistical",IF($E3="",INDEX(primary_jama_2018_0156_domain,MATCH($A3,primary_jama_2018_0156_key,0)),$E3)="plan_material"))),"not_applicable","")</f>
        <v/>
      </c>
      <c r="L3" s="9">
        <f>IF(OR(AND(IF($D3="",INDEX(primary_jama_2018_0156_disposition,MATCH($A3,primary_jama_2018_0156_key,0)),$D3)&lt;&gt;"",IF($D3="",INDEX(primary_jama_2018_0156_disposition,MATCH($A3,primary_jama_2018_0156_key,0)),$D3)&lt;&gt;"retain"),NOT(OR(IF($E3="",INDEX(primary_jama_2018_0156_domain,MATCH($A3,primary_jama_2018_0156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2018::jama.2018.0156::C003</t>
        </is>
      </c>
      <c r="B4" s="2" t="inlineStr">
        <is>
          <t>PP day-28 survival point difference does not round from the printed inputs</t>
        </is>
      </c>
      <c r="C4" s="2" t="inlineStr">
        <is>
          <t>jama_jabre_2018_oi_180004.pdf — PDF p. 6 (Table 2); joi180004supp1_prod.pdf — PDF p. 123 (rounding rule).</t>
        </is>
      </c>
      <c r="D4" s="8" t="inlineStr"/>
      <c r="E4" s="8" t="inlineStr"/>
      <c r="F4" s="8" t="inlineStr">
        <is>
          <t>no</t>
        </is>
      </c>
      <c r="G4" s="2">
        <f>IF(OR(AND(OR(AND(IF($D4="",INDEX(primary_jama_2018_0156_disposition,MATCH($A4,primary_jama_2018_0156_key,0)),$D4)&lt;&gt;"",IF($D4="",INDEX(primary_jama_2018_0156_disposition,MATCH($A4,primary_jama_2018_0156_key,0)),$D4)&lt;&gt;"retain"),NOT(OR(IF($E4="",INDEX(primary_jama_2018_0156_domain,MATCH($A4,primary_jama_2018_0156_key,0)),$E4)="statistical_results"))),H4&lt;&gt;"",H4&lt;&gt;"not_applicable"),AND(OR(AND(IF($D4="",INDEX(primary_jama_2018_0156_disposition,MATCH($A4,primary_jama_2018_0156_key,0)),$D4)&lt;&gt;"",IF($D4="",INDEX(primary_jama_2018_0156_disposition,MATCH($A4,primary_jama_2018_0156_key,0)),$D4)&lt;&gt;"retain"),NOT(OR(IF($E4="",INDEX(primary_jama_2018_0156_domain,MATCH($A4,primary_jama_2018_0156_key,0)),$E4)="statistical_results"))),I4&lt;&gt;"",I4&lt;&gt;"not_applicable"),AND(OR(AND(IF($D4="",INDEX(primary_jama_2018_0156_disposition,MATCH($A4,primary_jama_2018_0156_key,0)),$D4)&lt;&gt;"",IF($D4="",INDEX(primary_jama_2018_0156_disposition,MATCH($A4,primary_jama_2018_0156_key,0)),$D4)&lt;&gt;"retain"),NOT(OR(IF($E4="",INDEX(primary_jama_2018_0156_domain,MATCH($A4,primary_jama_2018_0156_key,0)),$E4)="statistical_results"))),J4&lt;&gt;"",J4&lt;&gt;"not_applicable"),AND(OR(AND(IF($D4="",INDEX(primary_jama_2018_0156_disposition,MATCH($A4,primary_jama_2018_0156_key,0)),$D4)&lt;&gt;"",IF($D4="",INDEX(primary_jama_2018_0156_disposition,MATCH($A4,primary_jama_2018_0156_key,0)),$D4)&lt;&gt;"retain"),NOT(OR(IF($E4="",INDEX(primary_jama_2018_0156_domain,MATCH($A4,primary_jama_2018_0156_key,0)),$E4)="internal_nonstatistical",IF($E4="",INDEX(primary_jama_2018_0156_domain,MATCH($A4,primary_jama_2018_0156_key,0)),$E4)="plan_material"))),K4&lt;&gt;"",K4&lt;&gt;"not_applicable"),AND(OR(AND(IF($D4="",INDEX(primary_jama_2018_0156_disposition,MATCH($A4,primary_jama_2018_0156_key,0)),$D4)&lt;&gt;"",IF($D4="",INDEX(primary_jama_2018_0156_disposition,MATCH($A4,primary_jama_2018_0156_key,0)),$D4)&lt;&gt;"retain"),NOT(OR(IF($E4="",INDEX(primary_jama_2018_0156_domain,MATCH($A4,primary_jama_2018_0156_key,0)),$E4)="protocol_report"))),L4&lt;&gt;"",L4&lt;&gt;"not_applicable")),"CLEAR INACTIVE VALUES",IF(O4="","PENDING",IF(AND(O4&lt;&gt;"agree",LEN(TRIM(P4))=0),"COMMENT NEEDED",IF(F4="yes","CHECKED - see resolution","DRAFT"))))</f>
        <v/>
      </c>
      <c r="H4" s="8">
        <f>IF(OR(AND(IF($D4="",INDEX(primary_jama_2018_0156_disposition,MATCH($A4,primary_jama_2018_0156_key,0)),$D4)&lt;&gt;"",IF($D4="",INDEX(primary_jama_2018_0156_disposition,MATCH($A4,primary_jama_2018_0156_key,0)),$D4)&lt;&gt;"retain"),NOT(OR(IF($E4="",INDEX(primary_jama_2018_0156_domain,MATCH($A4,primary_jama_2018_0156_key,0)),$E4)="statistical_results"))),"not_applicable","")</f>
        <v/>
      </c>
      <c r="I4" s="8">
        <f>IF(OR(AND(IF($D4="",INDEX(primary_jama_2018_0156_disposition,MATCH($A4,primary_jama_2018_0156_key,0)),$D4)&lt;&gt;"",IF($D4="",INDEX(primary_jama_2018_0156_disposition,MATCH($A4,primary_jama_2018_0156_key,0)),$D4)&lt;&gt;"retain"),NOT(OR(IF($E4="",INDEX(primary_jama_2018_0156_domain,MATCH($A4,primary_jama_2018_0156_key,0)),$E4)="statistical_results"))),"not_applicable","")</f>
        <v/>
      </c>
      <c r="J4" s="9">
        <f>IF(OR(AND(IF($D4="",INDEX(primary_jama_2018_0156_disposition,MATCH($A4,primary_jama_2018_0156_key,0)),$D4)&lt;&gt;"",IF($D4="",INDEX(primary_jama_2018_0156_disposition,MATCH($A4,primary_jama_2018_0156_key,0)),$D4)&lt;&gt;"retain"),NOT(OR(IF($E4="",INDEX(primary_jama_2018_0156_domain,MATCH($A4,primary_jama_2018_0156_key,0)),$E4)="statistical_results"))),"not_applicable","")</f>
        <v/>
      </c>
      <c r="K4" s="8">
        <f>IF(OR(AND(IF($D4="",INDEX(primary_jama_2018_0156_disposition,MATCH($A4,primary_jama_2018_0156_key,0)),$D4)&lt;&gt;"",IF($D4="",INDEX(primary_jama_2018_0156_disposition,MATCH($A4,primary_jama_2018_0156_key,0)),$D4)&lt;&gt;"retain"),NOT(OR(IF($E4="",INDEX(primary_jama_2018_0156_domain,MATCH($A4,primary_jama_2018_0156_key,0)),$E4)="internal_nonstatistical",IF($E4="",INDEX(primary_jama_2018_0156_domain,MATCH($A4,primary_jama_2018_0156_key,0)),$E4)="plan_material"))),"not_applicable","")</f>
        <v/>
      </c>
      <c r="L4" s="9">
        <f>IF(OR(AND(IF($D4="",INDEX(primary_jama_2018_0156_disposition,MATCH($A4,primary_jama_2018_0156_key,0)),$D4)&lt;&gt;"",IF($D4="",INDEX(primary_jama_2018_0156_disposition,MATCH($A4,primary_jama_2018_0156_key,0)),$D4)&lt;&gt;"retain"),NOT(OR(IF($E4="",INDEX(primary_jama_2018_0156_domain,MATCH($A4,primary_jama_2018_0156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2018::jama.2018.0156::C004</t>
        </is>
      </c>
      <c r="B5" s="3" t="inlineStr">
        <is>
          <t>PP day-28 survival confidence interval has an unresolved scale/precision inconsistency</t>
        </is>
      </c>
      <c r="C5" s="3" t="inlineStr">
        <is>
          <t>jama_jabre_2018_oi_180004.pdf — PDF p. 3 (rule); PDF p. 6 (Table 2); joi180004supp1_prod.pdf — PDF p. 124 (CI rule).</t>
        </is>
      </c>
      <c r="D5" s="8" t="inlineStr"/>
      <c r="E5" s="8" t="inlineStr"/>
      <c r="F5" s="8" t="inlineStr">
        <is>
          <t>no</t>
        </is>
      </c>
      <c r="G5" s="3">
        <f>IF(OR(AND(OR(AND(IF($D5="",INDEX(primary_jama_2018_0156_disposition,MATCH($A5,primary_jama_2018_0156_key,0)),$D5)&lt;&gt;"",IF($D5="",INDEX(primary_jama_2018_0156_disposition,MATCH($A5,primary_jama_2018_0156_key,0)),$D5)&lt;&gt;"retain"),NOT(OR(IF($E5="",INDEX(primary_jama_2018_0156_domain,MATCH($A5,primary_jama_2018_0156_key,0)),$E5)="statistical_results"))),H5&lt;&gt;"",H5&lt;&gt;"not_applicable"),AND(OR(AND(IF($D5="",INDEX(primary_jama_2018_0156_disposition,MATCH($A5,primary_jama_2018_0156_key,0)),$D5)&lt;&gt;"",IF($D5="",INDEX(primary_jama_2018_0156_disposition,MATCH($A5,primary_jama_2018_0156_key,0)),$D5)&lt;&gt;"retain"),NOT(OR(IF($E5="",INDEX(primary_jama_2018_0156_domain,MATCH($A5,primary_jama_2018_0156_key,0)),$E5)="statistical_results"))),I5&lt;&gt;"",I5&lt;&gt;"not_applicable"),AND(OR(AND(IF($D5="",INDEX(primary_jama_2018_0156_disposition,MATCH($A5,primary_jama_2018_0156_key,0)),$D5)&lt;&gt;"",IF($D5="",INDEX(primary_jama_2018_0156_disposition,MATCH($A5,primary_jama_2018_0156_key,0)),$D5)&lt;&gt;"retain"),NOT(OR(IF($E5="",INDEX(primary_jama_2018_0156_domain,MATCH($A5,primary_jama_2018_0156_key,0)),$E5)="statistical_results"))),J5&lt;&gt;"",J5&lt;&gt;"not_applicable"),AND(OR(AND(IF($D5="",INDEX(primary_jama_2018_0156_disposition,MATCH($A5,primary_jama_2018_0156_key,0)),$D5)&lt;&gt;"",IF($D5="",INDEX(primary_jama_2018_0156_disposition,MATCH($A5,primary_jama_2018_0156_key,0)),$D5)&lt;&gt;"retain"),NOT(OR(IF($E5="",INDEX(primary_jama_2018_0156_domain,MATCH($A5,primary_jama_2018_0156_key,0)),$E5)="internal_nonstatistical",IF($E5="",INDEX(primary_jama_2018_0156_domain,MATCH($A5,primary_jama_2018_0156_key,0)),$E5)="plan_material"))),K5&lt;&gt;"",K5&lt;&gt;"not_applicable"),AND(OR(AND(IF($D5="",INDEX(primary_jama_2018_0156_disposition,MATCH($A5,primary_jama_2018_0156_key,0)),$D5)&lt;&gt;"",IF($D5="",INDEX(primary_jama_2018_0156_disposition,MATCH($A5,primary_jama_2018_0156_key,0)),$D5)&lt;&gt;"retain"),NOT(OR(IF($E5="",INDEX(primary_jama_2018_0156_domain,MATCH($A5,primary_jama_2018_0156_key,0)),$E5)="protocol_report"))),L5&lt;&gt;"",L5&lt;&gt;"not_applicable")),"CLEAR INACTIVE VALUES",IF(O5="","PENDING",IF(AND(O5&lt;&gt;"agree",LEN(TRIM(P5))=0),"COMMENT NEEDED",IF(F5="yes","CHECKED - see resolution","DRAFT"))))</f>
        <v/>
      </c>
      <c r="H5" s="8">
        <f>IF(OR(AND(IF($D5="",INDEX(primary_jama_2018_0156_disposition,MATCH($A5,primary_jama_2018_0156_key,0)),$D5)&lt;&gt;"",IF($D5="",INDEX(primary_jama_2018_0156_disposition,MATCH($A5,primary_jama_2018_0156_key,0)),$D5)&lt;&gt;"retain"),NOT(OR(IF($E5="",INDEX(primary_jama_2018_0156_domain,MATCH($A5,primary_jama_2018_0156_key,0)),$E5)="statistical_results"))),"not_applicable","")</f>
        <v/>
      </c>
      <c r="I5" s="8">
        <f>IF(OR(AND(IF($D5="",INDEX(primary_jama_2018_0156_disposition,MATCH($A5,primary_jama_2018_0156_key,0)),$D5)&lt;&gt;"",IF($D5="",INDEX(primary_jama_2018_0156_disposition,MATCH($A5,primary_jama_2018_0156_key,0)),$D5)&lt;&gt;"retain"),NOT(OR(IF($E5="",INDEX(primary_jama_2018_0156_domain,MATCH($A5,primary_jama_2018_0156_key,0)),$E5)="statistical_results"))),"not_applicable","")</f>
        <v/>
      </c>
      <c r="J5" s="9">
        <f>IF(OR(AND(IF($D5="",INDEX(primary_jama_2018_0156_disposition,MATCH($A5,primary_jama_2018_0156_key,0)),$D5)&lt;&gt;"",IF($D5="",INDEX(primary_jama_2018_0156_disposition,MATCH($A5,primary_jama_2018_0156_key,0)),$D5)&lt;&gt;"retain"),NOT(OR(IF($E5="",INDEX(primary_jama_2018_0156_domain,MATCH($A5,primary_jama_2018_0156_key,0)),$E5)="statistical_results"))),"not_applicable","")</f>
        <v/>
      </c>
      <c r="K5" s="8">
        <f>IF(OR(AND(IF($D5="",INDEX(primary_jama_2018_0156_disposition,MATCH($A5,primary_jama_2018_0156_key,0)),$D5)&lt;&gt;"",IF($D5="",INDEX(primary_jama_2018_0156_disposition,MATCH($A5,primary_jama_2018_0156_key,0)),$D5)&lt;&gt;"retain"),NOT(OR(IF($E5="",INDEX(primary_jama_2018_0156_domain,MATCH($A5,primary_jama_2018_0156_key,0)),$E5)="internal_nonstatistical",IF($E5="",INDEX(primary_jama_2018_0156_domain,MATCH($A5,primary_jama_2018_0156_key,0)),$E5)="plan_material"))),"not_applicable","")</f>
        <v/>
      </c>
      <c r="L5" s="9">
        <f>IF(OR(AND(IF($D5="",INDEX(primary_jama_2018_0156_disposition,MATCH($A5,primary_jama_2018_0156_key,0)),$D5)&lt;&gt;"",IF($D5="",INDEX(primary_jama_2018_0156_disposition,MATCH($A5,primary_jama_2018_0156_key,0)),$D5)&lt;&gt;"retain"),NOT(OR(IF($E5="",INDEX(primary_jama_2018_0156_domain,MATCH($A5,primary_jama_2018_0156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2018::jama.2018.0156::C005</t>
        </is>
      </c>
      <c r="B6" s="2" t="inlineStr">
        <is>
          <t>PP ROSC ETI percentage conflicts with its count, denominator, and signed difference</t>
        </is>
      </c>
      <c r="C6" s="2" t="inlineStr">
        <is>
          <t>jama_jabre_2018_oi_180004.pdf — PDF p. 6 (Table 2 PP ROSC row).</t>
        </is>
      </c>
      <c r="D6" s="8" t="inlineStr"/>
      <c r="E6" s="8" t="inlineStr"/>
      <c r="F6" s="8" t="inlineStr">
        <is>
          <t>no</t>
        </is>
      </c>
      <c r="G6" s="2">
        <f>IF(OR(AND(OR(AND(IF($D6="",INDEX(primary_jama_2018_0156_disposition,MATCH($A6,primary_jama_2018_0156_key,0)),$D6)&lt;&gt;"",IF($D6="",INDEX(primary_jama_2018_0156_disposition,MATCH($A6,primary_jama_2018_0156_key,0)),$D6)&lt;&gt;"retain"),NOT(OR(IF($E6="",INDEX(primary_jama_2018_0156_domain,MATCH($A6,primary_jama_2018_0156_key,0)),$E6)="statistical_results"))),H6&lt;&gt;"",H6&lt;&gt;"not_applicable"),AND(OR(AND(IF($D6="",INDEX(primary_jama_2018_0156_disposition,MATCH($A6,primary_jama_2018_0156_key,0)),$D6)&lt;&gt;"",IF($D6="",INDEX(primary_jama_2018_0156_disposition,MATCH($A6,primary_jama_2018_0156_key,0)),$D6)&lt;&gt;"retain"),NOT(OR(IF($E6="",INDEX(primary_jama_2018_0156_domain,MATCH($A6,primary_jama_2018_0156_key,0)),$E6)="statistical_results"))),I6&lt;&gt;"",I6&lt;&gt;"not_applicable"),AND(OR(AND(IF($D6="",INDEX(primary_jama_2018_0156_disposition,MATCH($A6,primary_jama_2018_0156_key,0)),$D6)&lt;&gt;"",IF($D6="",INDEX(primary_jama_2018_0156_disposition,MATCH($A6,primary_jama_2018_0156_key,0)),$D6)&lt;&gt;"retain"),NOT(OR(IF($E6="",INDEX(primary_jama_2018_0156_domain,MATCH($A6,primary_jama_2018_0156_key,0)),$E6)="statistical_results"))),J6&lt;&gt;"",J6&lt;&gt;"not_applicable"),AND(OR(AND(IF($D6="",INDEX(primary_jama_2018_0156_disposition,MATCH($A6,primary_jama_2018_0156_key,0)),$D6)&lt;&gt;"",IF($D6="",INDEX(primary_jama_2018_0156_disposition,MATCH($A6,primary_jama_2018_0156_key,0)),$D6)&lt;&gt;"retain"),NOT(OR(IF($E6="",INDEX(primary_jama_2018_0156_domain,MATCH($A6,primary_jama_2018_0156_key,0)),$E6)="internal_nonstatistical",IF($E6="",INDEX(primary_jama_2018_0156_domain,MATCH($A6,primary_jama_2018_0156_key,0)),$E6)="plan_material"))),K6&lt;&gt;"",K6&lt;&gt;"not_applicable"),AND(OR(AND(IF($D6="",INDEX(primary_jama_2018_0156_disposition,MATCH($A6,primary_jama_2018_0156_key,0)),$D6)&lt;&gt;"",IF($D6="",INDEX(primary_jama_2018_0156_disposition,MATCH($A6,primary_jama_2018_0156_key,0)),$D6)&lt;&gt;"retain"),NOT(OR(IF($E6="",INDEX(primary_jama_2018_0156_domain,MATCH($A6,primary_jama_2018_0156_key,0)),$E6)="protocol_report"))),L6&lt;&gt;"",L6&lt;&gt;"not_applicable")),"CLEAR INACTIVE VALUES",IF(O6="","PENDING",IF(AND(O6&lt;&gt;"agree",LEN(TRIM(P6))=0),"COMMENT NEEDED",IF(F6="yes","CHECKED - see resolution","DRAFT"))))</f>
        <v/>
      </c>
      <c r="H6" s="8">
        <f>IF(OR(AND(IF($D6="",INDEX(primary_jama_2018_0156_disposition,MATCH($A6,primary_jama_2018_0156_key,0)),$D6)&lt;&gt;"",IF($D6="",INDEX(primary_jama_2018_0156_disposition,MATCH($A6,primary_jama_2018_0156_key,0)),$D6)&lt;&gt;"retain"),NOT(OR(IF($E6="",INDEX(primary_jama_2018_0156_domain,MATCH($A6,primary_jama_2018_0156_key,0)),$E6)="statistical_results"))),"not_applicable","")</f>
        <v/>
      </c>
      <c r="I6" s="8">
        <f>IF(OR(AND(IF($D6="",INDEX(primary_jama_2018_0156_disposition,MATCH($A6,primary_jama_2018_0156_key,0)),$D6)&lt;&gt;"",IF($D6="",INDEX(primary_jama_2018_0156_disposition,MATCH($A6,primary_jama_2018_0156_key,0)),$D6)&lt;&gt;"retain"),NOT(OR(IF($E6="",INDEX(primary_jama_2018_0156_domain,MATCH($A6,primary_jama_2018_0156_key,0)),$E6)="statistical_results"))),"not_applicable","")</f>
        <v/>
      </c>
      <c r="J6" s="9">
        <f>IF(OR(AND(IF($D6="",INDEX(primary_jama_2018_0156_disposition,MATCH($A6,primary_jama_2018_0156_key,0)),$D6)&lt;&gt;"",IF($D6="",INDEX(primary_jama_2018_0156_disposition,MATCH($A6,primary_jama_2018_0156_key,0)),$D6)&lt;&gt;"retain"),NOT(OR(IF($E6="",INDEX(primary_jama_2018_0156_domain,MATCH($A6,primary_jama_2018_0156_key,0)),$E6)="statistical_results"))),"not_applicable","")</f>
        <v/>
      </c>
      <c r="K6" s="8">
        <f>IF(OR(AND(IF($D6="",INDEX(primary_jama_2018_0156_disposition,MATCH($A6,primary_jama_2018_0156_key,0)),$D6)&lt;&gt;"",IF($D6="",INDEX(primary_jama_2018_0156_disposition,MATCH($A6,primary_jama_2018_0156_key,0)),$D6)&lt;&gt;"retain"),NOT(OR(IF($E6="",INDEX(primary_jama_2018_0156_domain,MATCH($A6,primary_jama_2018_0156_key,0)),$E6)="internal_nonstatistical",IF($E6="",INDEX(primary_jama_2018_0156_domain,MATCH($A6,primary_jama_2018_0156_key,0)),$E6)="plan_material"))),"not_applicable","")</f>
        <v/>
      </c>
      <c r="L6" s="9">
        <f>IF(OR(AND(IF($D6="",INDEX(primary_jama_2018_0156_disposition,MATCH($A6,primary_jama_2018_0156_key,0)),$D6)&lt;&gt;"",IF($D6="",INDEX(primary_jama_2018_0156_disposition,MATCH($A6,primary_jama_2018_0156_key,0)),$D6)&lt;&gt;"retain"),NOT(OR(IF($E6="",INDEX(primary_jama_2018_0156_domain,MATCH($A6,primary_jama_2018_0156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2018::jama.2018.0156::C006</t>
        </is>
      </c>
      <c r="B7" s="3" t="inlineStr">
        <is>
          <t>Main article and eTable report different contributing-centre counts</t>
        </is>
      </c>
      <c r="C7" s="3" t="inlineStr">
        <is>
          <t>jama_jabre_2018_oi_180004.pdf — PDF p. 2; joi180004supp2_prod.pdf — PDF p. 2 (eTable 1).</t>
        </is>
      </c>
      <c r="D7" s="8" t="inlineStr"/>
      <c r="E7" s="8" t="inlineStr"/>
      <c r="F7" s="8" t="inlineStr">
        <is>
          <t>no</t>
        </is>
      </c>
      <c r="G7" s="3">
        <f>IF(OR(AND(OR(AND(IF($D7="",INDEX(primary_jama_2018_0156_disposition,MATCH($A7,primary_jama_2018_0156_key,0)),$D7)&lt;&gt;"",IF($D7="",INDEX(primary_jama_2018_0156_disposition,MATCH($A7,primary_jama_2018_0156_key,0)),$D7)&lt;&gt;"retain"),NOT(OR(IF($E7="",INDEX(primary_jama_2018_0156_domain,MATCH($A7,primary_jama_2018_0156_key,0)),$E7)="statistical_results"))),H7&lt;&gt;"",H7&lt;&gt;"not_applicable"),AND(OR(AND(IF($D7="",INDEX(primary_jama_2018_0156_disposition,MATCH($A7,primary_jama_2018_0156_key,0)),$D7)&lt;&gt;"",IF($D7="",INDEX(primary_jama_2018_0156_disposition,MATCH($A7,primary_jama_2018_0156_key,0)),$D7)&lt;&gt;"retain"),NOT(OR(IF($E7="",INDEX(primary_jama_2018_0156_domain,MATCH($A7,primary_jama_2018_0156_key,0)),$E7)="statistical_results"))),I7&lt;&gt;"",I7&lt;&gt;"not_applicable"),AND(OR(AND(IF($D7="",INDEX(primary_jama_2018_0156_disposition,MATCH($A7,primary_jama_2018_0156_key,0)),$D7)&lt;&gt;"",IF($D7="",INDEX(primary_jama_2018_0156_disposition,MATCH($A7,primary_jama_2018_0156_key,0)),$D7)&lt;&gt;"retain"),NOT(OR(IF($E7="",INDEX(primary_jama_2018_0156_domain,MATCH($A7,primary_jama_2018_0156_key,0)),$E7)="statistical_results"))),J7&lt;&gt;"",J7&lt;&gt;"not_applicable"),AND(OR(AND(IF($D7="",INDEX(primary_jama_2018_0156_disposition,MATCH($A7,primary_jama_2018_0156_key,0)),$D7)&lt;&gt;"",IF($D7="",INDEX(primary_jama_2018_0156_disposition,MATCH($A7,primary_jama_2018_0156_key,0)),$D7)&lt;&gt;"retain"),NOT(OR(IF($E7="",INDEX(primary_jama_2018_0156_domain,MATCH($A7,primary_jama_2018_0156_key,0)),$E7)="internal_nonstatistical",IF($E7="",INDEX(primary_jama_2018_0156_domain,MATCH($A7,primary_jama_2018_0156_key,0)),$E7)="plan_material"))),K7&lt;&gt;"",K7&lt;&gt;"not_applicable"),AND(OR(AND(IF($D7="",INDEX(primary_jama_2018_0156_disposition,MATCH($A7,primary_jama_2018_0156_key,0)),$D7)&lt;&gt;"",IF($D7="",INDEX(primary_jama_2018_0156_disposition,MATCH($A7,primary_jama_2018_0156_key,0)),$D7)&lt;&gt;"retain"),NOT(OR(IF($E7="",INDEX(primary_jama_2018_0156_domain,MATCH($A7,primary_jama_2018_0156_key,0)),$E7)="protocol_report"))),L7&lt;&gt;"",L7&lt;&gt;"not_applicable")),"CLEAR INACTIVE VALUES",IF(O7="","PENDING",IF(AND(O7&lt;&gt;"agree",LEN(TRIM(P7))=0),"COMMENT NEEDED",IF(F7="yes","CHECKED - see resolution","DRAFT"))))</f>
        <v/>
      </c>
      <c r="H7" s="8">
        <f>IF(OR(AND(IF($D7="",INDEX(primary_jama_2018_0156_disposition,MATCH($A7,primary_jama_2018_0156_key,0)),$D7)&lt;&gt;"",IF($D7="",INDEX(primary_jama_2018_0156_disposition,MATCH($A7,primary_jama_2018_0156_key,0)),$D7)&lt;&gt;"retain"),NOT(OR(IF($E7="",INDEX(primary_jama_2018_0156_domain,MATCH($A7,primary_jama_2018_0156_key,0)),$E7)="statistical_results"))),"not_applicable","")</f>
        <v/>
      </c>
      <c r="I7" s="8">
        <f>IF(OR(AND(IF($D7="",INDEX(primary_jama_2018_0156_disposition,MATCH($A7,primary_jama_2018_0156_key,0)),$D7)&lt;&gt;"",IF($D7="",INDEX(primary_jama_2018_0156_disposition,MATCH($A7,primary_jama_2018_0156_key,0)),$D7)&lt;&gt;"retain"),NOT(OR(IF($E7="",INDEX(primary_jama_2018_0156_domain,MATCH($A7,primary_jama_2018_0156_key,0)),$E7)="statistical_results"))),"not_applicable","")</f>
        <v/>
      </c>
      <c r="J7" s="9">
        <f>IF(OR(AND(IF($D7="",INDEX(primary_jama_2018_0156_disposition,MATCH($A7,primary_jama_2018_0156_key,0)),$D7)&lt;&gt;"",IF($D7="",INDEX(primary_jama_2018_0156_disposition,MATCH($A7,primary_jama_2018_0156_key,0)),$D7)&lt;&gt;"retain"),NOT(OR(IF($E7="",INDEX(primary_jama_2018_0156_domain,MATCH($A7,primary_jama_2018_0156_key,0)),$E7)="statistical_results"))),"not_applicable","")</f>
        <v/>
      </c>
      <c r="K7" s="8">
        <f>IF(OR(AND(IF($D7="",INDEX(primary_jama_2018_0156_disposition,MATCH($A7,primary_jama_2018_0156_key,0)),$D7)&lt;&gt;"",IF($D7="",INDEX(primary_jama_2018_0156_disposition,MATCH($A7,primary_jama_2018_0156_key,0)),$D7)&lt;&gt;"retain"),NOT(OR(IF($E7="",INDEX(primary_jama_2018_0156_domain,MATCH($A7,primary_jama_2018_0156_key,0)),$E7)="internal_nonstatistical",IF($E7="",INDEX(primary_jama_2018_0156_domain,MATCH($A7,primary_jama_2018_0156_key,0)),$E7)="plan_material"))),"not_applicable","")</f>
        <v/>
      </c>
      <c r="L7" s="9">
        <f>IF(OR(AND(IF($D7="",INDEX(primary_jama_2018_0156_disposition,MATCH($A7,primary_jama_2018_0156_key,0)),$D7)&lt;&gt;"",IF($D7="",INDEX(primary_jama_2018_0156_disposition,MATCH($A7,primary_jama_2018_0156_key,0)),$D7)&lt;&gt;"retain"),NOT(OR(IF($E7="",INDEX(primary_jama_2018_0156_domain,MATCH($A7,primary_jama_2018_0156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2018::jama.2018.0156::C007</t>
        </is>
      </c>
      <c r="B8" s="2" t="inlineStr">
        <is>
          <t>Published primary-endpoint description omits the amended baseline-disability qualification</t>
        </is>
      </c>
      <c r="C8" s="2" t="inlineStr">
        <is>
          <t>jama_jabre_2018_oi_180004.pdf — PDF p. 1 and PDF p. 3; joi180004supp1_prod.pdf — PDF p. 110.</t>
        </is>
      </c>
      <c r="D8" s="8" t="inlineStr"/>
      <c r="E8" s="8" t="inlineStr"/>
      <c r="F8" s="8" t="inlineStr">
        <is>
          <t>no</t>
        </is>
      </c>
      <c r="G8" s="2">
        <f>IF(OR(AND(OR(AND(IF($D8="",INDEX(primary_jama_2018_0156_disposition,MATCH($A8,primary_jama_2018_0156_key,0)),$D8)&lt;&gt;"",IF($D8="",INDEX(primary_jama_2018_0156_disposition,MATCH($A8,primary_jama_2018_0156_key,0)),$D8)&lt;&gt;"retain"),NOT(OR(IF($E8="",INDEX(primary_jama_2018_0156_domain,MATCH($A8,primary_jama_2018_0156_key,0)),$E8)="statistical_results"))),H8&lt;&gt;"",H8&lt;&gt;"not_applicable"),AND(OR(AND(IF($D8="",INDEX(primary_jama_2018_0156_disposition,MATCH($A8,primary_jama_2018_0156_key,0)),$D8)&lt;&gt;"",IF($D8="",INDEX(primary_jama_2018_0156_disposition,MATCH($A8,primary_jama_2018_0156_key,0)),$D8)&lt;&gt;"retain"),NOT(OR(IF($E8="",INDEX(primary_jama_2018_0156_domain,MATCH($A8,primary_jama_2018_0156_key,0)),$E8)="statistical_results"))),I8&lt;&gt;"",I8&lt;&gt;"not_applicable"),AND(OR(AND(IF($D8="",INDEX(primary_jama_2018_0156_disposition,MATCH($A8,primary_jama_2018_0156_key,0)),$D8)&lt;&gt;"",IF($D8="",INDEX(primary_jama_2018_0156_disposition,MATCH($A8,primary_jama_2018_0156_key,0)),$D8)&lt;&gt;"retain"),NOT(OR(IF($E8="",INDEX(primary_jama_2018_0156_domain,MATCH($A8,primary_jama_2018_0156_key,0)),$E8)="statistical_results"))),J8&lt;&gt;"",J8&lt;&gt;"not_applicable"),AND(OR(AND(IF($D8="",INDEX(primary_jama_2018_0156_disposition,MATCH($A8,primary_jama_2018_0156_key,0)),$D8)&lt;&gt;"",IF($D8="",INDEX(primary_jama_2018_0156_disposition,MATCH($A8,primary_jama_2018_0156_key,0)),$D8)&lt;&gt;"retain"),NOT(OR(IF($E8="",INDEX(primary_jama_2018_0156_domain,MATCH($A8,primary_jama_2018_0156_key,0)),$E8)="internal_nonstatistical",IF($E8="",INDEX(primary_jama_2018_0156_domain,MATCH($A8,primary_jama_2018_0156_key,0)),$E8)="plan_material"))),K8&lt;&gt;"",K8&lt;&gt;"not_applicable"),AND(OR(AND(IF($D8="",INDEX(primary_jama_2018_0156_disposition,MATCH($A8,primary_jama_2018_0156_key,0)),$D8)&lt;&gt;"",IF($D8="",INDEX(primary_jama_2018_0156_disposition,MATCH($A8,primary_jama_2018_0156_key,0)),$D8)&lt;&gt;"retain"),NOT(OR(IF($E8="",INDEX(primary_jama_2018_0156_domain,MATCH($A8,primary_jama_2018_0156_key,0)),$E8)="protocol_report"))),L8&lt;&gt;"",L8&lt;&gt;"not_applicable")),"CLEAR INACTIVE VALUES",IF(O8="","PENDING",IF(AND(O8&lt;&gt;"agree",LEN(TRIM(P8))=0),"COMMENT NEEDED",IF(F8="yes","CHECKED - see resolution","DRAFT"))))</f>
        <v/>
      </c>
      <c r="H8" s="8">
        <f>IF(OR(AND(IF($D8="",INDEX(primary_jama_2018_0156_disposition,MATCH($A8,primary_jama_2018_0156_key,0)),$D8)&lt;&gt;"",IF($D8="",INDEX(primary_jama_2018_0156_disposition,MATCH($A8,primary_jama_2018_0156_key,0)),$D8)&lt;&gt;"retain"),NOT(OR(IF($E8="",INDEX(primary_jama_2018_0156_domain,MATCH($A8,primary_jama_2018_0156_key,0)),$E8)="statistical_results"))),"not_applicable","")</f>
        <v/>
      </c>
      <c r="I8" s="8">
        <f>IF(OR(AND(IF($D8="",INDEX(primary_jama_2018_0156_disposition,MATCH($A8,primary_jama_2018_0156_key,0)),$D8)&lt;&gt;"",IF($D8="",INDEX(primary_jama_2018_0156_disposition,MATCH($A8,primary_jama_2018_0156_key,0)),$D8)&lt;&gt;"retain"),NOT(OR(IF($E8="",INDEX(primary_jama_2018_0156_domain,MATCH($A8,primary_jama_2018_0156_key,0)),$E8)="statistical_results"))),"not_applicable","")</f>
        <v/>
      </c>
      <c r="J8" s="9">
        <f>IF(OR(AND(IF($D8="",INDEX(primary_jama_2018_0156_disposition,MATCH($A8,primary_jama_2018_0156_key,0)),$D8)&lt;&gt;"",IF($D8="",INDEX(primary_jama_2018_0156_disposition,MATCH($A8,primary_jama_2018_0156_key,0)),$D8)&lt;&gt;"retain"),NOT(OR(IF($E8="",INDEX(primary_jama_2018_0156_domain,MATCH($A8,primary_jama_2018_0156_key,0)),$E8)="statistical_results"))),"not_applicable","")</f>
        <v/>
      </c>
      <c r="K8" s="8">
        <f>IF(OR(AND(IF($D8="",INDEX(primary_jama_2018_0156_disposition,MATCH($A8,primary_jama_2018_0156_key,0)),$D8)&lt;&gt;"",IF($D8="",INDEX(primary_jama_2018_0156_disposition,MATCH($A8,primary_jama_2018_0156_key,0)),$D8)&lt;&gt;"retain"),NOT(OR(IF($E8="",INDEX(primary_jama_2018_0156_domain,MATCH($A8,primary_jama_2018_0156_key,0)),$E8)="internal_nonstatistical",IF($E8="",INDEX(primary_jama_2018_0156_domain,MATCH($A8,primary_jama_2018_0156_key,0)),$E8)="plan_material"))),"not_applicable","")</f>
        <v/>
      </c>
      <c r="L8" s="9">
        <f>IF(OR(AND(IF($D8="",INDEX(primary_jama_2018_0156_disposition,MATCH($A8,primary_jama_2018_0156_key,0)),$D8)&lt;&gt;"",IF($D8="",INDEX(primary_jama_2018_0156_disposition,MATCH($A8,primary_jama_2018_0156_key,0)),$D8)&lt;&gt;"retain"),NOT(OR(IF($E8="",INDEX(primary_jama_2018_0156_domain,MATCH($A8,primary_jama_2018_0156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2018::jama.2018.0156::C008</t>
        </is>
      </c>
      <c r="B9" s="3" t="inlineStr">
        <is>
          <t>Protocol composite technique-failure definition cannot reconcile with the article’s smaller ETI failure count if they are the same endpoint</t>
        </is>
      </c>
      <c r="C9" s="3" t="inlineStr">
        <is>
          <t>joi180004supp1_prod.pdf — PDF p. 110; jama_jabre_2018_oi_180004.pdf — PDF p. 1, PDF p. 4, and PDF p. 6.</t>
        </is>
      </c>
      <c r="D9" s="8" t="inlineStr"/>
      <c r="E9" s="8" t="inlineStr"/>
      <c r="F9" s="8" t="inlineStr">
        <is>
          <t>no</t>
        </is>
      </c>
      <c r="G9" s="3">
        <f>IF(OR(AND(OR(AND(IF($D9="",INDEX(primary_jama_2018_0156_disposition,MATCH($A9,primary_jama_2018_0156_key,0)),$D9)&lt;&gt;"",IF($D9="",INDEX(primary_jama_2018_0156_disposition,MATCH($A9,primary_jama_2018_0156_key,0)),$D9)&lt;&gt;"retain"),NOT(OR(IF($E9="",INDEX(primary_jama_2018_0156_domain,MATCH($A9,primary_jama_2018_0156_key,0)),$E9)="statistical_results"))),H9&lt;&gt;"",H9&lt;&gt;"not_applicable"),AND(OR(AND(IF($D9="",INDEX(primary_jama_2018_0156_disposition,MATCH($A9,primary_jama_2018_0156_key,0)),$D9)&lt;&gt;"",IF($D9="",INDEX(primary_jama_2018_0156_disposition,MATCH($A9,primary_jama_2018_0156_key,0)),$D9)&lt;&gt;"retain"),NOT(OR(IF($E9="",INDEX(primary_jama_2018_0156_domain,MATCH($A9,primary_jama_2018_0156_key,0)),$E9)="statistical_results"))),I9&lt;&gt;"",I9&lt;&gt;"not_applicable"),AND(OR(AND(IF($D9="",INDEX(primary_jama_2018_0156_disposition,MATCH($A9,primary_jama_2018_0156_key,0)),$D9)&lt;&gt;"",IF($D9="",INDEX(primary_jama_2018_0156_disposition,MATCH($A9,primary_jama_2018_0156_key,0)),$D9)&lt;&gt;"retain"),NOT(OR(IF($E9="",INDEX(primary_jama_2018_0156_domain,MATCH($A9,primary_jama_2018_0156_key,0)),$E9)="statistical_results"))),J9&lt;&gt;"",J9&lt;&gt;"not_applicable"),AND(OR(AND(IF($D9="",INDEX(primary_jama_2018_0156_disposition,MATCH($A9,primary_jama_2018_0156_key,0)),$D9)&lt;&gt;"",IF($D9="",INDEX(primary_jama_2018_0156_disposition,MATCH($A9,primary_jama_2018_0156_key,0)),$D9)&lt;&gt;"retain"),NOT(OR(IF($E9="",INDEX(primary_jama_2018_0156_domain,MATCH($A9,primary_jama_2018_0156_key,0)),$E9)="internal_nonstatistical",IF($E9="",INDEX(primary_jama_2018_0156_domain,MATCH($A9,primary_jama_2018_0156_key,0)),$E9)="plan_material"))),K9&lt;&gt;"",K9&lt;&gt;"not_applicable"),AND(OR(AND(IF($D9="",INDEX(primary_jama_2018_0156_disposition,MATCH($A9,primary_jama_2018_0156_key,0)),$D9)&lt;&gt;"",IF($D9="",INDEX(primary_jama_2018_0156_disposition,MATCH($A9,primary_jama_2018_0156_key,0)),$D9)&lt;&gt;"retain"),NOT(OR(IF($E9="",INDEX(primary_jama_2018_0156_domain,MATCH($A9,primary_jama_2018_0156_key,0)),$E9)="protocol_report"))),L9&lt;&gt;"",L9&lt;&gt;"not_applicable")),"CLEAR INACTIVE VALUES",IF(O9="","PENDING",IF(AND(O9&lt;&gt;"agree",LEN(TRIM(P9))=0),"COMMENT NEEDED",IF(F9="yes","CHECKED - see resolution","DRAFT"))))</f>
        <v/>
      </c>
      <c r="H9" s="8">
        <f>IF(OR(AND(IF($D9="",INDEX(primary_jama_2018_0156_disposition,MATCH($A9,primary_jama_2018_0156_key,0)),$D9)&lt;&gt;"",IF($D9="",INDEX(primary_jama_2018_0156_disposition,MATCH($A9,primary_jama_2018_0156_key,0)),$D9)&lt;&gt;"retain"),NOT(OR(IF($E9="",INDEX(primary_jama_2018_0156_domain,MATCH($A9,primary_jama_2018_0156_key,0)),$E9)="statistical_results"))),"not_applicable","")</f>
        <v/>
      </c>
      <c r="I9" s="8">
        <f>IF(OR(AND(IF($D9="",INDEX(primary_jama_2018_0156_disposition,MATCH($A9,primary_jama_2018_0156_key,0)),$D9)&lt;&gt;"",IF($D9="",INDEX(primary_jama_2018_0156_disposition,MATCH($A9,primary_jama_2018_0156_key,0)),$D9)&lt;&gt;"retain"),NOT(OR(IF($E9="",INDEX(primary_jama_2018_0156_domain,MATCH($A9,primary_jama_2018_0156_key,0)),$E9)="statistical_results"))),"not_applicable","")</f>
        <v/>
      </c>
      <c r="J9" s="9">
        <f>IF(OR(AND(IF($D9="",INDEX(primary_jama_2018_0156_disposition,MATCH($A9,primary_jama_2018_0156_key,0)),$D9)&lt;&gt;"",IF($D9="",INDEX(primary_jama_2018_0156_disposition,MATCH($A9,primary_jama_2018_0156_key,0)),$D9)&lt;&gt;"retain"),NOT(OR(IF($E9="",INDEX(primary_jama_2018_0156_domain,MATCH($A9,primary_jama_2018_0156_key,0)),$E9)="statistical_results"))),"not_applicable","")</f>
        <v/>
      </c>
      <c r="K9" s="8">
        <f>IF(OR(AND(IF($D9="",INDEX(primary_jama_2018_0156_disposition,MATCH($A9,primary_jama_2018_0156_key,0)),$D9)&lt;&gt;"",IF($D9="",INDEX(primary_jama_2018_0156_disposition,MATCH($A9,primary_jama_2018_0156_key,0)),$D9)&lt;&gt;"retain"),NOT(OR(IF($E9="",INDEX(primary_jama_2018_0156_domain,MATCH($A9,primary_jama_2018_0156_key,0)),$E9)="internal_nonstatistical",IF($E9="",INDEX(primary_jama_2018_0156_domain,MATCH($A9,primary_jama_2018_0156_key,0)),$E9)="plan_material"))),"not_applicable","")</f>
        <v/>
      </c>
      <c r="L9" s="9">
        <f>IF(OR(AND(IF($D9="",INDEX(primary_jama_2018_0156_disposition,MATCH($A9,primary_jama_2018_0156_key,0)),$D9)&lt;&gt;"",IF($D9="",INDEX(primary_jama_2018_0156_disposition,MATCH($A9,primary_jama_2018_0156_key,0)),$D9)&lt;&gt;"retain"),NOT(OR(IF($E9="",INDEX(primary_jama_2018_0156_domain,MATCH($A9,primary_jama_2018_0156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
    <cfRule type="expression" priority="1" dxfId="0" stopIfTrue="1">
      <formula>AND(OR(AND(IF($D2="",INDEX(primary_jama_2018_0156_disposition,MATCH($A2,primary_jama_2018_0156_key,0)),$D2)&lt;&gt;"",IF($D2="",INDEX(primary_jama_2018_0156_disposition,MATCH($A2,primary_jama_2018_0156_key,0)),$D2)&lt;&gt;"retain"),NOT(OR(IF($E2="",INDEX(primary_jama_2018_0156_domain,MATCH($A2,primary_jama_2018_0156_key,0)),$E2)="statistical_results"))),H2&lt;&gt;"",H2&lt;&gt;"not_applicable")</formula>
    </cfRule>
    <cfRule type="expression" priority="2" dxfId="1">
      <formula>OR(AND(IF($D2="",INDEX(primary_jama_2018_0156_disposition,MATCH($A2,primary_jama_2018_0156_key,0)),$D2)&lt;&gt;"",IF($D2="",INDEX(primary_jama_2018_0156_disposition,MATCH($A2,primary_jama_2018_0156_key,0)),$D2)&lt;&gt;"retain"),NOT(OR(IF($E2="",INDEX(primary_jama_2018_0156_domain,MATCH($A2,primary_jama_2018_0156_key,0)),$E2)="statistical_results")))</formula>
    </cfRule>
  </conditionalFormatting>
  <conditionalFormatting sqref="H3">
    <cfRule type="expression" priority="3" dxfId="0" stopIfTrue="1">
      <formula>AND(OR(AND(IF($D3="",INDEX(primary_jama_2018_0156_disposition,MATCH($A3,primary_jama_2018_0156_key,0)),$D3)&lt;&gt;"",IF($D3="",INDEX(primary_jama_2018_0156_disposition,MATCH($A3,primary_jama_2018_0156_key,0)),$D3)&lt;&gt;"retain"),NOT(OR(IF($E3="",INDEX(primary_jama_2018_0156_domain,MATCH($A3,primary_jama_2018_0156_key,0)),$E3)="statistical_results"))),H3&lt;&gt;"",H3&lt;&gt;"not_applicable")</formula>
    </cfRule>
    <cfRule type="expression" priority="4" dxfId="1">
      <formula>OR(AND(IF($D3="",INDEX(primary_jama_2018_0156_disposition,MATCH($A3,primary_jama_2018_0156_key,0)),$D3)&lt;&gt;"",IF($D3="",INDEX(primary_jama_2018_0156_disposition,MATCH($A3,primary_jama_2018_0156_key,0)),$D3)&lt;&gt;"retain"),NOT(OR(IF($E3="",INDEX(primary_jama_2018_0156_domain,MATCH($A3,primary_jama_2018_0156_key,0)),$E3)="statistical_results")))</formula>
    </cfRule>
  </conditionalFormatting>
  <conditionalFormatting sqref="H4">
    <cfRule type="expression" priority="5" dxfId="0" stopIfTrue="1">
      <formula>AND(OR(AND(IF($D4="",INDEX(primary_jama_2018_0156_disposition,MATCH($A4,primary_jama_2018_0156_key,0)),$D4)&lt;&gt;"",IF($D4="",INDEX(primary_jama_2018_0156_disposition,MATCH($A4,primary_jama_2018_0156_key,0)),$D4)&lt;&gt;"retain"),NOT(OR(IF($E4="",INDEX(primary_jama_2018_0156_domain,MATCH($A4,primary_jama_2018_0156_key,0)),$E4)="statistical_results"))),H4&lt;&gt;"",H4&lt;&gt;"not_applicable")</formula>
    </cfRule>
    <cfRule type="expression" priority="6" dxfId="1">
      <formula>OR(AND(IF($D4="",INDEX(primary_jama_2018_0156_disposition,MATCH($A4,primary_jama_2018_0156_key,0)),$D4)&lt;&gt;"",IF($D4="",INDEX(primary_jama_2018_0156_disposition,MATCH($A4,primary_jama_2018_0156_key,0)),$D4)&lt;&gt;"retain"),NOT(OR(IF($E4="",INDEX(primary_jama_2018_0156_domain,MATCH($A4,primary_jama_2018_0156_key,0)),$E4)="statistical_results")))</formula>
    </cfRule>
  </conditionalFormatting>
  <conditionalFormatting sqref="H5">
    <cfRule type="expression" priority="7" dxfId="0" stopIfTrue="1">
      <formula>AND(OR(AND(IF($D5="",INDEX(primary_jama_2018_0156_disposition,MATCH($A5,primary_jama_2018_0156_key,0)),$D5)&lt;&gt;"",IF($D5="",INDEX(primary_jama_2018_0156_disposition,MATCH($A5,primary_jama_2018_0156_key,0)),$D5)&lt;&gt;"retain"),NOT(OR(IF($E5="",INDEX(primary_jama_2018_0156_domain,MATCH($A5,primary_jama_2018_0156_key,0)),$E5)="statistical_results"))),H5&lt;&gt;"",H5&lt;&gt;"not_applicable")</formula>
    </cfRule>
    <cfRule type="expression" priority="8" dxfId="1">
      <formula>OR(AND(IF($D5="",INDEX(primary_jama_2018_0156_disposition,MATCH($A5,primary_jama_2018_0156_key,0)),$D5)&lt;&gt;"",IF($D5="",INDEX(primary_jama_2018_0156_disposition,MATCH($A5,primary_jama_2018_0156_key,0)),$D5)&lt;&gt;"retain"),NOT(OR(IF($E5="",INDEX(primary_jama_2018_0156_domain,MATCH($A5,primary_jama_2018_0156_key,0)),$E5)="statistical_results")))</formula>
    </cfRule>
  </conditionalFormatting>
  <conditionalFormatting sqref="H6">
    <cfRule type="expression" priority="9" dxfId="0" stopIfTrue="1">
      <formula>AND(OR(AND(IF($D6="",INDEX(primary_jama_2018_0156_disposition,MATCH($A6,primary_jama_2018_0156_key,0)),$D6)&lt;&gt;"",IF($D6="",INDEX(primary_jama_2018_0156_disposition,MATCH($A6,primary_jama_2018_0156_key,0)),$D6)&lt;&gt;"retain"),NOT(OR(IF($E6="",INDEX(primary_jama_2018_0156_domain,MATCH($A6,primary_jama_2018_0156_key,0)),$E6)="statistical_results"))),H6&lt;&gt;"",H6&lt;&gt;"not_applicable")</formula>
    </cfRule>
    <cfRule type="expression" priority="10" dxfId="1">
      <formula>OR(AND(IF($D6="",INDEX(primary_jama_2018_0156_disposition,MATCH($A6,primary_jama_2018_0156_key,0)),$D6)&lt;&gt;"",IF($D6="",INDEX(primary_jama_2018_0156_disposition,MATCH($A6,primary_jama_2018_0156_key,0)),$D6)&lt;&gt;"retain"),NOT(OR(IF($E6="",INDEX(primary_jama_2018_0156_domain,MATCH($A6,primary_jama_2018_0156_key,0)),$E6)="statistical_results")))</formula>
    </cfRule>
  </conditionalFormatting>
  <conditionalFormatting sqref="H7">
    <cfRule type="expression" priority="11" dxfId="0" stopIfTrue="1">
      <formula>AND(OR(AND(IF($D7="",INDEX(primary_jama_2018_0156_disposition,MATCH($A7,primary_jama_2018_0156_key,0)),$D7)&lt;&gt;"",IF($D7="",INDEX(primary_jama_2018_0156_disposition,MATCH($A7,primary_jama_2018_0156_key,0)),$D7)&lt;&gt;"retain"),NOT(OR(IF($E7="",INDEX(primary_jama_2018_0156_domain,MATCH($A7,primary_jama_2018_0156_key,0)),$E7)="statistical_results"))),H7&lt;&gt;"",H7&lt;&gt;"not_applicable")</formula>
    </cfRule>
    <cfRule type="expression" priority="12" dxfId="1">
      <formula>OR(AND(IF($D7="",INDEX(primary_jama_2018_0156_disposition,MATCH($A7,primary_jama_2018_0156_key,0)),$D7)&lt;&gt;"",IF($D7="",INDEX(primary_jama_2018_0156_disposition,MATCH($A7,primary_jama_2018_0156_key,0)),$D7)&lt;&gt;"retain"),NOT(OR(IF($E7="",INDEX(primary_jama_2018_0156_domain,MATCH($A7,primary_jama_2018_0156_key,0)),$E7)="statistical_results")))</formula>
    </cfRule>
  </conditionalFormatting>
  <conditionalFormatting sqref="H8">
    <cfRule type="expression" priority="13" dxfId="0" stopIfTrue="1">
      <formula>AND(OR(AND(IF($D8="",INDEX(primary_jama_2018_0156_disposition,MATCH($A8,primary_jama_2018_0156_key,0)),$D8)&lt;&gt;"",IF($D8="",INDEX(primary_jama_2018_0156_disposition,MATCH($A8,primary_jama_2018_0156_key,0)),$D8)&lt;&gt;"retain"),NOT(OR(IF($E8="",INDEX(primary_jama_2018_0156_domain,MATCH($A8,primary_jama_2018_0156_key,0)),$E8)="statistical_results"))),H8&lt;&gt;"",H8&lt;&gt;"not_applicable")</formula>
    </cfRule>
    <cfRule type="expression" priority="14" dxfId="1">
      <formula>OR(AND(IF($D8="",INDEX(primary_jama_2018_0156_disposition,MATCH($A8,primary_jama_2018_0156_key,0)),$D8)&lt;&gt;"",IF($D8="",INDEX(primary_jama_2018_0156_disposition,MATCH($A8,primary_jama_2018_0156_key,0)),$D8)&lt;&gt;"retain"),NOT(OR(IF($E8="",INDEX(primary_jama_2018_0156_domain,MATCH($A8,primary_jama_2018_0156_key,0)),$E8)="statistical_results")))</formula>
    </cfRule>
  </conditionalFormatting>
  <conditionalFormatting sqref="H9">
    <cfRule type="expression" priority="15" dxfId="0" stopIfTrue="1">
      <formula>AND(OR(AND(IF($D9="",INDEX(primary_jama_2018_0156_disposition,MATCH($A9,primary_jama_2018_0156_key,0)),$D9)&lt;&gt;"",IF($D9="",INDEX(primary_jama_2018_0156_disposition,MATCH($A9,primary_jama_2018_0156_key,0)),$D9)&lt;&gt;"retain"),NOT(OR(IF($E9="",INDEX(primary_jama_2018_0156_domain,MATCH($A9,primary_jama_2018_0156_key,0)),$E9)="statistical_results"))),H9&lt;&gt;"",H9&lt;&gt;"not_applicable")</formula>
    </cfRule>
    <cfRule type="expression" priority="16" dxfId="1">
      <formula>OR(AND(IF($D9="",INDEX(primary_jama_2018_0156_disposition,MATCH($A9,primary_jama_2018_0156_key,0)),$D9)&lt;&gt;"",IF($D9="",INDEX(primary_jama_2018_0156_disposition,MATCH($A9,primary_jama_2018_0156_key,0)),$D9)&lt;&gt;"retain"),NOT(OR(IF($E9="",INDEX(primary_jama_2018_0156_domain,MATCH($A9,primary_jama_2018_0156_key,0)),$E9)="statistical_results")))</formula>
    </cfRule>
  </conditionalFormatting>
  <conditionalFormatting sqref="I2">
    <cfRule type="expression" priority="17" dxfId="0" stopIfTrue="1">
      <formula>AND(OR(AND(IF($D2="",INDEX(primary_jama_2018_0156_disposition,MATCH($A2,primary_jama_2018_0156_key,0)),$D2)&lt;&gt;"",IF($D2="",INDEX(primary_jama_2018_0156_disposition,MATCH($A2,primary_jama_2018_0156_key,0)),$D2)&lt;&gt;"retain"),NOT(OR(IF($E2="",INDEX(primary_jama_2018_0156_domain,MATCH($A2,primary_jama_2018_0156_key,0)),$E2)="statistical_results"))),I2&lt;&gt;"",I2&lt;&gt;"not_applicable")</formula>
    </cfRule>
    <cfRule type="expression" priority="18" dxfId="1">
      <formula>OR(AND(IF($D2="",INDEX(primary_jama_2018_0156_disposition,MATCH($A2,primary_jama_2018_0156_key,0)),$D2)&lt;&gt;"",IF($D2="",INDEX(primary_jama_2018_0156_disposition,MATCH($A2,primary_jama_2018_0156_key,0)),$D2)&lt;&gt;"retain"),NOT(OR(IF($E2="",INDEX(primary_jama_2018_0156_domain,MATCH($A2,primary_jama_2018_0156_key,0)),$E2)="statistical_results")))</formula>
    </cfRule>
  </conditionalFormatting>
  <conditionalFormatting sqref="I3">
    <cfRule type="expression" priority="19" dxfId="0" stopIfTrue="1">
      <formula>AND(OR(AND(IF($D3="",INDEX(primary_jama_2018_0156_disposition,MATCH($A3,primary_jama_2018_0156_key,0)),$D3)&lt;&gt;"",IF($D3="",INDEX(primary_jama_2018_0156_disposition,MATCH($A3,primary_jama_2018_0156_key,0)),$D3)&lt;&gt;"retain"),NOT(OR(IF($E3="",INDEX(primary_jama_2018_0156_domain,MATCH($A3,primary_jama_2018_0156_key,0)),$E3)="statistical_results"))),I3&lt;&gt;"",I3&lt;&gt;"not_applicable")</formula>
    </cfRule>
    <cfRule type="expression" priority="20" dxfId="1">
      <formula>OR(AND(IF($D3="",INDEX(primary_jama_2018_0156_disposition,MATCH($A3,primary_jama_2018_0156_key,0)),$D3)&lt;&gt;"",IF($D3="",INDEX(primary_jama_2018_0156_disposition,MATCH($A3,primary_jama_2018_0156_key,0)),$D3)&lt;&gt;"retain"),NOT(OR(IF($E3="",INDEX(primary_jama_2018_0156_domain,MATCH($A3,primary_jama_2018_0156_key,0)),$E3)="statistical_results")))</formula>
    </cfRule>
  </conditionalFormatting>
  <conditionalFormatting sqref="I4">
    <cfRule type="expression" priority="21" dxfId="0" stopIfTrue="1">
      <formula>AND(OR(AND(IF($D4="",INDEX(primary_jama_2018_0156_disposition,MATCH($A4,primary_jama_2018_0156_key,0)),$D4)&lt;&gt;"",IF($D4="",INDEX(primary_jama_2018_0156_disposition,MATCH($A4,primary_jama_2018_0156_key,0)),$D4)&lt;&gt;"retain"),NOT(OR(IF($E4="",INDEX(primary_jama_2018_0156_domain,MATCH($A4,primary_jama_2018_0156_key,0)),$E4)="statistical_results"))),I4&lt;&gt;"",I4&lt;&gt;"not_applicable")</formula>
    </cfRule>
    <cfRule type="expression" priority="22" dxfId="1">
      <formula>OR(AND(IF($D4="",INDEX(primary_jama_2018_0156_disposition,MATCH($A4,primary_jama_2018_0156_key,0)),$D4)&lt;&gt;"",IF($D4="",INDEX(primary_jama_2018_0156_disposition,MATCH($A4,primary_jama_2018_0156_key,0)),$D4)&lt;&gt;"retain"),NOT(OR(IF($E4="",INDEX(primary_jama_2018_0156_domain,MATCH($A4,primary_jama_2018_0156_key,0)),$E4)="statistical_results")))</formula>
    </cfRule>
  </conditionalFormatting>
  <conditionalFormatting sqref="I5">
    <cfRule type="expression" priority="23" dxfId="0" stopIfTrue="1">
      <formula>AND(OR(AND(IF($D5="",INDEX(primary_jama_2018_0156_disposition,MATCH($A5,primary_jama_2018_0156_key,0)),$D5)&lt;&gt;"",IF($D5="",INDEX(primary_jama_2018_0156_disposition,MATCH($A5,primary_jama_2018_0156_key,0)),$D5)&lt;&gt;"retain"),NOT(OR(IF($E5="",INDEX(primary_jama_2018_0156_domain,MATCH($A5,primary_jama_2018_0156_key,0)),$E5)="statistical_results"))),I5&lt;&gt;"",I5&lt;&gt;"not_applicable")</formula>
    </cfRule>
    <cfRule type="expression" priority="24" dxfId="1">
      <formula>OR(AND(IF($D5="",INDEX(primary_jama_2018_0156_disposition,MATCH($A5,primary_jama_2018_0156_key,0)),$D5)&lt;&gt;"",IF($D5="",INDEX(primary_jama_2018_0156_disposition,MATCH($A5,primary_jama_2018_0156_key,0)),$D5)&lt;&gt;"retain"),NOT(OR(IF($E5="",INDEX(primary_jama_2018_0156_domain,MATCH($A5,primary_jama_2018_0156_key,0)),$E5)="statistical_results")))</formula>
    </cfRule>
  </conditionalFormatting>
  <conditionalFormatting sqref="I6">
    <cfRule type="expression" priority="25" dxfId="0" stopIfTrue="1">
      <formula>AND(OR(AND(IF($D6="",INDEX(primary_jama_2018_0156_disposition,MATCH($A6,primary_jama_2018_0156_key,0)),$D6)&lt;&gt;"",IF($D6="",INDEX(primary_jama_2018_0156_disposition,MATCH($A6,primary_jama_2018_0156_key,0)),$D6)&lt;&gt;"retain"),NOT(OR(IF($E6="",INDEX(primary_jama_2018_0156_domain,MATCH($A6,primary_jama_2018_0156_key,0)),$E6)="statistical_results"))),I6&lt;&gt;"",I6&lt;&gt;"not_applicable")</formula>
    </cfRule>
    <cfRule type="expression" priority="26" dxfId="1">
      <formula>OR(AND(IF($D6="",INDEX(primary_jama_2018_0156_disposition,MATCH($A6,primary_jama_2018_0156_key,0)),$D6)&lt;&gt;"",IF($D6="",INDEX(primary_jama_2018_0156_disposition,MATCH($A6,primary_jama_2018_0156_key,0)),$D6)&lt;&gt;"retain"),NOT(OR(IF($E6="",INDEX(primary_jama_2018_0156_domain,MATCH($A6,primary_jama_2018_0156_key,0)),$E6)="statistical_results")))</formula>
    </cfRule>
  </conditionalFormatting>
  <conditionalFormatting sqref="I7">
    <cfRule type="expression" priority="27" dxfId="0" stopIfTrue="1">
      <formula>AND(OR(AND(IF($D7="",INDEX(primary_jama_2018_0156_disposition,MATCH($A7,primary_jama_2018_0156_key,0)),$D7)&lt;&gt;"",IF($D7="",INDEX(primary_jama_2018_0156_disposition,MATCH($A7,primary_jama_2018_0156_key,0)),$D7)&lt;&gt;"retain"),NOT(OR(IF($E7="",INDEX(primary_jama_2018_0156_domain,MATCH($A7,primary_jama_2018_0156_key,0)),$E7)="statistical_results"))),I7&lt;&gt;"",I7&lt;&gt;"not_applicable")</formula>
    </cfRule>
    <cfRule type="expression" priority="28" dxfId="1">
      <formula>OR(AND(IF($D7="",INDEX(primary_jama_2018_0156_disposition,MATCH($A7,primary_jama_2018_0156_key,0)),$D7)&lt;&gt;"",IF($D7="",INDEX(primary_jama_2018_0156_disposition,MATCH($A7,primary_jama_2018_0156_key,0)),$D7)&lt;&gt;"retain"),NOT(OR(IF($E7="",INDEX(primary_jama_2018_0156_domain,MATCH($A7,primary_jama_2018_0156_key,0)),$E7)="statistical_results")))</formula>
    </cfRule>
  </conditionalFormatting>
  <conditionalFormatting sqref="I8">
    <cfRule type="expression" priority="29" dxfId="0" stopIfTrue="1">
      <formula>AND(OR(AND(IF($D8="",INDEX(primary_jama_2018_0156_disposition,MATCH($A8,primary_jama_2018_0156_key,0)),$D8)&lt;&gt;"",IF($D8="",INDEX(primary_jama_2018_0156_disposition,MATCH($A8,primary_jama_2018_0156_key,0)),$D8)&lt;&gt;"retain"),NOT(OR(IF($E8="",INDEX(primary_jama_2018_0156_domain,MATCH($A8,primary_jama_2018_0156_key,0)),$E8)="statistical_results"))),I8&lt;&gt;"",I8&lt;&gt;"not_applicable")</formula>
    </cfRule>
    <cfRule type="expression" priority="30" dxfId="1">
      <formula>OR(AND(IF($D8="",INDEX(primary_jama_2018_0156_disposition,MATCH($A8,primary_jama_2018_0156_key,0)),$D8)&lt;&gt;"",IF($D8="",INDEX(primary_jama_2018_0156_disposition,MATCH($A8,primary_jama_2018_0156_key,0)),$D8)&lt;&gt;"retain"),NOT(OR(IF($E8="",INDEX(primary_jama_2018_0156_domain,MATCH($A8,primary_jama_2018_0156_key,0)),$E8)="statistical_results")))</formula>
    </cfRule>
  </conditionalFormatting>
  <conditionalFormatting sqref="I9">
    <cfRule type="expression" priority="31" dxfId="0" stopIfTrue="1">
      <formula>AND(OR(AND(IF($D9="",INDEX(primary_jama_2018_0156_disposition,MATCH($A9,primary_jama_2018_0156_key,0)),$D9)&lt;&gt;"",IF($D9="",INDEX(primary_jama_2018_0156_disposition,MATCH($A9,primary_jama_2018_0156_key,0)),$D9)&lt;&gt;"retain"),NOT(OR(IF($E9="",INDEX(primary_jama_2018_0156_domain,MATCH($A9,primary_jama_2018_0156_key,0)),$E9)="statistical_results"))),I9&lt;&gt;"",I9&lt;&gt;"not_applicable")</formula>
    </cfRule>
    <cfRule type="expression" priority="32" dxfId="1">
      <formula>OR(AND(IF($D9="",INDEX(primary_jama_2018_0156_disposition,MATCH($A9,primary_jama_2018_0156_key,0)),$D9)&lt;&gt;"",IF($D9="",INDEX(primary_jama_2018_0156_disposition,MATCH($A9,primary_jama_2018_0156_key,0)),$D9)&lt;&gt;"retain"),NOT(OR(IF($E9="",INDEX(primary_jama_2018_0156_domain,MATCH($A9,primary_jama_2018_0156_key,0)),$E9)="statistical_results")))</formula>
    </cfRule>
  </conditionalFormatting>
  <conditionalFormatting sqref="J2">
    <cfRule type="expression" priority="33" dxfId="0" stopIfTrue="1">
      <formula>AND(OR(AND(IF($D2="",INDEX(primary_jama_2018_0156_disposition,MATCH($A2,primary_jama_2018_0156_key,0)),$D2)&lt;&gt;"",IF($D2="",INDEX(primary_jama_2018_0156_disposition,MATCH($A2,primary_jama_2018_0156_key,0)),$D2)&lt;&gt;"retain"),NOT(OR(IF($E2="",INDEX(primary_jama_2018_0156_domain,MATCH($A2,primary_jama_2018_0156_key,0)),$E2)="statistical_results"))),J2&lt;&gt;"",J2&lt;&gt;"not_applicable")</formula>
    </cfRule>
    <cfRule type="expression" priority="34" dxfId="1">
      <formula>OR(AND(IF($D2="",INDEX(primary_jama_2018_0156_disposition,MATCH($A2,primary_jama_2018_0156_key,0)),$D2)&lt;&gt;"",IF($D2="",INDEX(primary_jama_2018_0156_disposition,MATCH($A2,primary_jama_2018_0156_key,0)),$D2)&lt;&gt;"retain"),NOT(OR(IF($E2="",INDEX(primary_jama_2018_0156_domain,MATCH($A2,primary_jama_2018_0156_key,0)),$E2)="statistical_results")))</formula>
    </cfRule>
  </conditionalFormatting>
  <conditionalFormatting sqref="J3">
    <cfRule type="expression" priority="35" dxfId="0" stopIfTrue="1">
      <formula>AND(OR(AND(IF($D3="",INDEX(primary_jama_2018_0156_disposition,MATCH($A3,primary_jama_2018_0156_key,0)),$D3)&lt;&gt;"",IF($D3="",INDEX(primary_jama_2018_0156_disposition,MATCH($A3,primary_jama_2018_0156_key,0)),$D3)&lt;&gt;"retain"),NOT(OR(IF($E3="",INDEX(primary_jama_2018_0156_domain,MATCH($A3,primary_jama_2018_0156_key,0)),$E3)="statistical_results"))),J3&lt;&gt;"",J3&lt;&gt;"not_applicable")</formula>
    </cfRule>
    <cfRule type="expression" priority="36" dxfId="1">
      <formula>OR(AND(IF($D3="",INDEX(primary_jama_2018_0156_disposition,MATCH($A3,primary_jama_2018_0156_key,0)),$D3)&lt;&gt;"",IF($D3="",INDEX(primary_jama_2018_0156_disposition,MATCH($A3,primary_jama_2018_0156_key,0)),$D3)&lt;&gt;"retain"),NOT(OR(IF($E3="",INDEX(primary_jama_2018_0156_domain,MATCH($A3,primary_jama_2018_0156_key,0)),$E3)="statistical_results")))</formula>
    </cfRule>
  </conditionalFormatting>
  <conditionalFormatting sqref="J4">
    <cfRule type="expression" priority="37" dxfId="0" stopIfTrue="1">
      <formula>AND(OR(AND(IF($D4="",INDEX(primary_jama_2018_0156_disposition,MATCH($A4,primary_jama_2018_0156_key,0)),$D4)&lt;&gt;"",IF($D4="",INDEX(primary_jama_2018_0156_disposition,MATCH($A4,primary_jama_2018_0156_key,0)),$D4)&lt;&gt;"retain"),NOT(OR(IF($E4="",INDEX(primary_jama_2018_0156_domain,MATCH($A4,primary_jama_2018_0156_key,0)),$E4)="statistical_results"))),J4&lt;&gt;"",J4&lt;&gt;"not_applicable")</formula>
    </cfRule>
    <cfRule type="expression" priority="38" dxfId="1">
      <formula>OR(AND(IF($D4="",INDEX(primary_jama_2018_0156_disposition,MATCH($A4,primary_jama_2018_0156_key,0)),$D4)&lt;&gt;"",IF($D4="",INDEX(primary_jama_2018_0156_disposition,MATCH($A4,primary_jama_2018_0156_key,0)),$D4)&lt;&gt;"retain"),NOT(OR(IF($E4="",INDEX(primary_jama_2018_0156_domain,MATCH($A4,primary_jama_2018_0156_key,0)),$E4)="statistical_results")))</formula>
    </cfRule>
  </conditionalFormatting>
  <conditionalFormatting sqref="J5">
    <cfRule type="expression" priority="39" dxfId="0" stopIfTrue="1">
      <formula>AND(OR(AND(IF($D5="",INDEX(primary_jama_2018_0156_disposition,MATCH($A5,primary_jama_2018_0156_key,0)),$D5)&lt;&gt;"",IF($D5="",INDEX(primary_jama_2018_0156_disposition,MATCH($A5,primary_jama_2018_0156_key,0)),$D5)&lt;&gt;"retain"),NOT(OR(IF($E5="",INDEX(primary_jama_2018_0156_domain,MATCH($A5,primary_jama_2018_0156_key,0)),$E5)="statistical_results"))),J5&lt;&gt;"",J5&lt;&gt;"not_applicable")</formula>
    </cfRule>
    <cfRule type="expression" priority="40" dxfId="1">
      <formula>OR(AND(IF($D5="",INDEX(primary_jama_2018_0156_disposition,MATCH($A5,primary_jama_2018_0156_key,0)),$D5)&lt;&gt;"",IF($D5="",INDEX(primary_jama_2018_0156_disposition,MATCH($A5,primary_jama_2018_0156_key,0)),$D5)&lt;&gt;"retain"),NOT(OR(IF($E5="",INDEX(primary_jama_2018_0156_domain,MATCH($A5,primary_jama_2018_0156_key,0)),$E5)="statistical_results")))</formula>
    </cfRule>
  </conditionalFormatting>
  <conditionalFormatting sqref="J6">
    <cfRule type="expression" priority="41" dxfId="0" stopIfTrue="1">
      <formula>AND(OR(AND(IF($D6="",INDEX(primary_jama_2018_0156_disposition,MATCH($A6,primary_jama_2018_0156_key,0)),$D6)&lt;&gt;"",IF($D6="",INDEX(primary_jama_2018_0156_disposition,MATCH($A6,primary_jama_2018_0156_key,0)),$D6)&lt;&gt;"retain"),NOT(OR(IF($E6="",INDEX(primary_jama_2018_0156_domain,MATCH($A6,primary_jama_2018_0156_key,0)),$E6)="statistical_results"))),J6&lt;&gt;"",J6&lt;&gt;"not_applicable")</formula>
    </cfRule>
    <cfRule type="expression" priority="42" dxfId="1">
      <formula>OR(AND(IF($D6="",INDEX(primary_jama_2018_0156_disposition,MATCH($A6,primary_jama_2018_0156_key,0)),$D6)&lt;&gt;"",IF($D6="",INDEX(primary_jama_2018_0156_disposition,MATCH($A6,primary_jama_2018_0156_key,0)),$D6)&lt;&gt;"retain"),NOT(OR(IF($E6="",INDEX(primary_jama_2018_0156_domain,MATCH($A6,primary_jama_2018_0156_key,0)),$E6)="statistical_results")))</formula>
    </cfRule>
  </conditionalFormatting>
  <conditionalFormatting sqref="J7">
    <cfRule type="expression" priority="43" dxfId="0" stopIfTrue="1">
      <formula>AND(OR(AND(IF($D7="",INDEX(primary_jama_2018_0156_disposition,MATCH($A7,primary_jama_2018_0156_key,0)),$D7)&lt;&gt;"",IF($D7="",INDEX(primary_jama_2018_0156_disposition,MATCH($A7,primary_jama_2018_0156_key,0)),$D7)&lt;&gt;"retain"),NOT(OR(IF($E7="",INDEX(primary_jama_2018_0156_domain,MATCH($A7,primary_jama_2018_0156_key,0)),$E7)="statistical_results"))),J7&lt;&gt;"",J7&lt;&gt;"not_applicable")</formula>
    </cfRule>
    <cfRule type="expression" priority="44" dxfId="1">
      <formula>OR(AND(IF($D7="",INDEX(primary_jama_2018_0156_disposition,MATCH($A7,primary_jama_2018_0156_key,0)),$D7)&lt;&gt;"",IF($D7="",INDEX(primary_jama_2018_0156_disposition,MATCH($A7,primary_jama_2018_0156_key,0)),$D7)&lt;&gt;"retain"),NOT(OR(IF($E7="",INDEX(primary_jama_2018_0156_domain,MATCH($A7,primary_jama_2018_0156_key,0)),$E7)="statistical_results")))</formula>
    </cfRule>
  </conditionalFormatting>
  <conditionalFormatting sqref="J8">
    <cfRule type="expression" priority="45" dxfId="0" stopIfTrue="1">
      <formula>AND(OR(AND(IF($D8="",INDEX(primary_jama_2018_0156_disposition,MATCH($A8,primary_jama_2018_0156_key,0)),$D8)&lt;&gt;"",IF($D8="",INDEX(primary_jama_2018_0156_disposition,MATCH($A8,primary_jama_2018_0156_key,0)),$D8)&lt;&gt;"retain"),NOT(OR(IF($E8="",INDEX(primary_jama_2018_0156_domain,MATCH($A8,primary_jama_2018_0156_key,0)),$E8)="statistical_results"))),J8&lt;&gt;"",J8&lt;&gt;"not_applicable")</formula>
    </cfRule>
    <cfRule type="expression" priority="46" dxfId="1">
      <formula>OR(AND(IF($D8="",INDEX(primary_jama_2018_0156_disposition,MATCH($A8,primary_jama_2018_0156_key,0)),$D8)&lt;&gt;"",IF($D8="",INDEX(primary_jama_2018_0156_disposition,MATCH($A8,primary_jama_2018_0156_key,0)),$D8)&lt;&gt;"retain"),NOT(OR(IF($E8="",INDEX(primary_jama_2018_0156_domain,MATCH($A8,primary_jama_2018_0156_key,0)),$E8)="statistical_results")))</formula>
    </cfRule>
  </conditionalFormatting>
  <conditionalFormatting sqref="J9">
    <cfRule type="expression" priority="47" dxfId="0" stopIfTrue="1">
      <formula>AND(OR(AND(IF($D9="",INDEX(primary_jama_2018_0156_disposition,MATCH($A9,primary_jama_2018_0156_key,0)),$D9)&lt;&gt;"",IF($D9="",INDEX(primary_jama_2018_0156_disposition,MATCH($A9,primary_jama_2018_0156_key,0)),$D9)&lt;&gt;"retain"),NOT(OR(IF($E9="",INDEX(primary_jama_2018_0156_domain,MATCH($A9,primary_jama_2018_0156_key,0)),$E9)="statistical_results"))),J9&lt;&gt;"",J9&lt;&gt;"not_applicable")</formula>
    </cfRule>
    <cfRule type="expression" priority="48" dxfId="1">
      <formula>OR(AND(IF($D9="",INDEX(primary_jama_2018_0156_disposition,MATCH($A9,primary_jama_2018_0156_key,0)),$D9)&lt;&gt;"",IF($D9="",INDEX(primary_jama_2018_0156_disposition,MATCH($A9,primary_jama_2018_0156_key,0)),$D9)&lt;&gt;"retain"),NOT(OR(IF($E9="",INDEX(primary_jama_2018_0156_domain,MATCH($A9,primary_jama_2018_0156_key,0)),$E9)="statistical_results")))</formula>
    </cfRule>
  </conditionalFormatting>
  <conditionalFormatting sqref="K2">
    <cfRule type="expression" priority="49" dxfId="0" stopIfTrue="1">
      <formula>AND(OR(AND(IF($D2="",INDEX(primary_jama_2018_0156_disposition,MATCH($A2,primary_jama_2018_0156_key,0)),$D2)&lt;&gt;"",IF($D2="",INDEX(primary_jama_2018_0156_disposition,MATCH($A2,primary_jama_2018_0156_key,0)),$D2)&lt;&gt;"retain"),NOT(OR(IF($E2="",INDEX(primary_jama_2018_0156_domain,MATCH($A2,primary_jama_2018_0156_key,0)),$E2)="internal_nonstatistical",IF($E2="",INDEX(primary_jama_2018_0156_domain,MATCH($A2,primary_jama_2018_0156_key,0)),$E2)="plan_material"))),K2&lt;&gt;"",K2&lt;&gt;"not_applicable")</formula>
    </cfRule>
    <cfRule type="expression" priority="50" dxfId="1">
      <formula>OR(AND(IF($D2="",INDEX(primary_jama_2018_0156_disposition,MATCH($A2,primary_jama_2018_0156_key,0)),$D2)&lt;&gt;"",IF($D2="",INDEX(primary_jama_2018_0156_disposition,MATCH($A2,primary_jama_2018_0156_key,0)),$D2)&lt;&gt;"retain"),NOT(OR(IF($E2="",INDEX(primary_jama_2018_0156_domain,MATCH($A2,primary_jama_2018_0156_key,0)),$E2)="internal_nonstatistical",IF($E2="",INDEX(primary_jama_2018_0156_domain,MATCH($A2,primary_jama_2018_0156_key,0)),$E2)="plan_material")))</formula>
    </cfRule>
  </conditionalFormatting>
  <conditionalFormatting sqref="K3">
    <cfRule type="expression" priority="51" dxfId="0" stopIfTrue="1">
      <formula>AND(OR(AND(IF($D3="",INDEX(primary_jama_2018_0156_disposition,MATCH($A3,primary_jama_2018_0156_key,0)),$D3)&lt;&gt;"",IF($D3="",INDEX(primary_jama_2018_0156_disposition,MATCH($A3,primary_jama_2018_0156_key,0)),$D3)&lt;&gt;"retain"),NOT(OR(IF($E3="",INDEX(primary_jama_2018_0156_domain,MATCH($A3,primary_jama_2018_0156_key,0)),$E3)="internal_nonstatistical",IF($E3="",INDEX(primary_jama_2018_0156_domain,MATCH($A3,primary_jama_2018_0156_key,0)),$E3)="plan_material"))),K3&lt;&gt;"",K3&lt;&gt;"not_applicable")</formula>
    </cfRule>
    <cfRule type="expression" priority="52" dxfId="1">
      <formula>OR(AND(IF($D3="",INDEX(primary_jama_2018_0156_disposition,MATCH($A3,primary_jama_2018_0156_key,0)),$D3)&lt;&gt;"",IF($D3="",INDEX(primary_jama_2018_0156_disposition,MATCH($A3,primary_jama_2018_0156_key,0)),$D3)&lt;&gt;"retain"),NOT(OR(IF($E3="",INDEX(primary_jama_2018_0156_domain,MATCH($A3,primary_jama_2018_0156_key,0)),$E3)="internal_nonstatistical",IF($E3="",INDEX(primary_jama_2018_0156_domain,MATCH($A3,primary_jama_2018_0156_key,0)),$E3)="plan_material")))</formula>
    </cfRule>
  </conditionalFormatting>
  <conditionalFormatting sqref="K4">
    <cfRule type="expression" priority="53" dxfId="0" stopIfTrue="1">
      <formula>AND(OR(AND(IF($D4="",INDEX(primary_jama_2018_0156_disposition,MATCH($A4,primary_jama_2018_0156_key,0)),$D4)&lt;&gt;"",IF($D4="",INDEX(primary_jama_2018_0156_disposition,MATCH($A4,primary_jama_2018_0156_key,0)),$D4)&lt;&gt;"retain"),NOT(OR(IF($E4="",INDEX(primary_jama_2018_0156_domain,MATCH($A4,primary_jama_2018_0156_key,0)),$E4)="internal_nonstatistical",IF($E4="",INDEX(primary_jama_2018_0156_domain,MATCH($A4,primary_jama_2018_0156_key,0)),$E4)="plan_material"))),K4&lt;&gt;"",K4&lt;&gt;"not_applicable")</formula>
    </cfRule>
    <cfRule type="expression" priority="54" dxfId="1">
      <formula>OR(AND(IF($D4="",INDEX(primary_jama_2018_0156_disposition,MATCH($A4,primary_jama_2018_0156_key,0)),$D4)&lt;&gt;"",IF($D4="",INDEX(primary_jama_2018_0156_disposition,MATCH($A4,primary_jama_2018_0156_key,0)),$D4)&lt;&gt;"retain"),NOT(OR(IF($E4="",INDEX(primary_jama_2018_0156_domain,MATCH($A4,primary_jama_2018_0156_key,0)),$E4)="internal_nonstatistical",IF($E4="",INDEX(primary_jama_2018_0156_domain,MATCH($A4,primary_jama_2018_0156_key,0)),$E4)="plan_material")))</formula>
    </cfRule>
  </conditionalFormatting>
  <conditionalFormatting sqref="K5">
    <cfRule type="expression" priority="55" dxfId="0" stopIfTrue="1">
      <formula>AND(OR(AND(IF($D5="",INDEX(primary_jama_2018_0156_disposition,MATCH($A5,primary_jama_2018_0156_key,0)),$D5)&lt;&gt;"",IF($D5="",INDEX(primary_jama_2018_0156_disposition,MATCH($A5,primary_jama_2018_0156_key,0)),$D5)&lt;&gt;"retain"),NOT(OR(IF($E5="",INDEX(primary_jama_2018_0156_domain,MATCH($A5,primary_jama_2018_0156_key,0)),$E5)="internal_nonstatistical",IF($E5="",INDEX(primary_jama_2018_0156_domain,MATCH($A5,primary_jama_2018_0156_key,0)),$E5)="plan_material"))),K5&lt;&gt;"",K5&lt;&gt;"not_applicable")</formula>
    </cfRule>
    <cfRule type="expression" priority="56" dxfId="1">
      <formula>OR(AND(IF($D5="",INDEX(primary_jama_2018_0156_disposition,MATCH($A5,primary_jama_2018_0156_key,0)),$D5)&lt;&gt;"",IF($D5="",INDEX(primary_jama_2018_0156_disposition,MATCH($A5,primary_jama_2018_0156_key,0)),$D5)&lt;&gt;"retain"),NOT(OR(IF($E5="",INDEX(primary_jama_2018_0156_domain,MATCH($A5,primary_jama_2018_0156_key,0)),$E5)="internal_nonstatistical",IF($E5="",INDEX(primary_jama_2018_0156_domain,MATCH($A5,primary_jama_2018_0156_key,0)),$E5)="plan_material")))</formula>
    </cfRule>
  </conditionalFormatting>
  <conditionalFormatting sqref="K6">
    <cfRule type="expression" priority="57" dxfId="0" stopIfTrue="1">
      <formula>AND(OR(AND(IF($D6="",INDEX(primary_jama_2018_0156_disposition,MATCH($A6,primary_jama_2018_0156_key,0)),$D6)&lt;&gt;"",IF($D6="",INDEX(primary_jama_2018_0156_disposition,MATCH($A6,primary_jama_2018_0156_key,0)),$D6)&lt;&gt;"retain"),NOT(OR(IF($E6="",INDEX(primary_jama_2018_0156_domain,MATCH($A6,primary_jama_2018_0156_key,0)),$E6)="internal_nonstatistical",IF($E6="",INDEX(primary_jama_2018_0156_domain,MATCH($A6,primary_jama_2018_0156_key,0)),$E6)="plan_material"))),K6&lt;&gt;"",K6&lt;&gt;"not_applicable")</formula>
    </cfRule>
    <cfRule type="expression" priority="58" dxfId="1">
      <formula>OR(AND(IF($D6="",INDEX(primary_jama_2018_0156_disposition,MATCH($A6,primary_jama_2018_0156_key,0)),$D6)&lt;&gt;"",IF($D6="",INDEX(primary_jama_2018_0156_disposition,MATCH($A6,primary_jama_2018_0156_key,0)),$D6)&lt;&gt;"retain"),NOT(OR(IF($E6="",INDEX(primary_jama_2018_0156_domain,MATCH($A6,primary_jama_2018_0156_key,0)),$E6)="internal_nonstatistical",IF($E6="",INDEX(primary_jama_2018_0156_domain,MATCH($A6,primary_jama_2018_0156_key,0)),$E6)="plan_material")))</formula>
    </cfRule>
  </conditionalFormatting>
  <conditionalFormatting sqref="K7">
    <cfRule type="expression" priority="59" dxfId="0" stopIfTrue="1">
      <formula>AND(OR(AND(IF($D7="",INDEX(primary_jama_2018_0156_disposition,MATCH($A7,primary_jama_2018_0156_key,0)),$D7)&lt;&gt;"",IF($D7="",INDEX(primary_jama_2018_0156_disposition,MATCH($A7,primary_jama_2018_0156_key,0)),$D7)&lt;&gt;"retain"),NOT(OR(IF($E7="",INDEX(primary_jama_2018_0156_domain,MATCH($A7,primary_jama_2018_0156_key,0)),$E7)="internal_nonstatistical",IF($E7="",INDEX(primary_jama_2018_0156_domain,MATCH($A7,primary_jama_2018_0156_key,0)),$E7)="plan_material"))),K7&lt;&gt;"",K7&lt;&gt;"not_applicable")</formula>
    </cfRule>
    <cfRule type="expression" priority="60" dxfId="1">
      <formula>OR(AND(IF($D7="",INDEX(primary_jama_2018_0156_disposition,MATCH($A7,primary_jama_2018_0156_key,0)),$D7)&lt;&gt;"",IF($D7="",INDEX(primary_jama_2018_0156_disposition,MATCH($A7,primary_jama_2018_0156_key,0)),$D7)&lt;&gt;"retain"),NOT(OR(IF($E7="",INDEX(primary_jama_2018_0156_domain,MATCH($A7,primary_jama_2018_0156_key,0)),$E7)="internal_nonstatistical",IF($E7="",INDEX(primary_jama_2018_0156_domain,MATCH($A7,primary_jama_2018_0156_key,0)),$E7)="plan_material")))</formula>
    </cfRule>
  </conditionalFormatting>
  <conditionalFormatting sqref="K8">
    <cfRule type="expression" priority="61" dxfId="0" stopIfTrue="1">
      <formula>AND(OR(AND(IF($D8="",INDEX(primary_jama_2018_0156_disposition,MATCH($A8,primary_jama_2018_0156_key,0)),$D8)&lt;&gt;"",IF($D8="",INDEX(primary_jama_2018_0156_disposition,MATCH($A8,primary_jama_2018_0156_key,0)),$D8)&lt;&gt;"retain"),NOT(OR(IF($E8="",INDEX(primary_jama_2018_0156_domain,MATCH($A8,primary_jama_2018_0156_key,0)),$E8)="internal_nonstatistical",IF($E8="",INDEX(primary_jama_2018_0156_domain,MATCH($A8,primary_jama_2018_0156_key,0)),$E8)="plan_material"))),K8&lt;&gt;"",K8&lt;&gt;"not_applicable")</formula>
    </cfRule>
    <cfRule type="expression" priority="62" dxfId="1">
      <formula>OR(AND(IF($D8="",INDEX(primary_jama_2018_0156_disposition,MATCH($A8,primary_jama_2018_0156_key,0)),$D8)&lt;&gt;"",IF($D8="",INDEX(primary_jama_2018_0156_disposition,MATCH($A8,primary_jama_2018_0156_key,0)),$D8)&lt;&gt;"retain"),NOT(OR(IF($E8="",INDEX(primary_jama_2018_0156_domain,MATCH($A8,primary_jama_2018_0156_key,0)),$E8)="internal_nonstatistical",IF($E8="",INDEX(primary_jama_2018_0156_domain,MATCH($A8,primary_jama_2018_0156_key,0)),$E8)="plan_material")))</formula>
    </cfRule>
  </conditionalFormatting>
  <conditionalFormatting sqref="K9">
    <cfRule type="expression" priority="63" dxfId="0" stopIfTrue="1">
      <formula>AND(OR(AND(IF($D9="",INDEX(primary_jama_2018_0156_disposition,MATCH($A9,primary_jama_2018_0156_key,0)),$D9)&lt;&gt;"",IF($D9="",INDEX(primary_jama_2018_0156_disposition,MATCH($A9,primary_jama_2018_0156_key,0)),$D9)&lt;&gt;"retain"),NOT(OR(IF($E9="",INDEX(primary_jama_2018_0156_domain,MATCH($A9,primary_jama_2018_0156_key,0)),$E9)="internal_nonstatistical",IF($E9="",INDEX(primary_jama_2018_0156_domain,MATCH($A9,primary_jama_2018_0156_key,0)),$E9)="plan_material"))),K9&lt;&gt;"",K9&lt;&gt;"not_applicable")</formula>
    </cfRule>
    <cfRule type="expression" priority="64" dxfId="1">
      <formula>OR(AND(IF($D9="",INDEX(primary_jama_2018_0156_disposition,MATCH($A9,primary_jama_2018_0156_key,0)),$D9)&lt;&gt;"",IF($D9="",INDEX(primary_jama_2018_0156_disposition,MATCH($A9,primary_jama_2018_0156_key,0)),$D9)&lt;&gt;"retain"),NOT(OR(IF($E9="",INDEX(primary_jama_2018_0156_domain,MATCH($A9,primary_jama_2018_0156_key,0)),$E9)="internal_nonstatistical",IF($E9="",INDEX(primary_jama_2018_0156_domain,MATCH($A9,primary_jama_2018_0156_key,0)),$E9)="plan_material")))</formula>
    </cfRule>
  </conditionalFormatting>
  <conditionalFormatting sqref="L2">
    <cfRule type="expression" priority="65" dxfId="0" stopIfTrue="1">
      <formula>AND(OR(AND(IF($D2="",INDEX(primary_jama_2018_0156_disposition,MATCH($A2,primary_jama_2018_0156_key,0)),$D2)&lt;&gt;"",IF($D2="",INDEX(primary_jama_2018_0156_disposition,MATCH($A2,primary_jama_2018_0156_key,0)),$D2)&lt;&gt;"retain"),NOT(OR(IF($E2="",INDEX(primary_jama_2018_0156_domain,MATCH($A2,primary_jama_2018_0156_key,0)),$E2)="protocol_report"))),L2&lt;&gt;"",L2&lt;&gt;"not_applicable")</formula>
    </cfRule>
    <cfRule type="expression" priority="66" dxfId="1">
      <formula>OR(AND(IF($D2="",INDEX(primary_jama_2018_0156_disposition,MATCH($A2,primary_jama_2018_0156_key,0)),$D2)&lt;&gt;"",IF($D2="",INDEX(primary_jama_2018_0156_disposition,MATCH($A2,primary_jama_2018_0156_key,0)),$D2)&lt;&gt;"retain"),NOT(OR(IF($E2="",INDEX(primary_jama_2018_0156_domain,MATCH($A2,primary_jama_2018_0156_key,0)),$E2)="protocol_report")))</formula>
    </cfRule>
  </conditionalFormatting>
  <conditionalFormatting sqref="L3">
    <cfRule type="expression" priority="67" dxfId="0" stopIfTrue="1">
      <formula>AND(OR(AND(IF($D3="",INDEX(primary_jama_2018_0156_disposition,MATCH($A3,primary_jama_2018_0156_key,0)),$D3)&lt;&gt;"",IF($D3="",INDEX(primary_jama_2018_0156_disposition,MATCH($A3,primary_jama_2018_0156_key,0)),$D3)&lt;&gt;"retain"),NOT(OR(IF($E3="",INDEX(primary_jama_2018_0156_domain,MATCH($A3,primary_jama_2018_0156_key,0)),$E3)="protocol_report"))),L3&lt;&gt;"",L3&lt;&gt;"not_applicable")</formula>
    </cfRule>
    <cfRule type="expression" priority="68" dxfId="1">
      <formula>OR(AND(IF($D3="",INDEX(primary_jama_2018_0156_disposition,MATCH($A3,primary_jama_2018_0156_key,0)),$D3)&lt;&gt;"",IF($D3="",INDEX(primary_jama_2018_0156_disposition,MATCH($A3,primary_jama_2018_0156_key,0)),$D3)&lt;&gt;"retain"),NOT(OR(IF($E3="",INDEX(primary_jama_2018_0156_domain,MATCH($A3,primary_jama_2018_0156_key,0)),$E3)="protocol_report")))</formula>
    </cfRule>
  </conditionalFormatting>
  <conditionalFormatting sqref="L4">
    <cfRule type="expression" priority="69" dxfId="0" stopIfTrue="1">
      <formula>AND(OR(AND(IF($D4="",INDEX(primary_jama_2018_0156_disposition,MATCH($A4,primary_jama_2018_0156_key,0)),$D4)&lt;&gt;"",IF($D4="",INDEX(primary_jama_2018_0156_disposition,MATCH($A4,primary_jama_2018_0156_key,0)),$D4)&lt;&gt;"retain"),NOT(OR(IF($E4="",INDEX(primary_jama_2018_0156_domain,MATCH($A4,primary_jama_2018_0156_key,0)),$E4)="protocol_report"))),L4&lt;&gt;"",L4&lt;&gt;"not_applicable")</formula>
    </cfRule>
    <cfRule type="expression" priority="70" dxfId="1">
      <formula>OR(AND(IF($D4="",INDEX(primary_jama_2018_0156_disposition,MATCH($A4,primary_jama_2018_0156_key,0)),$D4)&lt;&gt;"",IF($D4="",INDEX(primary_jama_2018_0156_disposition,MATCH($A4,primary_jama_2018_0156_key,0)),$D4)&lt;&gt;"retain"),NOT(OR(IF($E4="",INDEX(primary_jama_2018_0156_domain,MATCH($A4,primary_jama_2018_0156_key,0)),$E4)="protocol_report")))</formula>
    </cfRule>
  </conditionalFormatting>
  <conditionalFormatting sqref="L5">
    <cfRule type="expression" priority="71" dxfId="0" stopIfTrue="1">
      <formula>AND(OR(AND(IF($D5="",INDEX(primary_jama_2018_0156_disposition,MATCH($A5,primary_jama_2018_0156_key,0)),$D5)&lt;&gt;"",IF($D5="",INDEX(primary_jama_2018_0156_disposition,MATCH($A5,primary_jama_2018_0156_key,0)),$D5)&lt;&gt;"retain"),NOT(OR(IF($E5="",INDEX(primary_jama_2018_0156_domain,MATCH($A5,primary_jama_2018_0156_key,0)),$E5)="protocol_report"))),L5&lt;&gt;"",L5&lt;&gt;"not_applicable")</formula>
    </cfRule>
    <cfRule type="expression" priority="72" dxfId="1">
      <formula>OR(AND(IF($D5="",INDEX(primary_jama_2018_0156_disposition,MATCH($A5,primary_jama_2018_0156_key,0)),$D5)&lt;&gt;"",IF($D5="",INDEX(primary_jama_2018_0156_disposition,MATCH($A5,primary_jama_2018_0156_key,0)),$D5)&lt;&gt;"retain"),NOT(OR(IF($E5="",INDEX(primary_jama_2018_0156_domain,MATCH($A5,primary_jama_2018_0156_key,0)),$E5)="protocol_report")))</formula>
    </cfRule>
  </conditionalFormatting>
  <conditionalFormatting sqref="L6">
    <cfRule type="expression" priority="73" dxfId="0" stopIfTrue="1">
      <formula>AND(OR(AND(IF($D6="",INDEX(primary_jama_2018_0156_disposition,MATCH($A6,primary_jama_2018_0156_key,0)),$D6)&lt;&gt;"",IF($D6="",INDEX(primary_jama_2018_0156_disposition,MATCH($A6,primary_jama_2018_0156_key,0)),$D6)&lt;&gt;"retain"),NOT(OR(IF($E6="",INDEX(primary_jama_2018_0156_domain,MATCH($A6,primary_jama_2018_0156_key,0)),$E6)="protocol_report"))),L6&lt;&gt;"",L6&lt;&gt;"not_applicable")</formula>
    </cfRule>
    <cfRule type="expression" priority="74" dxfId="1">
      <formula>OR(AND(IF($D6="",INDEX(primary_jama_2018_0156_disposition,MATCH($A6,primary_jama_2018_0156_key,0)),$D6)&lt;&gt;"",IF($D6="",INDEX(primary_jama_2018_0156_disposition,MATCH($A6,primary_jama_2018_0156_key,0)),$D6)&lt;&gt;"retain"),NOT(OR(IF($E6="",INDEX(primary_jama_2018_0156_domain,MATCH($A6,primary_jama_2018_0156_key,0)),$E6)="protocol_report")))</formula>
    </cfRule>
  </conditionalFormatting>
  <conditionalFormatting sqref="L7">
    <cfRule type="expression" priority="75" dxfId="0" stopIfTrue="1">
      <formula>AND(OR(AND(IF($D7="",INDEX(primary_jama_2018_0156_disposition,MATCH($A7,primary_jama_2018_0156_key,0)),$D7)&lt;&gt;"",IF($D7="",INDEX(primary_jama_2018_0156_disposition,MATCH($A7,primary_jama_2018_0156_key,0)),$D7)&lt;&gt;"retain"),NOT(OR(IF($E7="",INDEX(primary_jama_2018_0156_domain,MATCH($A7,primary_jama_2018_0156_key,0)),$E7)="protocol_report"))),L7&lt;&gt;"",L7&lt;&gt;"not_applicable")</formula>
    </cfRule>
    <cfRule type="expression" priority="76" dxfId="1">
      <formula>OR(AND(IF($D7="",INDEX(primary_jama_2018_0156_disposition,MATCH($A7,primary_jama_2018_0156_key,0)),$D7)&lt;&gt;"",IF($D7="",INDEX(primary_jama_2018_0156_disposition,MATCH($A7,primary_jama_2018_0156_key,0)),$D7)&lt;&gt;"retain"),NOT(OR(IF($E7="",INDEX(primary_jama_2018_0156_domain,MATCH($A7,primary_jama_2018_0156_key,0)),$E7)="protocol_report")))</formula>
    </cfRule>
  </conditionalFormatting>
  <conditionalFormatting sqref="L8">
    <cfRule type="expression" priority="77" dxfId="0" stopIfTrue="1">
      <formula>AND(OR(AND(IF($D8="",INDEX(primary_jama_2018_0156_disposition,MATCH($A8,primary_jama_2018_0156_key,0)),$D8)&lt;&gt;"",IF($D8="",INDEX(primary_jama_2018_0156_disposition,MATCH($A8,primary_jama_2018_0156_key,0)),$D8)&lt;&gt;"retain"),NOT(OR(IF($E8="",INDEX(primary_jama_2018_0156_domain,MATCH($A8,primary_jama_2018_0156_key,0)),$E8)="protocol_report"))),L8&lt;&gt;"",L8&lt;&gt;"not_applicable")</formula>
    </cfRule>
    <cfRule type="expression" priority="78" dxfId="1">
      <formula>OR(AND(IF($D8="",INDEX(primary_jama_2018_0156_disposition,MATCH($A8,primary_jama_2018_0156_key,0)),$D8)&lt;&gt;"",IF($D8="",INDEX(primary_jama_2018_0156_disposition,MATCH($A8,primary_jama_2018_0156_key,0)),$D8)&lt;&gt;"retain"),NOT(OR(IF($E8="",INDEX(primary_jama_2018_0156_domain,MATCH($A8,primary_jama_2018_0156_key,0)),$E8)="protocol_report")))</formula>
    </cfRule>
  </conditionalFormatting>
  <conditionalFormatting sqref="L9">
    <cfRule type="expression" priority="79" dxfId="0" stopIfTrue="1">
      <formula>AND(OR(AND(IF($D9="",INDEX(primary_jama_2018_0156_disposition,MATCH($A9,primary_jama_2018_0156_key,0)),$D9)&lt;&gt;"",IF($D9="",INDEX(primary_jama_2018_0156_disposition,MATCH($A9,primary_jama_2018_0156_key,0)),$D9)&lt;&gt;"retain"),NOT(OR(IF($E9="",INDEX(primary_jama_2018_0156_domain,MATCH($A9,primary_jama_2018_0156_key,0)),$E9)="protocol_report"))),L9&lt;&gt;"",L9&lt;&gt;"not_applicable")</formula>
    </cfRule>
    <cfRule type="expression" priority="80" dxfId="1">
      <formula>OR(AND(IF($D9="",INDEX(primary_jama_2018_0156_disposition,MATCH($A9,primary_jama_2018_0156_key,0)),$D9)&lt;&gt;"",IF($D9="",INDEX(primary_jama_2018_0156_disposition,MATCH($A9,primary_jama_2018_0156_key,0)),$D9)&lt;&gt;"retain"),NOT(OR(IF($E9="",INDEX(primary_jama_2018_0156_domain,MATCH($A9,primary_jama_2018_0156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9" showDropDown="0" showInputMessage="1" showErrorMessage="1" allowBlank="1" errorTitle="Invalid option" error="Choose a listed value." promptTitle="Checker result" prompt="See Codebook for meanings." type="list" errorStyle="stop">
      <formula1>opt_checkStatus</formula1>
    </dataValidation>
    <dataValidation sqref="Q2:Q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2018::jama.2018.0948::C001</t>
        </is>
      </c>
      <c r="B2" s="2" t="inlineStr">
        <is>
          <t>Inclusive versus exclusive fluid threshold in the SCD definition</t>
        </is>
      </c>
      <c r="C2" s="2" t="inlineStr">
        <is>
          <t>main article — PDF p. 4; Supplement 1 Table 5 — PDF p. 24; Supplement 3 eTable 1 — PDF p. 6.</t>
        </is>
      </c>
      <c r="D2" s="8" t="inlineStr"/>
      <c r="E2" s="8" t="inlineStr"/>
      <c r="F2" s="8" t="inlineStr">
        <is>
          <t>no</t>
        </is>
      </c>
      <c r="G2" s="2">
        <f>IF(OR(AND(OR(AND(IF($D2="",INDEX(primary_jama_2018_0948_disposition,MATCH($A2,primary_jama_2018_0948_key,0)),$D2)&lt;&gt;"",IF($D2="",INDEX(primary_jama_2018_0948_disposition,MATCH($A2,primary_jama_2018_0948_key,0)),$D2)&lt;&gt;"retain"),NOT(OR(IF($E2="",INDEX(primary_jama_2018_0948_domain,MATCH($A2,primary_jama_2018_0948_key,0)),$E2)="statistical_results"))),H2&lt;&gt;"",H2&lt;&gt;"not_applicable"),AND(OR(AND(IF($D2="",INDEX(primary_jama_2018_0948_disposition,MATCH($A2,primary_jama_2018_0948_key,0)),$D2)&lt;&gt;"",IF($D2="",INDEX(primary_jama_2018_0948_disposition,MATCH($A2,primary_jama_2018_0948_key,0)),$D2)&lt;&gt;"retain"),NOT(OR(IF($E2="",INDEX(primary_jama_2018_0948_domain,MATCH($A2,primary_jama_2018_0948_key,0)),$E2)="statistical_results"))),I2&lt;&gt;"",I2&lt;&gt;"not_applicable"),AND(OR(AND(IF($D2="",INDEX(primary_jama_2018_0948_disposition,MATCH($A2,primary_jama_2018_0948_key,0)),$D2)&lt;&gt;"",IF($D2="",INDEX(primary_jama_2018_0948_disposition,MATCH($A2,primary_jama_2018_0948_key,0)),$D2)&lt;&gt;"retain"),NOT(OR(IF($E2="",INDEX(primary_jama_2018_0948_domain,MATCH($A2,primary_jama_2018_0948_key,0)),$E2)="statistical_results"))),J2&lt;&gt;"",J2&lt;&gt;"not_applicable"),AND(OR(AND(IF($D2="",INDEX(primary_jama_2018_0948_disposition,MATCH($A2,primary_jama_2018_0948_key,0)),$D2)&lt;&gt;"",IF($D2="",INDEX(primary_jama_2018_0948_disposition,MATCH($A2,primary_jama_2018_0948_key,0)),$D2)&lt;&gt;"retain"),NOT(OR(IF($E2="",INDEX(primary_jama_2018_0948_domain,MATCH($A2,primary_jama_2018_0948_key,0)),$E2)="internal_nonstatistical",IF($E2="",INDEX(primary_jama_2018_0948_domain,MATCH($A2,primary_jama_2018_0948_key,0)),$E2)="plan_material"))),K2&lt;&gt;"",K2&lt;&gt;"not_applicable"),AND(OR(AND(IF($D2="",INDEX(primary_jama_2018_0948_disposition,MATCH($A2,primary_jama_2018_0948_key,0)),$D2)&lt;&gt;"",IF($D2="",INDEX(primary_jama_2018_0948_disposition,MATCH($A2,primary_jama_2018_0948_key,0)),$D2)&lt;&gt;"retain"),NOT(OR(IF($E2="",INDEX(primary_jama_2018_0948_domain,MATCH($A2,primary_jama_2018_0948_key,0)),$E2)="protocol_report"))),L2&lt;&gt;"",L2&lt;&gt;"not_applicable")),"CLEAR INACTIVE VALUES",IF(O2="","PENDING",IF(AND(O2&lt;&gt;"agree",LEN(TRIM(P2))=0),"COMMENT NEEDED",IF(F2="yes","CHECKED - see resolution","DRAFT"))))</f>
        <v/>
      </c>
      <c r="H2" s="8">
        <f>IF(OR(AND(IF($D2="",INDEX(primary_jama_2018_0948_disposition,MATCH($A2,primary_jama_2018_0948_key,0)),$D2)&lt;&gt;"",IF($D2="",INDEX(primary_jama_2018_0948_disposition,MATCH($A2,primary_jama_2018_0948_key,0)),$D2)&lt;&gt;"retain"),NOT(OR(IF($E2="",INDEX(primary_jama_2018_0948_domain,MATCH($A2,primary_jama_2018_0948_key,0)),$E2)="statistical_results"))),"not_applicable","")</f>
        <v/>
      </c>
      <c r="I2" s="8">
        <f>IF(OR(AND(IF($D2="",INDEX(primary_jama_2018_0948_disposition,MATCH($A2,primary_jama_2018_0948_key,0)),$D2)&lt;&gt;"",IF($D2="",INDEX(primary_jama_2018_0948_disposition,MATCH($A2,primary_jama_2018_0948_key,0)),$D2)&lt;&gt;"retain"),NOT(OR(IF($E2="",INDEX(primary_jama_2018_0948_domain,MATCH($A2,primary_jama_2018_0948_key,0)),$E2)="statistical_results"))),"not_applicable","")</f>
        <v/>
      </c>
      <c r="J2" s="9">
        <f>IF(OR(AND(IF($D2="",INDEX(primary_jama_2018_0948_disposition,MATCH($A2,primary_jama_2018_0948_key,0)),$D2)&lt;&gt;"",IF($D2="",INDEX(primary_jama_2018_0948_disposition,MATCH($A2,primary_jama_2018_0948_key,0)),$D2)&lt;&gt;"retain"),NOT(OR(IF($E2="",INDEX(primary_jama_2018_0948_domain,MATCH($A2,primary_jama_2018_0948_key,0)),$E2)="statistical_results"))),"not_applicable","")</f>
        <v/>
      </c>
      <c r="K2" s="8">
        <f>IF(OR(AND(IF($D2="",INDEX(primary_jama_2018_0948_disposition,MATCH($A2,primary_jama_2018_0948_key,0)),$D2)&lt;&gt;"",IF($D2="",INDEX(primary_jama_2018_0948_disposition,MATCH($A2,primary_jama_2018_0948_key,0)),$D2)&lt;&gt;"retain"),NOT(OR(IF($E2="",INDEX(primary_jama_2018_0948_domain,MATCH($A2,primary_jama_2018_0948_key,0)),$E2)="internal_nonstatistical",IF($E2="",INDEX(primary_jama_2018_0948_domain,MATCH($A2,primary_jama_2018_0948_key,0)),$E2)="plan_material"))),"not_applicable","")</f>
        <v/>
      </c>
      <c r="L2" s="9">
        <f>IF(OR(AND(IF($D2="",INDEX(primary_jama_2018_0948_disposition,MATCH($A2,primary_jama_2018_0948_key,0)),$D2)&lt;&gt;"",IF($D2="",INDEX(primary_jama_2018_0948_disposition,MATCH($A2,primary_jama_2018_0948_key,0)),$D2)&lt;&gt;"retain"),NOT(OR(IF($E2="",INDEX(primary_jama_2018_0948_domain,MATCH($A2,primary_jama_2018_0948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2018::jama.2018.0948::C002</t>
        </is>
      </c>
      <c r="B3" s="3" t="inlineStr">
        <is>
          <t>Mortality absolute-risk-reduction percent/unit conflict</t>
        </is>
      </c>
      <c r="C3" s="3" t="inlineStr">
        <is>
          <t>Supplement 1 — PDF p. 1, p. 14, p. 29; main article — PDF p. 4.</t>
        </is>
      </c>
      <c r="D3" s="8" t="inlineStr"/>
      <c r="E3" s="8" t="inlineStr"/>
      <c r="F3" s="8" t="inlineStr">
        <is>
          <t>no</t>
        </is>
      </c>
      <c r="G3" s="3">
        <f>IF(OR(AND(OR(AND(IF($D3="",INDEX(primary_jama_2018_0948_disposition,MATCH($A3,primary_jama_2018_0948_key,0)),$D3)&lt;&gt;"",IF($D3="",INDEX(primary_jama_2018_0948_disposition,MATCH($A3,primary_jama_2018_0948_key,0)),$D3)&lt;&gt;"retain"),NOT(OR(IF($E3="",INDEX(primary_jama_2018_0948_domain,MATCH($A3,primary_jama_2018_0948_key,0)),$E3)="statistical_results"))),H3&lt;&gt;"",H3&lt;&gt;"not_applicable"),AND(OR(AND(IF($D3="",INDEX(primary_jama_2018_0948_disposition,MATCH($A3,primary_jama_2018_0948_key,0)),$D3)&lt;&gt;"",IF($D3="",INDEX(primary_jama_2018_0948_disposition,MATCH($A3,primary_jama_2018_0948_key,0)),$D3)&lt;&gt;"retain"),NOT(OR(IF($E3="",INDEX(primary_jama_2018_0948_domain,MATCH($A3,primary_jama_2018_0948_key,0)),$E3)="statistical_results"))),I3&lt;&gt;"",I3&lt;&gt;"not_applicable"),AND(OR(AND(IF($D3="",INDEX(primary_jama_2018_0948_disposition,MATCH($A3,primary_jama_2018_0948_key,0)),$D3)&lt;&gt;"",IF($D3="",INDEX(primary_jama_2018_0948_disposition,MATCH($A3,primary_jama_2018_0948_key,0)),$D3)&lt;&gt;"retain"),NOT(OR(IF($E3="",INDEX(primary_jama_2018_0948_domain,MATCH($A3,primary_jama_2018_0948_key,0)),$E3)="statistical_results"))),J3&lt;&gt;"",J3&lt;&gt;"not_applicable"),AND(OR(AND(IF($D3="",INDEX(primary_jama_2018_0948_disposition,MATCH($A3,primary_jama_2018_0948_key,0)),$D3)&lt;&gt;"",IF($D3="",INDEX(primary_jama_2018_0948_disposition,MATCH($A3,primary_jama_2018_0948_key,0)),$D3)&lt;&gt;"retain"),NOT(OR(IF($E3="",INDEX(primary_jama_2018_0948_domain,MATCH($A3,primary_jama_2018_0948_key,0)),$E3)="internal_nonstatistical",IF($E3="",INDEX(primary_jama_2018_0948_domain,MATCH($A3,primary_jama_2018_0948_key,0)),$E3)="plan_material"))),K3&lt;&gt;"",K3&lt;&gt;"not_applicable"),AND(OR(AND(IF($D3="",INDEX(primary_jama_2018_0948_disposition,MATCH($A3,primary_jama_2018_0948_key,0)),$D3)&lt;&gt;"",IF($D3="",INDEX(primary_jama_2018_0948_disposition,MATCH($A3,primary_jama_2018_0948_key,0)),$D3)&lt;&gt;"retain"),NOT(OR(IF($E3="",INDEX(primary_jama_2018_0948_domain,MATCH($A3,primary_jama_2018_0948_key,0)),$E3)="protocol_report"))),L3&lt;&gt;"",L3&lt;&gt;"not_applicable")),"CLEAR INACTIVE VALUES",IF(O3="","PENDING",IF(AND(O3&lt;&gt;"agree",LEN(TRIM(P3))=0),"COMMENT NEEDED",IF(F3="yes","CHECKED - see resolution","DRAFT"))))</f>
        <v/>
      </c>
      <c r="H3" s="8">
        <f>IF(OR(AND(IF($D3="",INDEX(primary_jama_2018_0948_disposition,MATCH($A3,primary_jama_2018_0948_key,0)),$D3)&lt;&gt;"",IF($D3="",INDEX(primary_jama_2018_0948_disposition,MATCH($A3,primary_jama_2018_0948_key,0)),$D3)&lt;&gt;"retain"),NOT(OR(IF($E3="",INDEX(primary_jama_2018_0948_domain,MATCH($A3,primary_jama_2018_0948_key,0)),$E3)="statistical_results"))),"not_applicable","")</f>
        <v/>
      </c>
      <c r="I3" s="8">
        <f>IF(OR(AND(IF($D3="",INDEX(primary_jama_2018_0948_disposition,MATCH($A3,primary_jama_2018_0948_key,0)),$D3)&lt;&gt;"",IF($D3="",INDEX(primary_jama_2018_0948_disposition,MATCH($A3,primary_jama_2018_0948_key,0)),$D3)&lt;&gt;"retain"),NOT(OR(IF($E3="",INDEX(primary_jama_2018_0948_domain,MATCH($A3,primary_jama_2018_0948_key,0)),$E3)="statistical_results"))),"not_applicable","")</f>
        <v/>
      </c>
      <c r="J3" s="9">
        <f>IF(OR(AND(IF($D3="",INDEX(primary_jama_2018_0948_disposition,MATCH($A3,primary_jama_2018_0948_key,0)),$D3)&lt;&gt;"",IF($D3="",INDEX(primary_jama_2018_0948_disposition,MATCH($A3,primary_jama_2018_0948_key,0)),$D3)&lt;&gt;"retain"),NOT(OR(IF($E3="",INDEX(primary_jama_2018_0948_domain,MATCH($A3,primary_jama_2018_0948_key,0)),$E3)="statistical_results"))),"not_applicable","")</f>
        <v/>
      </c>
      <c r="K3" s="8">
        <f>IF(OR(AND(IF($D3="",INDEX(primary_jama_2018_0948_disposition,MATCH($A3,primary_jama_2018_0948_key,0)),$D3)&lt;&gt;"",IF($D3="",INDEX(primary_jama_2018_0948_disposition,MATCH($A3,primary_jama_2018_0948_key,0)),$D3)&lt;&gt;"retain"),NOT(OR(IF($E3="",INDEX(primary_jama_2018_0948_domain,MATCH($A3,primary_jama_2018_0948_key,0)),$E3)="internal_nonstatistical",IF($E3="",INDEX(primary_jama_2018_0948_domain,MATCH($A3,primary_jama_2018_0948_key,0)),$E3)="plan_material"))),"not_applicable","")</f>
        <v/>
      </c>
      <c r="L3" s="9">
        <f>IF(OR(AND(IF($D3="",INDEX(primary_jama_2018_0948_disposition,MATCH($A3,primary_jama_2018_0948_key,0)),$D3)&lt;&gt;"",IF($D3="",INDEX(primary_jama_2018_0948_disposition,MATCH($A3,primary_jama_2018_0948_key,0)),$D3)&lt;&gt;"retain"),NOT(OR(IF($E3="",INDEX(primary_jama_2018_0948_domain,MATCH($A3,primary_jama_2018_0948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2018::jama.2018.0948::C003</t>
        </is>
      </c>
      <c r="B4" s="2" t="inlineStr">
        <is>
          <t>Cardiac-arrest events assigned incompatible resuscitation-scale categories</t>
        </is>
      </c>
      <c r="C4" s="2" t="inlineStr">
        <is>
          <t>Supplement 1 — PDF p. 11, Table 5 — PDF p. 24, Table 6 legend — PDF p. 27.</t>
        </is>
      </c>
      <c r="D4" s="8" t="inlineStr"/>
      <c r="E4" s="8" t="inlineStr"/>
      <c r="F4" s="8" t="inlineStr">
        <is>
          <t>no</t>
        </is>
      </c>
      <c r="G4" s="2">
        <f>IF(OR(AND(OR(AND(IF($D4="",INDEX(primary_jama_2018_0948_disposition,MATCH($A4,primary_jama_2018_0948_key,0)),$D4)&lt;&gt;"",IF($D4="",INDEX(primary_jama_2018_0948_disposition,MATCH($A4,primary_jama_2018_0948_key,0)),$D4)&lt;&gt;"retain"),NOT(OR(IF($E4="",INDEX(primary_jama_2018_0948_domain,MATCH($A4,primary_jama_2018_0948_key,0)),$E4)="statistical_results"))),H4&lt;&gt;"",H4&lt;&gt;"not_applicable"),AND(OR(AND(IF($D4="",INDEX(primary_jama_2018_0948_disposition,MATCH($A4,primary_jama_2018_0948_key,0)),$D4)&lt;&gt;"",IF($D4="",INDEX(primary_jama_2018_0948_disposition,MATCH($A4,primary_jama_2018_0948_key,0)),$D4)&lt;&gt;"retain"),NOT(OR(IF($E4="",INDEX(primary_jama_2018_0948_domain,MATCH($A4,primary_jama_2018_0948_key,0)),$E4)="statistical_results"))),I4&lt;&gt;"",I4&lt;&gt;"not_applicable"),AND(OR(AND(IF($D4="",INDEX(primary_jama_2018_0948_disposition,MATCH($A4,primary_jama_2018_0948_key,0)),$D4)&lt;&gt;"",IF($D4="",INDEX(primary_jama_2018_0948_disposition,MATCH($A4,primary_jama_2018_0948_key,0)),$D4)&lt;&gt;"retain"),NOT(OR(IF($E4="",INDEX(primary_jama_2018_0948_domain,MATCH($A4,primary_jama_2018_0948_key,0)),$E4)="statistical_results"))),J4&lt;&gt;"",J4&lt;&gt;"not_applicable"),AND(OR(AND(IF($D4="",INDEX(primary_jama_2018_0948_disposition,MATCH($A4,primary_jama_2018_0948_key,0)),$D4)&lt;&gt;"",IF($D4="",INDEX(primary_jama_2018_0948_disposition,MATCH($A4,primary_jama_2018_0948_key,0)),$D4)&lt;&gt;"retain"),NOT(OR(IF($E4="",INDEX(primary_jama_2018_0948_domain,MATCH($A4,primary_jama_2018_0948_key,0)),$E4)="internal_nonstatistical",IF($E4="",INDEX(primary_jama_2018_0948_domain,MATCH($A4,primary_jama_2018_0948_key,0)),$E4)="plan_material"))),K4&lt;&gt;"",K4&lt;&gt;"not_applicable"),AND(OR(AND(IF($D4="",INDEX(primary_jama_2018_0948_disposition,MATCH($A4,primary_jama_2018_0948_key,0)),$D4)&lt;&gt;"",IF($D4="",INDEX(primary_jama_2018_0948_disposition,MATCH($A4,primary_jama_2018_0948_key,0)),$D4)&lt;&gt;"retain"),NOT(OR(IF($E4="",INDEX(primary_jama_2018_0948_domain,MATCH($A4,primary_jama_2018_0948_key,0)),$E4)="protocol_report"))),L4&lt;&gt;"",L4&lt;&gt;"not_applicable")),"CLEAR INACTIVE VALUES",IF(O4="","PENDING",IF(AND(O4&lt;&gt;"agree",LEN(TRIM(P4))=0),"COMMENT NEEDED",IF(F4="yes","CHECKED - see resolution","DRAFT"))))</f>
        <v/>
      </c>
      <c r="H4" s="8">
        <f>IF(OR(AND(IF($D4="",INDEX(primary_jama_2018_0948_disposition,MATCH($A4,primary_jama_2018_0948_key,0)),$D4)&lt;&gt;"",IF($D4="",INDEX(primary_jama_2018_0948_disposition,MATCH($A4,primary_jama_2018_0948_key,0)),$D4)&lt;&gt;"retain"),NOT(OR(IF($E4="",INDEX(primary_jama_2018_0948_domain,MATCH($A4,primary_jama_2018_0948_key,0)),$E4)="statistical_results"))),"not_applicable","")</f>
        <v/>
      </c>
      <c r="I4" s="8">
        <f>IF(OR(AND(IF($D4="",INDEX(primary_jama_2018_0948_disposition,MATCH($A4,primary_jama_2018_0948_key,0)),$D4)&lt;&gt;"",IF($D4="",INDEX(primary_jama_2018_0948_disposition,MATCH($A4,primary_jama_2018_0948_key,0)),$D4)&lt;&gt;"retain"),NOT(OR(IF($E4="",INDEX(primary_jama_2018_0948_domain,MATCH($A4,primary_jama_2018_0948_key,0)),$E4)="statistical_results"))),"not_applicable","")</f>
        <v/>
      </c>
      <c r="J4" s="9">
        <f>IF(OR(AND(IF($D4="",INDEX(primary_jama_2018_0948_disposition,MATCH($A4,primary_jama_2018_0948_key,0)),$D4)&lt;&gt;"",IF($D4="",INDEX(primary_jama_2018_0948_disposition,MATCH($A4,primary_jama_2018_0948_key,0)),$D4)&lt;&gt;"retain"),NOT(OR(IF($E4="",INDEX(primary_jama_2018_0948_domain,MATCH($A4,primary_jama_2018_0948_key,0)),$E4)="statistical_results"))),"not_applicable","")</f>
        <v/>
      </c>
      <c r="K4" s="8">
        <f>IF(OR(AND(IF($D4="",INDEX(primary_jama_2018_0948_disposition,MATCH($A4,primary_jama_2018_0948_key,0)),$D4)&lt;&gt;"",IF($D4="",INDEX(primary_jama_2018_0948_disposition,MATCH($A4,primary_jama_2018_0948_key,0)),$D4)&lt;&gt;"retain"),NOT(OR(IF($E4="",INDEX(primary_jama_2018_0948_domain,MATCH($A4,primary_jama_2018_0948_key,0)),$E4)="internal_nonstatistical",IF($E4="",INDEX(primary_jama_2018_0948_domain,MATCH($A4,primary_jama_2018_0948_key,0)),$E4)="plan_material"))),"not_applicable","")</f>
        <v/>
      </c>
      <c r="L4" s="9">
        <f>IF(OR(AND(IF($D4="",INDEX(primary_jama_2018_0948_disposition,MATCH($A4,primary_jama_2018_0948_key,0)),$D4)&lt;&gt;"",IF($D4="",INDEX(primary_jama_2018_0948_disposition,MATCH($A4,primary_jama_2018_0948_key,0)),$D4)&lt;&gt;"retain"),NOT(OR(IF($E4="",INDEX(primary_jama_2018_0948_domain,MATCH($A4,primary_jama_2018_0948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2018::jama.2018.0948::C004</t>
        </is>
      </c>
      <c r="B5" s="3" t="inlineStr">
        <is>
          <t>Preventability threshold excludes and includes rating 4</t>
        </is>
      </c>
      <c r="C5" s="3" t="inlineStr">
        <is>
          <t>Supplement 1 — PDF p. 11, Table 7 — PDF p. 28; Supplement 3 eTable 1 — PDF p. 6; main article — PDF p. 7.</t>
        </is>
      </c>
      <c r="D5" s="8" t="inlineStr"/>
      <c r="E5" s="8" t="inlineStr"/>
      <c r="F5" s="8" t="inlineStr">
        <is>
          <t>no</t>
        </is>
      </c>
      <c r="G5" s="3">
        <f>IF(OR(AND(OR(AND(IF($D5="",INDEX(primary_jama_2018_0948_disposition,MATCH($A5,primary_jama_2018_0948_key,0)),$D5)&lt;&gt;"",IF($D5="",INDEX(primary_jama_2018_0948_disposition,MATCH($A5,primary_jama_2018_0948_key,0)),$D5)&lt;&gt;"retain"),NOT(OR(IF($E5="",INDEX(primary_jama_2018_0948_domain,MATCH($A5,primary_jama_2018_0948_key,0)),$E5)="statistical_results"))),H5&lt;&gt;"",H5&lt;&gt;"not_applicable"),AND(OR(AND(IF($D5="",INDEX(primary_jama_2018_0948_disposition,MATCH($A5,primary_jama_2018_0948_key,0)),$D5)&lt;&gt;"",IF($D5="",INDEX(primary_jama_2018_0948_disposition,MATCH($A5,primary_jama_2018_0948_key,0)),$D5)&lt;&gt;"retain"),NOT(OR(IF($E5="",INDEX(primary_jama_2018_0948_domain,MATCH($A5,primary_jama_2018_0948_key,0)),$E5)="statistical_results"))),I5&lt;&gt;"",I5&lt;&gt;"not_applicable"),AND(OR(AND(IF($D5="",INDEX(primary_jama_2018_0948_disposition,MATCH($A5,primary_jama_2018_0948_key,0)),$D5)&lt;&gt;"",IF($D5="",INDEX(primary_jama_2018_0948_disposition,MATCH($A5,primary_jama_2018_0948_key,0)),$D5)&lt;&gt;"retain"),NOT(OR(IF($E5="",INDEX(primary_jama_2018_0948_domain,MATCH($A5,primary_jama_2018_0948_key,0)),$E5)="statistical_results"))),J5&lt;&gt;"",J5&lt;&gt;"not_applicable"),AND(OR(AND(IF($D5="",INDEX(primary_jama_2018_0948_disposition,MATCH($A5,primary_jama_2018_0948_key,0)),$D5)&lt;&gt;"",IF($D5="",INDEX(primary_jama_2018_0948_disposition,MATCH($A5,primary_jama_2018_0948_key,0)),$D5)&lt;&gt;"retain"),NOT(OR(IF($E5="",INDEX(primary_jama_2018_0948_domain,MATCH($A5,primary_jama_2018_0948_key,0)),$E5)="internal_nonstatistical",IF($E5="",INDEX(primary_jama_2018_0948_domain,MATCH($A5,primary_jama_2018_0948_key,0)),$E5)="plan_material"))),K5&lt;&gt;"",K5&lt;&gt;"not_applicable"),AND(OR(AND(IF($D5="",INDEX(primary_jama_2018_0948_disposition,MATCH($A5,primary_jama_2018_0948_key,0)),$D5)&lt;&gt;"",IF($D5="",INDEX(primary_jama_2018_0948_disposition,MATCH($A5,primary_jama_2018_0948_key,0)),$D5)&lt;&gt;"retain"),NOT(OR(IF($E5="",INDEX(primary_jama_2018_0948_domain,MATCH($A5,primary_jama_2018_0948_key,0)),$E5)="protocol_report"))),L5&lt;&gt;"",L5&lt;&gt;"not_applicable")),"CLEAR INACTIVE VALUES",IF(O5="","PENDING",IF(AND(O5&lt;&gt;"agree",LEN(TRIM(P5))=0),"COMMENT NEEDED",IF(F5="yes","CHECKED - see resolution","DRAFT"))))</f>
        <v/>
      </c>
      <c r="H5" s="8">
        <f>IF(OR(AND(IF($D5="",INDEX(primary_jama_2018_0948_disposition,MATCH($A5,primary_jama_2018_0948_key,0)),$D5)&lt;&gt;"",IF($D5="",INDEX(primary_jama_2018_0948_disposition,MATCH($A5,primary_jama_2018_0948_key,0)),$D5)&lt;&gt;"retain"),NOT(OR(IF($E5="",INDEX(primary_jama_2018_0948_domain,MATCH($A5,primary_jama_2018_0948_key,0)),$E5)="statistical_results"))),"not_applicable","")</f>
        <v/>
      </c>
      <c r="I5" s="8">
        <f>IF(OR(AND(IF($D5="",INDEX(primary_jama_2018_0948_disposition,MATCH($A5,primary_jama_2018_0948_key,0)),$D5)&lt;&gt;"",IF($D5="",INDEX(primary_jama_2018_0948_disposition,MATCH($A5,primary_jama_2018_0948_key,0)),$D5)&lt;&gt;"retain"),NOT(OR(IF($E5="",INDEX(primary_jama_2018_0948_domain,MATCH($A5,primary_jama_2018_0948_key,0)),$E5)="statistical_results"))),"not_applicable","")</f>
        <v/>
      </c>
      <c r="J5" s="9">
        <f>IF(OR(AND(IF($D5="",INDEX(primary_jama_2018_0948_disposition,MATCH($A5,primary_jama_2018_0948_key,0)),$D5)&lt;&gt;"",IF($D5="",INDEX(primary_jama_2018_0948_disposition,MATCH($A5,primary_jama_2018_0948_key,0)),$D5)&lt;&gt;"retain"),NOT(OR(IF($E5="",INDEX(primary_jama_2018_0948_domain,MATCH($A5,primary_jama_2018_0948_key,0)),$E5)="statistical_results"))),"not_applicable","")</f>
        <v/>
      </c>
      <c r="K5" s="8">
        <f>IF(OR(AND(IF($D5="",INDEX(primary_jama_2018_0948_disposition,MATCH($A5,primary_jama_2018_0948_key,0)),$D5)&lt;&gt;"",IF($D5="",INDEX(primary_jama_2018_0948_disposition,MATCH($A5,primary_jama_2018_0948_key,0)),$D5)&lt;&gt;"retain"),NOT(OR(IF($E5="",INDEX(primary_jama_2018_0948_domain,MATCH($A5,primary_jama_2018_0948_key,0)),$E5)="internal_nonstatistical",IF($E5="",INDEX(primary_jama_2018_0948_domain,MATCH($A5,primary_jama_2018_0948_key,0)),$E5)="plan_material"))),"not_applicable","")</f>
        <v/>
      </c>
      <c r="L5" s="9">
        <f>IF(OR(AND(IF($D5="",INDEX(primary_jama_2018_0948_disposition,MATCH($A5,primary_jama_2018_0948_key,0)),$D5)&lt;&gt;"",IF($D5="",INDEX(primary_jama_2018_0948_disposition,MATCH($A5,primary_jama_2018_0948_key,0)),$D5)&lt;&gt;"retain"),NOT(OR(IF($E5="",INDEX(primary_jama_2018_0948_domain,MATCH($A5,primary_jama_2018_0948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2018::jama.2018.0948::C005</t>
        </is>
      </c>
      <c r="B6" s="2" t="inlineStr">
        <is>
          <t>The same SCDE reference count is labelled annual and two-year</t>
        </is>
      </c>
      <c r="C6" s="2" t="inlineStr">
        <is>
          <t>Supplement 1 — PDF p. 14 and PDF p. 30.</t>
        </is>
      </c>
      <c r="D6" s="8" t="inlineStr"/>
      <c r="E6" s="8" t="inlineStr"/>
      <c r="F6" s="8" t="inlineStr">
        <is>
          <t>no</t>
        </is>
      </c>
      <c r="G6" s="2">
        <f>IF(OR(AND(OR(AND(IF($D6="",INDEX(primary_jama_2018_0948_disposition,MATCH($A6,primary_jama_2018_0948_key,0)),$D6)&lt;&gt;"",IF($D6="",INDEX(primary_jama_2018_0948_disposition,MATCH($A6,primary_jama_2018_0948_key,0)),$D6)&lt;&gt;"retain"),NOT(OR(IF($E6="",INDEX(primary_jama_2018_0948_domain,MATCH($A6,primary_jama_2018_0948_key,0)),$E6)="statistical_results"))),H6&lt;&gt;"",H6&lt;&gt;"not_applicable"),AND(OR(AND(IF($D6="",INDEX(primary_jama_2018_0948_disposition,MATCH($A6,primary_jama_2018_0948_key,0)),$D6)&lt;&gt;"",IF($D6="",INDEX(primary_jama_2018_0948_disposition,MATCH($A6,primary_jama_2018_0948_key,0)),$D6)&lt;&gt;"retain"),NOT(OR(IF($E6="",INDEX(primary_jama_2018_0948_domain,MATCH($A6,primary_jama_2018_0948_key,0)),$E6)="statistical_results"))),I6&lt;&gt;"",I6&lt;&gt;"not_applicable"),AND(OR(AND(IF($D6="",INDEX(primary_jama_2018_0948_disposition,MATCH($A6,primary_jama_2018_0948_key,0)),$D6)&lt;&gt;"",IF($D6="",INDEX(primary_jama_2018_0948_disposition,MATCH($A6,primary_jama_2018_0948_key,0)),$D6)&lt;&gt;"retain"),NOT(OR(IF($E6="",INDEX(primary_jama_2018_0948_domain,MATCH($A6,primary_jama_2018_0948_key,0)),$E6)="statistical_results"))),J6&lt;&gt;"",J6&lt;&gt;"not_applicable"),AND(OR(AND(IF($D6="",INDEX(primary_jama_2018_0948_disposition,MATCH($A6,primary_jama_2018_0948_key,0)),$D6)&lt;&gt;"",IF($D6="",INDEX(primary_jama_2018_0948_disposition,MATCH($A6,primary_jama_2018_0948_key,0)),$D6)&lt;&gt;"retain"),NOT(OR(IF($E6="",INDEX(primary_jama_2018_0948_domain,MATCH($A6,primary_jama_2018_0948_key,0)),$E6)="internal_nonstatistical",IF($E6="",INDEX(primary_jama_2018_0948_domain,MATCH($A6,primary_jama_2018_0948_key,0)),$E6)="plan_material"))),K6&lt;&gt;"",K6&lt;&gt;"not_applicable"),AND(OR(AND(IF($D6="",INDEX(primary_jama_2018_0948_disposition,MATCH($A6,primary_jama_2018_0948_key,0)),$D6)&lt;&gt;"",IF($D6="",INDEX(primary_jama_2018_0948_disposition,MATCH($A6,primary_jama_2018_0948_key,0)),$D6)&lt;&gt;"retain"),NOT(OR(IF($E6="",INDEX(primary_jama_2018_0948_domain,MATCH($A6,primary_jama_2018_0948_key,0)),$E6)="protocol_report"))),L6&lt;&gt;"",L6&lt;&gt;"not_applicable")),"CLEAR INACTIVE VALUES",IF(O6="","PENDING",IF(AND(O6&lt;&gt;"agree",LEN(TRIM(P6))=0),"COMMENT NEEDED",IF(F6="yes","CHECKED - see resolution","DRAFT"))))</f>
        <v/>
      </c>
      <c r="H6" s="8">
        <f>IF(OR(AND(IF($D6="",INDEX(primary_jama_2018_0948_disposition,MATCH($A6,primary_jama_2018_0948_key,0)),$D6)&lt;&gt;"",IF($D6="",INDEX(primary_jama_2018_0948_disposition,MATCH($A6,primary_jama_2018_0948_key,0)),$D6)&lt;&gt;"retain"),NOT(OR(IF($E6="",INDEX(primary_jama_2018_0948_domain,MATCH($A6,primary_jama_2018_0948_key,0)),$E6)="statistical_results"))),"not_applicable","")</f>
        <v/>
      </c>
      <c r="I6" s="8">
        <f>IF(OR(AND(IF($D6="",INDEX(primary_jama_2018_0948_disposition,MATCH($A6,primary_jama_2018_0948_key,0)),$D6)&lt;&gt;"",IF($D6="",INDEX(primary_jama_2018_0948_disposition,MATCH($A6,primary_jama_2018_0948_key,0)),$D6)&lt;&gt;"retain"),NOT(OR(IF($E6="",INDEX(primary_jama_2018_0948_domain,MATCH($A6,primary_jama_2018_0948_key,0)),$E6)="statistical_results"))),"not_applicable","")</f>
        <v/>
      </c>
      <c r="J6" s="9">
        <f>IF(OR(AND(IF($D6="",INDEX(primary_jama_2018_0948_disposition,MATCH($A6,primary_jama_2018_0948_key,0)),$D6)&lt;&gt;"",IF($D6="",INDEX(primary_jama_2018_0948_disposition,MATCH($A6,primary_jama_2018_0948_key,0)),$D6)&lt;&gt;"retain"),NOT(OR(IF($E6="",INDEX(primary_jama_2018_0948_domain,MATCH($A6,primary_jama_2018_0948_key,0)),$E6)="statistical_results"))),"not_applicable","")</f>
        <v/>
      </c>
      <c r="K6" s="8">
        <f>IF(OR(AND(IF($D6="",INDEX(primary_jama_2018_0948_disposition,MATCH($A6,primary_jama_2018_0948_key,0)),$D6)&lt;&gt;"",IF($D6="",INDEX(primary_jama_2018_0948_disposition,MATCH($A6,primary_jama_2018_0948_key,0)),$D6)&lt;&gt;"retain"),NOT(OR(IF($E6="",INDEX(primary_jama_2018_0948_domain,MATCH($A6,primary_jama_2018_0948_key,0)),$E6)="internal_nonstatistical",IF($E6="",INDEX(primary_jama_2018_0948_domain,MATCH($A6,primary_jama_2018_0948_key,0)),$E6)="plan_material"))),"not_applicable","")</f>
        <v/>
      </c>
      <c r="L6" s="9">
        <f>IF(OR(AND(IF($D6="",INDEX(primary_jama_2018_0948_disposition,MATCH($A6,primary_jama_2018_0948_key,0)),$D6)&lt;&gt;"",IF($D6="",INDEX(primary_jama_2018_0948_disposition,MATCH($A6,primary_jama_2018_0948_key,0)),$D6)&lt;&gt;"retain"),NOT(OR(IF($E6="",INDEX(primary_jama_2018_0948_domain,MATCH($A6,primary_jama_2018_0948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2018::jama.2018.0948::C006</t>
        </is>
      </c>
      <c r="B7" s="3" t="inlineStr">
        <is>
          <t>Stat-call absolute reduction does not reproduce from the printed inputs</t>
        </is>
      </c>
      <c r="C7" s="3" t="inlineStr">
        <is>
          <t>Supplement 1 — PDF p. 30.</t>
        </is>
      </c>
      <c r="D7" s="8" t="inlineStr"/>
      <c r="E7" s="8" t="inlineStr"/>
      <c r="F7" s="8" t="inlineStr">
        <is>
          <t>no</t>
        </is>
      </c>
      <c r="G7" s="3">
        <f>IF(OR(AND(OR(AND(IF($D7="",INDEX(primary_jama_2018_0948_disposition,MATCH($A7,primary_jama_2018_0948_key,0)),$D7)&lt;&gt;"",IF($D7="",INDEX(primary_jama_2018_0948_disposition,MATCH($A7,primary_jama_2018_0948_key,0)),$D7)&lt;&gt;"retain"),NOT(OR(IF($E7="",INDEX(primary_jama_2018_0948_domain,MATCH($A7,primary_jama_2018_0948_key,0)),$E7)="statistical_results"))),H7&lt;&gt;"",H7&lt;&gt;"not_applicable"),AND(OR(AND(IF($D7="",INDEX(primary_jama_2018_0948_disposition,MATCH($A7,primary_jama_2018_0948_key,0)),$D7)&lt;&gt;"",IF($D7="",INDEX(primary_jama_2018_0948_disposition,MATCH($A7,primary_jama_2018_0948_key,0)),$D7)&lt;&gt;"retain"),NOT(OR(IF($E7="",INDEX(primary_jama_2018_0948_domain,MATCH($A7,primary_jama_2018_0948_key,0)),$E7)="statistical_results"))),I7&lt;&gt;"",I7&lt;&gt;"not_applicable"),AND(OR(AND(IF($D7="",INDEX(primary_jama_2018_0948_disposition,MATCH($A7,primary_jama_2018_0948_key,0)),$D7)&lt;&gt;"",IF($D7="",INDEX(primary_jama_2018_0948_disposition,MATCH($A7,primary_jama_2018_0948_key,0)),$D7)&lt;&gt;"retain"),NOT(OR(IF($E7="",INDEX(primary_jama_2018_0948_domain,MATCH($A7,primary_jama_2018_0948_key,0)),$E7)="statistical_results"))),J7&lt;&gt;"",J7&lt;&gt;"not_applicable"),AND(OR(AND(IF($D7="",INDEX(primary_jama_2018_0948_disposition,MATCH($A7,primary_jama_2018_0948_key,0)),$D7)&lt;&gt;"",IF($D7="",INDEX(primary_jama_2018_0948_disposition,MATCH($A7,primary_jama_2018_0948_key,0)),$D7)&lt;&gt;"retain"),NOT(OR(IF($E7="",INDEX(primary_jama_2018_0948_domain,MATCH($A7,primary_jama_2018_0948_key,0)),$E7)="internal_nonstatistical",IF($E7="",INDEX(primary_jama_2018_0948_domain,MATCH($A7,primary_jama_2018_0948_key,0)),$E7)="plan_material"))),K7&lt;&gt;"",K7&lt;&gt;"not_applicable"),AND(OR(AND(IF($D7="",INDEX(primary_jama_2018_0948_disposition,MATCH($A7,primary_jama_2018_0948_key,0)),$D7)&lt;&gt;"",IF($D7="",INDEX(primary_jama_2018_0948_disposition,MATCH($A7,primary_jama_2018_0948_key,0)),$D7)&lt;&gt;"retain"),NOT(OR(IF($E7="",INDEX(primary_jama_2018_0948_domain,MATCH($A7,primary_jama_2018_0948_key,0)),$E7)="protocol_report"))),L7&lt;&gt;"",L7&lt;&gt;"not_applicable")),"CLEAR INACTIVE VALUES",IF(O7="","PENDING",IF(AND(O7&lt;&gt;"agree",LEN(TRIM(P7))=0),"COMMENT NEEDED",IF(F7="yes","CHECKED - see resolution","DRAFT"))))</f>
        <v/>
      </c>
      <c r="H7" s="8">
        <f>IF(OR(AND(IF($D7="",INDEX(primary_jama_2018_0948_disposition,MATCH($A7,primary_jama_2018_0948_key,0)),$D7)&lt;&gt;"",IF($D7="",INDEX(primary_jama_2018_0948_disposition,MATCH($A7,primary_jama_2018_0948_key,0)),$D7)&lt;&gt;"retain"),NOT(OR(IF($E7="",INDEX(primary_jama_2018_0948_domain,MATCH($A7,primary_jama_2018_0948_key,0)),$E7)="statistical_results"))),"not_applicable","")</f>
        <v/>
      </c>
      <c r="I7" s="8">
        <f>IF(OR(AND(IF($D7="",INDEX(primary_jama_2018_0948_disposition,MATCH($A7,primary_jama_2018_0948_key,0)),$D7)&lt;&gt;"",IF($D7="",INDEX(primary_jama_2018_0948_disposition,MATCH($A7,primary_jama_2018_0948_key,0)),$D7)&lt;&gt;"retain"),NOT(OR(IF($E7="",INDEX(primary_jama_2018_0948_domain,MATCH($A7,primary_jama_2018_0948_key,0)),$E7)="statistical_results"))),"not_applicable","")</f>
        <v/>
      </c>
      <c r="J7" s="9">
        <f>IF(OR(AND(IF($D7="",INDEX(primary_jama_2018_0948_disposition,MATCH($A7,primary_jama_2018_0948_key,0)),$D7)&lt;&gt;"",IF($D7="",INDEX(primary_jama_2018_0948_disposition,MATCH($A7,primary_jama_2018_0948_key,0)),$D7)&lt;&gt;"retain"),NOT(OR(IF($E7="",INDEX(primary_jama_2018_0948_domain,MATCH($A7,primary_jama_2018_0948_key,0)),$E7)="statistical_results"))),"not_applicable","")</f>
        <v/>
      </c>
      <c r="K7" s="8">
        <f>IF(OR(AND(IF($D7="",INDEX(primary_jama_2018_0948_disposition,MATCH($A7,primary_jama_2018_0948_key,0)),$D7)&lt;&gt;"",IF($D7="",INDEX(primary_jama_2018_0948_disposition,MATCH($A7,primary_jama_2018_0948_key,0)),$D7)&lt;&gt;"retain"),NOT(OR(IF($E7="",INDEX(primary_jama_2018_0948_domain,MATCH($A7,primary_jama_2018_0948_key,0)),$E7)="internal_nonstatistical",IF($E7="",INDEX(primary_jama_2018_0948_domain,MATCH($A7,primary_jama_2018_0948_key,0)),$E7)="plan_material"))),"not_applicable","")</f>
        <v/>
      </c>
      <c r="L7" s="9">
        <f>IF(OR(AND(IF($D7="",INDEX(primary_jama_2018_0948_disposition,MATCH($A7,primary_jama_2018_0948_key,0)),$D7)&lt;&gt;"",IF($D7="",INDEX(primary_jama_2018_0948_disposition,MATCH($A7,primary_jama_2018_0948_key,0)),$D7)&lt;&gt;"retain"),NOT(OR(IF($E7="",INDEX(primary_jama_2018_0948_domain,MATCH($A7,primary_jama_2018_0948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2018::jama.2018.0948::C007</t>
        </is>
      </c>
      <c r="B8" s="2" t="inlineStr">
        <is>
          <t>Urgent PICU admission rates do not match the printed counts and denominators at conventional rounding</t>
        </is>
      </c>
      <c r="C8" s="2" t="inlineStr">
        <is>
          <t>Supplement 1 — PDF p. 30.</t>
        </is>
      </c>
      <c r="D8" s="8" t="inlineStr"/>
      <c r="E8" s="8" t="inlineStr"/>
      <c r="F8" s="8" t="inlineStr">
        <is>
          <t>no</t>
        </is>
      </c>
      <c r="G8" s="2">
        <f>IF(OR(AND(OR(AND(IF($D8="",INDEX(primary_jama_2018_0948_disposition,MATCH($A8,primary_jama_2018_0948_key,0)),$D8)&lt;&gt;"",IF($D8="",INDEX(primary_jama_2018_0948_disposition,MATCH($A8,primary_jama_2018_0948_key,0)),$D8)&lt;&gt;"retain"),NOT(OR(IF($E8="",INDEX(primary_jama_2018_0948_domain,MATCH($A8,primary_jama_2018_0948_key,0)),$E8)="statistical_results"))),H8&lt;&gt;"",H8&lt;&gt;"not_applicable"),AND(OR(AND(IF($D8="",INDEX(primary_jama_2018_0948_disposition,MATCH($A8,primary_jama_2018_0948_key,0)),$D8)&lt;&gt;"",IF($D8="",INDEX(primary_jama_2018_0948_disposition,MATCH($A8,primary_jama_2018_0948_key,0)),$D8)&lt;&gt;"retain"),NOT(OR(IF($E8="",INDEX(primary_jama_2018_0948_domain,MATCH($A8,primary_jama_2018_0948_key,0)),$E8)="statistical_results"))),I8&lt;&gt;"",I8&lt;&gt;"not_applicable"),AND(OR(AND(IF($D8="",INDEX(primary_jama_2018_0948_disposition,MATCH($A8,primary_jama_2018_0948_key,0)),$D8)&lt;&gt;"",IF($D8="",INDEX(primary_jama_2018_0948_disposition,MATCH($A8,primary_jama_2018_0948_key,0)),$D8)&lt;&gt;"retain"),NOT(OR(IF($E8="",INDEX(primary_jama_2018_0948_domain,MATCH($A8,primary_jama_2018_0948_key,0)),$E8)="statistical_results"))),J8&lt;&gt;"",J8&lt;&gt;"not_applicable"),AND(OR(AND(IF($D8="",INDEX(primary_jama_2018_0948_disposition,MATCH($A8,primary_jama_2018_0948_key,0)),$D8)&lt;&gt;"",IF($D8="",INDEX(primary_jama_2018_0948_disposition,MATCH($A8,primary_jama_2018_0948_key,0)),$D8)&lt;&gt;"retain"),NOT(OR(IF($E8="",INDEX(primary_jama_2018_0948_domain,MATCH($A8,primary_jama_2018_0948_key,0)),$E8)="internal_nonstatistical",IF($E8="",INDEX(primary_jama_2018_0948_domain,MATCH($A8,primary_jama_2018_0948_key,0)),$E8)="plan_material"))),K8&lt;&gt;"",K8&lt;&gt;"not_applicable"),AND(OR(AND(IF($D8="",INDEX(primary_jama_2018_0948_disposition,MATCH($A8,primary_jama_2018_0948_key,0)),$D8)&lt;&gt;"",IF($D8="",INDEX(primary_jama_2018_0948_disposition,MATCH($A8,primary_jama_2018_0948_key,0)),$D8)&lt;&gt;"retain"),NOT(OR(IF($E8="",INDEX(primary_jama_2018_0948_domain,MATCH($A8,primary_jama_2018_0948_key,0)),$E8)="protocol_report"))),L8&lt;&gt;"",L8&lt;&gt;"not_applicable")),"CLEAR INACTIVE VALUES",IF(O8="","PENDING",IF(AND(O8&lt;&gt;"agree",LEN(TRIM(P8))=0),"COMMENT NEEDED",IF(F8="yes","CHECKED - see resolution","DRAFT"))))</f>
        <v/>
      </c>
      <c r="H8" s="8">
        <f>IF(OR(AND(IF($D8="",INDEX(primary_jama_2018_0948_disposition,MATCH($A8,primary_jama_2018_0948_key,0)),$D8)&lt;&gt;"",IF($D8="",INDEX(primary_jama_2018_0948_disposition,MATCH($A8,primary_jama_2018_0948_key,0)),$D8)&lt;&gt;"retain"),NOT(OR(IF($E8="",INDEX(primary_jama_2018_0948_domain,MATCH($A8,primary_jama_2018_0948_key,0)),$E8)="statistical_results"))),"not_applicable","")</f>
        <v/>
      </c>
      <c r="I8" s="8">
        <f>IF(OR(AND(IF($D8="",INDEX(primary_jama_2018_0948_disposition,MATCH($A8,primary_jama_2018_0948_key,0)),$D8)&lt;&gt;"",IF($D8="",INDEX(primary_jama_2018_0948_disposition,MATCH($A8,primary_jama_2018_0948_key,0)),$D8)&lt;&gt;"retain"),NOT(OR(IF($E8="",INDEX(primary_jama_2018_0948_domain,MATCH($A8,primary_jama_2018_0948_key,0)),$E8)="statistical_results"))),"not_applicable","")</f>
        <v/>
      </c>
      <c r="J8" s="9">
        <f>IF(OR(AND(IF($D8="",INDEX(primary_jama_2018_0948_disposition,MATCH($A8,primary_jama_2018_0948_key,0)),$D8)&lt;&gt;"",IF($D8="",INDEX(primary_jama_2018_0948_disposition,MATCH($A8,primary_jama_2018_0948_key,0)),$D8)&lt;&gt;"retain"),NOT(OR(IF($E8="",INDEX(primary_jama_2018_0948_domain,MATCH($A8,primary_jama_2018_0948_key,0)),$E8)="statistical_results"))),"not_applicable","")</f>
        <v/>
      </c>
      <c r="K8" s="8">
        <f>IF(OR(AND(IF($D8="",INDEX(primary_jama_2018_0948_disposition,MATCH($A8,primary_jama_2018_0948_key,0)),$D8)&lt;&gt;"",IF($D8="",INDEX(primary_jama_2018_0948_disposition,MATCH($A8,primary_jama_2018_0948_key,0)),$D8)&lt;&gt;"retain"),NOT(OR(IF($E8="",INDEX(primary_jama_2018_0948_domain,MATCH($A8,primary_jama_2018_0948_key,0)),$E8)="internal_nonstatistical",IF($E8="",INDEX(primary_jama_2018_0948_domain,MATCH($A8,primary_jama_2018_0948_key,0)),$E8)="plan_material"))),"not_applicable","")</f>
        <v/>
      </c>
      <c r="L8" s="9">
        <f>IF(OR(AND(IF($D8="",INDEX(primary_jama_2018_0948_disposition,MATCH($A8,primary_jama_2018_0948_key,0)),$D8)&lt;&gt;"",IF($D8="",INDEX(primary_jama_2018_0948_disposition,MATCH($A8,primary_jama_2018_0948_key,0)),$D8)&lt;&gt;"retain"),NOT(OR(IF($E8="",INDEX(primary_jama_2018_0948_domain,MATCH($A8,primary_jama_2018_0948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
    <cfRule type="expression" priority="1" dxfId="0" stopIfTrue="1">
      <formula>AND(OR(AND(IF($D2="",INDEX(primary_jama_2018_0948_disposition,MATCH($A2,primary_jama_2018_0948_key,0)),$D2)&lt;&gt;"",IF($D2="",INDEX(primary_jama_2018_0948_disposition,MATCH($A2,primary_jama_2018_0948_key,0)),$D2)&lt;&gt;"retain"),NOT(OR(IF($E2="",INDEX(primary_jama_2018_0948_domain,MATCH($A2,primary_jama_2018_0948_key,0)),$E2)="statistical_results"))),H2&lt;&gt;"",H2&lt;&gt;"not_applicable")</formula>
    </cfRule>
    <cfRule type="expression" priority="2" dxfId="1">
      <formula>OR(AND(IF($D2="",INDEX(primary_jama_2018_0948_disposition,MATCH($A2,primary_jama_2018_0948_key,0)),$D2)&lt;&gt;"",IF($D2="",INDEX(primary_jama_2018_0948_disposition,MATCH($A2,primary_jama_2018_0948_key,0)),$D2)&lt;&gt;"retain"),NOT(OR(IF($E2="",INDEX(primary_jama_2018_0948_domain,MATCH($A2,primary_jama_2018_0948_key,0)),$E2)="statistical_results")))</formula>
    </cfRule>
  </conditionalFormatting>
  <conditionalFormatting sqref="H3">
    <cfRule type="expression" priority="3" dxfId="0" stopIfTrue="1">
      <formula>AND(OR(AND(IF($D3="",INDEX(primary_jama_2018_0948_disposition,MATCH($A3,primary_jama_2018_0948_key,0)),$D3)&lt;&gt;"",IF($D3="",INDEX(primary_jama_2018_0948_disposition,MATCH($A3,primary_jama_2018_0948_key,0)),$D3)&lt;&gt;"retain"),NOT(OR(IF($E3="",INDEX(primary_jama_2018_0948_domain,MATCH($A3,primary_jama_2018_0948_key,0)),$E3)="statistical_results"))),H3&lt;&gt;"",H3&lt;&gt;"not_applicable")</formula>
    </cfRule>
    <cfRule type="expression" priority="4" dxfId="1">
      <formula>OR(AND(IF($D3="",INDEX(primary_jama_2018_0948_disposition,MATCH($A3,primary_jama_2018_0948_key,0)),$D3)&lt;&gt;"",IF($D3="",INDEX(primary_jama_2018_0948_disposition,MATCH($A3,primary_jama_2018_0948_key,0)),$D3)&lt;&gt;"retain"),NOT(OR(IF($E3="",INDEX(primary_jama_2018_0948_domain,MATCH($A3,primary_jama_2018_0948_key,0)),$E3)="statistical_results")))</formula>
    </cfRule>
  </conditionalFormatting>
  <conditionalFormatting sqref="H4">
    <cfRule type="expression" priority="5" dxfId="0" stopIfTrue="1">
      <formula>AND(OR(AND(IF($D4="",INDEX(primary_jama_2018_0948_disposition,MATCH($A4,primary_jama_2018_0948_key,0)),$D4)&lt;&gt;"",IF($D4="",INDEX(primary_jama_2018_0948_disposition,MATCH($A4,primary_jama_2018_0948_key,0)),$D4)&lt;&gt;"retain"),NOT(OR(IF($E4="",INDEX(primary_jama_2018_0948_domain,MATCH($A4,primary_jama_2018_0948_key,0)),$E4)="statistical_results"))),H4&lt;&gt;"",H4&lt;&gt;"not_applicable")</formula>
    </cfRule>
    <cfRule type="expression" priority="6" dxfId="1">
      <formula>OR(AND(IF($D4="",INDEX(primary_jama_2018_0948_disposition,MATCH($A4,primary_jama_2018_0948_key,0)),$D4)&lt;&gt;"",IF($D4="",INDEX(primary_jama_2018_0948_disposition,MATCH($A4,primary_jama_2018_0948_key,0)),$D4)&lt;&gt;"retain"),NOT(OR(IF($E4="",INDEX(primary_jama_2018_0948_domain,MATCH($A4,primary_jama_2018_0948_key,0)),$E4)="statistical_results")))</formula>
    </cfRule>
  </conditionalFormatting>
  <conditionalFormatting sqref="H5">
    <cfRule type="expression" priority="7" dxfId="0" stopIfTrue="1">
      <formula>AND(OR(AND(IF($D5="",INDEX(primary_jama_2018_0948_disposition,MATCH($A5,primary_jama_2018_0948_key,0)),$D5)&lt;&gt;"",IF($D5="",INDEX(primary_jama_2018_0948_disposition,MATCH($A5,primary_jama_2018_0948_key,0)),$D5)&lt;&gt;"retain"),NOT(OR(IF($E5="",INDEX(primary_jama_2018_0948_domain,MATCH($A5,primary_jama_2018_0948_key,0)),$E5)="statistical_results"))),H5&lt;&gt;"",H5&lt;&gt;"not_applicable")</formula>
    </cfRule>
    <cfRule type="expression" priority="8" dxfId="1">
      <formula>OR(AND(IF($D5="",INDEX(primary_jama_2018_0948_disposition,MATCH($A5,primary_jama_2018_0948_key,0)),$D5)&lt;&gt;"",IF($D5="",INDEX(primary_jama_2018_0948_disposition,MATCH($A5,primary_jama_2018_0948_key,0)),$D5)&lt;&gt;"retain"),NOT(OR(IF($E5="",INDEX(primary_jama_2018_0948_domain,MATCH($A5,primary_jama_2018_0948_key,0)),$E5)="statistical_results")))</formula>
    </cfRule>
  </conditionalFormatting>
  <conditionalFormatting sqref="H6">
    <cfRule type="expression" priority="9" dxfId="0" stopIfTrue="1">
      <formula>AND(OR(AND(IF($D6="",INDEX(primary_jama_2018_0948_disposition,MATCH($A6,primary_jama_2018_0948_key,0)),$D6)&lt;&gt;"",IF($D6="",INDEX(primary_jama_2018_0948_disposition,MATCH($A6,primary_jama_2018_0948_key,0)),$D6)&lt;&gt;"retain"),NOT(OR(IF($E6="",INDEX(primary_jama_2018_0948_domain,MATCH($A6,primary_jama_2018_0948_key,0)),$E6)="statistical_results"))),H6&lt;&gt;"",H6&lt;&gt;"not_applicable")</formula>
    </cfRule>
    <cfRule type="expression" priority="10" dxfId="1">
      <formula>OR(AND(IF($D6="",INDEX(primary_jama_2018_0948_disposition,MATCH($A6,primary_jama_2018_0948_key,0)),$D6)&lt;&gt;"",IF($D6="",INDEX(primary_jama_2018_0948_disposition,MATCH($A6,primary_jama_2018_0948_key,0)),$D6)&lt;&gt;"retain"),NOT(OR(IF($E6="",INDEX(primary_jama_2018_0948_domain,MATCH($A6,primary_jama_2018_0948_key,0)),$E6)="statistical_results")))</formula>
    </cfRule>
  </conditionalFormatting>
  <conditionalFormatting sqref="H7">
    <cfRule type="expression" priority="11" dxfId="0" stopIfTrue="1">
      <formula>AND(OR(AND(IF($D7="",INDEX(primary_jama_2018_0948_disposition,MATCH($A7,primary_jama_2018_0948_key,0)),$D7)&lt;&gt;"",IF($D7="",INDEX(primary_jama_2018_0948_disposition,MATCH($A7,primary_jama_2018_0948_key,0)),$D7)&lt;&gt;"retain"),NOT(OR(IF($E7="",INDEX(primary_jama_2018_0948_domain,MATCH($A7,primary_jama_2018_0948_key,0)),$E7)="statistical_results"))),H7&lt;&gt;"",H7&lt;&gt;"not_applicable")</formula>
    </cfRule>
    <cfRule type="expression" priority="12" dxfId="1">
      <formula>OR(AND(IF($D7="",INDEX(primary_jama_2018_0948_disposition,MATCH($A7,primary_jama_2018_0948_key,0)),$D7)&lt;&gt;"",IF($D7="",INDEX(primary_jama_2018_0948_disposition,MATCH($A7,primary_jama_2018_0948_key,0)),$D7)&lt;&gt;"retain"),NOT(OR(IF($E7="",INDEX(primary_jama_2018_0948_domain,MATCH($A7,primary_jama_2018_0948_key,0)),$E7)="statistical_results")))</formula>
    </cfRule>
  </conditionalFormatting>
  <conditionalFormatting sqref="H8">
    <cfRule type="expression" priority="13" dxfId="0" stopIfTrue="1">
      <formula>AND(OR(AND(IF($D8="",INDEX(primary_jama_2018_0948_disposition,MATCH($A8,primary_jama_2018_0948_key,0)),$D8)&lt;&gt;"",IF($D8="",INDEX(primary_jama_2018_0948_disposition,MATCH($A8,primary_jama_2018_0948_key,0)),$D8)&lt;&gt;"retain"),NOT(OR(IF($E8="",INDEX(primary_jama_2018_0948_domain,MATCH($A8,primary_jama_2018_0948_key,0)),$E8)="statistical_results"))),H8&lt;&gt;"",H8&lt;&gt;"not_applicable")</formula>
    </cfRule>
    <cfRule type="expression" priority="14" dxfId="1">
      <formula>OR(AND(IF($D8="",INDEX(primary_jama_2018_0948_disposition,MATCH($A8,primary_jama_2018_0948_key,0)),$D8)&lt;&gt;"",IF($D8="",INDEX(primary_jama_2018_0948_disposition,MATCH($A8,primary_jama_2018_0948_key,0)),$D8)&lt;&gt;"retain"),NOT(OR(IF($E8="",INDEX(primary_jama_2018_0948_domain,MATCH($A8,primary_jama_2018_0948_key,0)),$E8)="statistical_results")))</formula>
    </cfRule>
  </conditionalFormatting>
  <conditionalFormatting sqref="I2">
    <cfRule type="expression" priority="15" dxfId="0" stopIfTrue="1">
      <formula>AND(OR(AND(IF($D2="",INDEX(primary_jama_2018_0948_disposition,MATCH($A2,primary_jama_2018_0948_key,0)),$D2)&lt;&gt;"",IF($D2="",INDEX(primary_jama_2018_0948_disposition,MATCH($A2,primary_jama_2018_0948_key,0)),$D2)&lt;&gt;"retain"),NOT(OR(IF($E2="",INDEX(primary_jama_2018_0948_domain,MATCH($A2,primary_jama_2018_0948_key,0)),$E2)="statistical_results"))),I2&lt;&gt;"",I2&lt;&gt;"not_applicable")</formula>
    </cfRule>
    <cfRule type="expression" priority="16" dxfId="1">
      <formula>OR(AND(IF($D2="",INDEX(primary_jama_2018_0948_disposition,MATCH($A2,primary_jama_2018_0948_key,0)),$D2)&lt;&gt;"",IF($D2="",INDEX(primary_jama_2018_0948_disposition,MATCH($A2,primary_jama_2018_0948_key,0)),$D2)&lt;&gt;"retain"),NOT(OR(IF($E2="",INDEX(primary_jama_2018_0948_domain,MATCH($A2,primary_jama_2018_0948_key,0)),$E2)="statistical_results")))</formula>
    </cfRule>
  </conditionalFormatting>
  <conditionalFormatting sqref="I3">
    <cfRule type="expression" priority="17" dxfId="0" stopIfTrue="1">
      <formula>AND(OR(AND(IF($D3="",INDEX(primary_jama_2018_0948_disposition,MATCH($A3,primary_jama_2018_0948_key,0)),$D3)&lt;&gt;"",IF($D3="",INDEX(primary_jama_2018_0948_disposition,MATCH($A3,primary_jama_2018_0948_key,0)),$D3)&lt;&gt;"retain"),NOT(OR(IF($E3="",INDEX(primary_jama_2018_0948_domain,MATCH($A3,primary_jama_2018_0948_key,0)),$E3)="statistical_results"))),I3&lt;&gt;"",I3&lt;&gt;"not_applicable")</formula>
    </cfRule>
    <cfRule type="expression" priority="18" dxfId="1">
      <formula>OR(AND(IF($D3="",INDEX(primary_jama_2018_0948_disposition,MATCH($A3,primary_jama_2018_0948_key,0)),$D3)&lt;&gt;"",IF($D3="",INDEX(primary_jama_2018_0948_disposition,MATCH($A3,primary_jama_2018_0948_key,0)),$D3)&lt;&gt;"retain"),NOT(OR(IF($E3="",INDEX(primary_jama_2018_0948_domain,MATCH($A3,primary_jama_2018_0948_key,0)),$E3)="statistical_results")))</formula>
    </cfRule>
  </conditionalFormatting>
  <conditionalFormatting sqref="I4">
    <cfRule type="expression" priority="19" dxfId="0" stopIfTrue="1">
      <formula>AND(OR(AND(IF($D4="",INDEX(primary_jama_2018_0948_disposition,MATCH($A4,primary_jama_2018_0948_key,0)),$D4)&lt;&gt;"",IF($D4="",INDEX(primary_jama_2018_0948_disposition,MATCH($A4,primary_jama_2018_0948_key,0)),$D4)&lt;&gt;"retain"),NOT(OR(IF($E4="",INDEX(primary_jama_2018_0948_domain,MATCH($A4,primary_jama_2018_0948_key,0)),$E4)="statistical_results"))),I4&lt;&gt;"",I4&lt;&gt;"not_applicable")</formula>
    </cfRule>
    <cfRule type="expression" priority="20" dxfId="1">
      <formula>OR(AND(IF($D4="",INDEX(primary_jama_2018_0948_disposition,MATCH($A4,primary_jama_2018_0948_key,0)),$D4)&lt;&gt;"",IF($D4="",INDEX(primary_jama_2018_0948_disposition,MATCH($A4,primary_jama_2018_0948_key,0)),$D4)&lt;&gt;"retain"),NOT(OR(IF($E4="",INDEX(primary_jama_2018_0948_domain,MATCH($A4,primary_jama_2018_0948_key,0)),$E4)="statistical_results")))</formula>
    </cfRule>
  </conditionalFormatting>
  <conditionalFormatting sqref="I5">
    <cfRule type="expression" priority="21" dxfId="0" stopIfTrue="1">
      <formula>AND(OR(AND(IF($D5="",INDEX(primary_jama_2018_0948_disposition,MATCH($A5,primary_jama_2018_0948_key,0)),$D5)&lt;&gt;"",IF($D5="",INDEX(primary_jama_2018_0948_disposition,MATCH($A5,primary_jama_2018_0948_key,0)),$D5)&lt;&gt;"retain"),NOT(OR(IF($E5="",INDEX(primary_jama_2018_0948_domain,MATCH($A5,primary_jama_2018_0948_key,0)),$E5)="statistical_results"))),I5&lt;&gt;"",I5&lt;&gt;"not_applicable")</formula>
    </cfRule>
    <cfRule type="expression" priority="22" dxfId="1">
      <formula>OR(AND(IF($D5="",INDEX(primary_jama_2018_0948_disposition,MATCH($A5,primary_jama_2018_0948_key,0)),$D5)&lt;&gt;"",IF($D5="",INDEX(primary_jama_2018_0948_disposition,MATCH($A5,primary_jama_2018_0948_key,0)),$D5)&lt;&gt;"retain"),NOT(OR(IF($E5="",INDEX(primary_jama_2018_0948_domain,MATCH($A5,primary_jama_2018_0948_key,0)),$E5)="statistical_results")))</formula>
    </cfRule>
  </conditionalFormatting>
  <conditionalFormatting sqref="I6">
    <cfRule type="expression" priority="23" dxfId="0" stopIfTrue="1">
      <formula>AND(OR(AND(IF($D6="",INDEX(primary_jama_2018_0948_disposition,MATCH($A6,primary_jama_2018_0948_key,0)),$D6)&lt;&gt;"",IF($D6="",INDEX(primary_jama_2018_0948_disposition,MATCH($A6,primary_jama_2018_0948_key,0)),$D6)&lt;&gt;"retain"),NOT(OR(IF($E6="",INDEX(primary_jama_2018_0948_domain,MATCH($A6,primary_jama_2018_0948_key,0)),$E6)="statistical_results"))),I6&lt;&gt;"",I6&lt;&gt;"not_applicable")</formula>
    </cfRule>
    <cfRule type="expression" priority="24" dxfId="1">
      <formula>OR(AND(IF($D6="",INDEX(primary_jama_2018_0948_disposition,MATCH($A6,primary_jama_2018_0948_key,0)),$D6)&lt;&gt;"",IF($D6="",INDEX(primary_jama_2018_0948_disposition,MATCH($A6,primary_jama_2018_0948_key,0)),$D6)&lt;&gt;"retain"),NOT(OR(IF($E6="",INDEX(primary_jama_2018_0948_domain,MATCH($A6,primary_jama_2018_0948_key,0)),$E6)="statistical_results")))</formula>
    </cfRule>
  </conditionalFormatting>
  <conditionalFormatting sqref="I7">
    <cfRule type="expression" priority="25" dxfId="0" stopIfTrue="1">
      <formula>AND(OR(AND(IF($D7="",INDEX(primary_jama_2018_0948_disposition,MATCH($A7,primary_jama_2018_0948_key,0)),$D7)&lt;&gt;"",IF($D7="",INDEX(primary_jama_2018_0948_disposition,MATCH($A7,primary_jama_2018_0948_key,0)),$D7)&lt;&gt;"retain"),NOT(OR(IF($E7="",INDEX(primary_jama_2018_0948_domain,MATCH($A7,primary_jama_2018_0948_key,0)),$E7)="statistical_results"))),I7&lt;&gt;"",I7&lt;&gt;"not_applicable")</formula>
    </cfRule>
    <cfRule type="expression" priority="26" dxfId="1">
      <formula>OR(AND(IF($D7="",INDEX(primary_jama_2018_0948_disposition,MATCH($A7,primary_jama_2018_0948_key,0)),$D7)&lt;&gt;"",IF($D7="",INDEX(primary_jama_2018_0948_disposition,MATCH($A7,primary_jama_2018_0948_key,0)),$D7)&lt;&gt;"retain"),NOT(OR(IF($E7="",INDEX(primary_jama_2018_0948_domain,MATCH($A7,primary_jama_2018_0948_key,0)),$E7)="statistical_results")))</formula>
    </cfRule>
  </conditionalFormatting>
  <conditionalFormatting sqref="I8">
    <cfRule type="expression" priority="27" dxfId="0" stopIfTrue="1">
      <formula>AND(OR(AND(IF($D8="",INDEX(primary_jama_2018_0948_disposition,MATCH($A8,primary_jama_2018_0948_key,0)),$D8)&lt;&gt;"",IF($D8="",INDEX(primary_jama_2018_0948_disposition,MATCH($A8,primary_jama_2018_0948_key,0)),$D8)&lt;&gt;"retain"),NOT(OR(IF($E8="",INDEX(primary_jama_2018_0948_domain,MATCH($A8,primary_jama_2018_0948_key,0)),$E8)="statistical_results"))),I8&lt;&gt;"",I8&lt;&gt;"not_applicable")</formula>
    </cfRule>
    <cfRule type="expression" priority="28" dxfId="1">
      <formula>OR(AND(IF($D8="",INDEX(primary_jama_2018_0948_disposition,MATCH($A8,primary_jama_2018_0948_key,0)),$D8)&lt;&gt;"",IF($D8="",INDEX(primary_jama_2018_0948_disposition,MATCH($A8,primary_jama_2018_0948_key,0)),$D8)&lt;&gt;"retain"),NOT(OR(IF($E8="",INDEX(primary_jama_2018_0948_domain,MATCH($A8,primary_jama_2018_0948_key,0)),$E8)="statistical_results")))</formula>
    </cfRule>
  </conditionalFormatting>
  <conditionalFormatting sqref="J2">
    <cfRule type="expression" priority="29" dxfId="0" stopIfTrue="1">
      <formula>AND(OR(AND(IF($D2="",INDEX(primary_jama_2018_0948_disposition,MATCH($A2,primary_jama_2018_0948_key,0)),$D2)&lt;&gt;"",IF($D2="",INDEX(primary_jama_2018_0948_disposition,MATCH($A2,primary_jama_2018_0948_key,0)),$D2)&lt;&gt;"retain"),NOT(OR(IF($E2="",INDEX(primary_jama_2018_0948_domain,MATCH($A2,primary_jama_2018_0948_key,0)),$E2)="statistical_results"))),J2&lt;&gt;"",J2&lt;&gt;"not_applicable")</formula>
    </cfRule>
    <cfRule type="expression" priority="30" dxfId="1">
      <formula>OR(AND(IF($D2="",INDEX(primary_jama_2018_0948_disposition,MATCH($A2,primary_jama_2018_0948_key,0)),$D2)&lt;&gt;"",IF($D2="",INDEX(primary_jama_2018_0948_disposition,MATCH($A2,primary_jama_2018_0948_key,0)),$D2)&lt;&gt;"retain"),NOT(OR(IF($E2="",INDEX(primary_jama_2018_0948_domain,MATCH($A2,primary_jama_2018_0948_key,0)),$E2)="statistical_results")))</formula>
    </cfRule>
  </conditionalFormatting>
  <conditionalFormatting sqref="J3">
    <cfRule type="expression" priority="31" dxfId="0" stopIfTrue="1">
      <formula>AND(OR(AND(IF($D3="",INDEX(primary_jama_2018_0948_disposition,MATCH($A3,primary_jama_2018_0948_key,0)),$D3)&lt;&gt;"",IF($D3="",INDEX(primary_jama_2018_0948_disposition,MATCH($A3,primary_jama_2018_0948_key,0)),$D3)&lt;&gt;"retain"),NOT(OR(IF($E3="",INDEX(primary_jama_2018_0948_domain,MATCH($A3,primary_jama_2018_0948_key,0)),$E3)="statistical_results"))),J3&lt;&gt;"",J3&lt;&gt;"not_applicable")</formula>
    </cfRule>
    <cfRule type="expression" priority="32" dxfId="1">
      <formula>OR(AND(IF($D3="",INDEX(primary_jama_2018_0948_disposition,MATCH($A3,primary_jama_2018_0948_key,0)),$D3)&lt;&gt;"",IF($D3="",INDEX(primary_jama_2018_0948_disposition,MATCH($A3,primary_jama_2018_0948_key,0)),$D3)&lt;&gt;"retain"),NOT(OR(IF($E3="",INDEX(primary_jama_2018_0948_domain,MATCH($A3,primary_jama_2018_0948_key,0)),$E3)="statistical_results")))</formula>
    </cfRule>
  </conditionalFormatting>
  <conditionalFormatting sqref="J4">
    <cfRule type="expression" priority="33" dxfId="0" stopIfTrue="1">
      <formula>AND(OR(AND(IF($D4="",INDEX(primary_jama_2018_0948_disposition,MATCH($A4,primary_jama_2018_0948_key,0)),$D4)&lt;&gt;"",IF($D4="",INDEX(primary_jama_2018_0948_disposition,MATCH($A4,primary_jama_2018_0948_key,0)),$D4)&lt;&gt;"retain"),NOT(OR(IF($E4="",INDEX(primary_jama_2018_0948_domain,MATCH($A4,primary_jama_2018_0948_key,0)),$E4)="statistical_results"))),J4&lt;&gt;"",J4&lt;&gt;"not_applicable")</formula>
    </cfRule>
    <cfRule type="expression" priority="34" dxfId="1">
      <formula>OR(AND(IF($D4="",INDEX(primary_jama_2018_0948_disposition,MATCH($A4,primary_jama_2018_0948_key,0)),$D4)&lt;&gt;"",IF($D4="",INDEX(primary_jama_2018_0948_disposition,MATCH($A4,primary_jama_2018_0948_key,0)),$D4)&lt;&gt;"retain"),NOT(OR(IF($E4="",INDEX(primary_jama_2018_0948_domain,MATCH($A4,primary_jama_2018_0948_key,0)),$E4)="statistical_results")))</formula>
    </cfRule>
  </conditionalFormatting>
  <conditionalFormatting sqref="J5">
    <cfRule type="expression" priority="35" dxfId="0" stopIfTrue="1">
      <formula>AND(OR(AND(IF($D5="",INDEX(primary_jama_2018_0948_disposition,MATCH($A5,primary_jama_2018_0948_key,0)),$D5)&lt;&gt;"",IF($D5="",INDEX(primary_jama_2018_0948_disposition,MATCH($A5,primary_jama_2018_0948_key,0)),$D5)&lt;&gt;"retain"),NOT(OR(IF($E5="",INDEX(primary_jama_2018_0948_domain,MATCH($A5,primary_jama_2018_0948_key,0)),$E5)="statistical_results"))),J5&lt;&gt;"",J5&lt;&gt;"not_applicable")</formula>
    </cfRule>
    <cfRule type="expression" priority="36" dxfId="1">
      <formula>OR(AND(IF($D5="",INDEX(primary_jama_2018_0948_disposition,MATCH($A5,primary_jama_2018_0948_key,0)),$D5)&lt;&gt;"",IF($D5="",INDEX(primary_jama_2018_0948_disposition,MATCH($A5,primary_jama_2018_0948_key,0)),$D5)&lt;&gt;"retain"),NOT(OR(IF($E5="",INDEX(primary_jama_2018_0948_domain,MATCH($A5,primary_jama_2018_0948_key,0)),$E5)="statistical_results")))</formula>
    </cfRule>
  </conditionalFormatting>
  <conditionalFormatting sqref="J6">
    <cfRule type="expression" priority="37" dxfId="0" stopIfTrue="1">
      <formula>AND(OR(AND(IF($D6="",INDEX(primary_jama_2018_0948_disposition,MATCH($A6,primary_jama_2018_0948_key,0)),$D6)&lt;&gt;"",IF($D6="",INDEX(primary_jama_2018_0948_disposition,MATCH($A6,primary_jama_2018_0948_key,0)),$D6)&lt;&gt;"retain"),NOT(OR(IF($E6="",INDEX(primary_jama_2018_0948_domain,MATCH($A6,primary_jama_2018_0948_key,0)),$E6)="statistical_results"))),J6&lt;&gt;"",J6&lt;&gt;"not_applicable")</formula>
    </cfRule>
    <cfRule type="expression" priority="38" dxfId="1">
      <formula>OR(AND(IF($D6="",INDEX(primary_jama_2018_0948_disposition,MATCH($A6,primary_jama_2018_0948_key,0)),$D6)&lt;&gt;"",IF($D6="",INDEX(primary_jama_2018_0948_disposition,MATCH($A6,primary_jama_2018_0948_key,0)),$D6)&lt;&gt;"retain"),NOT(OR(IF($E6="",INDEX(primary_jama_2018_0948_domain,MATCH($A6,primary_jama_2018_0948_key,0)),$E6)="statistical_results")))</formula>
    </cfRule>
  </conditionalFormatting>
  <conditionalFormatting sqref="J7">
    <cfRule type="expression" priority="39" dxfId="0" stopIfTrue="1">
      <formula>AND(OR(AND(IF($D7="",INDEX(primary_jama_2018_0948_disposition,MATCH($A7,primary_jama_2018_0948_key,0)),$D7)&lt;&gt;"",IF($D7="",INDEX(primary_jama_2018_0948_disposition,MATCH($A7,primary_jama_2018_0948_key,0)),$D7)&lt;&gt;"retain"),NOT(OR(IF($E7="",INDEX(primary_jama_2018_0948_domain,MATCH($A7,primary_jama_2018_0948_key,0)),$E7)="statistical_results"))),J7&lt;&gt;"",J7&lt;&gt;"not_applicable")</formula>
    </cfRule>
    <cfRule type="expression" priority="40" dxfId="1">
      <formula>OR(AND(IF($D7="",INDEX(primary_jama_2018_0948_disposition,MATCH($A7,primary_jama_2018_0948_key,0)),$D7)&lt;&gt;"",IF($D7="",INDEX(primary_jama_2018_0948_disposition,MATCH($A7,primary_jama_2018_0948_key,0)),$D7)&lt;&gt;"retain"),NOT(OR(IF($E7="",INDEX(primary_jama_2018_0948_domain,MATCH($A7,primary_jama_2018_0948_key,0)),$E7)="statistical_results")))</formula>
    </cfRule>
  </conditionalFormatting>
  <conditionalFormatting sqref="J8">
    <cfRule type="expression" priority="41" dxfId="0" stopIfTrue="1">
      <formula>AND(OR(AND(IF($D8="",INDEX(primary_jama_2018_0948_disposition,MATCH($A8,primary_jama_2018_0948_key,0)),$D8)&lt;&gt;"",IF($D8="",INDEX(primary_jama_2018_0948_disposition,MATCH($A8,primary_jama_2018_0948_key,0)),$D8)&lt;&gt;"retain"),NOT(OR(IF($E8="",INDEX(primary_jama_2018_0948_domain,MATCH($A8,primary_jama_2018_0948_key,0)),$E8)="statistical_results"))),J8&lt;&gt;"",J8&lt;&gt;"not_applicable")</formula>
    </cfRule>
    <cfRule type="expression" priority="42" dxfId="1">
      <formula>OR(AND(IF($D8="",INDEX(primary_jama_2018_0948_disposition,MATCH($A8,primary_jama_2018_0948_key,0)),$D8)&lt;&gt;"",IF($D8="",INDEX(primary_jama_2018_0948_disposition,MATCH($A8,primary_jama_2018_0948_key,0)),$D8)&lt;&gt;"retain"),NOT(OR(IF($E8="",INDEX(primary_jama_2018_0948_domain,MATCH($A8,primary_jama_2018_0948_key,0)),$E8)="statistical_results")))</formula>
    </cfRule>
  </conditionalFormatting>
  <conditionalFormatting sqref="K2">
    <cfRule type="expression" priority="43" dxfId="0" stopIfTrue="1">
      <formula>AND(OR(AND(IF($D2="",INDEX(primary_jama_2018_0948_disposition,MATCH($A2,primary_jama_2018_0948_key,0)),$D2)&lt;&gt;"",IF($D2="",INDEX(primary_jama_2018_0948_disposition,MATCH($A2,primary_jama_2018_0948_key,0)),$D2)&lt;&gt;"retain"),NOT(OR(IF($E2="",INDEX(primary_jama_2018_0948_domain,MATCH($A2,primary_jama_2018_0948_key,0)),$E2)="internal_nonstatistical",IF($E2="",INDEX(primary_jama_2018_0948_domain,MATCH($A2,primary_jama_2018_0948_key,0)),$E2)="plan_material"))),K2&lt;&gt;"",K2&lt;&gt;"not_applicable")</formula>
    </cfRule>
    <cfRule type="expression" priority="44" dxfId="1">
      <formula>OR(AND(IF($D2="",INDEX(primary_jama_2018_0948_disposition,MATCH($A2,primary_jama_2018_0948_key,0)),$D2)&lt;&gt;"",IF($D2="",INDEX(primary_jama_2018_0948_disposition,MATCH($A2,primary_jama_2018_0948_key,0)),$D2)&lt;&gt;"retain"),NOT(OR(IF($E2="",INDEX(primary_jama_2018_0948_domain,MATCH($A2,primary_jama_2018_0948_key,0)),$E2)="internal_nonstatistical",IF($E2="",INDEX(primary_jama_2018_0948_domain,MATCH($A2,primary_jama_2018_0948_key,0)),$E2)="plan_material")))</formula>
    </cfRule>
  </conditionalFormatting>
  <conditionalFormatting sqref="K3">
    <cfRule type="expression" priority="45" dxfId="0" stopIfTrue="1">
      <formula>AND(OR(AND(IF($D3="",INDEX(primary_jama_2018_0948_disposition,MATCH($A3,primary_jama_2018_0948_key,0)),$D3)&lt;&gt;"",IF($D3="",INDEX(primary_jama_2018_0948_disposition,MATCH($A3,primary_jama_2018_0948_key,0)),$D3)&lt;&gt;"retain"),NOT(OR(IF($E3="",INDEX(primary_jama_2018_0948_domain,MATCH($A3,primary_jama_2018_0948_key,0)),$E3)="internal_nonstatistical",IF($E3="",INDEX(primary_jama_2018_0948_domain,MATCH($A3,primary_jama_2018_0948_key,0)),$E3)="plan_material"))),K3&lt;&gt;"",K3&lt;&gt;"not_applicable")</formula>
    </cfRule>
    <cfRule type="expression" priority="46" dxfId="1">
      <formula>OR(AND(IF($D3="",INDEX(primary_jama_2018_0948_disposition,MATCH($A3,primary_jama_2018_0948_key,0)),$D3)&lt;&gt;"",IF($D3="",INDEX(primary_jama_2018_0948_disposition,MATCH($A3,primary_jama_2018_0948_key,0)),$D3)&lt;&gt;"retain"),NOT(OR(IF($E3="",INDEX(primary_jama_2018_0948_domain,MATCH($A3,primary_jama_2018_0948_key,0)),$E3)="internal_nonstatistical",IF($E3="",INDEX(primary_jama_2018_0948_domain,MATCH($A3,primary_jama_2018_0948_key,0)),$E3)="plan_material")))</formula>
    </cfRule>
  </conditionalFormatting>
  <conditionalFormatting sqref="K4">
    <cfRule type="expression" priority="47" dxfId="0" stopIfTrue="1">
      <formula>AND(OR(AND(IF($D4="",INDEX(primary_jama_2018_0948_disposition,MATCH($A4,primary_jama_2018_0948_key,0)),$D4)&lt;&gt;"",IF($D4="",INDEX(primary_jama_2018_0948_disposition,MATCH($A4,primary_jama_2018_0948_key,0)),$D4)&lt;&gt;"retain"),NOT(OR(IF($E4="",INDEX(primary_jama_2018_0948_domain,MATCH($A4,primary_jama_2018_0948_key,0)),$E4)="internal_nonstatistical",IF($E4="",INDEX(primary_jama_2018_0948_domain,MATCH($A4,primary_jama_2018_0948_key,0)),$E4)="plan_material"))),K4&lt;&gt;"",K4&lt;&gt;"not_applicable")</formula>
    </cfRule>
    <cfRule type="expression" priority="48" dxfId="1">
      <formula>OR(AND(IF($D4="",INDEX(primary_jama_2018_0948_disposition,MATCH($A4,primary_jama_2018_0948_key,0)),$D4)&lt;&gt;"",IF($D4="",INDEX(primary_jama_2018_0948_disposition,MATCH($A4,primary_jama_2018_0948_key,0)),$D4)&lt;&gt;"retain"),NOT(OR(IF($E4="",INDEX(primary_jama_2018_0948_domain,MATCH($A4,primary_jama_2018_0948_key,0)),$E4)="internal_nonstatistical",IF($E4="",INDEX(primary_jama_2018_0948_domain,MATCH($A4,primary_jama_2018_0948_key,0)),$E4)="plan_material")))</formula>
    </cfRule>
  </conditionalFormatting>
  <conditionalFormatting sqref="K5">
    <cfRule type="expression" priority="49" dxfId="0" stopIfTrue="1">
      <formula>AND(OR(AND(IF($D5="",INDEX(primary_jama_2018_0948_disposition,MATCH($A5,primary_jama_2018_0948_key,0)),$D5)&lt;&gt;"",IF($D5="",INDEX(primary_jama_2018_0948_disposition,MATCH($A5,primary_jama_2018_0948_key,0)),$D5)&lt;&gt;"retain"),NOT(OR(IF($E5="",INDEX(primary_jama_2018_0948_domain,MATCH($A5,primary_jama_2018_0948_key,0)),$E5)="internal_nonstatistical",IF($E5="",INDEX(primary_jama_2018_0948_domain,MATCH($A5,primary_jama_2018_0948_key,0)),$E5)="plan_material"))),K5&lt;&gt;"",K5&lt;&gt;"not_applicable")</formula>
    </cfRule>
    <cfRule type="expression" priority="50" dxfId="1">
      <formula>OR(AND(IF($D5="",INDEX(primary_jama_2018_0948_disposition,MATCH($A5,primary_jama_2018_0948_key,0)),$D5)&lt;&gt;"",IF($D5="",INDEX(primary_jama_2018_0948_disposition,MATCH($A5,primary_jama_2018_0948_key,0)),$D5)&lt;&gt;"retain"),NOT(OR(IF($E5="",INDEX(primary_jama_2018_0948_domain,MATCH($A5,primary_jama_2018_0948_key,0)),$E5)="internal_nonstatistical",IF($E5="",INDEX(primary_jama_2018_0948_domain,MATCH($A5,primary_jama_2018_0948_key,0)),$E5)="plan_material")))</formula>
    </cfRule>
  </conditionalFormatting>
  <conditionalFormatting sqref="K6">
    <cfRule type="expression" priority="51" dxfId="0" stopIfTrue="1">
      <formula>AND(OR(AND(IF($D6="",INDEX(primary_jama_2018_0948_disposition,MATCH($A6,primary_jama_2018_0948_key,0)),$D6)&lt;&gt;"",IF($D6="",INDEX(primary_jama_2018_0948_disposition,MATCH($A6,primary_jama_2018_0948_key,0)),$D6)&lt;&gt;"retain"),NOT(OR(IF($E6="",INDEX(primary_jama_2018_0948_domain,MATCH($A6,primary_jama_2018_0948_key,0)),$E6)="internal_nonstatistical",IF($E6="",INDEX(primary_jama_2018_0948_domain,MATCH($A6,primary_jama_2018_0948_key,0)),$E6)="plan_material"))),K6&lt;&gt;"",K6&lt;&gt;"not_applicable")</formula>
    </cfRule>
    <cfRule type="expression" priority="52" dxfId="1">
      <formula>OR(AND(IF($D6="",INDEX(primary_jama_2018_0948_disposition,MATCH($A6,primary_jama_2018_0948_key,0)),$D6)&lt;&gt;"",IF($D6="",INDEX(primary_jama_2018_0948_disposition,MATCH($A6,primary_jama_2018_0948_key,0)),$D6)&lt;&gt;"retain"),NOT(OR(IF($E6="",INDEX(primary_jama_2018_0948_domain,MATCH($A6,primary_jama_2018_0948_key,0)),$E6)="internal_nonstatistical",IF($E6="",INDEX(primary_jama_2018_0948_domain,MATCH($A6,primary_jama_2018_0948_key,0)),$E6)="plan_material")))</formula>
    </cfRule>
  </conditionalFormatting>
  <conditionalFormatting sqref="K7">
    <cfRule type="expression" priority="53" dxfId="0" stopIfTrue="1">
      <formula>AND(OR(AND(IF($D7="",INDEX(primary_jama_2018_0948_disposition,MATCH($A7,primary_jama_2018_0948_key,0)),$D7)&lt;&gt;"",IF($D7="",INDEX(primary_jama_2018_0948_disposition,MATCH($A7,primary_jama_2018_0948_key,0)),$D7)&lt;&gt;"retain"),NOT(OR(IF($E7="",INDEX(primary_jama_2018_0948_domain,MATCH($A7,primary_jama_2018_0948_key,0)),$E7)="internal_nonstatistical",IF($E7="",INDEX(primary_jama_2018_0948_domain,MATCH($A7,primary_jama_2018_0948_key,0)),$E7)="plan_material"))),K7&lt;&gt;"",K7&lt;&gt;"not_applicable")</formula>
    </cfRule>
    <cfRule type="expression" priority="54" dxfId="1">
      <formula>OR(AND(IF($D7="",INDEX(primary_jama_2018_0948_disposition,MATCH($A7,primary_jama_2018_0948_key,0)),$D7)&lt;&gt;"",IF($D7="",INDEX(primary_jama_2018_0948_disposition,MATCH($A7,primary_jama_2018_0948_key,0)),$D7)&lt;&gt;"retain"),NOT(OR(IF($E7="",INDEX(primary_jama_2018_0948_domain,MATCH($A7,primary_jama_2018_0948_key,0)),$E7)="internal_nonstatistical",IF($E7="",INDEX(primary_jama_2018_0948_domain,MATCH($A7,primary_jama_2018_0948_key,0)),$E7)="plan_material")))</formula>
    </cfRule>
  </conditionalFormatting>
  <conditionalFormatting sqref="K8">
    <cfRule type="expression" priority="55" dxfId="0" stopIfTrue="1">
      <formula>AND(OR(AND(IF($D8="",INDEX(primary_jama_2018_0948_disposition,MATCH($A8,primary_jama_2018_0948_key,0)),$D8)&lt;&gt;"",IF($D8="",INDEX(primary_jama_2018_0948_disposition,MATCH($A8,primary_jama_2018_0948_key,0)),$D8)&lt;&gt;"retain"),NOT(OR(IF($E8="",INDEX(primary_jama_2018_0948_domain,MATCH($A8,primary_jama_2018_0948_key,0)),$E8)="internal_nonstatistical",IF($E8="",INDEX(primary_jama_2018_0948_domain,MATCH($A8,primary_jama_2018_0948_key,0)),$E8)="plan_material"))),K8&lt;&gt;"",K8&lt;&gt;"not_applicable")</formula>
    </cfRule>
    <cfRule type="expression" priority="56" dxfId="1">
      <formula>OR(AND(IF($D8="",INDEX(primary_jama_2018_0948_disposition,MATCH($A8,primary_jama_2018_0948_key,0)),$D8)&lt;&gt;"",IF($D8="",INDEX(primary_jama_2018_0948_disposition,MATCH($A8,primary_jama_2018_0948_key,0)),$D8)&lt;&gt;"retain"),NOT(OR(IF($E8="",INDEX(primary_jama_2018_0948_domain,MATCH($A8,primary_jama_2018_0948_key,0)),$E8)="internal_nonstatistical",IF($E8="",INDEX(primary_jama_2018_0948_domain,MATCH($A8,primary_jama_2018_0948_key,0)),$E8)="plan_material")))</formula>
    </cfRule>
  </conditionalFormatting>
  <conditionalFormatting sqref="L2">
    <cfRule type="expression" priority="57" dxfId="0" stopIfTrue="1">
      <formula>AND(OR(AND(IF($D2="",INDEX(primary_jama_2018_0948_disposition,MATCH($A2,primary_jama_2018_0948_key,0)),$D2)&lt;&gt;"",IF($D2="",INDEX(primary_jama_2018_0948_disposition,MATCH($A2,primary_jama_2018_0948_key,0)),$D2)&lt;&gt;"retain"),NOT(OR(IF($E2="",INDEX(primary_jama_2018_0948_domain,MATCH($A2,primary_jama_2018_0948_key,0)),$E2)="protocol_report"))),L2&lt;&gt;"",L2&lt;&gt;"not_applicable")</formula>
    </cfRule>
    <cfRule type="expression" priority="58" dxfId="1">
      <formula>OR(AND(IF($D2="",INDEX(primary_jama_2018_0948_disposition,MATCH($A2,primary_jama_2018_0948_key,0)),$D2)&lt;&gt;"",IF($D2="",INDEX(primary_jama_2018_0948_disposition,MATCH($A2,primary_jama_2018_0948_key,0)),$D2)&lt;&gt;"retain"),NOT(OR(IF($E2="",INDEX(primary_jama_2018_0948_domain,MATCH($A2,primary_jama_2018_0948_key,0)),$E2)="protocol_report")))</formula>
    </cfRule>
  </conditionalFormatting>
  <conditionalFormatting sqref="L3">
    <cfRule type="expression" priority="59" dxfId="0" stopIfTrue="1">
      <formula>AND(OR(AND(IF($D3="",INDEX(primary_jama_2018_0948_disposition,MATCH($A3,primary_jama_2018_0948_key,0)),$D3)&lt;&gt;"",IF($D3="",INDEX(primary_jama_2018_0948_disposition,MATCH($A3,primary_jama_2018_0948_key,0)),$D3)&lt;&gt;"retain"),NOT(OR(IF($E3="",INDEX(primary_jama_2018_0948_domain,MATCH($A3,primary_jama_2018_0948_key,0)),$E3)="protocol_report"))),L3&lt;&gt;"",L3&lt;&gt;"not_applicable")</formula>
    </cfRule>
    <cfRule type="expression" priority="60" dxfId="1">
      <formula>OR(AND(IF($D3="",INDEX(primary_jama_2018_0948_disposition,MATCH($A3,primary_jama_2018_0948_key,0)),$D3)&lt;&gt;"",IF($D3="",INDEX(primary_jama_2018_0948_disposition,MATCH($A3,primary_jama_2018_0948_key,0)),$D3)&lt;&gt;"retain"),NOT(OR(IF($E3="",INDEX(primary_jama_2018_0948_domain,MATCH($A3,primary_jama_2018_0948_key,0)),$E3)="protocol_report")))</formula>
    </cfRule>
  </conditionalFormatting>
  <conditionalFormatting sqref="L4">
    <cfRule type="expression" priority="61" dxfId="0" stopIfTrue="1">
      <formula>AND(OR(AND(IF($D4="",INDEX(primary_jama_2018_0948_disposition,MATCH($A4,primary_jama_2018_0948_key,0)),$D4)&lt;&gt;"",IF($D4="",INDEX(primary_jama_2018_0948_disposition,MATCH($A4,primary_jama_2018_0948_key,0)),$D4)&lt;&gt;"retain"),NOT(OR(IF($E4="",INDEX(primary_jama_2018_0948_domain,MATCH($A4,primary_jama_2018_0948_key,0)),$E4)="protocol_report"))),L4&lt;&gt;"",L4&lt;&gt;"not_applicable")</formula>
    </cfRule>
    <cfRule type="expression" priority="62" dxfId="1">
      <formula>OR(AND(IF($D4="",INDEX(primary_jama_2018_0948_disposition,MATCH($A4,primary_jama_2018_0948_key,0)),$D4)&lt;&gt;"",IF($D4="",INDEX(primary_jama_2018_0948_disposition,MATCH($A4,primary_jama_2018_0948_key,0)),$D4)&lt;&gt;"retain"),NOT(OR(IF($E4="",INDEX(primary_jama_2018_0948_domain,MATCH($A4,primary_jama_2018_0948_key,0)),$E4)="protocol_report")))</formula>
    </cfRule>
  </conditionalFormatting>
  <conditionalFormatting sqref="L5">
    <cfRule type="expression" priority="63" dxfId="0" stopIfTrue="1">
      <formula>AND(OR(AND(IF($D5="",INDEX(primary_jama_2018_0948_disposition,MATCH($A5,primary_jama_2018_0948_key,0)),$D5)&lt;&gt;"",IF($D5="",INDEX(primary_jama_2018_0948_disposition,MATCH($A5,primary_jama_2018_0948_key,0)),$D5)&lt;&gt;"retain"),NOT(OR(IF($E5="",INDEX(primary_jama_2018_0948_domain,MATCH($A5,primary_jama_2018_0948_key,0)),$E5)="protocol_report"))),L5&lt;&gt;"",L5&lt;&gt;"not_applicable")</formula>
    </cfRule>
    <cfRule type="expression" priority="64" dxfId="1">
      <formula>OR(AND(IF($D5="",INDEX(primary_jama_2018_0948_disposition,MATCH($A5,primary_jama_2018_0948_key,0)),$D5)&lt;&gt;"",IF($D5="",INDEX(primary_jama_2018_0948_disposition,MATCH($A5,primary_jama_2018_0948_key,0)),$D5)&lt;&gt;"retain"),NOT(OR(IF($E5="",INDEX(primary_jama_2018_0948_domain,MATCH($A5,primary_jama_2018_0948_key,0)),$E5)="protocol_report")))</formula>
    </cfRule>
  </conditionalFormatting>
  <conditionalFormatting sqref="L6">
    <cfRule type="expression" priority="65" dxfId="0" stopIfTrue="1">
      <formula>AND(OR(AND(IF($D6="",INDEX(primary_jama_2018_0948_disposition,MATCH($A6,primary_jama_2018_0948_key,0)),$D6)&lt;&gt;"",IF($D6="",INDEX(primary_jama_2018_0948_disposition,MATCH($A6,primary_jama_2018_0948_key,0)),$D6)&lt;&gt;"retain"),NOT(OR(IF($E6="",INDEX(primary_jama_2018_0948_domain,MATCH($A6,primary_jama_2018_0948_key,0)),$E6)="protocol_report"))),L6&lt;&gt;"",L6&lt;&gt;"not_applicable")</formula>
    </cfRule>
    <cfRule type="expression" priority="66" dxfId="1">
      <formula>OR(AND(IF($D6="",INDEX(primary_jama_2018_0948_disposition,MATCH($A6,primary_jama_2018_0948_key,0)),$D6)&lt;&gt;"",IF($D6="",INDEX(primary_jama_2018_0948_disposition,MATCH($A6,primary_jama_2018_0948_key,0)),$D6)&lt;&gt;"retain"),NOT(OR(IF($E6="",INDEX(primary_jama_2018_0948_domain,MATCH($A6,primary_jama_2018_0948_key,0)),$E6)="protocol_report")))</formula>
    </cfRule>
  </conditionalFormatting>
  <conditionalFormatting sqref="L7">
    <cfRule type="expression" priority="67" dxfId="0" stopIfTrue="1">
      <formula>AND(OR(AND(IF($D7="",INDEX(primary_jama_2018_0948_disposition,MATCH($A7,primary_jama_2018_0948_key,0)),$D7)&lt;&gt;"",IF($D7="",INDEX(primary_jama_2018_0948_disposition,MATCH($A7,primary_jama_2018_0948_key,0)),$D7)&lt;&gt;"retain"),NOT(OR(IF($E7="",INDEX(primary_jama_2018_0948_domain,MATCH($A7,primary_jama_2018_0948_key,0)),$E7)="protocol_report"))),L7&lt;&gt;"",L7&lt;&gt;"not_applicable")</formula>
    </cfRule>
    <cfRule type="expression" priority="68" dxfId="1">
      <formula>OR(AND(IF($D7="",INDEX(primary_jama_2018_0948_disposition,MATCH($A7,primary_jama_2018_0948_key,0)),$D7)&lt;&gt;"",IF($D7="",INDEX(primary_jama_2018_0948_disposition,MATCH($A7,primary_jama_2018_0948_key,0)),$D7)&lt;&gt;"retain"),NOT(OR(IF($E7="",INDEX(primary_jama_2018_0948_domain,MATCH($A7,primary_jama_2018_0948_key,0)),$E7)="protocol_report")))</formula>
    </cfRule>
  </conditionalFormatting>
  <conditionalFormatting sqref="L8">
    <cfRule type="expression" priority="69" dxfId="0" stopIfTrue="1">
      <formula>AND(OR(AND(IF($D8="",INDEX(primary_jama_2018_0948_disposition,MATCH($A8,primary_jama_2018_0948_key,0)),$D8)&lt;&gt;"",IF($D8="",INDEX(primary_jama_2018_0948_disposition,MATCH($A8,primary_jama_2018_0948_key,0)),$D8)&lt;&gt;"retain"),NOT(OR(IF($E8="",INDEX(primary_jama_2018_0948_domain,MATCH($A8,primary_jama_2018_0948_key,0)),$E8)="protocol_report"))),L8&lt;&gt;"",L8&lt;&gt;"not_applicable")</formula>
    </cfRule>
    <cfRule type="expression" priority="70" dxfId="1">
      <formula>OR(AND(IF($D8="",INDEX(primary_jama_2018_0948_disposition,MATCH($A8,primary_jama_2018_0948_key,0)),$D8)&lt;&gt;"",IF($D8="",INDEX(primary_jama_2018_0948_disposition,MATCH($A8,primary_jama_2018_0948_key,0)),$D8)&lt;&gt;"retain"),NOT(OR(IF($E8="",INDEX(primary_jama_2018_0948_domain,MATCH($A8,primary_jama_2018_0948_key,0)),$E8)="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8" showDropDown="0" showInputMessage="1" showErrorMessage="1" allowBlank="1" errorTitle="Invalid option" error="Choose a listed value." promptTitle="Checker result" prompt="See Codebook for meanings." type="list" errorStyle="stop">
      <formula1>opt_checkStatus</formula1>
    </dataValidation>
    <dataValidation sqref="Q2:Q8"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2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2018::jama.2018.14280::C001</t>
        </is>
      </c>
      <c r="B2" s="2" t="inlineStr">
        <is>
          <t>Reversed endpoint in the eTable 2 PEEP interquartile range</t>
        </is>
      </c>
      <c r="C2" s="2" t="inlineStr">
        <is>
          <t>DOC-004, Supplement 3, eTable 2, Other Mode of Ventilation, after titration on randomization day, intermediate arm, PEEP.</t>
        </is>
      </c>
      <c r="D2" s="8" t="inlineStr"/>
      <c r="E2" s="8" t="inlineStr"/>
      <c r="F2" s="8" t="inlineStr">
        <is>
          <t>no</t>
        </is>
      </c>
      <c r="G2" s="2">
        <f>IF(OR(AND(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H2&lt;&gt;"",H2&lt;&gt;"not_applicable"),AND(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I2&lt;&gt;"",I2&lt;&gt;"not_applicable"),AND(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J2&lt;&gt;"",J2&lt;&gt;"not_applicable"),AND(OR(AND(IF($D2="",INDEX(primary_jama_2018_14280_disposition,MATCH($A2,primary_jama_2018_14280_key,0)),$D2)&lt;&gt;"",IF($D2="",INDEX(primary_jama_2018_14280_disposition,MATCH($A2,primary_jama_2018_14280_key,0)),$D2)&lt;&gt;"retain"),NOT(OR(IF($E2="",INDEX(primary_jama_2018_14280_domain,MATCH($A2,primary_jama_2018_14280_key,0)),$E2)="internal_nonstatistical",IF($E2="",INDEX(primary_jama_2018_14280_domain,MATCH($A2,primary_jama_2018_14280_key,0)),$E2)="plan_material"))),K2&lt;&gt;"",K2&lt;&gt;"not_applicable"),AND(OR(AND(IF($D2="",INDEX(primary_jama_2018_14280_disposition,MATCH($A2,primary_jama_2018_14280_key,0)),$D2)&lt;&gt;"",IF($D2="",INDEX(primary_jama_2018_14280_disposition,MATCH($A2,primary_jama_2018_14280_key,0)),$D2)&lt;&gt;"retain"),NOT(OR(IF($E2="",INDEX(primary_jama_2018_14280_domain,MATCH($A2,primary_jama_2018_14280_key,0)),$E2)="protocol_report"))),L2&lt;&gt;"",L2&lt;&gt;"not_applicable")),"CLEAR INACTIVE VALUES",IF(O2="","PENDING",IF(AND(O2&lt;&gt;"agree",LEN(TRIM(P2))=0),"COMMENT NEEDED",IF(F2="yes","CHECKED - see resolution","DRAFT"))))</f>
        <v/>
      </c>
      <c r="H2" s="8">
        <f>IF(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not_applicable","")</f>
        <v/>
      </c>
      <c r="I2" s="8">
        <f>IF(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not_applicable","")</f>
        <v/>
      </c>
      <c r="J2" s="9">
        <f>IF(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not_applicable","")</f>
        <v/>
      </c>
      <c r="K2" s="8">
        <f>IF(OR(AND(IF($D2="",INDEX(primary_jama_2018_14280_disposition,MATCH($A2,primary_jama_2018_14280_key,0)),$D2)&lt;&gt;"",IF($D2="",INDEX(primary_jama_2018_14280_disposition,MATCH($A2,primary_jama_2018_14280_key,0)),$D2)&lt;&gt;"retain"),NOT(OR(IF($E2="",INDEX(primary_jama_2018_14280_domain,MATCH($A2,primary_jama_2018_14280_key,0)),$E2)="internal_nonstatistical",IF($E2="",INDEX(primary_jama_2018_14280_domain,MATCH($A2,primary_jama_2018_14280_key,0)),$E2)="plan_material"))),"not_applicable","")</f>
        <v/>
      </c>
      <c r="L2" s="9">
        <f>IF(OR(AND(IF($D2="",INDEX(primary_jama_2018_14280_disposition,MATCH($A2,primary_jama_2018_14280_key,0)),$D2)&lt;&gt;"",IF($D2="",INDEX(primary_jama_2018_14280_disposition,MATCH($A2,primary_jama_2018_14280_key,0)),$D2)&lt;&gt;"retain"),NOT(OR(IF($E2="",INDEX(primary_jama_2018_14280_domain,MATCH($A2,primary_jama_2018_14280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2018::jama.2018.14280::C002</t>
        </is>
      </c>
      <c r="B3" s="3" t="inlineStr">
        <is>
          <t>At-risk-for-ARDS percentages use undisclosed denominators</t>
        </is>
      </c>
      <c r="C3" s="3" t="inlineStr">
        <is>
          <t>DOC-001, Table 1, Patients at risk for ARDS, low and intermediate arms.</t>
        </is>
      </c>
      <c r="D3" s="8" t="inlineStr"/>
      <c r="E3" s="8" t="inlineStr"/>
      <c r="F3" s="8" t="inlineStr">
        <is>
          <t>no</t>
        </is>
      </c>
      <c r="G3" s="3">
        <f>IF(OR(AND(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H3&lt;&gt;"",H3&lt;&gt;"not_applicable"),AND(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I3&lt;&gt;"",I3&lt;&gt;"not_applicable"),AND(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J3&lt;&gt;"",J3&lt;&gt;"not_applicable"),AND(OR(AND(IF($D3="",INDEX(primary_jama_2018_14280_disposition,MATCH($A3,primary_jama_2018_14280_key,0)),$D3)&lt;&gt;"",IF($D3="",INDEX(primary_jama_2018_14280_disposition,MATCH($A3,primary_jama_2018_14280_key,0)),$D3)&lt;&gt;"retain"),NOT(OR(IF($E3="",INDEX(primary_jama_2018_14280_domain,MATCH($A3,primary_jama_2018_14280_key,0)),$E3)="internal_nonstatistical",IF($E3="",INDEX(primary_jama_2018_14280_domain,MATCH($A3,primary_jama_2018_14280_key,0)),$E3)="plan_material"))),K3&lt;&gt;"",K3&lt;&gt;"not_applicable"),AND(OR(AND(IF($D3="",INDEX(primary_jama_2018_14280_disposition,MATCH($A3,primary_jama_2018_14280_key,0)),$D3)&lt;&gt;"",IF($D3="",INDEX(primary_jama_2018_14280_disposition,MATCH($A3,primary_jama_2018_14280_key,0)),$D3)&lt;&gt;"retain"),NOT(OR(IF($E3="",INDEX(primary_jama_2018_14280_domain,MATCH($A3,primary_jama_2018_14280_key,0)),$E3)="protocol_report"))),L3&lt;&gt;"",L3&lt;&gt;"not_applicable")),"CLEAR INACTIVE VALUES",IF(O3="","PENDING",IF(AND(O3&lt;&gt;"agree",LEN(TRIM(P3))=0),"COMMENT NEEDED",IF(F3="yes","CHECKED - see resolution","DRAFT"))))</f>
        <v/>
      </c>
      <c r="H3" s="8">
        <f>IF(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not_applicable","")</f>
        <v/>
      </c>
      <c r="I3" s="8">
        <f>IF(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not_applicable","")</f>
        <v/>
      </c>
      <c r="J3" s="9">
        <f>IF(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not_applicable","")</f>
        <v/>
      </c>
      <c r="K3" s="8">
        <f>IF(OR(AND(IF($D3="",INDEX(primary_jama_2018_14280_disposition,MATCH($A3,primary_jama_2018_14280_key,0)),$D3)&lt;&gt;"",IF($D3="",INDEX(primary_jama_2018_14280_disposition,MATCH($A3,primary_jama_2018_14280_key,0)),$D3)&lt;&gt;"retain"),NOT(OR(IF($E3="",INDEX(primary_jama_2018_14280_domain,MATCH($A3,primary_jama_2018_14280_key,0)),$E3)="internal_nonstatistical",IF($E3="",INDEX(primary_jama_2018_14280_domain,MATCH($A3,primary_jama_2018_14280_key,0)),$E3)="plan_material"))),"not_applicable","")</f>
        <v/>
      </c>
      <c r="L3" s="9">
        <f>IF(OR(AND(IF($D3="",INDEX(primary_jama_2018_14280_disposition,MATCH($A3,primary_jama_2018_14280_key,0)),$D3)&lt;&gt;"",IF($D3="",INDEX(primary_jama_2018_14280_disposition,MATCH($A3,primary_jama_2018_14280_key,0)),$D3)&lt;&gt;"retain"),NOT(OR(IF($E3="",INDEX(primary_jama_2018_14280_domain,MATCH($A3,primary_jama_2018_14280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2018::jama.2018.14280::C003</t>
        </is>
      </c>
      <c r="B4" s="2" t="inlineStr">
        <is>
          <t>Septic-shock percentages use undisclosed denominators</t>
        </is>
      </c>
      <c r="C4" s="2" t="inlineStr">
        <is>
          <t>DOC-001, Table 1, Septic shock, low and intermediate arms.</t>
        </is>
      </c>
      <c r="D4" s="8" t="inlineStr"/>
      <c r="E4" s="8" t="inlineStr"/>
      <c r="F4" s="8" t="inlineStr">
        <is>
          <t>no</t>
        </is>
      </c>
      <c r="G4" s="2">
        <f>IF(OR(AND(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H4&lt;&gt;"",H4&lt;&gt;"not_applicable"),AND(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I4&lt;&gt;"",I4&lt;&gt;"not_applicable"),AND(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J4&lt;&gt;"",J4&lt;&gt;"not_applicable"),AND(OR(AND(IF($D4="",INDEX(primary_jama_2018_14280_disposition,MATCH($A4,primary_jama_2018_14280_key,0)),$D4)&lt;&gt;"",IF($D4="",INDEX(primary_jama_2018_14280_disposition,MATCH($A4,primary_jama_2018_14280_key,0)),$D4)&lt;&gt;"retain"),NOT(OR(IF($E4="",INDEX(primary_jama_2018_14280_domain,MATCH($A4,primary_jama_2018_14280_key,0)),$E4)="internal_nonstatistical",IF($E4="",INDEX(primary_jama_2018_14280_domain,MATCH($A4,primary_jama_2018_14280_key,0)),$E4)="plan_material"))),K4&lt;&gt;"",K4&lt;&gt;"not_applicable"),AND(OR(AND(IF($D4="",INDEX(primary_jama_2018_14280_disposition,MATCH($A4,primary_jama_2018_14280_key,0)),$D4)&lt;&gt;"",IF($D4="",INDEX(primary_jama_2018_14280_disposition,MATCH($A4,primary_jama_2018_14280_key,0)),$D4)&lt;&gt;"retain"),NOT(OR(IF($E4="",INDEX(primary_jama_2018_14280_domain,MATCH($A4,primary_jama_2018_14280_key,0)),$E4)="protocol_report"))),L4&lt;&gt;"",L4&lt;&gt;"not_applicable")),"CLEAR INACTIVE VALUES",IF(O4="","PENDING",IF(AND(O4&lt;&gt;"agree",LEN(TRIM(P4))=0),"COMMENT NEEDED",IF(F4="yes","CHECKED - see resolution","DRAFT"))))</f>
        <v/>
      </c>
      <c r="H4" s="8">
        <f>IF(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not_applicable","")</f>
        <v/>
      </c>
      <c r="I4" s="8">
        <f>IF(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not_applicable","")</f>
        <v/>
      </c>
      <c r="J4" s="9">
        <f>IF(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not_applicable","")</f>
        <v/>
      </c>
      <c r="K4" s="8">
        <f>IF(OR(AND(IF($D4="",INDEX(primary_jama_2018_14280_disposition,MATCH($A4,primary_jama_2018_14280_key,0)),$D4)&lt;&gt;"",IF($D4="",INDEX(primary_jama_2018_14280_disposition,MATCH($A4,primary_jama_2018_14280_key,0)),$D4)&lt;&gt;"retain"),NOT(OR(IF($E4="",INDEX(primary_jama_2018_14280_domain,MATCH($A4,primary_jama_2018_14280_key,0)),$E4)="internal_nonstatistical",IF($E4="",INDEX(primary_jama_2018_14280_domain,MATCH($A4,primary_jama_2018_14280_key,0)),$E4)="plan_material"))),"not_applicable","")</f>
        <v/>
      </c>
      <c r="L4" s="9">
        <f>IF(OR(AND(IF($D4="",INDEX(primary_jama_2018_14280_disposition,MATCH($A4,primary_jama_2018_14280_key,0)),$D4)&lt;&gt;"",IF($D4="",INDEX(primary_jama_2018_14280_disposition,MATCH($A4,primary_jama_2018_14280_key,0)),$D4)&lt;&gt;"retain"),NOT(OR(IF($E4="",INDEX(primary_jama_2018_14280_domain,MATCH($A4,primary_jama_2018_14280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2018::jama.2018.14280::C004</t>
        </is>
      </c>
      <c r="B5" s="3" t="inlineStr">
        <is>
          <t>Tobacco-use categories use undisclosed denominators</t>
        </is>
      </c>
      <c r="C5" s="3" t="inlineStr">
        <is>
          <t>DOC-001, Table 1, Patient tobacco use, both arms.</t>
        </is>
      </c>
      <c r="D5" s="8" t="inlineStr"/>
      <c r="E5" s="8" t="inlineStr"/>
      <c r="F5" s="8" t="inlineStr">
        <is>
          <t>no</t>
        </is>
      </c>
      <c r="G5" s="3">
        <f>IF(OR(AND(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H5&lt;&gt;"",H5&lt;&gt;"not_applicable"),AND(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I5&lt;&gt;"",I5&lt;&gt;"not_applicable"),AND(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J5&lt;&gt;"",J5&lt;&gt;"not_applicable"),AND(OR(AND(IF($D5="",INDEX(primary_jama_2018_14280_disposition,MATCH($A5,primary_jama_2018_14280_key,0)),$D5)&lt;&gt;"",IF($D5="",INDEX(primary_jama_2018_14280_disposition,MATCH($A5,primary_jama_2018_14280_key,0)),$D5)&lt;&gt;"retain"),NOT(OR(IF($E5="",INDEX(primary_jama_2018_14280_domain,MATCH($A5,primary_jama_2018_14280_key,0)),$E5)="internal_nonstatistical",IF($E5="",INDEX(primary_jama_2018_14280_domain,MATCH($A5,primary_jama_2018_14280_key,0)),$E5)="plan_material"))),K5&lt;&gt;"",K5&lt;&gt;"not_applicable"),AND(OR(AND(IF($D5="",INDEX(primary_jama_2018_14280_disposition,MATCH($A5,primary_jama_2018_14280_key,0)),$D5)&lt;&gt;"",IF($D5="",INDEX(primary_jama_2018_14280_disposition,MATCH($A5,primary_jama_2018_14280_key,0)),$D5)&lt;&gt;"retain"),NOT(OR(IF($E5="",INDEX(primary_jama_2018_14280_domain,MATCH($A5,primary_jama_2018_14280_key,0)),$E5)="protocol_report"))),L5&lt;&gt;"",L5&lt;&gt;"not_applicable")),"CLEAR INACTIVE VALUES",IF(O5="","PENDING",IF(AND(O5&lt;&gt;"agree",LEN(TRIM(P5))=0),"COMMENT NEEDED",IF(F5="yes","CHECKED - see resolution","DRAFT"))))</f>
        <v/>
      </c>
      <c r="H5" s="8">
        <f>IF(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not_applicable","")</f>
        <v/>
      </c>
      <c r="I5" s="8">
        <f>IF(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not_applicable","")</f>
        <v/>
      </c>
      <c r="J5" s="9">
        <f>IF(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not_applicable","")</f>
        <v/>
      </c>
      <c r="K5" s="8">
        <f>IF(OR(AND(IF($D5="",INDEX(primary_jama_2018_14280_disposition,MATCH($A5,primary_jama_2018_14280_key,0)),$D5)&lt;&gt;"",IF($D5="",INDEX(primary_jama_2018_14280_disposition,MATCH($A5,primary_jama_2018_14280_key,0)),$D5)&lt;&gt;"retain"),NOT(OR(IF($E5="",INDEX(primary_jama_2018_14280_domain,MATCH($A5,primary_jama_2018_14280_key,0)),$E5)="internal_nonstatistical",IF($E5="",INDEX(primary_jama_2018_14280_domain,MATCH($A5,primary_jama_2018_14280_key,0)),$E5)="plan_material"))),"not_applicable","")</f>
        <v/>
      </c>
      <c r="L5" s="9">
        <f>IF(OR(AND(IF($D5="",INDEX(primary_jama_2018_14280_disposition,MATCH($A5,primary_jama_2018_14280_key,0)),$D5)&lt;&gt;"",IF($D5="",INDEX(primary_jama_2018_14280_disposition,MATCH($A5,primary_jama_2018_14280_key,0)),$D5)&lt;&gt;"retain"),NOT(OR(IF($E5="",INDEX(primary_jama_2018_14280_domain,MATCH($A5,primary_jama_2018_14280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2018::jama.2018.14280::C005</t>
        </is>
      </c>
      <c r="B6" s="2" t="inlineStr">
        <is>
          <t>Alcohol-use categories use undisclosed denominators</t>
        </is>
      </c>
      <c r="C6" s="2" t="inlineStr">
        <is>
          <t>DOC-001, Table 1, Patient alcohol use, both arms.</t>
        </is>
      </c>
      <c r="D6" s="8" t="inlineStr"/>
      <c r="E6" s="8" t="inlineStr"/>
      <c r="F6" s="8" t="inlineStr">
        <is>
          <t>no</t>
        </is>
      </c>
      <c r="G6" s="2">
        <f>IF(OR(AND(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H6&lt;&gt;"",H6&lt;&gt;"not_applicable"),AND(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I6&lt;&gt;"",I6&lt;&gt;"not_applicable"),AND(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J6&lt;&gt;"",J6&lt;&gt;"not_applicable"),AND(OR(AND(IF($D6="",INDEX(primary_jama_2018_14280_disposition,MATCH($A6,primary_jama_2018_14280_key,0)),$D6)&lt;&gt;"",IF($D6="",INDEX(primary_jama_2018_14280_disposition,MATCH($A6,primary_jama_2018_14280_key,0)),$D6)&lt;&gt;"retain"),NOT(OR(IF($E6="",INDEX(primary_jama_2018_14280_domain,MATCH($A6,primary_jama_2018_14280_key,0)),$E6)="internal_nonstatistical",IF($E6="",INDEX(primary_jama_2018_14280_domain,MATCH($A6,primary_jama_2018_14280_key,0)),$E6)="plan_material"))),K6&lt;&gt;"",K6&lt;&gt;"not_applicable"),AND(OR(AND(IF($D6="",INDEX(primary_jama_2018_14280_disposition,MATCH($A6,primary_jama_2018_14280_key,0)),$D6)&lt;&gt;"",IF($D6="",INDEX(primary_jama_2018_14280_disposition,MATCH($A6,primary_jama_2018_14280_key,0)),$D6)&lt;&gt;"retain"),NOT(OR(IF($E6="",INDEX(primary_jama_2018_14280_domain,MATCH($A6,primary_jama_2018_14280_key,0)),$E6)="protocol_report"))),L6&lt;&gt;"",L6&lt;&gt;"not_applicable")),"CLEAR INACTIVE VALUES",IF(O6="","PENDING",IF(AND(O6&lt;&gt;"agree",LEN(TRIM(P6))=0),"COMMENT NEEDED",IF(F6="yes","CHECKED - see resolution","DRAFT"))))</f>
        <v/>
      </c>
      <c r="H6" s="8">
        <f>IF(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not_applicable","")</f>
        <v/>
      </c>
      <c r="I6" s="8">
        <f>IF(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not_applicable","")</f>
        <v/>
      </c>
      <c r="J6" s="9">
        <f>IF(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not_applicable","")</f>
        <v/>
      </c>
      <c r="K6" s="8">
        <f>IF(OR(AND(IF($D6="",INDEX(primary_jama_2018_14280_disposition,MATCH($A6,primary_jama_2018_14280_key,0)),$D6)&lt;&gt;"",IF($D6="",INDEX(primary_jama_2018_14280_disposition,MATCH($A6,primary_jama_2018_14280_key,0)),$D6)&lt;&gt;"retain"),NOT(OR(IF($E6="",INDEX(primary_jama_2018_14280_domain,MATCH($A6,primary_jama_2018_14280_key,0)),$E6)="internal_nonstatistical",IF($E6="",INDEX(primary_jama_2018_14280_domain,MATCH($A6,primary_jama_2018_14280_key,0)),$E6)="plan_material"))),"not_applicable","")</f>
        <v/>
      </c>
      <c r="L6" s="9">
        <f>IF(OR(AND(IF($D6="",INDEX(primary_jama_2018_14280_disposition,MATCH($A6,primary_jama_2018_14280_key,0)),$D6)&lt;&gt;"",IF($D6="",INDEX(primary_jama_2018_14280_disposition,MATCH($A6,primary_jama_2018_14280_key,0)),$D6)&lt;&gt;"retain"),NOT(OR(IF($E6="",INDEX(primary_jama_2018_14280_domain,MATCH($A6,primary_jama_2018_14280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2018::jama.2018.14280::C006</t>
        </is>
      </c>
      <c r="B7" s="3" t="inlineStr">
        <is>
          <t>ICU-admission categories use undisclosed denominators</t>
        </is>
      </c>
      <c r="C7" s="3" t="inlineStr">
        <is>
          <t>DOC-001, Table 1, Reason for ICU admission, both arms.</t>
        </is>
      </c>
      <c r="D7" s="8" t="inlineStr"/>
      <c r="E7" s="8" t="inlineStr"/>
      <c r="F7" s="8" t="inlineStr">
        <is>
          <t>no</t>
        </is>
      </c>
      <c r="G7" s="3">
        <f>IF(OR(AND(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H7&lt;&gt;"",H7&lt;&gt;"not_applicable"),AND(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I7&lt;&gt;"",I7&lt;&gt;"not_applicable"),AND(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J7&lt;&gt;"",J7&lt;&gt;"not_applicable"),AND(OR(AND(IF($D7="",INDEX(primary_jama_2018_14280_disposition,MATCH($A7,primary_jama_2018_14280_key,0)),$D7)&lt;&gt;"",IF($D7="",INDEX(primary_jama_2018_14280_disposition,MATCH($A7,primary_jama_2018_14280_key,0)),$D7)&lt;&gt;"retain"),NOT(OR(IF($E7="",INDEX(primary_jama_2018_14280_domain,MATCH($A7,primary_jama_2018_14280_key,0)),$E7)="internal_nonstatistical",IF($E7="",INDEX(primary_jama_2018_14280_domain,MATCH($A7,primary_jama_2018_14280_key,0)),$E7)="plan_material"))),K7&lt;&gt;"",K7&lt;&gt;"not_applicable"),AND(OR(AND(IF($D7="",INDEX(primary_jama_2018_14280_disposition,MATCH($A7,primary_jama_2018_14280_key,0)),$D7)&lt;&gt;"",IF($D7="",INDEX(primary_jama_2018_14280_disposition,MATCH($A7,primary_jama_2018_14280_key,0)),$D7)&lt;&gt;"retain"),NOT(OR(IF($E7="",INDEX(primary_jama_2018_14280_domain,MATCH($A7,primary_jama_2018_14280_key,0)),$E7)="protocol_report"))),L7&lt;&gt;"",L7&lt;&gt;"not_applicable")),"CLEAR INACTIVE VALUES",IF(O7="","PENDING",IF(AND(O7&lt;&gt;"agree",LEN(TRIM(P7))=0),"COMMENT NEEDED",IF(F7="yes","CHECKED - see resolution","DRAFT"))))</f>
        <v/>
      </c>
      <c r="H7" s="8">
        <f>IF(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not_applicable","")</f>
        <v/>
      </c>
      <c r="I7" s="8">
        <f>IF(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not_applicable","")</f>
        <v/>
      </c>
      <c r="J7" s="9">
        <f>IF(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not_applicable","")</f>
        <v/>
      </c>
      <c r="K7" s="8">
        <f>IF(OR(AND(IF($D7="",INDEX(primary_jama_2018_14280_disposition,MATCH($A7,primary_jama_2018_14280_key,0)),$D7)&lt;&gt;"",IF($D7="",INDEX(primary_jama_2018_14280_disposition,MATCH($A7,primary_jama_2018_14280_key,0)),$D7)&lt;&gt;"retain"),NOT(OR(IF($E7="",INDEX(primary_jama_2018_14280_domain,MATCH($A7,primary_jama_2018_14280_key,0)),$E7)="internal_nonstatistical",IF($E7="",INDEX(primary_jama_2018_14280_domain,MATCH($A7,primary_jama_2018_14280_key,0)),$E7)="plan_material"))),"not_applicable","")</f>
        <v/>
      </c>
      <c r="L7" s="9">
        <f>IF(OR(AND(IF($D7="",INDEX(primary_jama_2018_14280_disposition,MATCH($A7,primary_jama_2018_14280_key,0)),$D7)&lt;&gt;"",IF($D7="",INDEX(primary_jama_2018_14280_disposition,MATCH($A7,primary_jama_2018_14280_key,0)),$D7)&lt;&gt;"retain"),NOT(OR(IF($E7="",INDEX(primary_jama_2018_14280_domain,MATCH($A7,primary_jama_2018_14280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2018::jama.2018.14280::C007</t>
        </is>
      </c>
      <c r="B8" s="2" t="inlineStr">
        <is>
          <t>Sedative-infusion percentages omit effective denominators</t>
        </is>
      </c>
      <c r="C8" s="2" t="inlineStr">
        <is>
          <t>DOC-004, Supplement 3, eTable 4, Sedative infusion.</t>
        </is>
      </c>
      <c r="D8" s="8" t="inlineStr"/>
      <c r="E8" s="8" t="inlineStr"/>
      <c r="F8" s="8" t="inlineStr">
        <is>
          <t>no</t>
        </is>
      </c>
      <c r="G8" s="2">
        <f>IF(OR(AND(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H8&lt;&gt;"",H8&lt;&gt;"not_applicable"),AND(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I8&lt;&gt;"",I8&lt;&gt;"not_applicable"),AND(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J8&lt;&gt;"",J8&lt;&gt;"not_applicable"),AND(OR(AND(IF($D8="",INDEX(primary_jama_2018_14280_disposition,MATCH($A8,primary_jama_2018_14280_key,0)),$D8)&lt;&gt;"",IF($D8="",INDEX(primary_jama_2018_14280_disposition,MATCH($A8,primary_jama_2018_14280_key,0)),$D8)&lt;&gt;"retain"),NOT(OR(IF($E8="",INDEX(primary_jama_2018_14280_domain,MATCH($A8,primary_jama_2018_14280_key,0)),$E8)="internal_nonstatistical",IF($E8="",INDEX(primary_jama_2018_14280_domain,MATCH($A8,primary_jama_2018_14280_key,0)),$E8)="plan_material"))),K8&lt;&gt;"",K8&lt;&gt;"not_applicable"),AND(OR(AND(IF($D8="",INDEX(primary_jama_2018_14280_disposition,MATCH($A8,primary_jama_2018_14280_key,0)),$D8)&lt;&gt;"",IF($D8="",INDEX(primary_jama_2018_14280_disposition,MATCH($A8,primary_jama_2018_14280_key,0)),$D8)&lt;&gt;"retain"),NOT(OR(IF($E8="",INDEX(primary_jama_2018_14280_domain,MATCH($A8,primary_jama_2018_14280_key,0)),$E8)="protocol_report"))),L8&lt;&gt;"",L8&lt;&gt;"not_applicable")),"CLEAR INACTIVE VALUES",IF(O8="","PENDING",IF(AND(O8&lt;&gt;"agree",LEN(TRIM(P8))=0),"COMMENT NEEDED",IF(F8="yes","CHECKED - see resolution","DRAFT"))))</f>
        <v/>
      </c>
      <c r="H8" s="8">
        <f>IF(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not_applicable","")</f>
        <v/>
      </c>
      <c r="I8" s="8">
        <f>IF(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not_applicable","")</f>
        <v/>
      </c>
      <c r="J8" s="9">
        <f>IF(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not_applicable","")</f>
        <v/>
      </c>
      <c r="K8" s="8">
        <f>IF(OR(AND(IF($D8="",INDEX(primary_jama_2018_14280_disposition,MATCH($A8,primary_jama_2018_14280_key,0)),$D8)&lt;&gt;"",IF($D8="",INDEX(primary_jama_2018_14280_disposition,MATCH($A8,primary_jama_2018_14280_key,0)),$D8)&lt;&gt;"retain"),NOT(OR(IF($E8="",INDEX(primary_jama_2018_14280_domain,MATCH($A8,primary_jama_2018_14280_key,0)),$E8)="internal_nonstatistical",IF($E8="",INDEX(primary_jama_2018_14280_domain,MATCH($A8,primary_jama_2018_14280_key,0)),$E8)="plan_material"))),"not_applicable","")</f>
        <v/>
      </c>
      <c r="L8" s="9">
        <f>IF(OR(AND(IF($D8="",INDEX(primary_jama_2018_14280_disposition,MATCH($A8,primary_jama_2018_14280_key,0)),$D8)&lt;&gt;"",IF($D8="",INDEX(primary_jama_2018_14280_disposition,MATCH($A8,primary_jama_2018_14280_key,0)),$D8)&lt;&gt;"retain"),NOT(OR(IF($E8="",INDEX(primary_jama_2018_14280_domain,MATCH($A8,primary_jama_2018_14280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2018::jama.2018.14280::C008</t>
        </is>
      </c>
      <c r="B9" s="3" t="inlineStr">
        <is>
          <t>Analgesic-infusion percentages omit effective denominators</t>
        </is>
      </c>
      <c r="C9" s="3" t="inlineStr">
        <is>
          <t>DOC-004, Supplement 3, eTable 4, Analgesic infusion.</t>
        </is>
      </c>
      <c r="D9" s="8" t="inlineStr"/>
      <c r="E9" s="8" t="inlineStr"/>
      <c r="F9" s="8" t="inlineStr">
        <is>
          <t>no</t>
        </is>
      </c>
      <c r="G9" s="3">
        <f>IF(OR(AND(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H9&lt;&gt;"",H9&lt;&gt;"not_applicable"),AND(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I9&lt;&gt;"",I9&lt;&gt;"not_applicable"),AND(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J9&lt;&gt;"",J9&lt;&gt;"not_applicable"),AND(OR(AND(IF($D9="",INDEX(primary_jama_2018_14280_disposition,MATCH($A9,primary_jama_2018_14280_key,0)),$D9)&lt;&gt;"",IF($D9="",INDEX(primary_jama_2018_14280_disposition,MATCH($A9,primary_jama_2018_14280_key,0)),$D9)&lt;&gt;"retain"),NOT(OR(IF($E9="",INDEX(primary_jama_2018_14280_domain,MATCH($A9,primary_jama_2018_14280_key,0)),$E9)="internal_nonstatistical",IF($E9="",INDEX(primary_jama_2018_14280_domain,MATCH($A9,primary_jama_2018_14280_key,0)),$E9)="plan_material"))),K9&lt;&gt;"",K9&lt;&gt;"not_applicable"),AND(OR(AND(IF($D9="",INDEX(primary_jama_2018_14280_disposition,MATCH($A9,primary_jama_2018_14280_key,0)),$D9)&lt;&gt;"",IF($D9="",INDEX(primary_jama_2018_14280_disposition,MATCH($A9,primary_jama_2018_14280_key,0)),$D9)&lt;&gt;"retain"),NOT(OR(IF($E9="",INDEX(primary_jama_2018_14280_domain,MATCH($A9,primary_jama_2018_14280_key,0)),$E9)="protocol_report"))),L9&lt;&gt;"",L9&lt;&gt;"not_applicable")),"CLEAR INACTIVE VALUES",IF(O9="","PENDING",IF(AND(O9&lt;&gt;"agree",LEN(TRIM(P9))=0),"COMMENT NEEDED",IF(F9="yes","CHECKED - see resolution","DRAFT"))))</f>
        <v/>
      </c>
      <c r="H9" s="8">
        <f>IF(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not_applicable","")</f>
        <v/>
      </c>
      <c r="I9" s="8">
        <f>IF(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not_applicable","")</f>
        <v/>
      </c>
      <c r="J9" s="9">
        <f>IF(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not_applicable","")</f>
        <v/>
      </c>
      <c r="K9" s="8">
        <f>IF(OR(AND(IF($D9="",INDEX(primary_jama_2018_14280_disposition,MATCH($A9,primary_jama_2018_14280_key,0)),$D9)&lt;&gt;"",IF($D9="",INDEX(primary_jama_2018_14280_disposition,MATCH($A9,primary_jama_2018_14280_key,0)),$D9)&lt;&gt;"retain"),NOT(OR(IF($E9="",INDEX(primary_jama_2018_14280_domain,MATCH($A9,primary_jama_2018_14280_key,0)),$E9)="internal_nonstatistical",IF($E9="",INDEX(primary_jama_2018_14280_domain,MATCH($A9,primary_jama_2018_14280_key,0)),$E9)="plan_material"))),"not_applicable","")</f>
        <v/>
      </c>
      <c r="L9" s="9">
        <f>IF(OR(AND(IF($D9="",INDEX(primary_jama_2018_14280_disposition,MATCH($A9,primary_jama_2018_14280_key,0)),$D9)&lt;&gt;"",IF($D9="",INDEX(primary_jama_2018_14280_disposition,MATCH($A9,primary_jama_2018_14280_key,0)),$D9)&lt;&gt;"retain"),NOT(OR(IF($E9="",INDEX(primary_jama_2018_14280_domain,MATCH($A9,primary_jama_2018_14280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2018::jama.2018.14280::C009</t>
        </is>
      </c>
      <c r="B10" s="2" t="inlineStr">
        <is>
          <t>Neuromuscular-blockade percentages omit effective denominators</t>
        </is>
      </c>
      <c r="C10" s="2" t="inlineStr">
        <is>
          <t>DOC-004, Supplement 3, eTable 4, Neuromuscular blockade.</t>
        </is>
      </c>
      <c r="D10" s="8" t="inlineStr"/>
      <c r="E10" s="8" t="inlineStr"/>
      <c r="F10" s="8" t="inlineStr">
        <is>
          <t>no</t>
        </is>
      </c>
      <c r="G10" s="2">
        <f>IF(OR(AND(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H10&lt;&gt;"",H10&lt;&gt;"not_applicable"),AND(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I10&lt;&gt;"",I10&lt;&gt;"not_applicable"),AND(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J10&lt;&gt;"",J10&lt;&gt;"not_applicable"),AND(OR(AND(IF($D10="",INDEX(primary_jama_2018_14280_disposition,MATCH($A10,primary_jama_2018_14280_key,0)),$D10)&lt;&gt;"",IF($D10="",INDEX(primary_jama_2018_14280_disposition,MATCH($A10,primary_jama_2018_14280_key,0)),$D10)&lt;&gt;"retain"),NOT(OR(IF($E10="",INDEX(primary_jama_2018_14280_domain,MATCH($A10,primary_jama_2018_14280_key,0)),$E10)="internal_nonstatistical",IF($E10="",INDEX(primary_jama_2018_14280_domain,MATCH($A10,primary_jama_2018_14280_key,0)),$E10)="plan_material"))),K10&lt;&gt;"",K10&lt;&gt;"not_applicable"),AND(OR(AND(IF($D10="",INDEX(primary_jama_2018_14280_disposition,MATCH($A10,primary_jama_2018_14280_key,0)),$D10)&lt;&gt;"",IF($D10="",INDEX(primary_jama_2018_14280_disposition,MATCH($A10,primary_jama_2018_14280_key,0)),$D10)&lt;&gt;"retain"),NOT(OR(IF($E10="",INDEX(primary_jama_2018_14280_domain,MATCH($A10,primary_jama_2018_14280_key,0)),$E10)="protocol_report"))),L10&lt;&gt;"",L10&lt;&gt;"not_applicable")),"CLEAR INACTIVE VALUES",IF(O10="","PENDING",IF(AND(O10&lt;&gt;"agree",LEN(TRIM(P10))=0),"COMMENT NEEDED",IF(F10="yes","CHECKED - see resolution","DRAFT"))))</f>
        <v/>
      </c>
      <c r="H10" s="8">
        <f>IF(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not_applicable","")</f>
        <v/>
      </c>
      <c r="I10" s="8">
        <f>IF(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not_applicable","")</f>
        <v/>
      </c>
      <c r="J10" s="9">
        <f>IF(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not_applicable","")</f>
        <v/>
      </c>
      <c r="K10" s="8">
        <f>IF(OR(AND(IF($D10="",INDEX(primary_jama_2018_14280_disposition,MATCH($A10,primary_jama_2018_14280_key,0)),$D10)&lt;&gt;"",IF($D10="",INDEX(primary_jama_2018_14280_disposition,MATCH($A10,primary_jama_2018_14280_key,0)),$D10)&lt;&gt;"retain"),NOT(OR(IF($E10="",INDEX(primary_jama_2018_14280_domain,MATCH($A10,primary_jama_2018_14280_key,0)),$E10)="internal_nonstatistical",IF($E10="",INDEX(primary_jama_2018_14280_domain,MATCH($A10,primary_jama_2018_14280_key,0)),$E10)="plan_material"))),"not_applicable","")</f>
        <v/>
      </c>
      <c r="L10" s="9">
        <f>IF(OR(AND(IF($D10="",INDEX(primary_jama_2018_14280_disposition,MATCH($A10,primary_jama_2018_14280_key,0)),$D10)&lt;&gt;"",IF($D10="",INDEX(primary_jama_2018_14280_disposition,MATCH($A10,primary_jama_2018_14280_key,0)),$D10)&lt;&gt;"retain"),NOT(OR(IF($E10="",INDEX(primary_jama_2018_14280_domain,MATCH($A10,primary_jama_2018_14280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2018::jama.2018.14280::C010</t>
        </is>
      </c>
      <c r="B11" s="3" t="inlineStr">
        <is>
          <t>Vasopressor-use percentages omit effective denominators</t>
        </is>
      </c>
      <c r="C11" s="3" t="inlineStr">
        <is>
          <t>DOC-004, Supplement 3, eTable 4, Use of vasopressors.</t>
        </is>
      </c>
      <c r="D11" s="8" t="inlineStr"/>
      <c r="E11" s="8" t="inlineStr"/>
      <c r="F11" s="8" t="inlineStr">
        <is>
          <t>no</t>
        </is>
      </c>
      <c r="G11" s="3">
        <f>IF(OR(AND(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H11&lt;&gt;"",H11&lt;&gt;"not_applicable"),AND(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I11&lt;&gt;"",I11&lt;&gt;"not_applicable"),AND(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J11&lt;&gt;"",J11&lt;&gt;"not_applicable"),AND(OR(AND(IF($D11="",INDEX(primary_jama_2018_14280_disposition,MATCH($A11,primary_jama_2018_14280_key,0)),$D11)&lt;&gt;"",IF($D11="",INDEX(primary_jama_2018_14280_disposition,MATCH($A11,primary_jama_2018_14280_key,0)),$D11)&lt;&gt;"retain"),NOT(OR(IF($E11="",INDEX(primary_jama_2018_14280_domain,MATCH($A11,primary_jama_2018_14280_key,0)),$E11)="internal_nonstatistical",IF($E11="",INDEX(primary_jama_2018_14280_domain,MATCH($A11,primary_jama_2018_14280_key,0)),$E11)="plan_material"))),K11&lt;&gt;"",K11&lt;&gt;"not_applicable"),AND(OR(AND(IF($D11="",INDEX(primary_jama_2018_14280_disposition,MATCH($A11,primary_jama_2018_14280_key,0)),$D11)&lt;&gt;"",IF($D11="",INDEX(primary_jama_2018_14280_disposition,MATCH($A11,primary_jama_2018_14280_key,0)),$D11)&lt;&gt;"retain"),NOT(OR(IF($E11="",INDEX(primary_jama_2018_14280_domain,MATCH($A11,primary_jama_2018_14280_key,0)),$E11)="protocol_report"))),L11&lt;&gt;"",L11&lt;&gt;"not_applicable")),"CLEAR INACTIVE VALUES",IF(O11="","PENDING",IF(AND(O11&lt;&gt;"agree",LEN(TRIM(P11))=0),"COMMENT NEEDED",IF(F11="yes","CHECKED - see resolution","DRAFT"))))</f>
        <v/>
      </c>
      <c r="H11" s="8">
        <f>IF(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not_applicable","")</f>
        <v/>
      </c>
      <c r="I11" s="8">
        <f>IF(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not_applicable","")</f>
        <v/>
      </c>
      <c r="J11" s="9">
        <f>IF(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not_applicable","")</f>
        <v/>
      </c>
      <c r="K11" s="8">
        <f>IF(OR(AND(IF($D11="",INDEX(primary_jama_2018_14280_disposition,MATCH($A11,primary_jama_2018_14280_key,0)),$D11)&lt;&gt;"",IF($D11="",INDEX(primary_jama_2018_14280_disposition,MATCH($A11,primary_jama_2018_14280_key,0)),$D11)&lt;&gt;"retain"),NOT(OR(IF($E11="",INDEX(primary_jama_2018_14280_domain,MATCH($A11,primary_jama_2018_14280_key,0)),$E11)="internal_nonstatistical",IF($E11="",INDEX(primary_jama_2018_14280_domain,MATCH($A11,primary_jama_2018_14280_key,0)),$E11)="plan_material"))),"not_applicable","")</f>
        <v/>
      </c>
      <c r="L11" s="9">
        <f>IF(OR(AND(IF($D11="",INDEX(primary_jama_2018_14280_disposition,MATCH($A11,primary_jama_2018_14280_key,0)),$D11)&lt;&gt;"",IF($D11="",INDEX(primary_jama_2018_14280_disposition,MATCH($A11,primary_jama_2018_14280_key,0)),$D11)&lt;&gt;"retain"),NOT(OR(IF($E11="",INDEX(primary_jama_2018_14280_domain,MATCH($A11,primary_jama_2018_14280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2018::jama.2018.14280::C011</t>
        </is>
      </c>
      <c r="B12" s="2" t="inlineStr">
        <is>
          <t>Mortality effect-measure wording conflicts with Table 2 and the SAP</t>
        </is>
      </c>
      <c r="C12" s="2" t="inlineStr">
        <is>
          <t>DOC-001 Statistical Analysis and Table 2/footnotes; DOC-003 SAP secondary outcomes.</t>
        </is>
      </c>
      <c r="D12" s="8" t="inlineStr"/>
      <c r="E12" s="8" t="inlineStr"/>
      <c r="F12" s="8" t="inlineStr">
        <is>
          <t>no</t>
        </is>
      </c>
      <c r="G12" s="2">
        <f>IF(OR(AND(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H12&lt;&gt;"",H12&lt;&gt;"not_applicable"),AND(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I12&lt;&gt;"",I12&lt;&gt;"not_applicable"),AND(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J12&lt;&gt;"",J12&lt;&gt;"not_applicable"),AND(OR(AND(IF($D12="",INDEX(primary_jama_2018_14280_disposition,MATCH($A12,primary_jama_2018_14280_key,0)),$D12)&lt;&gt;"",IF($D12="",INDEX(primary_jama_2018_14280_disposition,MATCH($A12,primary_jama_2018_14280_key,0)),$D12)&lt;&gt;"retain"),NOT(OR(IF($E12="",INDEX(primary_jama_2018_14280_domain,MATCH($A12,primary_jama_2018_14280_key,0)),$E12)="internal_nonstatistical",IF($E12="",INDEX(primary_jama_2018_14280_domain,MATCH($A12,primary_jama_2018_14280_key,0)),$E12)="plan_material"))),K12&lt;&gt;"",K12&lt;&gt;"not_applicable"),AND(OR(AND(IF($D12="",INDEX(primary_jama_2018_14280_disposition,MATCH($A12,primary_jama_2018_14280_key,0)),$D12)&lt;&gt;"",IF($D12="",INDEX(primary_jama_2018_14280_disposition,MATCH($A12,primary_jama_2018_14280_key,0)),$D12)&lt;&gt;"retain"),NOT(OR(IF($E12="",INDEX(primary_jama_2018_14280_domain,MATCH($A12,primary_jama_2018_14280_key,0)),$E12)="protocol_report"))),L12&lt;&gt;"",L12&lt;&gt;"not_applicable")),"CLEAR INACTIVE VALUES",IF(O12="","PENDING",IF(AND(O12&lt;&gt;"agree",LEN(TRIM(P12))=0),"COMMENT NEEDED",IF(F12="yes","CHECKED - see resolution","DRAFT"))))</f>
        <v/>
      </c>
      <c r="H12" s="8">
        <f>IF(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not_applicable","")</f>
        <v/>
      </c>
      <c r="I12" s="8">
        <f>IF(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not_applicable","")</f>
        <v/>
      </c>
      <c r="J12" s="9">
        <f>IF(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not_applicable","")</f>
        <v/>
      </c>
      <c r="K12" s="8">
        <f>IF(OR(AND(IF($D12="",INDEX(primary_jama_2018_14280_disposition,MATCH($A12,primary_jama_2018_14280_key,0)),$D12)&lt;&gt;"",IF($D12="",INDEX(primary_jama_2018_14280_disposition,MATCH($A12,primary_jama_2018_14280_key,0)),$D12)&lt;&gt;"retain"),NOT(OR(IF($E12="",INDEX(primary_jama_2018_14280_domain,MATCH($A12,primary_jama_2018_14280_key,0)),$E12)="internal_nonstatistical",IF($E12="",INDEX(primary_jama_2018_14280_domain,MATCH($A12,primary_jama_2018_14280_key,0)),$E12)="plan_material"))),"not_applicable","")</f>
        <v/>
      </c>
      <c r="L12" s="9">
        <f>IF(OR(AND(IF($D12="",INDEX(primary_jama_2018_14280_disposition,MATCH($A12,primary_jama_2018_14280_key,0)),$D12)&lt;&gt;"",IF($D12="",INDEX(primary_jama_2018_14280_disposition,MATCH($A12,primary_jama_2018_14280_key,0)),$D12)&lt;&gt;"retain"),NOT(OR(IF($E12="",INDEX(primary_jama_2018_14280_domain,MATCH($A12,primary_jama_2018_14280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row r="13" ht="76" customHeight="1">
      <c r="A13" s="3" t="inlineStr">
        <is>
          <t>2018::jama.2018.14280::C012</t>
        </is>
      </c>
      <c r="B13" s="3" t="inlineStr">
        <is>
          <t>ICU-mortality RR does not reproduce from printed risks</t>
        </is>
      </c>
      <c r="C13" s="3" t="inlineStr">
        <is>
          <t>DOC-001, Table 2, ICU mortality and footnote c.</t>
        </is>
      </c>
      <c r="D13" s="8" t="inlineStr"/>
      <c r="E13" s="8" t="inlineStr"/>
      <c r="F13" s="8" t="inlineStr">
        <is>
          <t>no</t>
        </is>
      </c>
      <c r="G13" s="3">
        <f>IF(OR(AND(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H13&lt;&gt;"",H13&lt;&gt;"not_applicable"),AND(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I13&lt;&gt;"",I13&lt;&gt;"not_applicable"),AND(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J13&lt;&gt;"",J13&lt;&gt;"not_applicable"),AND(OR(AND(IF($D13="",INDEX(primary_jama_2018_14280_disposition,MATCH($A13,primary_jama_2018_14280_key,0)),$D13)&lt;&gt;"",IF($D13="",INDEX(primary_jama_2018_14280_disposition,MATCH($A13,primary_jama_2018_14280_key,0)),$D13)&lt;&gt;"retain"),NOT(OR(IF($E13="",INDEX(primary_jama_2018_14280_domain,MATCH($A13,primary_jama_2018_14280_key,0)),$E13)="internal_nonstatistical",IF($E13="",INDEX(primary_jama_2018_14280_domain,MATCH($A13,primary_jama_2018_14280_key,0)),$E13)="plan_material"))),K13&lt;&gt;"",K13&lt;&gt;"not_applicable"),AND(OR(AND(IF($D13="",INDEX(primary_jama_2018_14280_disposition,MATCH($A13,primary_jama_2018_14280_key,0)),$D13)&lt;&gt;"",IF($D13="",INDEX(primary_jama_2018_14280_disposition,MATCH($A13,primary_jama_2018_14280_key,0)),$D13)&lt;&gt;"retain"),NOT(OR(IF($E13="",INDEX(primary_jama_2018_14280_domain,MATCH($A13,primary_jama_2018_14280_key,0)),$E13)="protocol_report"))),L13&lt;&gt;"",L13&lt;&gt;"not_applicable")),"CLEAR INACTIVE VALUES",IF(O13="","PENDING",IF(AND(O13&lt;&gt;"agree",LEN(TRIM(P13))=0),"COMMENT NEEDED",IF(F13="yes","CHECKED - see resolution","DRAFT"))))</f>
        <v/>
      </c>
      <c r="H13" s="8">
        <f>IF(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not_applicable","")</f>
        <v/>
      </c>
      <c r="I13" s="8">
        <f>IF(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not_applicable","")</f>
        <v/>
      </c>
      <c r="J13" s="9">
        <f>IF(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not_applicable","")</f>
        <v/>
      </c>
      <c r="K13" s="8">
        <f>IF(OR(AND(IF($D13="",INDEX(primary_jama_2018_14280_disposition,MATCH($A13,primary_jama_2018_14280_key,0)),$D13)&lt;&gt;"",IF($D13="",INDEX(primary_jama_2018_14280_disposition,MATCH($A13,primary_jama_2018_14280_key,0)),$D13)&lt;&gt;"retain"),NOT(OR(IF($E13="",INDEX(primary_jama_2018_14280_domain,MATCH($A13,primary_jama_2018_14280_key,0)),$E13)="internal_nonstatistical",IF($E13="",INDEX(primary_jama_2018_14280_domain,MATCH($A13,primary_jama_2018_14280_key,0)),$E13)="plan_material"))),"not_applicable","")</f>
        <v/>
      </c>
      <c r="L13" s="9">
        <f>IF(OR(AND(IF($D13="",INDEX(primary_jama_2018_14280_disposition,MATCH($A13,primary_jama_2018_14280_key,0)),$D13)&lt;&gt;"",IF($D13="",INDEX(primary_jama_2018_14280_disposition,MATCH($A13,primary_jama_2018_14280_key,0)),$D13)&lt;&gt;"retain"),NOT(OR(IF($E13="",INDEX(primary_jama_2018_14280_domain,MATCH($A13,primary_jama_2018_14280_key,0)),$E13)="protocol_report"))),"not_applicable","")</f>
        <v/>
      </c>
      <c r="M13" s="10" t="inlineStr"/>
      <c r="N13" s="10" t="inlineStr"/>
      <c r="O13" s="8" t="inlineStr"/>
      <c r="P13" s="11" t="inlineStr"/>
      <c r="Q13" s="8" t="inlineStr">
        <is>
          <t>pending</t>
        </is>
      </c>
      <c r="R13" s="11" t="inlineStr"/>
      <c r="S13" s="3" t="inlineStr">
        <is>
          <t>AWAITING PRIMARY HANDOFF - do not start checking this template.</t>
        </is>
      </c>
    </row>
    <row r="14" ht="76" customHeight="1">
      <c r="A14" s="2" t="inlineStr">
        <is>
          <t>2018::jama.2018.14280::C013</t>
        </is>
      </c>
      <c r="B14" s="2" t="inlineStr">
        <is>
          <t>Hospital-mortality RR does not reproduce from printed risks</t>
        </is>
      </c>
      <c r="C14" s="2" t="inlineStr">
        <is>
          <t>DOC-001, Table 2, hospital mortality and footnote c.</t>
        </is>
      </c>
      <c r="D14" s="8" t="inlineStr"/>
      <c r="E14" s="8" t="inlineStr"/>
      <c r="F14" s="8" t="inlineStr">
        <is>
          <t>no</t>
        </is>
      </c>
      <c r="G14" s="2">
        <f>IF(OR(AND(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H14&lt;&gt;"",H14&lt;&gt;"not_applicable"),AND(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I14&lt;&gt;"",I14&lt;&gt;"not_applicable"),AND(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J14&lt;&gt;"",J14&lt;&gt;"not_applicable"),AND(OR(AND(IF($D14="",INDEX(primary_jama_2018_14280_disposition,MATCH($A14,primary_jama_2018_14280_key,0)),$D14)&lt;&gt;"",IF($D14="",INDEX(primary_jama_2018_14280_disposition,MATCH($A14,primary_jama_2018_14280_key,0)),$D14)&lt;&gt;"retain"),NOT(OR(IF($E14="",INDEX(primary_jama_2018_14280_domain,MATCH($A14,primary_jama_2018_14280_key,0)),$E14)="internal_nonstatistical",IF($E14="",INDEX(primary_jama_2018_14280_domain,MATCH($A14,primary_jama_2018_14280_key,0)),$E14)="plan_material"))),K14&lt;&gt;"",K14&lt;&gt;"not_applicable"),AND(OR(AND(IF($D14="",INDEX(primary_jama_2018_14280_disposition,MATCH($A14,primary_jama_2018_14280_key,0)),$D14)&lt;&gt;"",IF($D14="",INDEX(primary_jama_2018_14280_disposition,MATCH($A14,primary_jama_2018_14280_key,0)),$D14)&lt;&gt;"retain"),NOT(OR(IF($E14="",INDEX(primary_jama_2018_14280_domain,MATCH($A14,primary_jama_2018_14280_key,0)),$E14)="protocol_report"))),L14&lt;&gt;"",L14&lt;&gt;"not_applicable")),"CLEAR INACTIVE VALUES",IF(O14="","PENDING",IF(AND(O14&lt;&gt;"agree",LEN(TRIM(P14))=0),"COMMENT NEEDED",IF(F14="yes","CHECKED - see resolution","DRAFT"))))</f>
        <v/>
      </c>
      <c r="H14" s="8">
        <f>IF(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not_applicable","")</f>
        <v/>
      </c>
      <c r="I14" s="8">
        <f>IF(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not_applicable","")</f>
        <v/>
      </c>
      <c r="J14" s="9">
        <f>IF(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not_applicable","")</f>
        <v/>
      </c>
      <c r="K14" s="8">
        <f>IF(OR(AND(IF($D14="",INDEX(primary_jama_2018_14280_disposition,MATCH($A14,primary_jama_2018_14280_key,0)),$D14)&lt;&gt;"",IF($D14="",INDEX(primary_jama_2018_14280_disposition,MATCH($A14,primary_jama_2018_14280_key,0)),$D14)&lt;&gt;"retain"),NOT(OR(IF($E14="",INDEX(primary_jama_2018_14280_domain,MATCH($A14,primary_jama_2018_14280_key,0)),$E14)="internal_nonstatistical",IF($E14="",INDEX(primary_jama_2018_14280_domain,MATCH($A14,primary_jama_2018_14280_key,0)),$E14)="plan_material"))),"not_applicable","")</f>
        <v/>
      </c>
      <c r="L14" s="9">
        <f>IF(OR(AND(IF($D14="",INDEX(primary_jama_2018_14280_disposition,MATCH($A14,primary_jama_2018_14280_key,0)),$D14)&lt;&gt;"",IF($D14="",INDEX(primary_jama_2018_14280_disposition,MATCH($A14,primary_jama_2018_14280_key,0)),$D14)&lt;&gt;"retain"),NOT(OR(IF($E14="",INDEX(primary_jama_2018_14280_domain,MATCH($A14,primary_jama_2018_14280_key,0)),$E14)="protocol_report"))),"not_applicable","")</f>
        <v/>
      </c>
      <c r="M14" s="10" t="inlineStr"/>
      <c r="N14" s="10" t="inlineStr"/>
      <c r="O14" s="8" t="inlineStr"/>
      <c r="P14" s="11" t="inlineStr"/>
      <c r="Q14" s="8" t="inlineStr">
        <is>
          <t>pending</t>
        </is>
      </c>
      <c r="R14" s="11" t="inlineStr"/>
      <c r="S14" s="2" t="inlineStr">
        <is>
          <t>AWAITING PRIMARY HANDOFF - do not start checking this template.</t>
        </is>
      </c>
    </row>
    <row r="15" ht="76" customHeight="1">
      <c r="A15" s="3" t="inlineStr">
        <is>
          <t>2018::jama.2018.14280::C014</t>
        </is>
      </c>
      <c r="B15" s="3" t="inlineStr">
        <is>
          <t>ARDS RR does not reproduce from printed risks</t>
        </is>
      </c>
      <c r="C15" s="3" t="inlineStr">
        <is>
          <t>DOC-001, Table 2, Development of ARDS and footnote c.</t>
        </is>
      </c>
      <c r="D15" s="8" t="inlineStr"/>
      <c r="E15" s="8" t="inlineStr"/>
      <c r="F15" s="8" t="inlineStr">
        <is>
          <t>no</t>
        </is>
      </c>
      <c r="G15" s="3">
        <f>IF(OR(AND(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H15&lt;&gt;"",H15&lt;&gt;"not_applicable"),AND(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I15&lt;&gt;"",I15&lt;&gt;"not_applicable"),AND(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J15&lt;&gt;"",J15&lt;&gt;"not_applicable"),AND(OR(AND(IF($D15="",INDEX(primary_jama_2018_14280_disposition,MATCH($A15,primary_jama_2018_14280_key,0)),$D15)&lt;&gt;"",IF($D15="",INDEX(primary_jama_2018_14280_disposition,MATCH($A15,primary_jama_2018_14280_key,0)),$D15)&lt;&gt;"retain"),NOT(OR(IF($E15="",INDEX(primary_jama_2018_14280_domain,MATCH($A15,primary_jama_2018_14280_key,0)),$E15)="internal_nonstatistical",IF($E15="",INDEX(primary_jama_2018_14280_domain,MATCH($A15,primary_jama_2018_14280_key,0)),$E15)="plan_material"))),K15&lt;&gt;"",K15&lt;&gt;"not_applicable"),AND(OR(AND(IF($D15="",INDEX(primary_jama_2018_14280_disposition,MATCH($A15,primary_jama_2018_14280_key,0)),$D15)&lt;&gt;"",IF($D15="",INDEX(primary_jama_2018_14280_disposition,MATCH($A15,primary_jama_2018_14280_key,0)),$D15)&lt;&gt;"retain"),NOT(OR(IF($E15="",INDEX(primary_jama_2018_14280_domain,MATCH($A15,primary_jama_2018_14280_key,0)),$E15)="protocol_report"))),L15&lt;&gt;"",L15&lt;&gt;"not_applicable")),"CLEAR INACTIVE VALUES",IF(O15="","PENDING",IF(AND(O15&lt;&gt;"agree",LEN(TRIM(P15))=0),"COMMENT NEEDED",IF(F15="yes","CHECKED - see resolution","DRAFT"))))</f>
        <v/>
      </c>
      <c r="H15" s="8">
        <f>IF(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not_applicable","")</f>
        <v/>
      </c>
      <c r="I15" s="8">
        <f>IF(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not_applicable","")</f>
        <v/>
      </c>
      <c r="J15" s="9">
        <f>IF(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not_applicable","")</f>
        <v/>
      </c>
      <c r="K15" s="8">
        <f>IF(OR(AND(IF($D15="",INDEX(primary_jama_2018_14280_disposition,MATCH($A15,primary_jama_2018_14280_key,0)),$D15)&lt;&gt;"",IF($D15="",INDEX(primary_jama_2018_14280_disposition,MATCH($A15,primary_jama_2018_14280_key,0)),$D15)&lt;&gt;"retain"),NOT(OR(IF($E15="",INDEX(primary_jama_2018_14280_domain,MATCH($A15,primary_jama_2018_14280_key,0)),$E15)="internal_nonstatistical",IF($E15="",INDEX(primary_jama_2018_14280_domain,MATCH($A15,primary_jama_2018_14280_key,0)),$E15)="plan_material"))),"not_applicable","")</f>
        <v/>
      </c>
      <c r="L15" s="9">
        <f>IF(OR(AND(IF($D15="",INDEX(primary_jama_2018_14280_disposition,MATCH($A15,primary_jama_2018_14280_key,0)),$D15)&lt;&gt;"",IF($D15="",INDEX(primary_jama_2018_14280_disposition,MATCH($A15,primary_jama_2018_14280_key,0)),$D15)&lt;&gt;"retain"),NOT(OR(IF($E15="",INDEX(primary_jama_2018_14280_domain,MATCH($A15,primary_jama_2018_14280_key,0)),$E15)="protocol_report"))),"not_applicable","")</f>
        <v/>
      </c>
      <c r="M15" s="10" t="inlineStr"/>
      <c r="N15" s="10" t="inlineStr"/>
      <c r="O15" s="8" t="inlineStr"/>
      <c r="P15" s="11" t="inlineStr"/>
      <c r="Q15" s="8" t="inlineStr">
        <is>
          <t>pending</t>
        </is>
      </c>
      <c r="R15" s="11" t="inlineStr"/>
      <c r="S15" s="3" t="inlineStr">
        <is>
          <t>AWAITING PRIMARY HANDOFF - do not start checking this template.</t>
        </is>
      </c>
    </row>
    <row r="16" ht="76" customHeight="1">
      <c r="A16" s="2" t="inlineStr">
        <is>
          <t>2018::jama.2018.14280::C015</t>
        </is>
      </c>
      <c r="B16" s="2" t="inlineStr">
        <is>
          <t>Pneumonia RR does not reproduce from printed risks</t>
        </is>
      </c>
      <c r="C16" s="2" t="inlineStr">
        <is>
          <t>DOC-001, Table 2, Development of pneumonia and footnote c.</t>
        </is>
      </c>
      <c r="D16" s="8" t="inlineStr"/>
      <c r="E16" s="8" t="inlineStr"/>
      <c r="F16" s="8" t="inlineStr">
        <is>
          <t>no</t>
        </is>
      </c>
      <c r="G16" s="2">
        <f>IF(OR(AND(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H16&lt;&gt;"",H16&lt;&gt;"not_applicable"),AND(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I16&lt;&gt;"",I16&lt;&gt;"not_applicable"),AND(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J16&lt;&gt;"",J16&lt;&gt;"not_applicable"),AND(OR(AND(IF($D16="",INDEX(primary_jama_2018_14280_disposition,MATCH($A16,primary_jama_2018_14280_key,0)),$D16)&lt;&gt;"",IF($D16="",INDEX(primary_jama_2018_14280_disposition,MATCH($A16,primary_jama_2018_14280_key,0)),$D16)&lt;&gt;"retain"),NOT(OR(IF($E16="",INDEX(primary_jama_2018_14280_domain,MATCH($A16,primary_jama_2018_14280_key,0)),$E16)="internal_nonstatistical",IF($E16="",INDEX(primary_jama_2018_14280_domain,MATCH($A16,primary_jama_2018_14280_key,0)),$E16)="plan_material"))),K16&lt;&gt;"",K16&lt;&gt;"not_applicable"),AND(OR(AND(IF($D16="",INDEX(primary_jama_2018_14280_disposition,MATCH($A16,primary_jama_2018_14280_key,0)),$D16)&lt;&gt;"",IF($D16="",INDEX(primary_jama_2018_14280_disposition,MATCH($A16,primary_jama_2018_14280_key,0)),$D16)&lt;&gt;"retain"),NOT(OR(IF($E16="",INDEX(primary_jama_2018_14280_domain,MATCH($A16,primary_jama_2018_14280_key,0)),$E16)="protocol_report"))),L16&lt;&gt;"",L16&lt;&gt;"not_applicable")),"CLEAR INACTIVE VALUES",IF(O16="","PENDING",IF(AND(O16&lt;&gt;"agree",LEN(TRIM(P16))=0),"COMMENT NEEDED",IF(F16="yes","CHECKED - see resolution","DRAFT"))))</f>
        <v/>
      </c>
      <c r="H16" s="8">
        <f>IF(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not_applicable","")</f>
        <v/>
      </c>
      <c r="I16" s="8">
        <f>IF(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not_applicable","")</f>
        <v/>
      </c>
      <c r="J16" s="9">
        <f>IF(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not_applicable","")</f>
        <v/>
      </c>
      <c r="K16" s="8">
        <f>IF(OR(AND(IF($D16="",INDEX(primary_jama_2018_14280_disposition,MATCH($A16,primary_jama_2018_14280_key,0)),$D16)&lt;&gt;"",IF($D16="",INDEX(primary_jama_2018_14280_disposition,MATCH($A16,primary_jama_2018_14280_key,0)),$D16)&lt;&gt;"retain"),NOT(OR(IF($E16="",INDEX(primary_jama_2018_14280_domain,MATCH($A16,primary_jama_2018_14280_key,0)),$E16)="internal_nonstatistical",IF($E16="",INDEX(primary_jama_2018_14280_domain,MATCH($A16,primary_jama_2018_14280_key,0)),$E16)="plan_material"))),"not_applicable","")</f>
        <v/>
      </c>
      <c r="L16" s="9">
        <f>IF(OR(AND(IF($D16="",INDEX(primary_jama_2018_14280_disposition,MATCH($A16,primary_jama_2018_14280_key,0)),$D16)&lt;&gt;"",IF($D16="",INDEX(primary_jama_2018_14280_disposition,MATCH($A16,primary_jama_2018_14280_key,0)),$D16)&lt;&gt;"retain"),NOT(OR(IF($E16="",INDEX(primary_jama_2018_14280_domain,MATCH($A16,primary_jama_2018_14280_key,0)),$E16)="protocol_report"))),"not_applicable","")</f>
        <v/>
      </c>
      <c r="M16" s="10" t="inlineStr"/>
      <c r="N16" s="10" t="inlineStr"/>
      <c r="O16" s="8" t="inlineStr"/>
      <c r="P16" s="11" t="inlineStr"/>
      <c r="Q16" s="8" t="inlineStr">
        <is>
          <t>pending</t>
        </is>
      </c>
      <c r="R16" s="11" t="inlineStr"/>
      <c r="S16" s="2" t="inlineStr">
        <is>
          <t>AWAITING PRIMARY HANDOFF - do not start checking this template.</t>
        </is>
      </c>
    </row>
    <row r="17" ht="76" customHeight="1">
      <c r="A17" s="3" t="inlineStr">
        <is>
          <t>2018::jama.2018.14280::C016</t>
        </is>
      </c>
      <c r="B17" s="3" t="inlineStr">
        <is>
          <t>Pneumothorax RR does not reproduce from printed risks</t>
        </is>
      </c>
      <c r="C17" s="3" t="inlineStr">
        <is>
          <t>DOC-001, Table 2, Pneumothorax and footnote c.</t>
        </is>
      </c>
      <c r="D17" s="8" t="inlineStr"/>
      <c r="E17" s="8" t="inlineStr"/>
      <c r="F17" s="8" t="inlineStr">
        <is>
          <t>no</t>
        </is>
      </c>
      <c r="G17" s="3">
        <f>IF(OR(AND(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H17&lt;&gt;"",H17&lt;&gt;"not_applicable"),AND(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I17&lt;&gt;"",I17&lt;&gt;"not_applicable"),AND(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J17&lt;&gt;"",J17&lt;&gt;"not_applicable"),AND(OR(AND(IF($D17="",INDEX(primary_jama_2018_14280_disposition,MATCH($A17,primary_jama_2018_14280_key,0)),$D17)&lt;&gt;"",IF($D17="",INDEX(primary_jama_2018_14280_disposition,MATCH($A17,primary_jama_2018_14280_key,0)),$D17)&lt;&gt;"retain"),NOT(OR(IF($E17="",INDEX(primary_jama_2018_14280_domain,MATCH($A17,primary_jama_2018_14280_key,0)),$E17)="internal_nonstatistical",IF($E17="",INDEX(primary_jama_2018_14280_domain,MATCH($A17,primary_jama_2018_14280_key,0)),$E17)="plan_material"))),K17&lt;&gt;"",K17&lt;&gt;"not_applicable"),AND(OR(AND(IF($D17="",INDEX(primary_jama_2018_14280_disposition,MATCH($A17,primary_jama_2018_14280_key,0)),$D17)&lt;&gt;"",IF($D17="",INDEX(primary_jama_2018_14280_disposition,MATCH($A17,primary_jama_2018_14280_key,0)),$D17)&lt;&gt;"retain"),NOT(OR(IF($E17="",INDEX(primary_jama_2018_14280_domain,MATCH($A17,primary_jama_2018_14280_key,0)),$E17)="protocol_report"))),L17&lt;&gt;"",L17&lt;&gt;"not_applicable")),"CLEAR INACTIVE VALUES",IF(O17="","PENDING",IF(AND(O17&lt;&gt;"agree",LEN(TRIM(P17))=0),"COMMENT NEEDED",IF(F17="yes","CHECKED - see resolution","DRAFT"))))</f>
        <v/>
      </c>
      <c r="H17" s="8">
        <f>IF(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not_applicable","")</f>
        <v/>
      </c>
      <c r="I17" s="8">
        <f>IF(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not_applicable","")</f>
        <v/>
      </c>
      <c r="J17" s="9">
        <f>IF(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not_applicable","")</f>
        <v/>
      </c>
      <c r="K17" s="8">
        <f>IF(OR(AND(IF($D17="",INDEX(primary_jama_2018_14280_disposition,MATCH($A17,primary_jama_2018_14280_key,0)),$D17)&lt;&gt;"",IF($D17="",INDEX(primary_jama_2018_14280_disposition,MATCH($A17,primary_jama_2018_14280_key,0)),$D17)&lt;&gt;"retain"),NOT(OR(IF($E17="",INDEX(primary_jama_2018_14280_domain,MATCH($A17,primary_jama_2018_14280_key,0)),$E17)="internal_nonstatistical",IF($E17="",INDEX(primary_jama_2018_14280_domain,MATCH($A17,primary_jama_2018_14280_key,0)),$E17)="plan_material"))),"not_applicable","")</f>
        <v/>
      </c>
      <c r="L17" s="9">
        <f>IF(OR(AND(IF($D17="",INDEX(primary_jama_2018_14280_disposition,MATCH($A17,primary_jama_2018_14280_key,0)),$D17)&lt;&gt;"",IF($D17="",INDEX(primary_jama_2018_14280_disposition,MATCH($A17,primary_jama_2018_14280_key,0)),$D17)&lt;&gt;"retain"),NOT(OR(IF($E17="",INDEX(primary_jama_2018_14280_domain,MATCH($A17,primary_jama_2018_14280_key,0)),$E17)="protocol_report"))),"not_applicable","")</f>
        <v/>
      </c>
      <c r="M17" s="10" t="inlineStr"/>
      <c r="N17" s="10" t="inlineStr"/>
      <c r="O17" s="8" t="inlineStr"/>
      <c r="P17" s="11" t="inlineStr"/>
      <c r="Q17" s="8" t="inlineStr">
        <is>
          <t>pending</t>
        </is>
      </c>
      <c r="R17" s="11" t="inlineStr"/>
      <c r="S17" s="3" t="inlineStr">
        <is>
          <t>AWAITING PRIMARY HANDOFF - do not start checking this template.</t>
        </is>
      </c>
    </row>
    <row r="18" ht="76" customHeight="1">
      <c r="A18" s="2" t="inlineStr">
        <is>
          <t>2018::jama.2018.14280::C017</t>
        </is>
      </c>
      <c r="B18" s="2" t="inlineStr">
        <is>
          <t>Atelectasis RR does not reproduce from printed risks</t>
        </is>
      </c>
      <c r="C18" s="2" t="inlineStr">
        <is>
          <t>DOC-001, Table 2, Atelectasis and footnote c.</t>
        </is>
      </c>
      <c r="D18" s="8" t="inlineStr"/>
      <c r="E18" s="8" t="inlineStr"/>
      <c r="F18" s="8" t="inlineStr">
        <is>
          <t>no</t>
        </is>
      </c>
      <c r="G18" s="2">
        <f>IF(OR(AND(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H18&lt;&gt;"",H18&lt;&gt;"not_applicable"),AND(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I18&lt;&gt;"",I18&lt;&gt;"not_applicable"),AND(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J18&lt;&gt;"",J18&lt;&gt;"not_applicable"),AND(OR(AND(IF($D18="",INDEX(primary_jama_2018_14280_disposition,MATCH($A18,primary_jama_2018_14280_key,0)),$D18)&lt;&gt;"",IF($D18="",INDEX(primary_jama_2018_14280_disposition,MATCH($A18,primary_jama_2018_14280_key,0)),$D18)&lt;&gt;"retain"),NOT(OR(IF($E18="",INDEX(primary_jama_2018_14280_domain,MATCH($A18,primary_jama_2018_14280_key,0)),$E18)="internal_nonstatistical",IF($E18="",INDEX(primary_jama_2018_14280_domain,MATCH($A18,primary_jama_2018_14280_key,0)),$E18)="plan_material"))),K18&lt;&gt;"",K18&lt;&gt;"not_applicable"),AND(OR(AND(IF($D18="",INDEX(primary_jama_2018_14280_disposition,MATCH($A18,primary_jama_2018_14280_key,0)),$D18)&lt;&gt;"",IF($D18="",INDEX(primary_jama_2018_14280_disposition,MATCH($A18,primary_jama_2018_14280_key,0)),$D18)&lt;&gt;"retain"),NOT(OR(IF($E18="",INDEX(primary_jama_2018_14280_domain,MATCH($A18,primary_jama_2018_14280_key,0)),$E18)="protocol_report"))),L18&lt;&gt;"",L18&lt;&gt;"not_applicable")),"CLEAR INACTIVE VALUES",IF(O18="","PENDING",IF(AND(O18&lt;&gt;"agree",LEN(TRIM(P18))=0),"COMMENT NEEDED",IF(F18="yes","CHECKED - see resolution","DRAFT"))))</f>
        <v/>
      </c>
      <c r="H18" s="8">
        <f>IF(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not_applicable","")</f>
        <v/>
      </c>
      <c r="I18" s="8">
        <f>IF(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not_applicable","")</f>
        <v/>
      </c>
      <c r="J18" s="9">
        <f>IF(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not_applicable","")</f>
        <v/>
      </c>
      <c r="K18" s="8">
        <f>IF(OR(AND(IF($D18="",INDEX(primary_jama_2018_14280_disposition,MATCH($A18,primary_jama_2018_14280_key,0)),$D18)&lt;&gt;"",IF($D18="",INDEX(primary_jama_2018_14280_disposition,MATCH($A18,primary_jama_2018_14280_key,0)),$D18)&lt;&gt;"retain"),NOT(OR(IF($E18="",INDEX(primary_jama_2018_14280_domain,MATCH($A18,primary_jama_2018_14280_key,0)),$E18)="internal_nonstatistical",IF($E18="",INDEX(primary_jama_2018_14280_domain,MATCH($A18,primary_jama_2018_14280_key,0)),$E18)="plan_material"))),"not_applicable","")</f>
        <v/>
      </c>
      <c r="L18" s="9">
        <f>IF(OR(AND(IF($D18="",INDEX(primary_jama_2018_14280_disposition,MATCH($A18,primary_jama_2018_14280_key,0)),$D18)&lt;&gt;"",IF($D18="",INDEX(primary_jama_2018_14280_disposition,MATCH($A18,primary_jama_2018_14280_key,0)),$D18)&lt;&gt;"retain"),NOT(OR(IF($E18="",INDEX(primary_jama_2018_14280_domain,MATCH($A18,primary_jama_2018_14280_key,0)),$E18)="protocol_report"))),"not_applicable","")</f>
        <v/>
      </c>
      <c r="M18" s="10" t="inlineStr"/>
      <c r="N18" s="10" t="inlineStr"/>
      <c r="O18" s="8" t="inlineStr"/>
      <c r="P18" s="11" t="inlineStr"/>
      <c r="Q18" s="8" t="inlineStr">
        <is>
          <t>pending</t>
        </is>
      </c>
      <c r="R18" s="11" t="inlineStr"/>
      <c r="S18" s="2" t="inlineStr">
        <is>
          <t>AWAITING PRIMARY HANDOFF - do not start checking this template.</t>
        </is>
      </c>
    </row>
    <row r="19" ht="76" customHeight="1">
      <c r="A19" s="3" t="inlineStr">
        <is>
          <t>2018::jama.2018.14280::C018</t>
        </is>
      </c>
      <c r="B19" s="3" t="inlineStr">
        <is>
          <t>Extrapulmonary-infection RR does not reproduce from printed risks</t>
        </is>
      </c>
      <c r="C19" s="3" t="inlineStr">
        <is>
          <t>DOC-001, Table 2, Extrapulmonary infection and footnote c.</t>
        </is>
      </c>
      <c r="D19" s="8" t="inlineStr"/>
      <c r="E19" s="8" t="inlineStr"/>
      <c r="F19" s="8" t="inlineStr">
        <is>
          <t>no</t>
        </is>
      </c>
      <c r="G19" s="3">
        <f>IF(OR(AND(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H19&lt;&gt;"",H19&lt;&gt;"not_applicable"),AND(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I19&lt;&gt;"",I19&lt;&gt;"not_applicable"),AND(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J19&lt;&gt;"",J19&lt;&gt;"not_applicable"),AND(OR(AND(IF($D19="",INDEX(primary_jama_2018_14280_disposition,MATCH($A19,primary_jama_2018_14280_key,0)),$D19)&lt;&gt;"",IF($D19="",INDEX(primary_jama_2018_14280_disposition,MATCH($A19,primary_jama_2018_14280_key,0)),$D19)&lt;&gt;"retain"),NOT(OR(IF($E19="",INDEX(primary_jama_2018_14280_domain,MATCH($A19,primary_jama_2018_14280_key,0)),$E19)="internal_nonstatistical",IF($E19="",INDEX(primary_jama_2018_14280_domain,MATCH($A19,primary_jama_2018_14280_key,0)),$E19)="plan_material"))),K19&lt;&gt;"",K19&lt;&gt;"not_applicable"),AND(OR(AND(IF($D19="",INDEX(primary_jama_2018_14280_disposition,MATCH($A19,primary_jama_2018_14280_key,0)),$D19)&lt;&gt;"",IF($D19="",INDEX(primary_jama_2018_14280_disposition,MATCH($A19,primary_jama_2018_14280_key,0)),$D19)&lt;&gt;"retain"),NOT(OR(IF($E19="",INDEX(primary_jama_2018_14280_domain,MATCH($A19,primary_jama_2018_14280_key,0)),$E19)="protocol_report"))),L19&lt;&gt;"",L19&lt;&gt;"not_applicable")),"CLEAR INACTIVE VALUES",IF(O19="","PENDING",IF(AND(O19&lt;&gt;"agree",LEN(TRIM(P19))=0),"COMMENT NEEDED",IF(F19="yes","CHECKED - see resolution","DRAFT"))))</f>
        <v/>
      </c>
      <c r="H19" s="8">
        <f>IF(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not_applicable","")</f>
        <v/>
      </c>
      <c r="I19" s="8">
        <f>IF(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not_applicable","")</f>
        <v/>
      </c>
      <c r="J19" s="9">
        <f>IF(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not_applicable","")</f>
        <v/>
      </c>
      <c r="K19" s="8">
        <f>IF(OR(AND(IF($D19="",INDEX(primary_jama_2018_14280_disposition,MATCH($A19,primary_jama_2018_14280_key,0)),$D19)&lt;&gt;"",IF($D19="",INDEX(primary_jama_2018_14280_disposition,MATCH($A19,primary_jama_2018_14280_key,0)),$D19)&lt;&gt;"retain"),NOT(OR(IF($E19="",INDEX(primary_jama_2018_14280_domain,MATCH($A19,primary_jama_2018_14280_key,0)),$E19)="internal_nonstatistical",IF($E19="",INDEX(primary_jama_2018_14280_domain,MATCH($A19,primary_jama_2018_14280_key,0)),$E19)="plan_material"))),"not_applicable","")</f>
        <v/>
      </c>
      <c r="L19" s="9">
        <f>IF(OR(AND(IF($D19="",INDEX(primary_jama_2018_14280_disposition,MATCH($A19,primary_jama_2018_14280_key,0)),$D19)&lt;&gt;"",IF($D19="",INDEX(primary_jama_2018_14280_disposition,MATCH($A19,primary_jama_2018_14280_key,0)),$D19)&lt;&gt;"retain"),NOT(OR(IF($E19="",INDEX(primary_jama_2018_14280_domain,MATCH($A19,primary_jama_2018_14280_key,0)),$E19)="protocol_report"))),"not_applicable","")</f>
        <v/>
      </c>
      <c r="M19" s="10" t="inlineStr"/>
      <c r="N19" s="10" t="inlineStr"/>
      <c r="O19" s="8" t="inlineStr"/>
      <c r="P19" s="11" t="inlineStr"/>
      <c r="Q19" s="8" t="inlineStr">
        <is>
          <t>pending</t>
        </is>
      </c>
      <c r="R19" s="11" t="inlineStr"/>
      <c r="S19" s="3" t="inlineStr">
        <is>
          <t>AWAITING PRIMARY HANDOFF - do not start checking this template.</t>
        </is>
      </c>
    </row>
    <row r="20" ht="76" customHeight="1">
      <c r="A20" s="2" t="inlineStr">
        <is>
          <t>2018::jama.2018.14280::C019</t>
        </is>
      </c>
      <c r="B20" s="2" t="inlineStr">
        <is>
          <t>Extrapulmonary-sepsis RR does not reproduce from printed risks</t>
        </is>
      </c>
      <c r="C20" s="2" t="inlineStr">
        <is>
          <t>DOC-001, Table 2, Extrapulmonary sepsis and footnote c.</t>
        </is>
      </c>
      <c r="D20" s="8" t="inlineStr"/>
      <c r="E20" s="8" t="inlineStr"/>
      <c r="F20" s="8" t="inlineStr">
        <is>
          <t>no</t>
        </is>
      </c>
      <c r="G20" s="2">
        <f>IF(OR(AND(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H20&lt;&gt;"",H20&lt;&gt;"not_applicable"),AND(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I20&lt;&gt;"",I20&lt;&gt;"not_applicable"),AND(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J20&lt;&gt;"",J20&lt;&gt;"not_applicable"),AND(OR(AND(IF($D20="",INDEX(primary_jama_2018_14280_disposition,MATCH($A20,primary_jama_2018_14280_key,0)),$D20)&lt;&gt;"",IF($D20="",INDEX(primary_jama_2018_14280_disposition,MATCH($A20,primary_jama_2018_14280_key,0)),$D20)&lt;&gt;"retain"),NOT(OR(IF($E20="",INDEX(primary_jama_2018_14280_domain,MATCH($A20,primary_jama_2018_14280_key,0)),$E20)="internal_nonstatistical",IF($E20="",INDEX(primary_jama_2018_14280_domain,MATCH($A20,primary_jama_2018_14280_key,0)),$E20)="plan_material"))),K20&lt;&gt;"",K20&lt;&gt;"not_applicable"),AND(OR(AND(IF($D20="",INDEX(primary_jama_2018_14280_disposition,MATCH($A20,primary_jama_2018_14280_key,0)),$D20)&lt;&gt;"",IF($D20="",INDEX(primary_jama_2018_14280_disposition,MATCH($A20,primary_jama_2018_14280_key,0)),$D20)&lt;&gt;"retain"),NOT(OR(IF($E20="",INDEX(primary_jama_2018_14280_domain,MATCH($A20,primary_jama_2018_14280_key,0)),$E20)="protocol_report"))),L20&lt;&gt;"",L20&lt;&gt;"not_applicable")),"CLEAR INACTIVE VALUES",IF(O20="","PENDING",IF(AND(O20&lt;&gt;"agree",LEN(TRIM(P20))=0),"COMMENT NEEDED",IF(F20="yes","CHECKED - see resolution","DRAFT"))))</f>
        <v/>
      </c>
      <c r="H20" s="8">
        <f>IF(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not_applicable","")</f>
        <v/>
      </c>
      <c r="I20" s="8">
        <f>IF(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not_applicable","")</f>
        <v/>
      </c>
      <c r="J20" s="9">
        <f>IF(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not_applicable","")</f>
        <v/>
      </c>
      <c r="K20" s="8">
        <f>IF(OR(AND(IF($D20="",INDEX(primary_jama_2018_14280_disposition,MATCH($A20,primary_jama_2018_14280_key,0)),$D20)&lt;&gt;"",IF($D20="",INDEX(primary_jama_2018_14280_disposition,MATCH($A20,primary_jama_2018_14280_key,0)),$D20)&lt;&gt;"retain"),NOT(OR(IF($E20="",INDEX(primary_jama_2018_14280_domain,MATCH($A20,primary_jama_2018_14280_key,0)),$E20)="internal_nonstatistical",IF($E20="",INDEX(primary_jama_2018_14280_domain,MATCH($A20,primary_jama_2018_14280_key,0)),$E20)="plan_material"))),"not_applicable","")</f>
        <v/>
      </c>
      <c r="L20" s="9">
        <f>IF(OR(AND(IF($D20="",INDEX(primary_jama_2018_14280_disposition,MATCH($A20,primary_jama_2018_14280_key,0)),$D20)&lt;&gt;"",IF($D20="",INDEX(primary_jama_2018_14280_disposition,MATCH($A20,primary_jama_2018_14280_key,0)),$D20)&lt;&gt;"retain"),NOT(OR(IF($E20="",INDEX(primary_jama_2018_14280_domain,MATCH($A20,primary_jama_2018_14280_key,0)),$E20)="protocol_report"))),"not_applicable","")</f>
        <v/>
      </c>
      <c r="M20" s="10" t="inlineStr"/>
      <c r="N20" s="10" t="inlineStr"/>
      <c r="O20" s="8" t="inlineStr"/>
      <c r="P20" s="11" t="inlineStr"/>
      <c r="Q20" s="8" t="inlineStr">
        <is>
          <t>pending</t>
        </is>
      </c>
      <c r="R20" s="11" t="inlineStr"/>
      <c r="S20" s="2" t="inlineStr">
        <is>
          <t>AWAITING PRIMARY HANDOFF - do not start checking this template.</t>
        </is>
      </c>
    </row>
    <row r="21" ht="76" customHeight="1">
      <c r="A21" s="3" t="inlineStr">
        <is>
          <t>2018::jama.2018.14280::C020</t>
        </is>
      </c>
      <c r="B21" s="3" t="inlineStr">
        <is>
          <t>Delirium RR does not reproduce from printed risks</t>
        </is>
      </c>
      <c r="C21" s="3" t="inlineStr">
        <is>
          <t>DOC-001, Table 2, Delirium and footnote c.</t>
        </is>
      </c>
      <c r="D21" s="8" t="inlineStr"/>
      <c r="E21" s="8" t="inlineStr"/>
      <c r="F21" s="8" t="inlineStr">
        <is>
          <t>no</t>
        </is>
      </c>
      <c r="G21" s="3">
        <f>IF(OR(AND(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H21&lt;&gt;"",H21&lt;&gt;"not_applicable"),AND(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I21&lt;&gt;"",I21&lt;&gt;"not_applicable"),AND(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J21&lt;&gt;"",J21&lt;&gt;"not_applicable"),AND(OR(AND(IF($D21="",INDEX(primary_jama_2018_14280_disposition,MATCH($A21,primary_jama_2018_14280_key,0)),$D21)&lt;&gt;"",IF($D21="",INDEX(primary_jama_2018_14280_disposition,MATCH($A21,primary_jama_2018_14280_key,0)),$D21)&lt;&gt;"retain"),NOT(OR(IF($E21="",INDEX(primary_jama_2018_14280_domain,MATCH($A21,primary_jama_2018_14280_key,0)),$E21)="internal_nonstatistical",IF($E21="",INDEX(primary_jama_2018_14280_domain,MATCH($A21,primary_jama_2018_14280_key,0)),$E21)="plan_material"))),K21&lt;&gt;"",K21&lt;&gt;"not_applicable"),AND(OR(AND(IF($D21="",INDEX(primary_jama_2018_14280_disposition,MATCH($A21,primary_jama_2018_14280_key,0)),$D21)&lt;&gt;"",IF($D21="",INDEX(primary_jama_2018_14280_disposition,MATCH($A21,primary_jama_2018_14280_key,0)),$D21)&lt;&gt;"retain"),NOT(OR(IF($E21="",INDEX(primary_jama_2018_14280_domain,MATCH($A21,primary_jama_2018_14280_key,0)),$E21)="protocol_report"))),L21&lt;&gt;"",L21&lt;&gt;"not_applicable")),"CLEAR INACTIVE VALUES",IF(O21="","PENDING",IF(AND(O21&lt;&gt;"agree",LEN(TRIM(P21))=0),"COMMENT NEEDED",IF(F21="yes","CHECKED - see resolution","DRAFT"))))</f>
        <v/>
      </c>
      <c r="H21" s="8">
        <f>IF(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not_applicable","")</f>
        <v/>
      </c>
      <c r="I21" s="8">
        <f>IF(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not_applicable","")</f>
        <v/>
      </c>
      <c r="J21" s="9">
        <f>IF(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not_applicable","")</f>
        <v/>
      </c>
      <c r="K21" s="8">
        <f>IF(OR(AND(IF($D21="",INDEX(primary_jama_2018_14280_disposition,MATCH($A21,primary_jama_2018_14280_key,0)),$D21)&lt;&gt;"",IF($D21="",INDEX(primary_jama_2018_14280_disposition,MATCH($A21,primary_jama_2018_14280_key,0)),$D21)&lt;&gt;"retain"),NOT(OR(IF($E21="",INDEX(primary_jama_2018_14280_domain,MATCH($A21,primary_jama_2018_14280_key,0)),$E21)="internal_nonstatistical",IF($E21="",INDEX(primary_jama_2018_14280_domain,MATCH($A21,primary_jama_2018_14280_key,0)),$E21)="plan_material"))),"not_applicable","")</f>
        <v/>
      </c>
      <c r="L21" s="9">
        <f>IF(OR(AND(IF($D21="",INDEX(primary_jama_2018_14280_disposition,MATCH($A21,primary_jama_2018_14280_key,0)),$D21)&lt;&gt;"",IF($D21="",INDEX(primary_jama_2018_14280_disposition,MATCH($A21,primary_jama_2018_14280_key,0)),$D21)&lt;&gt;"retain"),NOT(OR(IF($E21="",INDEX(primary_jama_2018_14280_domain,MATCH($A21,primary_jama_2018_14280_key,0)),$E21)="protocol_report"))),"not_applicable","")</f>
        <v/>
      </c>
      <c r="M21" s="10" t="inlineStr"/>
      <c r="N21" s="10" t="inlineStr"/>
      <c r="O21" s="8" t="inlineStr"/>
      <c r="P21" s="11" t="inlineStr"/>
      <c r="Q21" s="8" t="inlineStr">
        <is>
          <t>pending</t>
        </is>
      </c>
      <c r="R21" s="11" t="inlineStr"/>
      <c r="S21" s="3" t="inlineStr">
        <is>
          <t>AWAITING PRIMARY HANDOFF - do not start checking this template.</t>
        </is>
      </c>
    </row>
    <row r="22" ht="76" customHeight="1">
      <c r="A22" s="2" t="inlineStr">
        <is>
          <t>2018::jama.2018.14280::C021</t>
        </is>
      </c>
      <c r="B22" s="2" t="inlineStr">
        <is>
          <t>Tracheostomy RR does not reproduce from printed risks</t>
        </is>
      </c>
      <c r="C22" s="2" t="inlineStr">
        <is>
          <t>DOC-001, Table 2, Need for tracheostomy and footnote c.</t>
        </is>
      </c>
      <c r="D22" s="8" t="inlineStr"/>
      <c r="E22" s="8" t="inlineStr"/>
      <c r="F22" s="8" t="inlineStr">
        <is>
          <t>no</t>
        </is>
      </c>
      <c r="G22" s="2">
        <f>IF(OR(AND(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H22&lt;&gt;"",H22&lt;&gt;"not_applicable"),AND(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I22&lt;&gt;"",I22&lt;&gt;"not_applicable"),AND(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J22&lt;&gt;"",J22&lt;&gt;"not_applicable"),AND(OR(AND(IF($D22="",INDEX(primary_jama_2018_14280_disposition,MATCH($A22,primary_jama_2018_14280_key,0)),$D22)&lt;&gt;"",IF($D22="",INDEX(primary_jama_2018_14280_disposition,MATCH($A22,primary_jama_2018_14280_key,0)),$D22)&lt;&gt;"retain"),NOT(OR(IF($E22="",INDEX(primary_jama_2018_14280_domain,MATCH($A22,primary_jama_2018_14280_key,0)),$E22)="internal_nonstatistical",IF($E22="",INDEX(primary_jama_2018_14280_domain,MATCH($A22,primary_jama_2018_14280_key,0)),$E22)="plan_material"))),K22&lt;&gt;"",K22&lt;&gt;"not_applicable"),AND(OR(AND(IF($D22="",INDEX(primary_jama_2018_14280_disposition,MATCH($A22,primary_jama_2018_14280_key,0)),$D22)&lt;&gt;"",IF($D22="",INDEX(primary_jama_2018_14280_disposition,MATCH($A22,primary_jama_2018_14280_key,0)),$D22)&lt;&gt;"retain"),NOT(OR(IF($E22="",INDEX(primary_jama_2018_14280_domain,MATCH($A22,primary_jama_2018_14280_key,0)),$E22)="protocol_report"))),L22&lt;&gt;"",L22&lt;&gt;"not_applicable")),"CLEAR INACTIVE VALUES",IF(O22="","PENDING",IF(AND(O22&lt;&gt;"agree",LEN(TRIM(P22))=0),"COMMENT NEEDED",IF(F22="yes","CHECKED - see resolution","DRAFT"))))</f>
        <v/>
      </c>
      <c r="H22" s="8">
        <f>IF(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not_applicable","")</f>
        <v/>
      </c>
      <c r="I22" s="8">
        <f>IF(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not_applicable","")</f>
        <v/>
      </c>
      <c r="J22" s="9">
        <f>IF(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not_applicable","")</f>
        <v/>
      </c>
      <c r="K22" s="8">
        <f>IF(OR(AND(IF($D22="",INDEX(primary_jama_2018_14280_disposition,MATCH($A22,primary_jama_2018_14280_key,0)),$D22)&lt;&gt;"",IF($D22="",INDEX(primary_jama_2018_14280_disposition,MATCH($A22,primary_jama_2018_14280_key,0)),$D22)&lt;&gt;"retain"),NOT(OR(IF($E22="",INDEX(primary_jama_2018_14280_domain,MATCH($A22,primary_jama_2018_14280_key,0)),$E22)="internal_nonstatistical",IF($E22="",INDEX(primary_jama_2018_14280_domain,MATCH($A22,primary_jama_2018_14280_key,0)),$E22)="plan_material"))),"not_applicable","")</f>
        <v/>
      </c>
      <c r="L22" s="9">
        <f>IF(OR(AND(IF($D22="",INDEX(primary_jama_2018_14280_disposition,MATCH($A22,primary_jama_2018_14280_key,0)),$D22)&lt;&gt;"",IF($D22="",INDEX(primary_jama_2018_14280_disposition,MATCH($A22,primary_jama_2018_14280_key,0)),$D22)&lt;&gt;"retain"),NOT(OR(IF($E22="",INDEX(primary_jama_2018_14280_domain,MATCH($A22,primary_jama_2018_14280_key,0)),$E22)="protocol_report"))),"not_applicable","")</f>
        <v/>
      </c>
      <c r="M22" s="10" t="inlineStr"/>
      <c r="N22" s="10" t="inlineStr"/>
      <c r="O22" s="8" t="inlineStr"/>
      <c r="P22" s="11" t="inlineStr"/>
      <c r="Q22" s="8" t="inlineStr">
        <is>
          <t>pending</t>
        </is>
      </c>
      <c r="R22" s="11" t="inlineStr"/>
      <c r="S22" s="2" t="inlineStr">
        <is>
          <t>AWAITING PRIMARY HANDOFF - do not start checking this template.</t>
        </is>
      </c>
    </row>
    <row r="23" ht="76" customHeight="1">
      <c r="A23" s="3" t="inlineStr">
        <is>
          <t>2018::jama.2018.14280::C022</t>
        </is>
      </c>
      <c r="B23" s="3" t="inlineStr">
        <is>
          <t>The same subgroup intervals are labelled IQR and 95% CI</t>
        </is>
      </c>
      <c r="C23" s="3" t="inlineStr">
        <is>
          <t>DOC-001, Subgroups and Exploratory Analyses; DOC-004, Supplement 3 eTable 5.</t>
        </is>
      </c>
      <c r="D23" s="8" t="inlineStr"/>
      <c r="E23" s="8" t="inlineStr"/>
      <c r="F23" s="8" t="inlineStr">
        <is>
          <t>no</t>
        </is>
      </c>
      <c r="G23" s="3">
        <f>IF(OR(AND(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H23&lt;&gt;"",H23&lt;&gt;"not_applicable"),AND(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I23&lt;&gt;"",I23&lt;&gt;"not_applicable"),AND(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J23&lt;&gt;"",J23&lt;&gt;"not_applicable"),AND(OR(AND(IF($D23="",INDEX(primary_jama_2018_14280_disposition,MATCH($A23,primary_jama_2018_14280_key,0)),$D23)&lt;&gt;"",IF($D23="",INDEX(primary_jama_2018_14280_disposition,MATCH($A23,primary_jama_2018_14280_key,0)),$D23)&lt;&gt;"retain"),NOT(OR(IF($E23="",INDEX(primary_jama_2018_14280_domain,MATCH($A23,primary_jama_2018_14280_key,0)),$E23)="internal_nonstatistical",IF($E23="",INDEX(primary_jama_2018_14280_domain,MATCH($A23,primary_jama_2018_14280_key,0)),$E23)="plan_material"))),K23&lt;&gt;"",K23&lt;&gt;"not_applicable"),AND(OR(AND(IF($D23="",INDEX(primary_jama_2018_14280_disposition,MATCH($A23,primary_jama_2018_14280_key,0)),$D23)&lt;&gt;"",IF($D23="",INDEX(primary_jama_2018_14280_disposition,MATCH($A23,primary_jama_2018_14280_key,0)),$D23)&lt;&gt;"retain"),NOT(OR(IF($E23="",INDEX(primary_jama_2018_14280_domain,MATCH($A23,primary_jama_2018_14280_key,0)),$E23)="protocol_report"))),L23&lt;&gt;"",L23&lt;&gt;"not_applicable")),"CLEAR INACTIVE VALUES",IF(O23="","PENDING",IF(AND(O23&lt;&gt;"agree",LEN(TRIM(P23))=0),"COMMENT NEEDED",IF(F23="yes","CHECKED - see resolution","DRAFT"))))</f>
        <v/>
      </c>
      <c r="H23" s="8">
        <f>IF(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not_applicable","")</f>
        <v/>
      </c>
      <c r="I23" s="8">
        <f>IF(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not_applicable","")</f>
        <v/>
      </c>
      <c r="J23" s="9">
        <f>IF(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not_applicable","")</f>
        <v/>
      </c>
      <c r="K23" s="8">
        <f>IF(OR(AND(IF($D23="",INDEX(primary_jama_2018_14280_disposition,MATCH($A23,primary_jama_2018_14280_key,0)),$D23)&lt;&gt;"",IF($D23="",INDEX(primary_jama_2018_14280_disposition,MATCH($A23,primary_jama_2018_14280_key,0)),$D23)&lt;&gt;"retain"),NOT(OR(IF($E23="",INDEX(primary_jama_2018_14280_domain,MATCH($A23,primary_jama_2018_14280_key,0)),$E23)="internal_nonstatistical",IF($E23="",INDEX(primary_jama_2018_14280_domain,MATCH($A23,primary_jama_2018_14280_key,0)),$E23)="plan_material"))),"not_applicable","")</f>
        <v/>
      </c>
      <c r="L23" s="9">
        <f>IF(OR(AND(IF($D23="",INDEX(primary_jama_2018_14280_disposition,MATCH($A23,primary_jama_2018_14280_key,0)),$D23)&lt;&gt;"",IF($D23="",INDEX(primary_jama_2018_14280_disposition,MATCH($A23,primary_jama_2018_14280_key,0)),$D23)&lt;&gt;"retain"),NOT(OR(IF($E23="",INDEX(primary_jama_2018_14280_domain,MATCH($A23,primary_jama_2018_14280_key,0)),$E23)="protocol_report"))),"not_applicable","")</f>
        <v/>
      </c>
      <c r="M23" s="10" t="inlineStr"/>
      <c r="N23" s="10" t="inlineStr"/>
      <c r="O23" s="8" t="inlineStr"/>
      <c r="P23" s="11" t="inlineStr"/>
      <c r="Q23" s="8" t="inlineStr">
        <is>
          <t>pending</t>
        </is>
      </c>
      <c r="R23" s="11" t="inlineStr"/>
      <c r="S23" s="3" t="inlineStr">
        <is>
          <t>AWAITING PRIMARY HANDOFF - do not start checking this template.</t>
        </is>
      </c>
    </row>
    <row r="24" ht="76" customHeight="1">
      <c r="A24" s="2" t="inlineStr">
        <is>
          <t>2018::jama.2018.14280::C023</t>
        </is>
      </c>
      <c r="B24" s="2" t="inlineStr">
        <is>
          <t>Enrollment completion dates differ by two days</t>
        </is>
      </c>
      <c r="C24" s="2" t="inlineStr">
        <is>
          <t>DOC-001 abstract and Results/Patients; DOC-003 SAP abstract and introduction.</t>
        </is>
      </c>
      <c r="D24" s="8" t="inlineStr"/>
      <c r="E24" s="8" t="inlineStr"/>
      <c r="F24" s="8" t="inlineStr">
        <is>
          <t>no</t>
        </is>
      </c>
      <c r="G24" s="2">
        <f>IF(OR(AND(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H24&lt;&gt;"",H24&lt;&gt;"not_applicable"),AND(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I24&lt;&gt;"",I24&lt;&gt;"not_applicable"),AND(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J24&lt;&gt;"",J24&lt;&gt;"not_applicable"),AND(OR(AND(IF($D24="",INDEX(primary_jama_2018_14280_disposition,MATCH($A24,primary_jama_2018_14280_key,0)),$D24)&lt;&gt;"",IF($D24="",INDEX(primary_jama_2018_14280_disposition,MATCH($A24,primary_jama_2018_14280_key,0)),$D24)&lt;&gt;"retain"),NOT(OR(IF($E24="",INDEX(primary_jama_2018_14280_domain,MATCH($A24,primary_jama_2018_14280_key,0)),$E24)="internal_nonstatistical",IF($E24="",INDEX(primary_jama_2018_14280_domain,MATCH($A24,primary_jama_2018_14280_key,0)),$E24)="plan_material"))),K24&lt;&gt;"",K24&lt;&gt;"not_applicable"),AND(OR(AND(IF($D24="",INDEX(primary_jama_2018_14280_disposition,MATCH($A24,primary_jama_2018_14280_key,0)),$D24)&lt;&gt;"",IF($D24="",INDEX(primary_jama_2018_14280_disposition,MATCH($A24,primary_jama_2018_14280_key,0)),$D24)&lt;&gt;"retain"),NOT(OR(IF($E24="",INDEX(primary_jama_2018_14280_domain,MATCH($A24,primary_jama_2018_14280_key,0)),$E24)="protocol_report"))),L24&lt;&gt;"",L24&lt;&gt;"not_applicable")),"CLEAR INACTIVE VALUES",IF(O24="","PENDING",IF(AND(O24&lt;&gt;"agree",LEN(TRIM(P24))=0),"COMMENT NEEDED",IF(F24="yes","CHECKED - see resolution","DRAFT"))))</f>
        <v/>
      </c>
      <c r="H24" s="8">
        <f>IF(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not_applicable","")</f>
        <v/>
      </c>
      <c r="I24" s="8">
        <f>IF(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not_applicable","")</f>
        <v/>
      </c>
      <c r="J24" s="9">
        <f>IF(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not_applicable","")</f>
        <v/>
      </c>
      <c r="K24" s="8">
        <f>IF(OR(AND(IF($D24="",INDEX(primary_jama_2018_14280_disposition,MATCH($A24,primary_jama_2018_14280_key,0)),$D24)&lt;&gt;"",IF($D24="",INDEX(primary_jama_2018_14280_disposition,MATCH($A24,primary_jama_2018_14280_key,0)),$D24)&lt;&gt;"retain"),NOT(OR(IF($E24="",INDEX(primary_jama_2018_14280_domain,MATCH($A24,primary_jama_2018_14280_key,0)),$E24)="internal_nonstatistical",IF($E24="",INDEX(primary_jama_2018_14280_domain,MATCH($A24,primary_jama_2018_14280_key,0)),$E24)="plan_material"))),"not_applicable","")</f>
        <v/>
      </c>
      <c r="L24" s="9">
        <f>IF(OR(AND(IF($D24="",INDEX(primary_jama_2018_14280_disposition,MATCH($A24,primary_jama_2018_14280_key,0)),$D24)&lt;&gt;"",IF($D24="",INDEX(primary_jama_2018_14280_disposition,MATCH($A24,primary_jama_2018_14280_key,0)),$D24)&lt;&gt;"retain"),NOT(OR(IF($E24="",INDEX(primary_jama_2018_14280_domain,MATCH($A24,primary_jama_2018_14280_key,0)),$E24)="protocol_report"))),"not_applicable","")</f>
        <v/>
      </c>
      <c r="M24" s="10" t="inlineStr"/>
      <c r="N24" s="10" t="inlineStr"/>
      <c r="O24" s="8" t="inlineStr"/>
      <c r="P24" s="11" t="inlineStr"/>
      <c r="Q24" s="8" t="inlineStr">
        <is>
          <t>pending</t>
        </is>
      </c>
      <c r="R24" s="11" t="inlineStr"/>
      <c r="S24"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24"/>
  <conditionalFormatting sqref="H2">
    <cfRule type="expression" priority="1" dxfId="0" stopIfTrue="1">
      <formula>AND(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H2&lt;&gt;"",H2&lt;&gt;"not_applicable")</formula>
    </cfRule>
    <cfRule type="expression" priority="2" dxfId="1">
      <formula>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formula>
    </cfRule>
  </conditionalFormatting>
  <conditionalFormatting sqref="H3">
    <cfRule type="expression" priority="3" dxfId="0" stopIfTrue="1">
      <formula>AND(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H3&lt;&gt;"",H3&lt;&gt;"not_applicable")</formula>
    </cfRule>
    <cfRule type="expression" priority="4" dxfId="1">
      <formula>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formula>
    </cfRule>
  </conditionalFormatting>
  <conditionalFormatting sqref="H4">
    <cfRule type="expression" priority="5" dxfId="0" stopIfTrue="1">
      <formula>AND(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H4&lt;&gt;"",H4&lt;&gt;"not_applicable")</formula>
    </cfRule>
    <cfRule type="expression" priority="6" dxfId="1">
      <formula>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formula>
    </cfRule>
  </conditionalFormatting>
  <conditionalFormatting sqref="H5">
    <cfRule type="expression" priority="7" dxfId="0" stopIfTrue="1">
      <formula>AND(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H5&lt;&gt;"",H5&lt;&gt;"not_applicable")</formula>
    </cfRule>
    <cfRule type="expression" priority="8" dxfId="1">
      <formula>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formula>
    </cfRule>
  </conditionalFormatting>
  <conditionalFormatting sqref="H6">
    <cfRule type="expression" priority="9" dxfId="0" stopIfTrue="1">
      <formula>AND(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H6&lt;&gt;"",H6&lt;&gt;"not_applicable")</formula>
    </cfRule>
    <cfRule type="expression" priority="10" dxfId="1">
      <formula>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formula>
    </cfRule>
  </conditionalFormatting>
  <conditionalFormatting sqref="H7">
    <cfRule type="expression" priority="11" dxfId="0" stopIfTrue="1">
      <formula>AND(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H7&lt;&gt;"",H7&lt;&gt;"not_applicable")</formula>
    </cfRule>
    <cfRule type="expression" priority="12" dxfId="1">
      <formula>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formula>
    </cfRule>
  </conditionalFormatting>
  <conditionalFormatting sqref="H8">
    <cfRule type="expression" priority="13" dxfId="0" stopIfTrue="1">
      <formula>AND(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H8&lt;&gt;"",H8&lt;&gt;"not_applicable")</formula>
    </cfRule>
    <cfRule type="expression" priority="14" dxfId="1">
      <formula>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formula>
    </cfRule>
  </conditionalFormatting>
  <conditionalFormatting sqref="H9">
    <cfRule type="expression" priority="15" dxfId="0" stopIfTrue="1">
      <formula>AND(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H9&lt;&gt;"",H9&lt;&gt;"not_applicable")</formula>
    </cfRule>
    <cfRule type="expression" priority="16" dxfId="1">
      <formula>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formula>
    </cfRule>
  </conditionalFormatting>
  <conditionalFormatting sqref="H10">
    <cfRule type="expression" priority="17" dxfId="0" stopIfTrue="1">
      <formula>AND(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H10&lt;&gt;"",H10&lt;&gt;"not_applicable")</formula>
    </cfRule>
    <cfRule type="expression" priority="18" dxfId="1">
      <formula>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formula>
    </cfRule>
  </conditionalFormatting>
  <conditionalFormatting sqref="H11">
    <cfRule type="expression" priority="19" dxfId="0" stopIfTrue="1">
      <formula>AND(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H11&lt;&gt;"",H11&lt;&gt;"not_applicable")</formula>
    </cfRule>
    <cfRule type="expression" priority="20" dxfId="1">
      <formula>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formula>
    </cfRule>
  </conditionalFormatting>
  <conditionalFormatting sqref="H12">
    <cfRule type="expression" priority="21" dxfId="0" stopIfTrue="1">
      <formula>AND(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H12&lt;&gt;"",H12&lt;&gt;"not_applicable")</formula>
    </cfRule>
    <cfRule type="expression" priority="22" dxfId="1">
      <formula>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formula>
    </cfRule>
  </conditionalFormatting>
  <conditionalFormatting sqref="H13">
    <cfRule type="expression" priority="23" dxfId="0" stopIfTrue="1">
      <formula>AND(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H13&lt;&gt;"",H13&lt;&gt;"not_applicable")</formula>
    </cfRule>
    <cfRule type="expression" priority="24" dxfId="1">
      <formula>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formula>
    </cfRule>
  </conditionalFormatting>
  <conditionalFormatting sqref="H14">
    <cfRule type="expression" priority="25" dxfId="0" stopIfTrue="1">
      <formula>AND(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H14&lt;&gt;"",H14&lt;&gt;"not_applicable")</formula>
    </cfRule>
    <cfRule type="expression" priority="26" dxfId="1">
      <formula>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formula>
    </cfRule>
  </conditionalFormatting>
  <conditionalFormatting sqref="H15">
    <cfRule type="expression" priority="27" dxfId="0" stopIfTrue="1">
      <formula>AND(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H15&lt;&gt;"",H15&lt;&gt;"not_applicable")</formula>
    </cfRule>
    <cfRule type="expression" priority="28" dxfId="1">
      <formula>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formula>
    </cfRule>
  </conditionalFormatting>
  <conditionalFormatting sqref="H16">
    <cfRule type="expression" priority="29" dxfId="0" stopIfTrue="1">
      <formula>AND(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H16&lt;&gt;"",H16&lt;&gt;"not_applicable")</formula>
    </cfRule>
    <cfRule type="expression" priority="30" dxfId="1">
      <formula>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formula>
    </cfRule>
  </conditionalFormatting>
  <conditionalFormatting sqref="H17">
    <cfRule type="expression" priority="31" dxfId="0" stopIfTrue="1">
      <formula>AND(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H17&lt;&gt;"",H17&lt;&gt;"not_applicable")</formula>
    </cfRule>
    <cfRule type="expression" priority="32" dxfId="1">
      <formula>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formula>
    </cfRule>
  </conditionalFormatting>
  <conditionalFormatting sqref="H18">
    <cfRule type="expression" priority="33" dxfId="0" stopIfTrue="1">
      <formula>AND(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H18&lt;&gt;"",H18&lt;&gt;"not_applicable")</formula>
    </cfRule>
    <cfRule type="expression" priority="34" dxfId="1">
      <formula>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formula>
    </cfRule>
  </conditionalFormatting>
  <conditionalFormatting sqref="H19">
    <cfRule type="expression" priority="35" dxfId="0" stopIfTrue="1">
      <formula>AND(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H19&lt;&gt;"",H19&lt;&gt;"not_applicable")</formula>
    </cfRule>
    <cfRule type="expression" priority="36" dxfId="1">
      <formula>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formula>
    </cfRule>
  </conditionalFormatting>
  <conditionalFormatting sqref="H20">
    <cfRule type="expression" priority="37" dxfId="0" stopIfTrue="1">
      <formula>AND(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H20&lt;&gt;"",H20&lt;&gt;"not_applicable")</formula>
    </cfRule>
    <cfRule type="expression" priority="38" dxfId="1">
      <formula>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formula>
    </cfRule>
  </conditionalFormatting>
  <conditionalFormatting sqref="H21">
    <cfRule type="expression" priority="39" dxfId="0" stopIfTrue="1">
      <formula>AND(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H21&lt;&gt;"",H21&lt;&gt;"not_applicable")</formula>
    </cfRule>
    <cfRule type="expression" priority="40" dxfId="1">
      <formula>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formula>
    </cfRule>
  </conditionalFormatting>
  <conditionalFormatting sqref="H22">
    <cfRule type="expression" priority="41" dxfId="0" stopIfTrue="1">
      <formula>AND(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H22&lt;&gt;"",H22&lt;&gt;"not_applicable")</formula>
    </cfRule>
    <cfRule type="expression" priority="42" dxfId="1">
      <formula>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formula>
    </cfRule>
  </conditionalFormatting>
  <conditionalFormatting sqref="H23">
    <cfRule type="expression" priority="43" dxfId="0" stopIfTrue="1">
      <formula>AND(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H23&lt;&gt;"",H23&lt;&gt;"not_applicable")</formula>
    </cfRule>
    <cfRule type="expression" priority="44" dxfId="1">
      <formula>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formula>
    </cfRule>
  </conditionalFormatting>
  <conditionalFormatting sqref="H24">
    <cfRule type="expression" priority="45" dxfId="0" stopIfTrue="1">
      <formula>AND(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H24&lt;&gt;"",H24&lt;&gt;"not_applicable")</formula>
    </cfRule>
    <cfRule type="expression" priority="46" dxfId="1">
      <formula>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formula>
    </cfRule>
  </conditionalFormatting>
  <conditionalFormatting sqref="I2">
    <cfRule type="expression" priority="47" dxfId="0" stopIfTrue="1">
      <formula>AND(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I2&lt;&gt;"",I2&lt;&gt;"not_applicable")</formula>
    </cfRule>
    <cfRule type="expression" priority="48" dxfId="1">
      <formula>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formula>
    </cfRule>
  </conditionalFormatting>
  <conditionalFormatting sqref="I3">
    <cfRule type="expression" priority="49" dxfId="0" stopIfTrue="1">
      <formula>AND(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I3&lt;&gt;"",I3&lt;&gt;"not_applicable")</formula>
    </cfRule>
    <cfRule type="expression" priority="50" dxfId="1">
      <formula>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formula>
    </cfRule>
  </conditionalFormatting>
  <conditionalFormatting sqref="I4">
    <cfRule type="expression" priority="51" dxfId="0" stopIfTrue="1">
      <formula>AND(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I4&lt;&gt;"",I4&lt;&gt;"not_applicable")</formula>
    </cfRule>
    <cfRule type="expression" priority="52" dxfId="1">
      <formula>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formula>
    </cfRule>
  </conditionalFormatting>
  <conditionalFormatting sqref="I5">
    <cfRule type="expression" priority="53" dxfId="0" stopIfTrue="1">
      <formula>AND(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I5&lt;&gt;"",I5&lt;&gt;"not_applicable")</formula>
    </cfRule>
    <cfRule type="expression" priority="54" dxfId="1">
      <formula>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formula>
    </cfRule>
  </conditionalFormatting>
  <conditionalFormatting sqref="I6">
    <cfRule type="expression" priority="55" dxfId="0" stopIfTrue="1">
      <formula>AND(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I6&lt;&gt;"",I6&lt;&gt;"not_applicable")</formula>
    </cfRule>
    <cfRule type="expression" priority="56" dxfId="1">
      <formula>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formula>
    </cfRule>
  </conditionalFormatting>
  <conditionalFormatting sqref="I7">
    <cfRule type="expression" priority="57" dxfId="0" stopIfTrue="1">
      <formula>AND(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I7&lt;&gt;"",I7&lt;&gt;"not_applicable")</formula>
    </cfRule>
    <cfRule type="expression" priority="58" dxfId="1">
      <formula>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formula>
    </cfRule>
  </conditionalFormatting>
  <conditionalFormatting sqref="I8">
    <cfRule type="expression" priority="59" dxfId="0" stopIfTrue="1">
      <formula>AND(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I8&lt;&gt;"",I8&lt;&gt;"not_applicable")</formula>
    </cfRule>
    <cfRule type="expression" priority="60" dxfId="1">
      <formula>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formula>
    </cfRule>
  </conditionalFormatting>
  <conditionalFormatting sqref="I9">
    <cfRule type="expression" priority="61" dxfId="0" stopIfTrue="1">
      <formula>AND(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I9&lt;&gt;"",I9&lt;&gt;"not_applicable")</formula>
    </cfRule>
    <cfRule type="expression" priority="62" dxfId="1">
      <formula>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formula>
    </cfRule>
  </conditionalFormatting>
  <conditionalFormatting sqref="I10">
    <cfRule type="expression" priority="63" dxfId="0" stopIfTrue="1">
      <formula>AND(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I10&lt;&gt;"",I10&lt;&gt;"not_applicable")</formula>
    </cfRule>
    <cfRule type="expression" priority="64" dxfId="1">
      <formula>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formula>
    </cfRule>
  </conditionalFormatting>
  <conditionalFormatting sqref="I11">
    <cfRule type="expression" priority="65" dxfId="0" stopIfTrue="1">
      <formula>AND(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I11&lt;&gt;"",I11&lt;&gt;"not_applicable")</formula>
    </cfRule>
    <cfRule type="expression" priority="66" dxfId="1">
      <formula>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formula>
    </cfRule>
  </conditionalFormatting>
  <conditionalFormatting sqref="I12">
    <cfRule type="expression" priority="67" dxfId="0" stopIfTrue="1">
      <formula>AND(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I12&lt;&gt;"",I12&lt;&gt;"not_applicable")</formula>
    </cfRule>
    <cfRule type="expression" priority="68" dxfId="1">
      <formula>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formula>
    </cfRule>
  </conditionalFormatting>
  <conditionalFormatting sqref="I13">
    <cfRule type="expression" priority="69" dxfId="0" stopIfTrue="1">
      <formula>AND(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I13&lt;&gt;"",I13&lt;&gt;"not_applicable")</formula>
    </cfRule>
    <cfRule type="expression" priority="70" dxfId="1">
      <formula>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formula>
    </cfRule>
  </conditionalFormatting>
  <conditionalFormatting sqref="I14">
    <cfRule type="expression" priority="71" dxfId="0" stopIfTrue="1">
      <formula>AND(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I14&lt;&gt;"",I14&lt;&gt;"not_applicable")</formula>
    </cfRule>
    <cfRule type="expression" priority="72" dxfId="1">
      <formula>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formula>
    </cfRule>
  </conditionalFormatting>
  <conditionalFormatting sqref="I15">
    <cfRule type="expression" priority="73" dxfId="0" stopIfTrue="1">
      <formula>AND(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I15&lt;&gt;"",I15&lt;&gt;"not_applicable")</formula>
    </cfRule>
    <cfRule type="expression" priority="74" dxfId="1">
      <formula>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formula>
    </cfRule>
  </conditionalFormatting>
  <conditionalFormatting sqref="I16">
    <cfRule type="expression" priority="75" dxfId="0" stopIfTrue="1">
      <formula>AND(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I16&lt;&gt;"",I16&lt;&gt;"not_applicable")</formula>
    </cfRule>
    <cfRule type="expression" priority="76" dxfId="1">
      <formula>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formula>
    </cfRule>
  </conditionalFormatting>
  <conditionalFormatting sqref="I17">
    <cfRule type="expression" priority="77" dxfId="0" stopIfTrue="1">
      <formula>AND(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I17&lt;&gt;"",I17&lt;&gt;"not_applicable")</formula>
    </cfRule>
    <cfRule type="expression" priority="78" dxfId="1">
      <formula>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formula>
    </cfRule>
  </conditionalFormatting>
  <conditionalFormatting sqref="I18">
    <cfRule type="expression" priority="79" dxfId="0" stopIfTrue="1">
      <formula>AND(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I18&lt;&gt;"",I18&lt;&gt;"not_applicable")</formula>
    </cfRule>
    <cfRule type="expression" priority="80" dxfId="1">
      <formula>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formula>
    </cfRule>
  </conditionalFormatting>
  <conditionalFormatting sqref="I19">
    <cfRule type="expression" priority="81" dxfId="0" stopIfTrue="1">
      <formula>AND(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I19&lt;&gt;"",I19&lt;&gt;"not_applicable")</formula>
    </cfRule>
    <cfRule type="expression" priority="82" dxfId="1">
      <formula>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formula>
    </cfRule>
  </conditionalFormatting>
  <conditionalFormatting sqref="I20">
    <cfRule type="expression" priority="83" dxfId="0" stopIfTrue="1">
      <formula>AND(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I20&lt;&gt;"",I20&lt;&gt;"not_applicable")</formula>
    </cfRule>
    <cfRule type="expression" priority="84" dxfId="1">
      <formula>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formula>
    </cfRule>
  </conditionalFormatting>
  <conditionalFormatting sqref="I21">
    <cfRule type="expression" priority="85" dxfId="0" stopIfTrue="1">
      <formula>AND(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I21&lt;&gt;"",I21&lt;&gt;"not_applicable")</formula>
    </cfRule>
    <cfRule type="expression" priority="86" dxfId="1">
      <formula>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formula>
    </cfRule>
  </conditionalFormatting>
  <conditionalFormatting sqref="I22">
    <cfRule type="expression" priority="87" dxfId="0" stopIfTrue="1">
      <formula>AND(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I22&lt;&gt;"",I22&lt;&gt;"not_applicable")</formula>
    </cfRule>
    <cfRule type="expression" priority="88" dxfId="1">
      <formula>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formula>
    </cfRule>
  </conditionalFormatting>
  <conditionalFormatting sqref="I23">
    <cfRule type="expression" priority="89" dxfId="0" stopIfTrue="1">
      <formula>AND(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I23&lt;&gt;"",I23&lt;&gt;"not_applicable")</formula>
    </cfRule>
    <cfRule type="expression" priority="90" dxfId="1">
      <formula>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formula>
    </cfRule>
  </conditionalFormatting>
  <conditionalFormatting sqref="I24">
    <cfRule type="expression" priority="91" dxfId="0" stopIfTrue="1">
      <formula>AND(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I24&lt;&gt;"",I24&lt;&gt;"not_applicable")</formula>
    </cfRule>
    <cfRule type="expression" priority="92" dxfId="1">
      <formula>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formula>
    </cfRule>
  </conditionalFormatting>
  <conditionalFormatting sqref="J2">
    <cfRule type="expression" priority="93" dxfId="0" stopIfTrue="1">
      <formula>AND(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J2&lt;&gt;"",J2&lt;&gt;"not_applicable")</formula>
    </cfRule>
    <cfRule type="expression" priority="94" dxfId="1">
      <formula>OR(AND(IF($D2="",INDEX(primary_jama_2018_14280_disposition,MATCH($A2,primary_jama_2018_14280_key,0)),$D2)&lt;&gt;"",IF($D2="",INDEX(primary_jama_2018_14280_disposition,MATCH($A2,primary_jama_2018_14280_key,0)),$D2)&lt;&gt;"retain"),NOT(OR(IF($E2="",INDEX(primary_jama_2018_14280_domain,MATCH($A2,primary_jama_2018_14280_key,0)),$E2)="statistical_results")))</formula>
    </cfRule>
  </conditionalFormatting>
  <conditionalFormatting sqref="J3">
    <cfRule type="expression" priority="95" dxfId="0" stopIfTrue="1">
      <formula>AND(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J3&lt;&gt;"",J3&lt;&gt;"not_applicable")</formula>
    </cfRule>
    <cfRule type="expression" priority="96" dxfId="1">
      <formula>OR(AND(IF($D3="",INDEX(primary_jama_2018_14280_disposition,MATCH($A3,primary_jama_2018_14280_key,0)),$D3)&lt;&gt;"",IF($D3="",INDEX(primary_jama_2018_14280_disposition,MATCH($A3,primary_jama_2018_14280_key,0)),$D3)&lt;&gt;"retain"),NOT(OR(IF($E3="",INDEX(primary_jama_2018_14280_domain,MATCH($A3,primary_jama_2018_14280_key,0)),$E3)="statistical_results")))</formula>
    </cfRule>
  </conditionalFormatting>
  <conditionalFormatting sqref="J4">
    <cfRule type="expression" priority="97" dxfId="0" stopIfTrue="1">
      <formula>AND(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J4&lt;&gt;"",J4&lt;&gt;"not_applicable")</formula>
    </cfRule>
    <cfRule type="expression" priority="98" dxfId="1">
      <formula>OR(AND(IF($D4="",INDEX(primary_jama_2018_14280_disposition,MATCH($A4,primary_jama_2018_14280_key,0)),$D4)&lt;&gt;"",IF($D4="",INDEX(primary_jama_2018_14280_disposition,MATCH($A4,primary_jama_2018_14280_key,0)),$D4)&lt;&gt;"retain"),NOT(OR(IF($E4="",INDEX(primary_jama_2018_14280_domain,MATCH($A4,primary_jama_2018_14280_key,0)),$E4)="statistical_results")))</formula>
    </cfRule>
  </conditionalFormatting>
  <conditionalFormatting sqref="J5">
    <cfRule type="expression" priority="99" dxfId="0" stopIfTrue="1">
      <formula>AND(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J5&lt;&gt;"",J5&lt;&gt;"not_applicable")</formula>
    </cfRule>
    <cfRule type="expression" priority="100" dxfId="1">
      <formula>OR(AND(IF($D5="",INDEX(primary_jama_2018_14280_disposition,MATCH($A5,primary_jama_2018_14280_key,0)),$D5)&lt;&gt;"",IF($D5="",INDEX(primary_jama_2018_14280_disposition,MATCH($A5,primary_jama_2018_14280_key,0)),$D5)&lt;&gt;"retain"),NOT(OR(IF($E5="",INDEX(primary_jama_2018_14280_domain,MATCH($A5,primary_jama_2018_14280_key,0)),$E5)="statistical_results")))</formula>
    </cfRule>
  </conditionalFormatting>
  <conditionalFormatting sqref="J6">
    <cfRule type="expression" priority="101" dxfId="0" stopIfTrue="1">
      <formula>AND(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J6&lt;&gt;"",J6&lt;&gt;"not_applicable")</formula>
    </cfRule>
    <cfRule type="expression" priority="102" dxfId="1">
      <formula>OR(AND(IF($D6="",INDEX(primary_jama_2018_14280_disposition,MATCH($A6,primary_jama_2018_14280_key,0)),$D6)&lt;&gt;"",IF($D6="",INDEX(primary_jama_2018_14280_disposition,MATCH($A6,primary_jama_2018_14280_key,0)),$D6)&lt;&gt;"retain"),NOT(OR(IF($E6="",INDEX(primary_jama_2018_14280_domain,MATCH($A6,primary_jama_2018_14280_key,0)),$E6)="statistical_results")))</formula>
    </cfRule>
  </conditionalFormatting>
  <conditionalFormatting sqref="J7">
    <cfRule type="expression" priority="103" dxfId="0" stopIfTrue="1">
      <formula>AND(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J7&lt;&gt;"",J7&lt;&gt;"not_applicable")</formula>
    </cfRule>
    <cfRule type="expression" priority="104" dxfId="1">
      <formula>OR(AND(IF($D7="",INDEX(primary_jama_2018_14280_disposition,MATCH($A7,primary_jama_2018_14280_key,0)),$D7)&lt;&gt;"",IF($D7="",INDEX(primary_jama_2018_14280_disposition,MATCH($A7,primary_jama_2018_14280_key,0)),$D7)&lt;&gt;"retain"),NOT(OR(IF($E7="",INDEX(primary_jama_2018_14280_domain,MATCH($A7,primary_jama_2018_14280_key,0)),$E7)="statistical_results")))</formula>
    </cfRule>
  </conditionalFormatting>
  <conditionalFormatting sqref="J8">
    <cfRule type="expression" priority="105" dxfId="0" stopIfTrue="1">
      <formula>AND(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J8&lt;&gt;"",J8&lt;&gt;"not_applicable")</formula>
    </cfRule>
    <cfRule type="expression" priority="106" dxfId="1">
      <formula>OR(AND(IF($D8="",INDEX(primary_jama_2018_14280_disposition,MATCH($A8,primary_jama_2018_14280_key,0)),$D8)&lt;&gt;"",IF($D8="",INDEX(primary_jama_2018_14280_disposition,MATCH($A8,primary_jama_2018_14280_key,0)),$D8)&lt;&gt;"retain"),NOT(OR(IF($E8="",INDEX(primary_jama_2018_14280_domain,MATCH($A8,primary_jama_2018_14280_key,0)),$E8)="statistical_results")))</formula>
    </cfRule>
  </conditionalFormatting>
  <conditionalFormatting sqref="J9">
    <cfRule type="expression" priority="107" dxfId="0" stopIfTrue="1">
      <formula>AND(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J9&lt;&gt;"",J9&lt;&gt;"not_applicable")</formula>
    </cfRule>
    <cfRule type="expression" priority="108" dxfId="1">
      <formula>OR(AND(IF($D9="",INDEX(primary_jama_2018_14280_disposition,MATCH($A9,primary_jama_2018_14280_key,0)),$D9)&lt;&gt;"",IF($D9="",INDEX(primary_jama_2018_14280_disposition,MATCH($A9,primary_jama_2018_14280_key,0)),$D9)&lt;&gt;"retain"),NOT(OR(IF($E9="",INDEX(primary_jama_2018_14280_domain,MATCH($A9,primary_jama_2018_14280_key,0)),$E9)="statistical_results")))</formula>
    </cfRule>
  </conditionalFormatting>
  <conditionalFormatting sqref="J10">
    <cfRule type="expression" priority="109" dxfId="0" stopIfTrue="1">
      <formula>AND(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J10&lt;&gt;"",J10&lt;&gt;"not_applicable")</formula>
    </cfRule>
    <cfRule type="expression" priority="110" dxfId="1">
      <formula>OR(AND(IF($D10="",INDEX(primary_jama_2018_14280_disposition,MATCH($A10,primary_jama_2018_14280_key,0)),$D10)&lt;&gt;"",IF($D10="",INDEX(primary_jama_2018_14280_disposition,MATCH($A10,primary_jama_2018_14280_key,0)),$D10)&lt;&gt;"retain"),NOT(OR(IF($E10="",INDEX(primary_jama_2018_14280_domain,MATCH($A10,primary_jama_2018_14280_key,0)),$E10)="statistical_results")))</formula>
    </cfRule>
  </conditionalFormatting>
  <conditionalFormatting sqref="J11">
    <cfRule type="expression" priority="111" dxfId="0" stopIfTrue="1">
      <formula>AND(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J11&lt;&gt;"",J11&lt;&gt;"not_applicable")</formula>
    </cfRule>
    <cfRule type="expression" priority="112" dxfId="1">
      <formula>OR(AND(IF($D11="",INDEX(primary_jama_2018_14280_disposition,MATCH($A11,primary_jama_2018_14280_key,0)),$D11)&lt;&gt;"",IF($D11="",INDEX(primary_jama_2018_14280_disposition,MATCH($A11,primary_jama_2018_14280_key,0)),$D11)&lt;&gt;"retain"),NOT(OR(IF($E11="",INDEX(primary_jama_2018_14280_domain,MATCH($A11,primary_jama_2018_14280_key,0)),$E11)="statistical_results")))</formula>
    </cfRule>
  </conditionalFormatting>
  <conditionalFormatting sqref="J12">
    <cfRule type="expression" priority="113" dxfId="0" stopIfTrue="1">
      <formula>AND(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J12&lt;&gt;"",J12&lt;&gt;"not_applicable")</formula>
    </cfRule>
    <cfRule type="expression" priority="114" dxfId="1">
      <formula>OR(AND(IF($D12="",INDEX(primary_jama_2018_14280_disposition,MATCH($A12,primary_jama_2018_14280_key,0)),$D12)&lt;&gt;"",IF($D12="",INDEX(primary_jama_2018_14280_disposition,MATCH($A12,primary_jama_2018_14280_key,0)),$D12)&lt;&gt;"retain"),NOT(OR(IF($E12="",INDEX(primary_jama_2018_14280_domain,MATCH($A12,primary_jama_2018_14280_key,0)),$E12)="statistical_results")))</formula>
    </cfRule>
  </conditionalFormatting>
  <conditionalFormatting sqref="J13">
    <cfRule type="expression" priority="115" dxfId="0" stopIfTrue="1">
      <formula>AND(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J13&lt;&gt;"",J13&lt;&gt;"not_applicable")</formula>
    </cfRule>
    <cfRule type="expression" priority="116" dxfId="1">
      <formula>OR(AND(IF($D13="",INDEX(primary_jama_2018_14280_disposition,MATCH($A13,primary_jama_2018_14280_key,0)),$D13)&lt;&gt;"",IF($D13="",INDEX(primary_jama_2018_14280_disposition,MATCH($A13,primary_jama_2018_14280_key,0)),$D13)&lt;&gt;"retain"),NOT(OR(IF($E13="",INDEX(primary_jama_2018_14280_domain,MATCH($A13,primary_jama_2018_14280_key,0)),$E13)="statistical_results")))</formula>
    </cfRule>
  </conditionalFormatting>
  <conditionalFormatting sqref="J14">
    <cfRule type="expression" priority="117" dxfId="0" stopIfTrue="1">
      <formula>AND(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J14&lt;&gt;"",J14&lt;&gt;"not_applicable")</formula>
    </cfRule>
    <cfRule type="expression" priority="118" dxfId="1">
      <formula>OR(AND(IF($D14="",INDEX(primary_jama_2018_14280_disposition,MATCH($A14,primary_jama_2018_14280_key,0)),$D14)&lt;&gt;"",IF($D14="",INDEX(primary_jama_2018_14280_disposition,MATCH($A14,primary_jama_2018_14280_key,0)),$D14)&lt;&gt;"retain"),NOT(OR(IF($E14="",INDEX(primary_jama_2018_14280_domain,MATCH($A14,primary_jama_2018_14280_key,0)),$E14)="statistical_results")))</formula>
    </cfRule>
  </conditionalFormatting>
  <conditionalFormatting sqref="J15">
    <cfRule type="expression" priority="119" dxfId="0" stopIfTrue="1">
      <formula>AND(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J15&lt;&gt;"",J15&lt;&gt;"not_applicable")</formula>
    </cfRule>
    <cfRule type="expression" priority="120" dxfId="1">
      <formula>OR(AND(IF($D15="",INDEX(primary_jama_2018_14280_disposition,MATCH($A15,primary_jama_2018_14280_key,0)),$D15)&lt;&gt;"",IF($D15="",INDEX(primary_jama_2018_14280_disposition,MATCH($A15,primary_jama_2018_14280_key,0)),$D15)&lt;&gt;"retain"),NOT(OR(IF($E15="",INDEX(primary_jama_2018_14280_domain,MATCH($A15,primary_jama_2018_14280_key,0)),$E15)="statistical_results")))</formula>
    </cfRule>
  </conditionalFormatting>
  <conditionalFormatting sqref="J16">
    <cfRule type="expression" priority="121" dxfId="0" stopIfTrue="1">
      <formula>AND(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J16&lt;&gt;"",J16&lt;&gt;"not_applicable")</formula>
    </cfRule>
    <cfRule type="expression" priority="122" dxfId="1">
      <formula>OR(AND(IF($D16="",INDEX(primary_jama_2018_14280_disposition,MATCH($A16,primary_jama_2018_14280_key,0)),$D16)&lt;&gt;"",IF($D16="",INDEX(primary_jama_2018_14280_disposition,MATCH($A16,primary_jama_2018_14280_key,0)),$D16)&lt;&gt;"retain"),NOT(OR(IF($E16="",INDEX(primary_jama_2018_14280_domain,MATCH($A16,primary_jama_2018_14280_key,0)),$E16)="statistical_results")))</formula>
    </cfRule>
  </conditionalFormatting>
  <conditionalFormatting sqref="J17">
    <cfRule type="expression" priority="123" dxfId="0" stopIfTrue="1">
      <formula>AND(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J17&lt;&gt;"",J17&lt;&gt;"not_applicable")</formula>
    </cfRule>
    <cfRule type="expression" priority="124" dxfId="1">
      <formula>OR(AND(IF($D17="",INDEX(primary_jama_2018_14280_disposition,MATCH($A17,primary_jama_2018_14280_key,0)),$D17)&lt;&gt;"",IF($D17="",INDEX(primary_jama_2018_14280_disposition,MATCH($A17,primary_jama_2018_14280_key,0)),$D17)&lt;&gt;"retain"),NOT(OR(IF($E17="",INDEX(primary_jama_2018_14280_domain,MATCH($A17,primary_jama_2018_14280_key,0)),$E17)="statistical_results")))</formula>
    </cfRule>
  </conditionalFormatting>
  <conditionalFormatting sqref="J18">
    <cfRule type="expression" priority="125" dxfId="0" stopIfTrue="1">
      <formula>AND(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J18&lt;&gt;"",J18&lt;&gt;"not_applicable")</formula>
    </cfRule>
    <cfRule type="expression" priority="126" dxfId="1">
      <formula>OR(AND(IF($D18="",INDEX(primary_jama_2018_14280_disposition,MATCH($A18,primary_jama_2018_14280_key,0)),$D18)&lt;&gt;"",IF($D18="",INDEX(primary_jama_2018_14280_disposition,MATCH($A18,primary_jama_2018_14280_key,0)),$D18)&lt;&gt;"retain"),NOT(OR(IF($E18="",INDEX(primary_jama_2018_14280_domain,MATCH($A18,primary_jama_2018_14280_key,0)),$E18)="statistical_results")))</formula>
    </cfRule>
  </conditionalFormatting>
  <conditionalFormatting sqref="J19">
    <cfRule type="expression" priority="127" dxfId="0" stopIfTrue="1">
      <formula>AND(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J19&lt;&gt;"",J19&lt;&gt;"not_applicable")</formula>
    </cfRule>
    <cfRule type="expression" priority="128" dxfId="1">
      <formula>OR(AND(IF($D19="",INDEX(primary_jama_2018_14280_disposition,MATCH($A19,primary_jama_2018_14280_key,0)),$D19)&lt;&gt;"",IF($D19="",INDEX(primary_jama_2018_14280_disposition,MATCH($A19,primary_jama_2018_14280_key,0)),$D19)&lt;&gt;"retain"),NOT(OR(IF($E19="",INDEX(primary_jama_2018_14280_domain,MATCH($A19,primary_jama_2018_14280_key,0)),$E19)="statistical_results")))</formula>
    </cfRule>
  </conditionalFormatting>
  <conditionalFormatting sqref="J20">
    <cfRule type="expression" priority="129" dxfId="0" stopIfTrue="1">
      <formula>AND(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J20&lt;&gt;"",J20&lt;&gt;"not_applicable")</formula>
    </cfRule>
    <cfRule type="expression" priority="130" dxfId="1">
      <formula>OR(AND(IF($D20="",INDEX(primary_jama_2018_14280_disposition,MATCH($A20,primary_jama_2018_14280_key,0)),$D20)&lt;&gt;"",IF($D20="",INDEX(primary_jama_2018_14280_disposition,MATCH($A20,primary_jama_2018_14280_key,0)),$D20)&lt;&gt;"retain"),NOT(OR(IF($E20="",INDEX(primary_jama_2018_14280_domain,MATCH($A20,primary_jama_2018_14280_key,0)),$E20)="statistical_results")))</formula>
    </cfRule>
  </conditionalFormatting>
  <conditionalFormatting sqref="J21">
    <cfRule type="expression" priority="131" dxfId="0" stopIfTrue="1">
      <formula>AND(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J21&lt;&gt;"",J21&lt;&gt;"not_applicable")</formula>
    </cfRule>
    <cfRule type="expression" priority="132" dxfId="1">
      <formula>OR(AND(IF($D21="",INDEX(primary_jama_2018_14280_disposition,MATCH($A21,primary_jama_2018_14280_key,0)),$D21)&lt;&gt;"",IF($D21="",INDEX(primary_jama_2018_14280_disposition,MATCH($A21,primary_jama_2018_14280_key,0)),$D21)&lt;&gt;"retain"),NOT(OR(IF($E21="",INDEX(primary_jama_2018_14280_domain,MATCH($A21,primary_jama_2018_14280_key,0)),$E21)="statistical_results")))</formula>
    </cfRule>
  </conditionalFormatting>
  <conditionalFormatting sqref="J22">
    <cfRule type="expression" priority="133" dxfId="0" stopIfTrue="1">
      <formula>AND(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J22&lt;&gt;"",J22&lt;&gt;"not_applicable")</formula>
    </cfRule>
    <cfRule type="expression" priority="134" dxfId="1">
      <formula>OR(AND(IF($D22="",INDEX(primary_jama_2018_14280_disposition,MATCH($A22,primary_jama_2018_14280_key,0)),$D22)&lt;&gt;"",IF($D22="",INDEX(primary_jama_2018_14280_disposition,MATCH($A22,primary_jama_2018_14280_key,0)),$D22)&lt;&gt;"retain"),NOT(OR(IF($E22="",INDEX(primary_jama_2018_14280_domain,MATCH($A22,primary_jama_2018_14280_key,0)),$E22)="statistical_results")))</formula>
    </cfRule>
  </conditionalFormatting>
  <conditionalFormatting sqref="J23">
    <cfRule type="expression" priority="135" dxfId="0" stopIfTrue="1">
      <formula>AND(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J23&lt;&gt;"",J23&lt;&gt;"not_applicable")</formula>
    </cfRule>
    <cfRule type="expression" priority="136" dxfId="1">
      <formula>OR(AND(IF($D23="",INDEX(primary_jama_2018_14280_disposition,MATCH($A23,primary_jama_2018_14280_key,0)),$D23)&lt;&gt;"",IF($D23="",INDEX(primary_jama_2018_14280_disposition,MATCH($A23,primary_jama_2018_14280_key,0)),$D23)&lt;&gt;"retain"),NOT(OR(IF($E23="",INDEX(primary_jama_2018_14280_domain,MATCH($A23,primary_jama_2018_14280_key,0)),$E23)="statistical_results")))</formula>
    </cfRule>
  </conditionalFormatting>
  <conditionalFormatting sqref="J24">
    <cfRule type="expression" priority="137" dxfId="0" stopIfTrue="1">
      <formula>AND(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J24&lt;&gt;"",J24&lt;&gt;"not_applicable")</formula>
    </cfRule>
    <cfRule type="expression" priority="138" dxfId="1">
      <formula>OR(AND(IF($D24="",INDEX(primary_jama_2018_14280_disposition,MATCH($A24,primary_jama_2018_14280_key,0)),$D24)&lt;&gt;"",IF($D24="",INDEX(primary_jama_2018_14280_disposition,MATCH($A24,primary_jama_2018_14280_key,0)),$D24)&lt;&gt;"retain"),NOT(OR(IF($E24="",INDEX(primary_jama_2018_14280_domain,MATCH($A24,primary_jama_2018_14280_key,0)),$E24)="statistical_results")))</formula>
    </cfRule>
  </conditionalFormatting>
  <conditionalFormatting sqref="K2">
    <cfRule type="expression" priority="139" dxfId="0" stopIfTrue="1">
      <formula>AND(OR(AND(IF($D2="",INDEX(primary_jama_2018_14280_disposition,MATCH($A2,primary_jama_2018_14280_key,0)),$D2)&lt;&gt;"",IF($D2="",INDEX(primary_jama_2018_14280_disposition,MATCH($A2,primary_jama_2018_14280_key,0)),$D2)&lt;&gt;"retain"),NOT(OR(IF($E2="",INDEX(primary_jama_2018_14280_domain,MATCH($A2,primary_jama_2018_14280_key,0)),$E2)="internal_nonstatistical",IF($E2="",INDEX(primary_jama_2018_14280_domain,MATCH($A2,primary_jama_2018_14280_key,0)),$E2)="plan_material"))),K2&lt;&gt;"",K2&lt;&gt;"not_applicable")</formula>
    </cfRule>
    <cfRule type="expression" priority="140" dxfId="1">
      <formula>OR(AND(IF($D2="",INDEX(primary_jama_2018_14280_disposition,MATCH($A2,primary_jama_2018_14280_key,0)),$D2)&lt;&gt;"",IF($D2="",INDEX(primary_jama_2018_14280_disposition,MATCH($A2,primary_jama_2018_14280_key,0)),$D2)&lt;&gt;"retain"),NOT(OR(IF($E2="",INDEX(primary_jama_2018_14280_domain,MATCH($A2,primary_jama_2018_14280_key,0)),$E2)="internal_nonstatistical",IF($E2="",INDEX(primary_jama_2018_14280_domain,MATCH($A2,primary_jama_2018_14280_key,0)),$E2)="plan_material")))</formula>
    </cfRule>
  </conditionalFormatting>
  <conditionalFormatting sqref="K3">
    <cfRule type="expression" priority="141" dxfId="0" stopIfTrue="1">
      <formula>AND(OR(AND(IF($D3="",INDEX(primary_jama_2018_14280_disposition,MATCH($A3,primary_jama_2018_14280_key,0)),$D3)&lt;&gt;"",IF($D3="",INDEX(primary_jama_2018_14280_disposition,MATCH($A3,primary_jama_2018_14280_key,0)),$D3)&lt;&gt;"retain"),NOT(OR(IF($E3="",INDEX(primary_jama_2018_14280_domain,MATCH($A3,primary_jama_2018_14280_key,0)),$E3)="internal_nonstatistical",IF($E3="",INDEX(primary_jama_2018_14280_domain,MATCH($A3,primary_jama_2018_14280_key,0)),$E3)="plan_material"))),K3&lt;&gt;"",K3&lt;&gt;"not_applicable")</formula>
    </cfRule>
    <cfRule type="expression" priority="142" dxfId="1">
      <formula>OR(AND(IF($D3="",INDEX(primary_jama_2018_14280_disposition,MATCH($A3,primary_jama_2018_14280_key,0)),$D3)&lt;&gt;"",IF($D3="",INDEX(primary_jama_2018_14280_disposition,MATCH($A3,primary_jama_2018_14280_key,0)),$D3)&lt;&gt;"retain"),NOT(OR(IF($E3="",INDEX(primary_jama_2018_14280_domain,MATCH($A3,primary_jama_2018_14280_key,0)),$E3)="internal_nonstatistical",IF($E3="",INDEX(primary_jama_2018_14280_domain,MATCH($A3,primary_jama_2018_14280_key,0)),$E3)="plan_material")))</formula>
    </cfRule>
  </conditionalFormatting>
  <conditionalFormatting sqref="K4">
    <cfRule type="expression" priority="143" dxfId="0" stopIfTrue="1">
      <formula>AND(OR(AND(IF($D4="",INDEX(primary_jama_2018_14280_disposition,MATCH($A4,primary_jama_2018_14280_key,0)),$D4)&lt;&gt;"",IF($D4="",INDEX(primary_jama_2018_14280_disposition,MATCH($A4,primary_jama_2018_14280_key,0)),$D4)&lt;&gt;"retain"),NOT(OR(IF($E4="",INDEX(primary_jama_2018_14280_domain,MATCH($A4,primary_jama_2018_14280_key,0)),$E4)="internal_nonstatistical",IF($E4="",INDEX(primary_jama_2018_14280_domain,MATCH($A4,primary_jama_2018_14280_key,0)),$E4)="plan_material"))),K4&lt;&gt;"",K4&lt;&gt;"not_applicable")</formula>
    </cfRule>
    <cfRule type="expression" priority="144" dxfId="1">
      <formula>OR(AND(IF($D4="",INDEX(primary_jama_2018_14280_disposition,MATCH($A4,primary_jama_2018_14280_key,0)),$D4)&lt;&gt;"",IF($D4="",INDEX(primary_jama_2018_14280_disposition,MATCH($A4,primary_jama_2018_14280_key,0)),$D4)&lt;&gt;"retain"),NOT(OR(IF($E4="",INDEX(primary_jama_2018_14280_domain,MATCH($A4,primary_jama_2018_14280_key,0)),$E4)="internal_nonstatistical",IF($E4="",INDEX(primary_jama_2018_14280_domain,MATCH($A4,primary_jama_2018_14280_key,0)),$E4)="plan_material")))</formula>
    </cfRule>
  </conditionalFormatting>
  <conditionalFormatting sqref="K5">
    <cfRule type="expression" priority="145" dxfId="0" stopIfTrue="1">
      <formula>AND(OR(AND(IF($D5="",INDEX(primary_jama_2018_14280_disposition,MATCH($A5,primary_jama_2018_14280_key,0)),$D5)&lt;&gt;"",IF($D5="",INDEX(primary_jama_2018_14280_disposition,MATCH($A5,primary_jama_2018_14280_key,0)),$D5)&lt;&gt;"retain"),NOT(OR(IF($E5="",INDEX(primary_jama_2018_14280_domain,MATCH($A5,primary_jama_2018_14280_key,0)),$E5)="internal_nonstatistical",IF($E5="",INDEX(primary_jama_2018_14280_domain,MATCH($A5,primary_jama_2018_14280_key,0)),$E5)="plan_material"))),K5&lt;&gt;"",K5&lt;&gt;"not_applicable")</formula>
    </cfRule>
    <cfRule type="expression" priority="146" dxfId="1">
      <formula>OR(AND(IF($D5="",INDEX(primary_jama_2018_14280_disposition,MATCH($A5,primary_jama_2018_14280_key,0)),$D5)&lt;&gt;"",IF($D5="",INDEX(primary_jama_2018_14280_disposition,MATCH($A5,primary_jama_2018_14280_key,0)),$D5)&lt;&gt;"retain"),NOT(OR(IF($E5="",INDEX(primary_jama_2018_14280_domain,MATCH($A5,primary_jama_2018_14280_key,0)),$E5)="internal_nonstatistical",IF($E5="",INDEX(primary_jama_2018_14280_domain,MATCH($A5,primary_jama_2018_14280_key,0)),$E5)="plan_material")))</formula>
    </cfRule>
  </conditionalFormatting>
  <conditionalFormatting sqref="K6">
    <cfRule type="expression" priority="147" dxfId="0" stopIfTrue="1">
      <formula>AND(OR(AND(IF($D6="",INDEX(primary_jama_2018_14280_disposition,MATCH($A6,primary_jama_2018_14280_key,0)),$D6)&lt;&gt;"",IF($D6="",INDEX(primary_jama_2018_14280_disposition,MATCH($A6,primary_jama_2018_14280_key,0)),$D6)&lt;&gt;"retain"),NOT(OR(IF($E6="",INDEX(primary_jama_2018_14280_domain,MATCH($A6,primary_jama_2018_14280_key,0)),$E6)="internal_nonstatistical",IF($E6="",INDEX(primary_jama_2018_14280_domain,MATCH($A6,primary_jama_2018_14280_key,0)),$E6)="plan_material"))),K6&lt;&gt;"",K6&lt;&gt;"not_applicable")</formula>
    </cfRule>
    <cfRule type="expression" priority="148" dxfId="1">
      <formula>OR(AND(IF($D6="",INDEX(primary_jama_2018_14280_disposition,MATCH($A6,primary_jama_2018_14280_key,0)),$D6)&lt;&gt;"",IF($D6="",INDEX(primary_jama_2018_14280_disposition,MATCH($A6,primary_jama_2018_14280_key,0)),$D6)&lt;&gt;"retain"),NOT(OR(IF($E6="",INDEX(primary_jama_2018_14280_domain,MATCH($A6,primary_jama_2018_14280_key,0)),$E6)="internal_nonstatistical",IF($E6="",INDEX(primary_jama_2018_14280_domain,MATCH($A6,primary_jama_2018_14280_key,0)),$E6)="plan_material")))</formula>
    </cfRule>
  </conditionalFormatting>
  <conditionalFormatting sqref="K7">
    <cfRule type="expression" priority="149" dxfId="0" stopIfTrue="1">
      <formula>AND(OR(AND(IF($D7="",INDEX(primary_jama_2018_14280_disposition,MATCH($A7,primary_jama_2018_14280_key,0)),$D7)&lt;&gt;"",IF($D7="",INDEX(primary_jama_2018_14280_disposition,MATCH($A7,primary_jama_2018_14280_key,0)),$D7)&lt;&gt;"retain"),NOT(OR(IF($E7="",INDEX(primary_jama_2018_14280_domain,MATCH($A7,primary_jama_2018_14280_key,0)),$E7)="internal_nonstatistical",IF($E7="",INDEX(primary_jama_2018_14280_domain,MATCH($A7,primary_jama_2018_14280_key,0)),$E7)="plan_material"))),K7&lt;&gt;"",K7&lt;&gt;"not_applicable")</formula>
    </cfRule>
    <cfRule type="expression" priority="150" dxfId="1">
      <formula>OR(AND(IF($D7="",INDEX(primary_jama_2018_14280_disposition,MATCH($A7,primary_jama_2018_14280_key,0)),$D7)&lt;&gt;"",IF($D7="",INDEX(primary_jama_2018_14280_disposition,MATCH($A7,primary_jama_2018_14280_key,0)),$D7)&lt;&gt;"retain"),NOT(OR(IF($E7="",INDEX(primary_jama_2018_14280_domain,MATCH($A7,primary_jama_2018_14280_key,0)),$E7)="internal_nonstatistical",IF($E7="",INDEX(primary_jama_2018_14280_domain,MATCH($A7,primary_jama_2018_14280_key,0)),$E7)="plan_material")))</formula>
    </cfRule>
  </conditionalFormatting>
  <conditionalFormatting sqref="K8">
    <cfRule type="expression" priority="151" dxfId="0" stopIfTrue="1">
      <formula>AND(OR(AND(IF($D8="",INDEX(primary_jama_2018_14280_disposition,MATCH($A8,primary_jama_2018_14280_key,0)),$D8)&lt;&gt;"",IF($D8="",INDEX(primary_jama_2018_14280_disposition,MATCH($A8,primary_jama_2018_14280_key,0)),$D8)&lt;&gt;"retain"),NOT(OR(IF($E8="",INDEX(primary_jama_2018_14280_domain,MATCH($A8,primary_jama_2018_14280_key,0)),$E8)="internal_nonstatistical",IF($E8="",INDEX(primary_jama_2018_14280_domain,MATCH($A8,primary_jama_2018_14280_key,0)),$E8)="plan_material"))),K8&lt;&gt;"",K8&lt;&gt;"not_applicable")</formula>
    </cfRule>
    <cfRule type="expression" priority="152" dxfId="1">
      <formula>OR(AND(IF($D8="",INDEX(primary_jama_2018_14280_disposition,MATCH($A8,primary_jama_2018_14280_key,0)),$D8)&lt;&gt;"",IF($D8="",INDEX(primary_jama_2018_14280_disposition,MATCH($A8,primary_jama_2018_14280_key,0)),$D8)&lt;&gt;"retain"),NOT(OR(IF($E8="",INDEX(primary_jama_2018_14280_domain,MATCH($A8,primary_jama_2018_14280_key,0)),$E8)="internal_nonstatistical",IF($E8="",INDEX(primary_jama_2018_14280_domain,MATCH($A8,primary_jama_2018_14280_key,0)),$E8)="plan_material")))</formula>
    </cfRule>
  </conditionalFormatting>
  <conditionalFormatting sqref="K9">
    <cfRule type="expression" priority="153" dxfId="0" stopIfTrue="1">
      <formula>AND(OR(AND(IF($D9="",INDEX(primary_jama_2018_14280_disposition,MATCH($A9,primary_jama_2018_14280_key,0)),$D9)&lt;&gt;"",IF($D9="",INDEX(primary_jama_2018_14280_disposition,MATCH($A9,primary_jama_2018_14280_key,0)),$D9)&lt;&gt;"retain"),NOT(OR(IF($E9="",INDEX(primary_jama_2018_14280_domain,MATCH($A9,primary_jama_2018_14280_key,0)),$E9)="internal_nonstatistical",IF($E9="",INDEX(primary_jama_2018_14280_domain,MATCH($A9,primary_jama_2018_14280_key,0)),$E9)="plan_material"))),K9&lt;&gt;"",K9&lt;&gt;"not_applicable")</formula>
    </cfRule>
    <cfRule type="expression" priority="154" dxfId="1">
      <formula>OR(AND(IF($D9="",INDEX(primary_jama_2018_14280_disposition,MATCH($A9,primary_jama_2018_14280_key,0)),$D9)&lt;&gt;"",IF($D9="",INDEX(primary_jama_2018_14280_disposition,MATCH($A9,primary_jama_2018_14280_key,0)),$D9)&lt;&gt;"retain"),NOT(OR(IF($E9="",INDEX(primary_jama_2018_14280_domain,MATCH($A9,primary_jama_2018_14280_key,0)),$E9)="internal_nonstatistical",IF($E9="",INDEX(primary_jama_2018_14280_domain,MATCH($A9,primary_jama_2018_14280_key,0)),$E9)="plan_material")))</formula>
    </cfRule>
  </conditionalFormatting>
  <conditionalFormatting sqref="K10">
    <cfRule type="expression" priority="155" dxfId="0" stopIfTrue="1">
      <formula>AND(OR(AND(IF($D10="",INDEX(primary_jama_2018_14280_disposition,MATCH($A10,primary_jama_2018_14280_key,0)),$D10)&lt;&gt;"",IF($D10="",INDEX(primary_jama_2018_14280_disposition,MATCH($A10,primary_jama_2018_14280_key,0)),$D10)&lt;&gt;"retain"),NOT(OR(IF($E10="",INDEX(primary_jama_2018_14280_domain,MATCH($A10,primary_jama_2018_14280_key,0)),$E10)="internal_nonstatistical",IF($E10="",INDEX(primary_jama_2018_14280_domain,MATCH($A10,primary_jama_2018_14280_key,0)),$E10)="plan_material"))),K10&lt;&gt;"",K10&lt;&gt;"not_applicable")</formula>
    </cfRule>
    <cfRule type="expression" priority="156" dxfId="1">
      <formula>OR(AND(IF($D10="",INDEX(primary_jama_2018_14280_disposition,MATCH($A10,primary_jama_2018_14280_key,0)),$D10)&lt;&gt;"",IF($D10="",INDEX(primary_jama_2018_14280_disposition,MATCH($A10,primary_jama_2018_14280_key,0)),$D10)&lt;&gt;"retain"),NOT(OR(IF($E10="",INDEX(primary_jama_2018_14280_domain,MATCH($A10,primary_jama_2018_14280_key,0)),$E10)="internal_nonstatistical",IF($E10="",INDEX(primary_jama_2018_14280_domain,MATCH($A10,primary_jama_2018_14280_key,0)),$E10)="plan_material")))</formula>
    </cfRule>
  </conditionalFormatting>
  <conditionalFormatting sqref="K11">
    <cfRule type="expression" priority="157" dxfId="0" stopIfTrue="1">
      <formula>AND(OR(AND(IF($D11="",INDEX(primary_jama_2018_14280_disposition,MATCH($A11,primary_jama_2018_14280_key,0)),$D11)&lt;&gt;"",IF($D11="",INDEX(primary_jama_2018_14280_disposition,MATCH($A11,primary_jama_2018_14280_key,0)),$D11)&lt;&gt;"retain"),NOT(OR(IF($E11="",INDEX(primary_jama_2018_14280_domain,MATCH($A11,primary_jama_2018_14280_key,0)),$E11)="internal_nonstatistical",IF($E11="",INDEX(primary_jama_2018_14280_domain,MATCH($A11,primary_jama_2018_14280_key,0)),$E11)="plan_material"))),K11&lt;&gt;"",K11&lt;&gt;"not_applicable")</formula>
    </cfRule>
    <cfRule type="expression" priority="158" dxfId="1">
      <formula>OR(AND(IF($D11="",INDEX(primary_jama_2018_14280_disposition,MATCH($A11,primary_jama_2018_14280_key,0)),$D11)&lt;&gt;"",IF($D11="",INDEX(primary_jama_2018_14280_disposition,MATCH($A11,primary_jama_2018_14280_key,0)),$D11)&lt;&gt;"retain"),NOT(OR(IF($E11="",INDEX(primary_jama_2018_14280_domain,MATCH($A11,primary_jama_2018_14280_key,0)),$E11)="internal_nonstatistical",IF($E11="",INDEX(primary_jama_2018_14280_domain,MATCH($A11,primary_jama_2018_14280_key,0)),$E11)="plan_material")))</formula>
    </cfRule>
  </conditionalFormatting>
  <conditionalFormatting sqref="K12">
    <cfRule type="expression" priority="159" dxfId="0" stopIfTrue="1">
      <formula>AND(OR(AND(IF($D12="",INDEX(primary_jama_2018_14280_disposition,MATCH($A12,primary_jama_2018_14280_key,0)),$D12)&lt;&gt;"",IF($D12="",INDEX(primary_jama_2018_14280_disposition,MATCH($A12,primary_jama_2018_14280_key,0)),$D12)&lt;&gt;"retain"),NOT(OR(IF($E12="",INDEX(primary_jama_2018_14280_domain,MATCH($A12,primary_jama_2018_14280_key,0)),$E12)="internal_nonstatistical",IF($E12="",INDEX(primary_jama_2018_14280_domain,MATCH($A12,primary_jama_2018_14280_key,0)),$E12)="plan_material"))),K12&lt;&gt;"",K12&lt;&gt;"not_applicable")</formula>
    </cfRule>
    <cfRule type="expression" priority="160" dxfId="1">
      <formula>OR(AND(IF($D12="",INDEX(primary_jama_2018_14280_disposition,MATCH($A12,primary_jama_2018_14280_key,0)),$D12)&lt;&gt;"",IF($D12="",INDEX(primary_jama_2018_14280_disposition,MATCH($A12,primary_jama_2018_14280_key,0)),$D12)&lt;&gt;"retain"),NOT(OR(IF($E12="",INDEX(primary_jama_2018_14280_domain,MATCH($A12,primary_jama_2018_14280_key,0)),$E12)="internal_nonstatistical",IF($E12="",INDEX(primary_jama_2018_14280_domain,MATCH($A12,primary_jama_2018_14280_key,0)),$E12)="plan_material")))</formula>
    </cfRule>
  </conditionalFormatting>
  <conditionalFormatting sqref="K13">
    <cfRule type="expression" priority="161" dxfId="0" stopIfTrue="1">
      <formula>AND(OR(AND(IF($D13="",INDEX(primary_jama_2018_14280_disposition,MATCH($A13,primary_jama_2018_14280_key,0)),$D13)&lt;&gt;"",IF($D13="",INDEX(primary_jama_2018_14280_disposition,MATCH($A13,primary_jama_2018_14280_key,0)),$D13)&lt;&gt;"retain"),NOT(OR(IF($E13="",INDEX(primary_jama_2018_14280_domain,MATCH($A13,primary_jama_2018_14280_key,0)),$E13)="internal_nonstatistical",IF($E13="",INDEX(primary_jama_2018_14280_domain,MATCH($A13,primary_jama_2018_14280_key,0)),$E13)="plan_material"))),K13&lt;&gt;"",K13&lt;&gt;"not_applicable")</formula>
    </cfRule>
    <cfRule type="expression" priority="162" dxfId="1">
      <formula>OR(AND(IF($D13="",INDEX(primary_jama_2018_14280_disposition,MATCH($A13,primary_jama_2018_14280_key,0)),$D13)&lt;&gt;"",IF($D13="",INDEX(primary_jama_2018_14280_disposition,MATCH($A13,primary_jama_2018_14280_key,0)),$D13)&lt;&gt;"retain"),NOT(OR(IF($E13="",INDEX(primary_jama_2018_14280_domain,MATCH($A13,primary_jama_2018_14280_key,0)),$E13)="internal_nonstatistical",IF($E13="",INDEX(primary_jama_2018_14280_domain,MATCH($A13,primary_jama_2018_14280_key,0)),$E13)="plan_material")))</formula>
    </cfRule>
  </conditionalFormatting>
  <conditionalFormatting sqref="K14">
    <cfRule type="expression" priority="163" dxfId="0" stopIfTrue="1">
      <formula>AND(OR(AND(IF($D14="",INDEX(primary_jama_2018_14280_disposition,MATCH($A14,primary_jama_2018_14280_key,0)),$D14)&lt;&gt;"",IF($D14="",INDEX(primary_jama_2018_14280_disposition,MATCH($A14,primary_jama_2018_14280_key,0)),$D14)&lt;&gt;"retain"),NOT(OR(IF($E14="",INDEX(primary_jama_2018_14280_domain,MATCH($A14,primary_jama_2018_14280_key,0)),$E14)="internal_nonstatistical",IF($E14="",INDEX(primary_jama_2018_14280_domain,MATCH($A14,primary_jama_2018_14280_key,0)),$E14)="plan_material"))),K14&lt;&gt;"",K14&lt;&gt;"not_applicable")</formula>
    </cfRule>
    <cfRule type="expression" priority="164" dxfId="1">
      <formula>OR(AND(IF($D14="",INDEX(primary_jama_2018_14280_disposition,MATCH($A14,primary_jama_2018_14280_key,0)),$D14)&lt;&gt;"",IF($D14="",INDEX(primary_jama_2018_14280_disposition,MATCH($A14,primary_jama_2018_14280_key,0)),$D14)&lt;&gt;"retain"),NOT(OR(IF($E14="",INDEX(primary_jama_2018_14280_domain,MATCH($A14,primary_jama_2018_14280_key,0)),$E14)="internal_nonstatistical",IF($E14="",INDEX(primary_jama_2018_14280_domain,MATCH($A14,primary_jama_2018_14280_key,0)),$E14)="plan_material")))</formula>
    </cfRule>
  </conditionalFormatting>
  <conditionalFormatting sqref="K15">
    <cfRule type="expression" priority="165" dxfId="0" stopIfTrue="1">
      <formula>AND(OR(AND(IF($D15="",INDEX(primary_jama_2018_14280_disposition,MATCH($A15,primary_jama_2018_14280_key,0)),$D15)&lt;&gt;"",IF($D15="",INDEX(primary_jama_2018_14280_disposition,MATCH($A15,primary_jama_2018_14280_key,0)),$D15)&lt;&gt;"retain"),NOT(OR(IF($E15="",INDEX(primary_jama_2018_14280_domain,MATCH($A15,primary_jama_2018_14280_key,0)),$E15)="internal_nonstatistical",IF($E15="",INDEX(primary_jama_2018_14280_domain,MATCH($A15,primary_jama_2018_14280_key,0)),$E15)="plan_material"))),K15&lt;&gt;"",K15&lt;&gt;"not_applicable")</formula>
    </cfRule>
    <cfRule type="expression" priority="166" dxfId="1">
      <formula>OR(AND(IF($D15="",INDEX(primary_jama_2018_14280_disposition,MATCH($A15,primary_jama_2018_14280_key,0)),$D15)&lt;&gt;"",IF($D15="",INDEX(primary_jama_2018_14280_disposition,MATCH($A15,primary_jama_2018_14280_key,0)),$D15)&lt;&gt;"retain"),NOT(OR(IF($E15="",INDEX(primary_jama_2018_14280_domain,MATCH($A15,primary_jama_2018_14280_key,0)),$E15)="internal_nonstatistical",IF($E15="",INDEX(primary_jama_2018_14280_domain,MATCH($A15,primary_jama_2018_14280_key,0)),$E15)="plan_material")))</formula>
    </cfRule>
  </conditionalFormatting>
  <conditionalFormatting sqref="K16">
    <cfRule type="expression" priority="167" dxfId="0" stopIfTrue="1">
      <formula>AND(OR(AND(IF($D16="",INDEX(primary_jama_2018_14280_disposition,MATCH($A16,primary_jama_2018_14280_key,0)),$D16)&lt;&gt;"",IF($D16="",INDEX(primary_jama_2018_14280_disposition,MATCH($A16,primary_jama_2018_14280_key,0)),$D16)&lt;&gt;"retain"),NOT(OR(IF($E16="",INDEX(primary_jama_2018_14280_domain,MATCH($A16,primary_jama_2018_14280_key,0)),$E16)="internal_nonstatistical",IF($E16="",INDEX(primary_jama_2018_14280_domain,MATCH($A16,primary_jama_2018_14280_key,0)),$E16)="plan_material"))),K16&lt;&gt;"",K16&lt;&gt;"not_applicable")</formula>
    </cfRule>
    <cfRule type="expression" priority="168" dxfId="1">
      <formula>OR(AND(IF($D16="",INDEX(primary_jama_2018_14280_disposition,MATCH($A16,primary_jama_2018_14280_key,0)),$D16)&lt;&gt;"",IF($D16="",INDEX(primary_jama_2018_14280_disposition,MATCH($A16,primary_jama_2018_14280_key,0)),$D16)&lt;&gt;"retain"),NOT(OR(IF($E16="",INDEX(primary_jama_2018_14280_domain,MATCH($A16,primary_jama_2018_14280_key,0)),$E16)="internal_nonstatistical",IF($E16="",INDEX(primary_jama_2018_14280_domain,MATCH($A16,primary_jama_2018_14280_key,0)),$E16)="plan_material")))</formula>
    </cfRule>
  </conditionalFormatting>
  <conditionalFormatting sqref="K17">
    <cfRule type="expression" priority="169" dxfId="0" stopIfTrue="1">
      <formula>AND(OR(AND(IF($D17="",INDEX(primary_jama_2018_14280_disposition,MATCH($A17,primary_jama_2018_14280_key,0)),$D17)&lt;&gt;"",IF($D17="",INDEX(primary_jama_2018_14280_disposition,MATCH($A17,primary_jama_2018_14280_key,0)),$D17)&lt;&gt;"retain"),NOT(OR(IF($E17="",INDEX(primary_jama_2018_14280_domain,MATCH($A17,primary_jama_2018_14280_key,0)),$E17)="internal_nonstatistical",IF($E17="",INDEX(primary_jama_2018_14280_domain,MATCH($A17,primary_jama_2018_14280_key,0)),$E17)="plan_material"))),K17&lt;&gt;"",K17&lt;&gt;"not_applicable")</formula>
    </cfRule>
    <cfRule type="expression" priority="170" dxfId="1">
      <formula>OR(AND(IF($D17="",INDEX(primary_jama_2018_14280_disposition,MATCH($A17,primary_jama_2018_14280_key,0)),$D17)&lt;&gt;"",IF($D17="",INDEX(primary_jama_2018_14280_disposition,MATCH($A17,primary_jama_2018_14280_key,0)),$D17)&lt;&gt;"retain"),NOT(OR(IF($E17="",INDEX(primary_jama_2018_14280_domain,MATCH($A17,primary_jama_2018_14280_key,0)),$E17)="internal_nonstatistical",IF($E17="",INDEX(primary_jama_2018_14280_domain,MATCH($A17,primary_jama_2018_14280_key,0)),$E17)="plan_material")))</formula>
    </cfRule>
  </conditionalFormatting>
  <conditionalFormatting sqref="K18">
    <cfRule type="expression" priority="171" dxfId="0" stopIfTrue="1">
      <formula>AND(OR(AND(IF($D18="",INDEX(primary_jama_2018_14280_disposition,MATCH($A18,primary_jama_2018_14280_key,0)),$D18)&lt;&gt;"",IF($D18="",INDEX(primary_jama_2018_14280_disposition,MATCH($A18,primary_jama_2018_14280_key,0)),$D18)&lt;&gt;"retain"),NOT(OR(IF($E18="",INDEX(primary_jama_2018_14280_domain,MATCH($A18,primary_jama_2018_14280_key,0)),$E18)="internal_nonstatistical",IF($E18="",INDEX(primary_jama_2018_14280_domain,MATCH($A18,primary_jama_2018_14280_key,0)),$E18)="plan_material"))),K18&lt;&gt;"",K18&lt;&gt;"not_applicable")</formula>
    </cfRule>
    <cfRule type="expression" priority="172" dxfId="1">
      <formula>OR(AND(IF($D18="",INDEX(primary_jama_2018_14280_disposition,MATCH($A18,primary_jama_2018_14280_key,0)),$D18)&lt;&gt;"",IF($D18="",INDEX(primary_jama_2018_14280_disposition,MATCH($A18,primary_jama_2018_14280_key,0)),$D18)&lt;&gt;"retain"),NOT(OR(IF($E18="",INDEX(primary_jama_2018_14280_domain,MATCH($A18,primary_jama_2018_14280_key,0)),$E18)="internal_nonstatistical",IF($E18="",INDEX(primary_jama_2018_14280_domain,MATCH($A18,primary_jama_2018_14280_key,0)),$E18)="plan_material")))</formula>
    </cfRule>
  </conditionalFormatting>
  <conditionalFormatting sqref="K19">
    <cfRule type="expression" priority="173" dxfId="0" stopIfTrue="1">
      <formula>AND(OR(AND(IF($D19="",INDEX(primary_jama_2018_14280_disposition,MATCH($A19,primary_jama_2018_14280_key,0)),$D19)&lt;&gt;"",IF($D19="",INDEX(primary_jama_2018_14280_disposition,MATCH($A19,primary_jama_2018_14280_key,0)),$D19)&lt;&gt;"retain"),NOT(OR(IF($E19="",INDEX(primary_jama_2018_14280_domain,MATCH($A19,primary_jama_2018_14280_key,0)),$E19)="internal_nonstatistical",IF($E19="",INDEX(primary_jama_2018_14280_domain,MATCH($A19,primary_jama_2018_14280_key,0)),$E19)="plan_material"))),K19&lt;&gt;"",K19&lt;&gt;"not_applicable")</formula>
    </cfRule>
    <cfRule type="expression" priority="174" dxfId="1">
      <formula>OR(AND(IF($D19="",INDEX(primary_jama_2018_14280_disposition,MATCH($A19,primary_jama_2018_14280_key,0)),$D19)&lt;&gt;"",IF($D19="",INDEX(primary_jama_2018_14280_disposition,MATCH($A19,primary_jama_2018_14280_key,0)),$D19)&lt;&gt;"retain"),NOT(OR(IF($E19="",INDEX(primary_jama_2018_14280_domain,MATCH($A19,primary_jama_2018_14280_key,0)),$E19)="internal_nonstatistical",IF($E19="",INDEX(primary_jama_2018_14280_domain,MATCH($A19,primary_jama_2018_14280_key,0)),$E19)="plan_material")))</formula>
    </cfRule>
  </conditionalFormatting>
  <conditionalFormatting sqref="K20">
    <cfRule type="expression" priority="175" dxfId="0" stopIfTrue="1">
      <formula>AND(OR(AND(IF($D20="",INDEX(primary_jama_2018_14280_disposition,MATCH($A20,primary_jama_2018_14280_key,0)),$D20)&lt;&gt;"",IF($D20="",INDEX(primary_jama_2018_14280_disposition,MATCH($A20,primary_jama_2018_14280_key,0)),$D20)&lt;&gt;"retain"),NOT(OR(IF($E20="",INDEX(primary_jama_2018_14280_domain,MATCH($A20,primary_jama_2018_14280_key,0)),$E20)="internal_nonstatistical",IF($E20="",INDEX(primary_jama_2018_14280_domain,MATCH($A20,primary_jama_2018_14280_key,0)),$E20)="plan_material"))),K20&lt;&gt;"",K20&lt;&gt;"not_applicable")</formula>
    </cfRule>
    <cfRule type="expression" priority="176" dxfId="1">
      <formula>OR(AND(IF($D20="",INDEX(primary_jama_2018_14280_disposition,MATCH($A20,primary_jama_2018_14280_key,0)),$D20)&lt;&gt;"",IF($D20="",INDEX(primary_jama_2018_14280_disposition,MATCH($A20,primary_jama_2018_14280_key,0)),$D20)&lt;&gt;"retain"),NOT(OR(IF($E20="",INDEX(primary_jama_2018_14280_domain,MATCH($A20,primary_jama_2018_14280_key,0)),$E20)="internal_nonstatistical",IF($E20="",INDEX(primary_jama_2018_14280_domain,MATCH($A20,primary_jama_2018_14280_key,0)),$E20)="plan_material")))</formula>
    </cfRule>
  </conditionalFormatting>
  <conditionalFormatting sqref="K21">
    <cfRule type="expression" priority="177" dxfId="0" stopIfTrue="1">
      <formula>AND(OR(AND(IF($D21="",INDEX(primary_jama_2018_14280_disposition,MATCH($A21,primary_jama_2018_14280_key,0)),$D21)&lt;&gt;"",IF($D21="",INDEX(primary_jama_2018_14280_disposition,MATCH($A21,primary_jama_2018_14280_key,0)),$D21)&lt;&gt;"retain"),NOT(OR(IF($E21="",INDEX(primary_jama_2018_14280_domain,MATCH($A21,primary_jama_2018_14280_key,0)),$E21)="internal_nonstatistical",IF($E21="",INDEX(primary_jama_2018_14280_domain,MATCH($A21,primary_jama_2018_14280_key,0)),$E21)="plan_material"))),K21&lt;&gt;"",K21&lt;&gt;"not_applicable")</formula>
    </cfRule>
    <cfRule type="expression" priority="178" dxfId="1">
      <formula>OR(AND(IF($D21="",INDEX(primary_jama_2018_14280_disposition,MATCH($A21,primary_jama_2018_14280_key,0)),$D21)&lt;&gt;"",IF($D21="",INDEX(primary_jama_2018_14280_disposition,MATCH($A21,primary_jama_2018_14280_key,0)),$D21)&lt;&gt;"retain"),NOT(OR(IF($E21="",INDEX(primary_jama_2018_14280_domain,MATCH($A21,primary_jama_2018_14280_key,0)),$E21)="internal_nonstatistical",IF($E21="",INDEX(primary_jama_2018_14280_domain,MATCH($A21,primary_jama_2018_14280_key,0)),$E21)="plan_material")))</formula>
    </cfRule>
  </conditionalFormatting>
  <conditionalFormatting sqref="K22">
    <cfRule type="expression" priority="179" dxfId="0" stopIfTrue="1">
      <formula>AND(OR(AND(IF($D22="",INDEX(primary_jama_2018_14280_disposition,MATCH($A22,primary_jama_2018_14280_key,0)),$D22)&lt;&gt;"",IF($D22="",INDEX(primary_jama_2018_14280_disposition,MATCH($A22,primary_jama_2018_14280_key,0)),$D22)&lt;&gt;"retain"),NOT(OR(IF($E22="",INDEX(primary_jama_2018_14280_domain,MATCH($A22,primary_jama_2018_14280_key,0)),$E22)="internal_nonstatistical",IF($E22="",INDEX(primary_jama_2018_14280_domain,MATCH($A22,primary_jama_2018_14280_key,0)),$E22)="plan_material"))),K22&lt;&gt;"",K22&lt;&gt;"not_applicable")</formula>
    </cfRule>
    <cfRule type="expression" priority="180" dxfId="1">
      <formula>OR(AND(IF($D22="",INDEX(primary_jama_2018_14280_disposition,MATCH($A22,primary_jama_2018_14280_key,0)),$D22)&lt;&gt;"",IF($D22="",INDEX(primary_jama_2018_14280_disposition,MATCH($A22,primary_jama_2018_14280_key,0)),$D22)&lt;&gt;"retain"),NOT(OR(IF($E22="",INDEX(primary_jama_2018_14280_domain,MATCH($A22,primary_jama_2018_14280_key,0)),$E22)="internal_nonstatistical",IF($E22="",INDEX(primary_jama_2018_14280_domain,MATCH($A22,primary_jama_2018_14280_key,0)),$E22)="plan_material")))</formula>
    </cfRule>
  </conditionalFormatting>
  <conditionalFormatting sqref="K23">
    <cfRule type="expression" priority="181" dxfId="0" stopIfTrue="1">
      <formula>AND(OR(AND(IF($D23="",INDEX(primary_jama_2018_14280_disposition,MATCH($A23,primary_jama_2018_14280_key,0)),$D23)&lt;&gt;"",IF($D23="",INDEX(primary_jama_2018_14280_disposition,MATCH($A23,primary_jama_2018_14280_key,0)),$D23)&lt;&gt;"retain"),NOT(OR(IF($E23="",INDEX(primary_jama_2018_14280_domain,MATCH($A23,primary_jama_2018_14280_key,0)),$E23)="internal_nonstatistical",IF($E23="",INDEX(primary_jama_2018_14280_domain,MATCH($A23,primary_jama_2018_14280_key,0)),$E23)="plan_material"))),K23&lt;&gt;"",K23&lt;&gt;"not_applicable")</formula>
    </cfRule>
    <cfRule type="expression" priority="182" dxfId="1">
      <formula>OR(AND(IF($D23="",INDEX(primary_jama_2018_14280_disposition,MATCH($A23,primary_jama_2018_14280_key,0)),$D23)&lt;&gt;"",IF($D23="",INDEX(primary_jama_2018_14280_disposition,MATCH($A23,primary_jama_2018_14280_key,0)),$D23)&lt;&gt;"retain"),NOT(OR(IF($E23="",INDEX(primary_jama_2018_14280_domain,MATCH($A23,primary_jama_2018_14280_key,0)),$E23)="internal_nonstatistical",IF($E23="",INDEX(primary_jama_2018_14280_domain,MATCH($A23,primary_jama_2018_14280_key,0)),$E23)="plan_material")))</formula>
    </cfRule>
  </conditionalFormatting>
  <conditionalFormatting sqref="K24">
    <cfRule type="expression" priority="183" dxfId="0" stopIfTrue="1">
      <formula>AND(OR(AND(IF($D24="",INDEX(primary_jama_2018_14280_disposition,MATCH($A24,primary_jama_2018_14280_key,0)),$D24)&lt;&gt;"",IF($D24="",INDEX(primary_jama_2018_14280_disposition,MATCH($A24,primary_jama_2018_14280_key,0)),$D24)&lt;&gt;"retain"),NOT(OR(IF($E24="",INDEX(primary_jama_2018_14280_domain,MATCH($A24,primary_jama_2018_14280_key,0)),$E24)="internal_nonstatistical",IF($E24="",INDEX(primary_jama_2018_14280_domain,MATCH($A24,primary_jama_2018_14280_key,0)),$E24)="plan_material"))),K24&lt;&gt;"",K24&lt;&gt;"not_applicable")</formula>
    </cfRule>
    <cfRule type="expression" priority="184" dxfId="1">
      <formula>OR(AND(IF($D24="",INDEX(primary_jama_2018_14280_disposition,MATCH($A24,primary_jama_2018_14280_key,0)),$D24)&lt;&gt;"",IF($D24="",INDEX(primary_jama_2018_14280_disposition,MATCH($A24,primary_jama_2018_14280_key,0)),$D24)&lt;&gt;"retain"),NOT(OR(IF($E24="",INDEX(primary_jama_2018_14280_domain,MATCH($A24,primary_jama_2018_14280_key,0)),$E24)="internal_nonstatistical",IF($E24="",INDEX(primary_jama_2018_14280_domain,MATCH($A24,primary_jama_2018_14280_key,0)),$E24)="plan_material")))</formula>
    </cfRule>
  </conditionalFormatting>
  <conditionalFormatting sqref="L2">
    <cfRule type="expression" priority="185" dxfId="0" stopIfTrue="1">
      <formula>AND(OR(AND(IF($D2="",INDEX(primary_jama_2018_14280_disposition,MATCH($A2,primary_jama_2018_14280_key,0)),$D2)&lt;&gt;"",IF($D2="",INDEX(primary_jama_2018_14280_disposition,MATCH($A2,primary_jama_2018_14280_key,0)),$D2)&lt;&gt;"retain"),NOT(OR(IF($E2="",INDEX(primary_jama_2018_14280_domain,MATCH($A2,primary_jama_2018_14280_key,0)),$E2)="protocol_report"))),L2&lt;&gt;"",L2&lt;&gt;"not_applicable")</formula>
    </cfRule>
    <cfRule type="expression" priority="186" dxfId="1">
      <formula>OR(AND(IF($D2="",INDEX(primary_jama_2018_14280_disposition,MATCH($A2,primary_jama_2018_14280_key,0)),$D2)&lt;&gt;"",IF($D2="",INDEX(primary_jama_2018_14280_disposition,MATCH($A2,primary_jama_2018_14280_key,0)),$D2)&lt;&gt;"retain"),NOT(OR(IF($E2="",INDEX(primary_jama_2018_14280_domain,MATCH($A2,primary_jama_2018_14280_key,0)),$E2)="protocol_report")))</formula>
    </cfRule>
  </conditionalFormatting>
  <conditionalFormatting sqref="L3">
    <cfRule type="expression" priority="187" dxfId="0" stopIfTrue="1">
      <formula>AND(OR(AND(IF($D3="",INDEX(primary_jama_2018_14280_disposition,MATCH($A3,primary_jama_2018_14280_key,0)),$D3)&lt;&gt;"",IF($D3="",INDEX(primary_jama_2018_14280_disposition,MATCH($A3,primary_jama_2018_14280_key,0)),$D3)&lt;&gt;"retain"),NOT(OR(IF($E3="",INDEX(primary_jama_2018_14280_domain,MATCH($A3,primary_jama_2018_14280_key,0)),$E3)="protocol_report"))),L3&lt;&gt;"",L3&lt;&gt;"not_applicable")</formula>
    </cfRule>
    <cfRule type="expression" priority="188" dxfId="1">
      <formula>OR(AND(IF($D3="",INDEX(primary_jama_2018_14280_disposition,MATCH($A3,primary_jama_2018_14280_key,0)),$D3)&lt;&gt;"",IF($D3="",INDEX(primary_jama_2018_14280_disposition,MATCH($A3,primary_jama_2018_14280_key,0)),$D3)&lt;&gt;"retain"),NOT(OR(IF($E3="",INDEX(primary_jama_2018_14280_domain,MATCH($A3,primary_jama_2018_14280_key,0)),$E3)="protocol_report")))</formula>
    </cfRule>
  </conditionalFormatting>
  <conditionalFormatting sqref="L4">
    <cfRule type="expression" priority="189" dxfId="0" stopIfTrue="1">
      <formula>AND(OR(AND(IF($D4="",INDEX(primary_jama_2018_14280_disposition,MATCH($A4,primary_jama_2018_14280_key,0)),$D4)&lt;&gt;"",IF($D4="",INDEX(primary_jama_2018_14280_disposition,MATCH($A4,primary_jama_2018_14280_key,0)),$D4)&lt;&gt;"retain"),NOT(OR(IF($E4="",INDEX(primary_jama_2018_14280_domain,MATCH($A4,primary_jama_2018_14280_key,0)),$E4)="protocol_report"))),L4&lt;&gt;"",L4&lt;&gt;"not_applicable")</formula>
    </cfRule>
    <cfRule type="expression" priority="190" dxfId="1">
      <formula>OR(AND(IF($D4="",INDEX(primary_jama_2018_14280_disposition,MATCH($A4,primary_jama_2018_14280_key,0)),$D4)&lt;&gt;"",IF($D4="",INDEX(primary_jama_2018_14280_disposition,MATCH($A4,primary_jama_2018_14280_key,0)),$D4)&lt;&gt;"retain"),NOT(OR(IF($E4="",INDEX(primary_jama_2018_14280_domain,MATCH($A4,primary_jama_2018_14280_key,0)),$E4)="protocol_report")))</formula>
    </cfRule>
  </conditionalFormatting>
  <conditionalFormatting sqref="L5">
    <cfRule type="expression" priority="191" dxfId="0" stopIfTrue="1">
      <formula>AND(OR(AND(IF($D5="",INDEX(primary_jama_2018_14280_disposition,MATCH($A5,primary_jama_2018_14280_key,0)),$D5)&lt;&gt;"",IF($D5="",INDEX(primary_jama_2018_14280_disposition,MATCH($A5,primary_jama_2018_14280_key,0)),$D5)&lt;&gt;"retain"),NOT(OR(IF($E5="",INDEX(primary_jama_2018_14280_domain,MATCH($A5,primary_jama_2018_14280_key,0)),$E5)="protocol_report"))),L5&lt;&gt;"",L5&lt;&gt;"not_applicable")</formula>
    </cfRule>
    <cfRule type="expression" priority="192" dxfId="1">
      <formula>OR(AND(IF($D5="",INDEX(primary_jama_2018_14280_disposition,MATCH($A5,primary_jama_2018_14280_key,0)),$D5)&lt;&gt;"",IF($D5="",INDEX(primary_jama_2018_14280_disposition,MATCH($A5,primary_jama_2018_14280_key,0)),$D5)&lt;&gt;"retain"),NOT(OR(IF($E5="",INDEX(primary_jama_2018_14280_domain,MATCH($A5,primary_jama_2018_14280_key,0)),$E5)="protocol_report")))</formula>
    </cfRule>
  </conditionalFormatting>
  <conditionalFormatting sqref="L6">
    <cfRule type="expression" priority="193" dxfId="0" stopIfTrue="1">
      <formula>AND(OR(AND(IF($D6="",INDEX(primary_jama_2018_14280_disposition,MATCH($A6,primary_jama_2018_14280_key,0)),$D6)&lt;&gt;"",IF($D6="",INDEX(primary_jama_2018_14280_disposition,MATCH($A6,primary_jama_2018_14280_key,0)),$D6)&lt;&gt;"retain"),NOT(OR(IF($E6="",INDEX(primary_jama_2018_14280_domain,MATCH($A6,primary_jama_2018_14280_key,0)),$E6)="protocol_report"))),L6&lt;&gt;"",L6&lt;&gt;"not_applicable")</formula>
    </cfRule>
    <cfRule type="expression" priority="194" dxfId="1">
      <formula>OR(AND(IF($D6="",INDEX(primary_jama_2018_14280_disposition,MATCH($A6,primary_jama_2018_14280_key,0)),$D6)&lt;&gt;"",IF($D6="",INDEX(primary_jama_2018_14280_disposition,MATCH($A6,primary_jama_2018_14280_key,0)),$D6)&lt;&gt;"retain"),NOT(OR(IF($E6="",INDEX(primary_jama_2018_14280_domain,MATCH($A6,primary_jama_2018_14280_key,0)),$E6)="protocol_report")))</formula>
    </cfRule>
  </conditionalFormatting>
  <conditionalFormatting sqref="L7">
    <cfRule type="expression" priority="195" dxfId="0" stopIfTrue="1">
      <formula>AND(OR(AND(IF($D7="",INDEX(primary_jama_2018_14280_disposition,MATCH($A7,primary_jama_2018_14280_key,0)),$D7)&lt;&gt;"",IF($D7="",INDEX(primary_jama_2018_14280_disposition,MATCH($A7,primary_jama_2018_14280_key,0)),$D7)&lt;&gt;"retain"),NOT(OR(IF($E7="",INDEX(primary_jama_2018_14280_domain,MATCH($A7,primary_jama_2018_14280_key,0)),$E7)="protocol_report"))),L7&lt;&gt;"",L7&lt;&gt;"not_applicable")</formula>
    </cfRule>
    <cfRule type="expression" priority="196" dxfId="1">
      <formula>OR(AND(IF($D7="",INDEX(primary_jama_2018_14280_disposition,MATCH($A7,primary_jama_2018_14280_key,0)),$D7)&lt;&gt;"",IF($D7="",INDEX(primary_jama_2018_14280_disposition,MATCH($A7,primary_jama_2018_14280_key,0)),$D7)&lt;&gt;"retain"),NOT(OR(IF($E7="",INDEX(primary_jama_2018_14280_domain,MATCH($A7,primary_jama_2018_14280_key,0)),$E7)="protocol_report")))</formula>
    </cfRule>
  </conditionalFormatting>
  <conditionalFormatting sqref="L8">
    <cfRule type="expression" priority="197" dxfId="0" stopIfTrue="1">
      <formula>AND(OR(AND(IF($D8="",INDEX(primary_jama_2018_14280_disposition,MATCH($A8,primary_jama_2018_14280_key,0)),$D8)&lt;&gt;"",IF($D8="",INDEX(primary_jama_2018_14280_disposition,MATCH($A8,primary_jama_2018_14280_key,0)),$D8)&lt;&gt;"retain"),NOT(OR(IF($E8="",INDEX(primary_jama_2018_14280_domain,MATCH($A8,primary_jama_2018_14280_key,0)),$E8)="protocol_report"))),L8&lt;&gt;"",L8&lt;&gt;"not_applicable")</formula>
    </cfRule>
    <cfRule type="expression" priority="198" dxfId="1">
      <formula>OR(AND(IF($D8="",INDEX(primary_jama_2018_14280_disposition,MATCH($A8,primary_jama_2018_14280_key,0)),$D8)&lt;&gt;"",IF($D8="",INDEX(primary_jama_2018_14280_disposition,MATCH($A8,primary_jama_2018_14280_key,0)),$D8)&lt;&gt;"retain"),NOT(OR(IF($E8="",INDEX(primary_jama_2018_14280_domain,MATCH($A8,primary_jama_2018_14280_key,0)),$E8)="protocol_report")))</formula>
    </cfRule>
  </conditionalFormatting>
  <conditionalFormatting sqref="L9">
    <cfRule type="expression" priority="199" dxfId="0" stopIfTrue="1">
      <formula>AND(OR(AND(IF($D9="",INDEX(primary_jama_2018_14280_disposition,MATCH($A9,primary_jama_2018_14280_key,0)),$D9)&lt;&gt;"",IF($D9="",INDEX(primary_jama_2018_14280_disposition,MATCH($A9,primary_jama_2018_14280_key,0)),$D9)&lt;&gt;"retain"),NOT(OR(IF($E9="",INDEX(primary_jama_2018_14280_domain,MATCH($A9,primary_jama_2018_14280_key,0)),$E9)="protocol_report"))),L9&lt;&gt;"",L9&lt;&gt;"not_applicable")</formula>
    </cfRule>
    <cfRule type="expression" priority="200" dxfId="1">
      <formula>OR(AND(IF($D9="",INDEX(primary_jama_2018_14280_disposition,MATCH($A9,primary_jama_2018_14280_key,0)),$D9)&lt;&gt;"",IF($D9="",INDEX(primary_jama_2018_14280_disposition,MATCH($A9,primary_jama_2018_14280_key,0)),$D9)&lt;&gt;"retain"),NOT(OR(IF($E9="",INDEX(primary_jama_2018_14280_domain,MATCH($A9,primary_jama_2018_14280_key,0)),$E9)="protocol_report")))</formula>
    </cfRule>
  </conditionalFormatting>
  <conditionalFormatting sqref="L10">
    <cfRule type="expression" priority="201" dxfId="0" stopIfTrue="1">
      <formula>AND(OR(AND(IF($D10="",INDEX(primary_jama_2018_14280_disposition,MATCH($A10,primary_jama_2018_14280_key,0)),$D10)&lt;&gt;"",IF($D10="",INDEX(primary_jama_2018_14280_disposition,MATCH($A10,primary_jama_2018_14280_key,0)),$D10)&lt;&gt;"retain"),NOT(OR(IF($E10="",INDEX(primary_jama_2018_14280_domain,MATCH($A10,primary_jama_2018_14280_key,0)),$E10)="protocol_report"))),L10&lt;&gt;"",L10&lt;&gt;"not_applicable")</formula>
    </cfRule>
    <cfRule type="expression" priority="202" dxfId="1">
      <formula>OR(AND(IF($D10="",INDEX(primary_jama_2018_14280_disposition,MATCH($A10,primary_jama_2018_14280_key,0)),$D10)&lt;&gt;"",IF($D10="",INDEX(primary_jama_2018_14280_disposition,MATCH($A10,primary_jama_2018_14280_key,0)),$D10)&lt;&gt;"retain"),NOT(OR(IF($E10="",INDEX(primary_jama_2018_14280_domain,MATCH($A10,primary_jama_2018_14280_key,0)),$E10)="protocol_report")))</formula>
    </cfRule>
  </conditionalFormatting>
  <conditionalFormatting sqref="L11">
    <cfRule type="expression" priority="203" dxfId="0" stopIfTrue="1">
      <formula>AND(OR(AND(IF($D11="",INDEX(primary_jama_2018_14280_disposition,MATCH($A11,primary_jama_2018_14280_key,0)),$D11)&lt;&gt;"",IF($D11="",INDEX(primary_jama_2018_14280_disposition,MATCH($A11,primary_jama_2018_14280_key,0)),$D11)&lt;&gt;"retain"),NOT(OR(IF($E11="",INDEX(primary_jama_2018_14280_domain,MATCH($A11,primary_jama_2018_14280_key,0)),$E11)="protocol_report"))),L11&lt;&gt;"",L11&lt;&gt;"not_applicable")</formula>
    </cfRule>
    <cfRule type="expression" priority="204" dxfId="1">
      <formula>OR(AND(IF($D11="",INDEX(primary_jama_2018_14280_disposition,MATCH($A11,primary_jama_2018_14280_key,0)),$D11)&lt;&gt;"",IF($D11="",INDEX(primary_jama_2018_14280_disposition,MATCH($A11,primary_jama_2018_14280_key,0)),$D11)&lt;&gt;"retain"),NOT(OR(IF($E11="",INDEX(primary_jama_2018_14280_domain,MATCH($A11,primary_jama_2018_14280_key,0)),$E11)="protocol_report")))</formula>
    </cfRule>
  </conditionalFormatting>
  <conditionalFormatting sqref="L12">
    <cfRule type="expression" priority="205" dxfId="0" stopIfTrue="1">
      <formula>AND(OR(AND(IF($D12="",INDEX(primary_jama_2018_14280_disposition,MATCH($A12,primary_jama_2018_14280_key,0)),$D12)&lt;&gt;"",IF($D12="",INDEX(primary_jama_2018_14280_disposition,MATCH($A12,primary_jama_2018_14280_key,0)),$D12)&lt;&gt;"retain"),NOT(OR(IF($E12="",INDEX(primary_jama_2018_14280_domain,MATCH($A12,primary_jama_2018_14280_key,0)),$E12)="protocol_report"))),L12&lt;&gt;"",L12&lt;&gt;"not_applicable")</formula>
    </cfRule>
    <cfRule type="expression" priority="206" dxfId="1">
      <formula>OR(AND(IF($D12="",INDEX(primary_jama_2018_14280_disposition,MATCH($A12,primary_jama_2018_14280_key,0)),$D12)&lt;&gt;"",IF($D12="",INDEX(primary_jama_2018_14280_disposition,MATCH($A12,primary_jama_2018_14280_key,0)),$D12)&lt;&gt;"retain"),NOT(OR(IF($E12="",INDEX(primary_jama_2018_14280_domain,MATCH($A12,primary_jama_2018_14280_key,0)),$E12)="protocol_report")))</formula>
    </cfRule>
  </conditionalFormatting>
  <conditionalFormatting sqref="L13">
    <cfRule type="expression" priority="207" dxfId="0" stopIfTrue="1">
      <formula>AND(OR(AND(IF($D13="",INDEX(primary_jama_2018_14280_disposition,MATCH($A13,primary_jama_2018_14280_key,0)),$D13)&lt;&gt;"",IF($D13="",INDEX(primary_jama_2018_14280_disposition,MATCH($A13,primary_jama_2018_14280_key,0)),$D13)&lt;&gt;"retain"),NOT(OR(IF($E13="",INDEX(primary_jama_2018_14280_domain,MATCH($A13,primary_jama_2018_14280_key,0)),$E13)="protocol_report"))),L13&lt;&gt;"",L13&lt;&gt;"not_applicable")</formula>
    </cfRule>
    <cfRule type="expression" priority="208" dxfId="1">
      <formula>OR(AND(IF($D13="",INDEX(primary_jama_2018_14280_disposition,MATCH($A13,primary_jama_2018_14280_key,0)),$D13)&lt;&gt;"",IF($D13="",INDEX(primary_jama_2018_14280_disposition,MATCH($A13,primary_jama_2018_14280_key,0)),$D13)&lt;&gt;"retain"),NOT(OR(IF($E13="",INDEX(primary_jama_2018_14280_domain,MATCH($A13,primary_jama_2018_14280_key,0)),$E13)="protocol_report")))</formula>
    </cfRule>
  </conditionalFormatting>
  <conditionalFormatting sqref="L14">
    <cfRule type="expression" priority="209" dxfId="0" stopIfTrue="1">
      <formula>AND(OR(AND(IF($D14="",INDEX(primary_jama_2018_14280_disposition,MATCH($A14,primary_jama_2018_14280_key,0)),$D14)&lt;&gt;"",IF($D14="",INDEX(primary_jama_2018_14280_disposition,MATCH($A14,primary_jama_2018_14280_key,0)),$D14)&lt;&gt;"retain"),NOT(OR(IF($E14="",INDEX(primary_jama_2018_14280_domain,MATCH($A14,primary_jama_2018_14280_key,0)),$E14)="protocol_report"))),L14&lt;&gt;"",L14&lt;&gt;"not_applicable")</formula>
    </cfRule>
    <cfRule type="expression" priority="210" dxfId="1">
      <formula>OR(AND(IF($D14="",INDEX(primary_jama_2018_14280_disposition,MATCH($A14,primary_jama_2018_14280_key,0)),$D14)&lt;&gt;"",IF($D14="",INDEX(primary_jama_2018_14280_disposition,MATCH($A14,primary_jama_2018_14280_key,0)),$D14)&lt;&gt;"retain"),NOT(OR(IF($E14="",INDEX(primary_jama_2018_14280_domain,MATCH($A14,primary_jama_2018_14280_key,0)),$E14)="protocol_report")))</formula>
    </cfRule>
  </conditionalFormatting>
  <conditionalFormatting sqref="L15">
    <cfRule type="expression" priority="211" dxfId="0" stopIfTrue="1">
      <formula>AND(OR(AND(IF($D15="",INDEX(primary_jama_2018_14280_disposition,MATCH($A15,primary_jama_2018_14280_key,0)),$D15)&lt;&gt;"",IF($D15="",INDEX(primary_jama_2018_14280_disposition,MATCH($A15,primary_jama_2018_14280_key,0)),$D15)&lt;&gt;"retain"),NOT(OR(IF($E15="",INDEX(primary_jama_2018_14280_domain,MATCH($A15,primary_jama_2018_14280_key,0)),$E15)="protocol_report"))),L15&lt;&gt;"",L15&lt;&gt;"not_applicable")</formula>
    </cfRule>
    <cfRule type="expression" priority="212" dxfId="1">
      <formula>OR(AND(IF($D15="",INDEX(primary_jama_2018_14280_disposition,MATCH($A15,primary_jama_2018_14280_key,0)),$D15)&lt;&gt;"",IF($D15="",INDEX(primary_jama_2018_14280_disposition,MATCH($A15,primary_jama_2018_14280_key,0)),$D15)&lt;&gt;"retain"),NOT(OR(IF($E15="",INDEX(primary_jama_2018_14280_domain,MATCH($A15,primary_jama_2018_14280_key,0)),$E15)="protocol_report")))</formula>
    </cfRule>
  </conditionalFormatting>
  <conditionalFormatting sqref="L16">
    <cfRule type="expression" priority="213" dxfId="0" stopIfTrue="1">
      <formula>AND(OR(AND(IF($D16="",INDEX(primary_jama_2018_14280_disposition,MATCH($A16,primary_jama_2018_14280_key,0)),$D16)&lt;&gt;"",IF($D16="",INDEX(primary_jama_2018_14280_disposition,MATCH($A16,primary_jama_2018_14280_key,0)),$D16)&lt;&gt;"retain"),NOT(OR(IF($E16="",INDEX(primary_jama_2018_14280_domain,MATCH($A16,primary_jama_2018_14280_key,0)),$E16)="protocol_report"))),L16&lt;&gt;"",L16&lt;&gt;"not_applicable")</formula>
    </cfRule>
    <cfRule type="expression" priority="214" dxfId="1">
      <formula>OR(AND(IF($D16="",INDEX(primary_jama_2018_14280_disposition,MATCH($A16,primary_jama_2018_14280_key,0)),$D16)&lt;&gt;"",IF($D16="",INDEX(primary_jama_2018_14280_disposition,MATCH($A16,primary_jama_2018_14280_key,0)),$D16)&lt;&gt;"retain"),NOT(OR(IF($E16="",INDEX(primary_jama_2018_14280_domain,MATCH($A16,primary_jama_2018_14280_key,0)),$E16)="protocol_report")))</formula>
    </cfRule>
  </conditionalFormatting>
  <conditionalFormatting sqref="L17">
    <cfRule type="expression" priority="215" dxfId="0" stopIfTrue="1">
      <formula>AND(OR(AND(IF($D17="",INDEX(primary_jama_2018_14280_disposition,MATCH($A17,primary_jama_2018_14280_key,0)),$D17)&lt;&gt;"",IF($D17="",INDEX(primary_jama_2018_14280_disposition,MATCH($A17,primary_jama_2018_14280_key,0)),$D17)&lt;&gt;"retain"),NOT(OR(IF($E17="",INDEX(primary_jama_2018_14280_domain,MATCH($A17,primary_jama_2018_14280_key,0)),$E17)="protocol_report"))),L17&lt;&gt;"",L17&lt;&gt;"not_applicable")</formula>
    </cfRule>
    <cfRule type="expression" priority="216" dxfId="1">
      <formula>OR(AND(IF($D17="",INDEX(primary_jama_2018_14280_disposition,MATCH($A17,primary_jama_2018_14280_key,0)),$D17)&lt;&gt;"",IF($D17="",INDEX(primary_jama_2018_14280_disposition,MATCH($A17,primary_jama_2018_14280_key,0)),$D17)&lt;&gt;"retain"),NOT(OR(IF($E17="",INDEX(primary_jama_2018_14280_domain,MATCH($A17,primary_jama_2018_14280_key,0)),$E17)="protocol_report")))</formula>
    </cfRule>
  </conditionalFormatting>
  <conditionalFormatting sqref="L18">
    <cfRule type="expression" priority="217" dxfId="0" stopIfTrue="1">
      <formula>AND(OR(AND(IF($D18="",INDEX(primary_jama_2018_14280_disposition,MATCH($A18,primary_jama_2018_14280_key,0)),$D18)&lt;&gt;"",IF($D18="",INDEX(primary_jama_2018_14280_disposition,MATCH($A18,primary_jama_2018_14280_key,0)),$D18)&lt;&gt;"retain"),NOT(OR(IF($E18="",INDEX(primary_jama_2018_14280_domain,MATCH($A18,primary_jama_2018_14280_key,0)),$E18)="protocol_report"))),L18&lt;&gt;"",L18&lt;&gt;"not_applicable")</formula>
    </cfRule>
    <cfRule type="expression" priority="218" dxfId="1">
      <formula>OR(AND(IF($D18="",INDEX(primary_jama_2018_14280_disposition,MATCH($A18,primary_jama_2018_14280_key,0)),$D18)&lt;&gt;"",IF($D18="",INDEX(primary_jama_2018_14280_disposition,MATCH($A18,primary_jama_2018_14280_key,0)),$D18)&lt;&gt;"retain"),NOT(OR(IF($E18="",INDEX(primary_jama_2018_14280_domain,MATCH($A18,primary_jama_2018_14280_key,0)),$E18)="protocol_report")))</formula>
    </cfRule>
  </conditionalFormatting>
  <conditionalFormatting sqref="L19">
    <cfRule type="expression" priority="219" dxfId="0" stopIfTrue="1">
      <formula>AND(OR(AND(IF($D19="",INDEX(primary_jama_2018_14280_disposition,MATCH($A19,primary_jama_2018_14280_key,0)),$D19)&lt;&gt;"",IF($D19="",INDEX(primary_jama_2018_14280_disposition,MATCH($A19,primary_jama_2018_14280_key,0)),$D19)&lt;&gt;"retain"),NOT(OR(IF($E19="",INDEX(primary_jama_2018_14280_domain,MATCH($A19,primary_jama_2018_14280_key,0)),$E19)="protocol_report"))),L19&lt;&gt;"",L19&lt;&gt;"not_applicable")</formula>
    </cfRule>
    <cfRule type="expression" priority="220" dxfId="1">
      <formula>OR(AND(IF($D19="",INDEX(primary_jama_2018_14280_disposition,MATCH($A19,primary_jama_2018_14280_key,0)),$D19)&lt;&gt;"",IF($D19="",INDEX(primary_jama_2018_14280_disposition,MATCH($A19,primary_jama_2018_14280_key,0)),$D19)&lt;&gt;"retain"),NOT(OR(IF($E19="",INDEX(primary_jama_2018_14280_domain,MATCH($A19,primary_jama_2018_14280_key,0)),$E19)="protocol_report")))</formula>
    </cfRule>
  </conditionalFormatting>
  <conditionalFormatting sqref="L20">
    <cfRule type="expression" priority="221" dxfId="0" stopIfTrue="1">
      <formula>AND(OR(AND(IF($D20="",INDEX(primary_jama_2018_14280_disposition,MATCH($A20,primary_jama_2018_14280_key,0)),$D20)&lt;&gt;"",IF($D20="",INDEX(primary_jama_2018_14280_disposition,MATCH($A20,primary_jama_2018_14280_key,0)),$D20)&lt;&gt;"retain"),NOT(OR(IF($E20="",INDEX(primary_jama_2018_14280_domain,MATCH($A20,primary_jama_2018_14280_key,0)),$E20)="protocol_report"))),L20&lt;&gt;"",L20&lt;&gt;"not_applicable")</formula>
    </cfRule>
    <cfRule type="expression" priority="222" dxfId="1">
      <formula>OR(AND(IF($D20="",INDEX(primary_jama_2018_14280_disposition,MATCH($A20,primary_jama_2018_14280_key,0)),$D20)&lt;&gt;"",IF($D20="",INDEX(primary_jama_2018_14280_disposition,MATCH($A20,primary_jama_2018_14280_key,0)),$D20)&lt;&gt;"retain"),NOT(OR(IF($E20="",INDEX(primary_jama_2018_14280_domain,MATCH($A20,primary_jama_2018_14280_key,0)),$E20)="protocol_report")))</formula>
    </cfRule>
  </conditionalFormatting>
  <conditionalFormatting sqref="L21">
    <cfRule type="expression" priority="223" dxfId="0" stopIfTrue="1">
      <formula>AND(OR(AND(IF($D21="",INDEX(primary_jama_2018_14280_disposition,MATCH($A21,primary_jama_2018_14280_key,0)),$D21)&lt;&gt;"",IF($D21="",INDEX(primary_jama_2018_14280_disposition,MATCH($A21,primary_jama_2018_14280_key,0)),$D21)&lt;&gt;"retain"),NOT(OR(IF($E21="",INDEX(primary_jama_2018_14280_domain,MATCH($A21,primary_jama_2018_14280_key,0)),$E21)="protocol_report"))),L21&lt;&gt;"",L21&lt;&gt;"not_applicable")</formula>
    </cfRule>
    <cfRule type="expression" priority="224" dxfId="1">
      <formula>OR(AND(IF($D21="",INDEX(primary_jama_2018_14280_disposition,MATCH($A21,primary_jama_2018_14280_key,0)),$D21)&lt;&gt;"",IF($D21="",INDEX(primary_jama_2018_14280_disposition,MATCH($A21,primary_jama_2018_14280_key,0)),$D21)&lt;&gt;"retain"),NOT(OR(IF($E21="",INDEX(primary_jama_2018_14280_domain,MATCH($A21,primary_jama_2018_14280_key,0)),$E21)="protocol_report")))</formula>
    </cfRule>
  </conditionalFormatting>
  <conditionalFormatting sqref="L22">
    <cfRule type="expression" priority="225" dxfId="0" stopIfTrue="1">
      <formula>AND(OR(AND(IF($D22="",INDEX(primary_jama_2018_14280_disposition,MATCH($A22,primary_jama_2018_14280_key,0)),$D22)&lt;&gt;"",IF($D22="",INDEX(primary_jama_2018_14280_disposition,MATCH($A22,primary_jama_2018_14280_key,0)),$D22)&lt;&gt;"retain"),NOT(OR(IF($E22="",INDEX(primary_jama_2018_14280_domain,MATCH($A22,primary_jama_2018_14280_key,0)),$E22)="protocol_report"))),L22&lt;&gt;"",L22&lt;&gt;"not_applicable")</formula>
    </cfRule>
    <cfRule type="expression" priority="226" dxfId="1">
      <formula>OR(AND(IF($D22="",INDEX(primary_jama_2018_14280_disposition,MATCH($A22,primary_jama_2018_14280_key,0)),$D22)&lt;&gt;"",IF($D22="",INDEX(primary_jama_2018_14280_disposition,MATCH($A22,primary_jama_2018_14280_key,0)),$D22)&lt;&gt;"retain"),NOT(OR(IF($E22="",INDEX(primary_jama_2018_14280_domain,MATCH($A22,primary_jama_2018_14280_key,0)),$E22)="protocol_report")))</formula>
    </cfRule>
  </conditionalFormatting>
  <conditionalFormatting sqref="L23">
    <cfRule type="expression" priority="227" dxfId="0" stopIfTrue="1">
      <formula>AND(OR(AND(IF($D23="",INDEX(primary_jama_2018_14280_disposition,MATCH($A23,primary_jama_2018_14280_key,0)),$D23)&lt;&gt;"",IF($D23="",INDEX(primary_jama_2018_14280_disposition,MATCH($A23,primary_jama_2018_14280_key,0)),$D23)&lt;&gt;"retain"),NOT(OR(IF($E23="",INDEX(primary_jama_2018_14280_domain,MATCH($A23,primary_jama_2018_14280_key,0)),$E23)="protocol_report"))),L23&lt;&gt;"",L23&lt;&gt;"not_applicable")</formula>
    </cfRule>
    <cfRule type="expression" priority="228" dxfId="1">
      <formula>OR(AND(IF($D23="",INDEX(primary_jama_2018_14280_disposition,MATCH($A23,primary_jama_2018_14280_key,0)),$D23)&lt;&gt;"",IF($D23="",INDEX(primary_jama_2018_14280_disposition,MATCH($A23,primary_jama_2018_14280_key,0)),$D23)&lt;&gt;"retain"),NOT(OR(IF($E23="",INDEX(primary_jama_2018_14280_domain,MATCH($A23,primary_jama_2018_14280_key,0)),$E23)="protocol_report")))</formula>
    </cfRule>
  </conditionalFormatting>
  <conditionalFormatting sqref="L24">
    <cfRule type="expression" priority="229" dxfId="0" stopIfTrue="1">
      <formula>AND(OR(AND(IF($D24="",INDEX(primary_jama_2018_14280_disposition,MATCH($A24,primary_jama_2018_14280_key,0)),$D24)&lt;&gt;"",IF($D24="",INDEX(primary_jama_2018_14280_disposition,MATCH($A24,primary_jama_2018_14280_key,0)),$D24)&lt;&gt;"retain"),NOT(OR(IF($E24="",INDEX(primary_jama_2018_14280_domain,MATCH($A24,primary_jama_2018_14280_key,0)),$E24)="protocol_report"))),L24&lt;&gt;"",L24&lt;&gt;"not_applicable")</formula>
    </cfRule>
    <cfRule type="expression" priority="230" dxfId="1">
      <formula>OR(AND(IF($D24="",INDEX(primary_jama_2018_14280_disposition,MATCH($A24,primary_jama_2018_14280_key,0)),$D24)&lt;&gt;"",IF($D24="",INDEX(primary_jama_2018_14280_disposition,MATCH($A24,primary_jama_2018_14280_key,0)),$D24)&lt;&gt;"retain"),NOT(OR(IF($E24="",INDEX(primary_jama_2018_14280_domain,MATCH($A24,primary_jama_2018_14280_key,0)),$E24)="protocol_report")))</formula>
    </cfRule>
  </conditionalFormatting>
  <dataValidations count="10">
    <dataValidation sqref="D2:D24" showDropDown="0" showInputMessage="1" showErrorMessage="1" allowBlank="1" errorTitle="Invalid option" error="Choose a listed value." promptTitle="Disposition" prompt="See Codebook for meanings." type="list" errorStyle="stop">
      <formula1>opt_disposition</formula1>
    </dataValidation>
    <dataValidation sqref="E2:E24" showDropDown="0" showInputMessage="1" showErrorMessage="1" allowBlank="1" errorTitle="Invalid option" error="Choose a listed value." promptTitle="Review domain" prompt="See Codebook for meanings." type="list" errorStyle="stop">
      <formula1>opt_domain</formula1>
    </dataValidation>
    <dataValidation sqref="F2:F24" showDropDown="0" showInputMessage="1" showErrorMessage="1" allowBlank="1" errorTitle="Invalid option" error="Choose a listed value." promptTitle="Complete" prompt="See Codebook for meanings." type="list" errorStyle="stop">
      <formula1>opt_reviewComplete</formula1>
    </dataValidation>
    <dataValidation sqref="H2:H2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4" showDropDown="0" showInputMessage="1" showErrorMessage="1" allowBlank="1" errorTitle="Invalid option" error="Choose a listed value." promptTitle="Substantiveness" prompt="See Codebook for meanings." type="list" errorStyle="stop">
      <formula1>opt_substantiveStatus</formula1>
    </dataValidation>
    <dataValidation sqref="J2:J24" showDropDown="0" showInputMessage="1" showErrorMessage="1" allowBlank="1" errorTitle="Invalid option" error="Choose a listed value." promptTitle="Downstream impact" prompt="See Codebook for meanings." type="list" errorStyle="stop">
      <formula1>opt_downstreamImpact</formula1>
    </dataValidation>
    <dataValidation sqref="K2:K2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24" showDropDown="0" showInputMessage="1" showErrorMessage="1" allowBlank="1" errorTitle="Invalid option" error="Choose a listed value." promptTitle="Checker result" prompt="See Codebook for meanings." type="list" errorStyle="stop">
      <formula1>opt_checkStatus</formula1>
    </dataValidation>
    <dataValidation sqref="Q2:Q2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2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2018::jama.2018.14282::C001</t>
        </is>
      </c>
      <c r="B2" s="2" t="inlineStr">
        <is>
          <t>Standard-arm men percentage does not reconcile</t>
        </is>
      </c>
      <c r="C2" s="2" t="inlineStr">
        <is>
          <t>DOC-001 Table 1 — PDF p. 4</t>
        </is>
      </c>
      <c r="D2" s="8" t="inlineStr"/>
      <c r="E2" s="8" t="inlineStr"/>
      <c r="F2" s="8" t="inlineStr">
        <is>
          <t>no</t>
        </is>
      </c>
      <c r="G2" s="2">
        <f>IF(OR(AND(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H2&lt;&gt;"",H2&lt;&gt;"not_applicable"),AND(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I2&lt;&gt;"",I2&lt;&gt;"not_applicable"),AND(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J2&lt;&gt;"",J2&lt;&gt;"not_applicable"),AND(OR(AND(IF($D2="",INDEX(primary_jama_2018_14282_disposition,MATCH($A2,primary_jama_2018_14282_key,0)),$D2)&lt;&gt;"",IF($D2="",INDEX(primary_jama_2018_14282_disposition,MATCH($A2,primary_jama_2018_14282_key,0)),$D2)&lt;&gt;"retain"),NOT(OR(IF($E2="",INDEX(primary_jama_2018_14282_domain,MATCH($A2,primary_jama_2018_14282_key,0)),$E2)="internal_nonstatistical",IF($E2="",INDEX(primary_jama_2018_14282_domain,MATCH($A2,primary_jama_2018_14282_key,0)),$E2)="plan_material"))),K2&lt;&gt;"",K2&lt;&gt;"not_applicable"),AND(OR(AND(IF($D2="",INDEX(primary_jama_2018_14282_disposition,MATCH($A2,primary_jama_2018_14282_key,0)),$D2)&lt;&gt;"",IF($D2="",INDEX(primary_jama_2018_14282_disposition,MATCH($A2,primary_jama_2018_14282_key,0)),$D2)&lt;&gt;"retain"),NOT(OR(IF($E2="",INDEX(primary_jama_2018_14282_domain,MATCH($A2,primary_jama_2018_14282_key,0)),$E2)="protocol_report"))),L2&lt;&gt;"",L2&lt;&gt;"not_applicable")),"CLEAR INACTIVE VALUES",IF(O2="","PENDING",IF(AND(O2&lt;&gt;"agree",LEN(TRIM(P2))=0),"COMMENT NEEDED",IF(F2="yes","CHECKED - see resolution","DRAFT"))))</f>
        <v/>
      </c>
      <c r="H2" s="8">
        <f>IF(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not_applicable","")</f>
        <v/>
      </c>
      <c r="I2" s="8">
        <f>IF(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not_applicable","")</f>
        <v/>
      </c>
      <c r="J2" s="9">
        <f>IF(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not_applicable","")</f>
        <v/>
      </c>
      <c r="K2" s="8">
        <f>IF(OR(AND(IF($D2="",INDEX(primary_jama_2018_14282_disposition,MATCH($A2,primary_jama_2018_14282_key,0)),$D2)&lt;&gt;"",IF($D2="",INDEX(primary_jama_2018_14282_disposition,MATCH($A2,primary_jama_2018_14282_key,0)),$D2)&lt;&gt;"retain"),NOT(OR(IF($E2="",INDEX(primary_jama_2018_14282_domain,MATCH($A2,primary_jama_2018_14282_key,0)),$E2)="internal_nonstatistical",IF($E2="",INDEX(primary_jama_2018_14282_domain,MATCH($A2,primary_jama_2018_14282_key,0)),$E2)="plan_material"))),"not_applicable","")</f>
        <v/>
      </c>
      <c r="L2" s="9">
        <f>IF(OR(AND(IF($D2="",INDEX(primary_jama_2018_14282_disposition,MATCH($A2,primary_jama_2018_14282_key,0)),$D2)&lt;&gt;"",IF($D2="",INDEX(primary_jama_2018_14282_disposition,MATCH($A2,primary_jama_2018_14282_key,0)),$D2)&lt;&gt;"retain"),NOT(OR(IF($E2="",INDEX(primary_jama_2018_14282_domain,MATCH($A2,primary_jama_2018_14282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2018::jama.2018.14282::C002</t>
        </is>
      </c>
      <c r="B3" s="3" t="inlineStr">
        <is>
          <t>Standard-arm women percentage does not reconcile</t>
        </is>
      </c>
      <c r="C3" s="3" t="inlineStr">
        <is>
          <t>DOC-001 Table 1 — PDF p. 4</t>
        </is>
      </c>
      <c r="D3" s="8" t="inlineStr"/>
      <c r="E3" s="8" t="inlineStr"/>
      <c r="F3" s="8" t="inlineStr">
        <is>
          <t>no</t>
        </is>
      </c>
      <c r="G3" s="3">
        <f>IF(OR(AND(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H3&lt;&gt;"",H3&lt;&gt;"not_applicable"),AND(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I3&lt;&gt;"",I3&lt;&gt;"not_applicable"),AND(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J3&lt;&gt;"",J3&lt;&gt;"not_applicable"),AND(OR(AND(IF($D3="",INDEX(primary_jama_2018_14282_disposition,MATCH($A3,primary_jama_2018_14282_key,0)),$D3)&lt;&gt;"",IF($D3="",INDEX(primary_jama_2018_14282_disposition,MATCH($A3,primary_jama_2018_14282_key,0)),$D3)&lt;&gt;"retain"),NOT(OR(IF($E3="",INDEX(primary_jama_2018_14282_domain,MATCH($A3,primary_jama_2018_14282_key,0)),$E3)="internal_nonstatistical",IF($E3="",INDEX(primary_jama_2018_14282_domain,MATCH($A3,primary_jama_2018_14282_key,0)),$E3)="plan_material"))),K3&lt;&gt;"",K3&lt;&gt;"not_applicable"),AND(OR(AND(IF($D3="",INDEX(primary_jama_2018_14282_disposition,MATCH($A3,primary_jama_2018_14282_key,0)),$D3)&lt;&gt;"",IF($D3="",INDEX(primary_jama_2018_14282_disposition,MATCH($A3,primary_jama_2018_14282_key,0)),$D3)&lt;&gt;"retain"),NOT(OR(IF($E3="",INDEX(primary_jama_2018_14282_domain,MATCH($A3,primary_jama_2018_14282_key,0)),$E3)="protocol_report"))),L3&lt;&gt;"",L3&lt;&gt;"not_applicable")),"CLEAR INACTIVE VALUES",IF(O3="","PENDING",IF(AND(O3&lt;&gt;"agree",LEN(TRIM(P3))=0),"COMMENT NEEDED",IF(F3="yes","CHECKED - see resolution","DRAFT"))))</f>
        <v/>
      </c>
      <c r="H3" s="8">
        <f>IF(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not_applicable","")</f>
        <v/>
      </c>
      <c r="I3" s="8">
        <f>IF(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not_applicable","")</f>
        <v/>
      </c>
      <c r="J3" s="9">
        <f>IF(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not_applicable","")</f>
        <v/>
      </c>
      <c r="K3" s="8">
        <f>IF(OR(AND(IF($D3="",INDEX(primary_jama_2018_14282_disposition,MATCH($A3,primary_jama_2018_14282_key,0)),$D3)&lt;&gt;"",IF($D3="",INDEX(primary_jama_2018_14282_disposition,MATCH($A3,primary_jama_2018_14282_key,0)),$D3)&lt;&gt;"retain"),NOT(OR(IF($E3="",INDEX(primary_jama_2018_14282_domain,MATCH($A3,primary_jama_2018_14282_key,0)),$E3)="internal_nonstatistical",IF($E3="",INDEX(primary_jama_2018_14282_domain,MATCH($A3,primary_jama_2018_14282_key,0)),$E3)="plan_material"))),"not_applicable","")</f>
        <v/>
      </c>
      <c r="L3" s="9">
        <f>IF(OR(AND(IF($D3="",INDEX(primary_jama_2018_14282_disposition,MATCH($A3,primary_jama_2018_14282_key,0)),$D3)&lt;&gt;"",IF($D3="",INDEX(primary_jama_2018_14282_disposition,MATCH($A3,primary_jama_2018_14282_key,0)),$D3)&lt;&gt;"retain"),NOT(OR(IF($E3="",INDEX(primary_jama_2018_14282_domain,MATCH($A3,primary_jama_2018_14282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2018::jama.2018.14282::C003</t>
        </is>
      </c>
      <c r="B4" s="2" t="inlineStr">
        <is>
          <t>Standard-arm heart-failure percentage does not reconcile</t>
        </is>
      </c>
      <c r="C4" s="2" t="inlineStr">
        <is>
          <t>DOC-001 Table 1 — PDF p. 4</t>
        </is>
      </c>
      <c r="D4" s="8" t="inlineStr"/>
      <c r="E4" s="8" t="inlineStr"/>
      <c r="F4" s="8" t="inlineStr">
        <is>
          <t>no</t>
        </is>
      </c>
      <c r="G4" s="2">
        <f>IF(OR(AND(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H4&lt;&gt;"",H4&lt;&gt;"not_applicable"),AND(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I4&lt;&gt;"",I4&lt;&gt;"not_applicable"),AND(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J4&lt;&gt;"",J4&lt;&gt;"not_applicable"),AND(OR(AND(IF($D4="",INDEX(primary_jama_2018_14282_disposition,MATCH($A4,primary_jama_2018_14282_key,0)),$D4)&lt;&gt;"",IF($D4="",INDEX(primary_jama_2018_14282_disposition,MATCH($A4,primary_jama_2018_14282_key,0)),$D4)&lt;&gt;"retain"),NOT(OR(IF($E4="",INDEX(primary_jama_2018_14282_domain,MATCH($A4,primary_jama_2018_14282_key,0)),$E4)="internal_nonstatistical",IF($E4="",INDEX(primary_jama_2018_14282_domain,MATCH($A4,primary_jama_2018_14282_key,0)),$E4)="plan_material"))),K4&lt;&gt;"",K4&lt;&gt;"not_applicable"),AND(OR(AND(IF($D4="",INDEX(primary_jama_2018_14282_disposition,MATCH($A4,primary_jama_2018_14282_key,0)),$D4)&lt;&gt;"",IF($D4="",INDEX(primary_jama_2018_14282_disposition,MATCH($A4,primary_jama_2018_14282_key,0)),$D4)&lt;&gt;"retain"),NOT(OR(IF($E4="",INDEX(primary_jama_2018_14282_domain,MATCH($A4,primary_jama_2018_14282_key,0)),$E4)="protocol_report"))),L4&lt;&gt;"",L4&lt;&gt;"not_applicable")),"CLEAR INACTIVE VALUES",IF(O4="","PENDING",IF(AND(O4&lt;&gt;"agree",LEN(TRIM(P4))=0),"COMMENT NEEDED",IF(F4="yes","CHECKED - see resolution","DRAFT"))))</f>
        <v/>
      </c>
      <c r="H4" s="8">
        <f>IF(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not_applicable","")</f>
        <v/>
      </c>
      <c r="I4" s="8">
        <f>IF(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not_applicable","")</f>
        <v/>
      </c>
      <c r="J4" s="9">
        <f>IF(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not_applicable","")</f>
        <v/>
      </c>
      <c r="K4" s="8">
        <f>IF(OR(AND(IF($D4="",INDEX(primary_jama_2018_14282_disposition,MATCH($A4,primary_jama_2018_14282_key,0)),$D4)&lt;&gt;"",IF($D4="",INDEX(primary_jama_2018_14282_disposition,MATCH($A4,primary_jama_2018_14282_key,0)),$D4)&lt;&gt;"retain"),NOT(OR(IF($E4="",INDEX(primary_jama_2018_14282_domain,MATCH($A4,primary_jama_2018_14282_key,0)),$E4)="internal_nonstatistical",IF($E4="",INDEX(primary_jama_2018_14282_domain,MATCH($A4,primary_jama_2018_14282_key,0)),$E4)="plan_material"))),"not_applicable","")</f>
        <v/>
      </c>
      <c r="L4" s="9">
        <f>IF(OR(AND(IF($D4="",INDEX(primary_jama_2018_14282_disposition,MATCH($A4,primary_jama_2018_14282_key,0)),$D4)&lt;&gt;"",IF($D4="",INDEX(primary_jama_2018_14282_disposition,MATCH($A4,primary_jama_2018_14282_key,0)),$D4)&lt;&gt;"retain"),NOT(OR(IF($E4="",INDEX(primary_jama_2018_14282_domain,MATCH($A4,primary_jama_2018_14282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2018::jama.2018.14282::C004</t>
        </is>
      </c>
      <c r="B5" s="3" t="inlineStr">
        <is>
          <t>High-flow liver-disease percentage conflicts with displayed count</t>
        </is>
      </c>
      <c r="C5" s="3" t="inlineStr">
        <is>
          <t>DOC-001 Table 1 — PDF p. 4</t>
        </is>
      </c>
      <c r="D5" s="8" t="inlineStr"/>
      <c r="E5" s="8" t="inlineStr"/>
      <c r="F5" s="8" t="inlineStr">
        <is>
          <t>no</t>
        </is>
      </c>
      <c r="G5" s="3">
        <f>IF(OR(AND(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H5&lt;&gt;"",H5&lt;&gt;"not_applicable"),AND(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I5&lt;&gt;"",I5&lt;&gt;"not_applicable"),AND(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J5&lt;&gt;"",J5&lt;&gt;"not_applicable"),AND(OR(AND(IF($D5="",INDEX(primary_jama_2018_14282_disposition,MATCH($A5,primary_jama_2018_14282_key,0)),$D5)&lt;&gt;"",IF($D5="",INDEX(primary_jama_2018_14282_disposition,MATCH($A5,primary_jama_2018_14282_key,0)),$D5)&lt;&gt;"retain"),NOT(OR(IF($E5="",INDEX(primary_jama_2018_14282_domain,MATCH($A5,primary_jama_2018_14282_key,0)),$E5)="internal_nonstatistical",IF($E5="",INDEX(primary_jama_2018_14282_domain,MATCH($A5,primary_jama_2018_14282_key,0)),$E5)="plan_material"))),K5&lt;&gt;"",K5&lt;&gt;"not_applicable"),AND(OR(AND(IF($D5="",INDEX(primary_jama_2018_14282_disposition,MATCH($A5,primary_jama_2018_14282_key,0)),$D5)&lt;&gt;"",IF($D5="",INDEX(primary_jama_2018_14282_disposition,MATCH($A5,primary_jama_2018_14282_key,0)),$D5)&lt;&gt;"retain"),NOT(OR(IF($E5="",INDEX(primary_jama_2018_14282_domain,MATCH($A5,primary_jama_2018_14282_key,0)),$E5)="protocol_report"))),L5&lt;&gt;"",L5&lt;&gt;"not_applicable")),"CLEAR INACTIVE VALUES",IF(O5="","PENDING",IF(AND(O5&lt;&gt;"agree",LEN(TRIM(P5))=0),"COMMENT NEEDED",IF(F5="yes","CHECKED - see resolution","DRAFT"))))</f>
        <v/>
      </c>
      <c r="H5" s="8">
        <f>IF(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not_applicable","")</f>
        <v/>
      </c>
      <c r="I5" s="8">
        <f>IF(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not_applicable","")</f>
        <v/>
      </c>
      <c r="J5" s="9">
        <f>IF(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not_applicable","")</f>
        <v/>
      </c>
      <c r="K5" s="8">
        <f>IF(OR(AND(IF($D5="",INDEX(primary_jama_2018_14282_disposition,MATCH($A5,primary_jama_2018_14282_key,0)),$D5)&lt;&gt;"",IF($D5="",INDEX(primary_jama_2018_14282_disposition,MATCH($A5,primary_jama_2018_14282_key,0)),$D5)&lt;&gt;"retain"),NOT(OR(IF($E5="",INDEX(primary_jama_2018_14282_domain,MATCH($A5,primary_jama_2018_14282_key,0)),$E5)="internal_nonstatistical",IF($E5="",INDEX(primary_jama_2018_14282_domain,MATCH($A5,primary_jama_2018_14282_key,0)),$E5)="plan_material"))),"not_applicable","")</f>
        <v/>
      </c>
      <c r="L5" s="9">
        <f>IF(OR(AND(IF($D5="",INDEX(primary_jama_2018_14282_disposition,MATCH($A5,primary_jama_2018_14282_key,0)),$D5)&lt;&gt;"",IF($D5="",INDEX(primary_jama_2018_14282_disposition,MATCH($A5,primary_jama_2018_14282_key,0)),$D5)&lt;&gt;"retain"),NOT(OR(IF($E5="",INDEX(primary_jama_2018_14282_domain,MATCH($A5,primary_jama_2018_14282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2018::jama.2018.14282::C005</t>
        </is>
      </c>
      <c r="B6" s="2" t="inlineStr">
        <is>
          <t>Standard-arm kidney-disease percentage conflicts with displayed count</t>
        </is>
      </c>
      <c r="C6" s="2" t="inlineStr">
        <is>
          <t>DOC-001 Table 1 — PDF p. 4</t>
        </is>
      </c>
      <c r="D6" s="8" t="inlineStr"/>
      <c r="E6" s="8" t="inlineStr"/>
      <c r="F6" s="8" t="inlineStr">
        <is>
          <t>no</t>
        </is>
      </c>
      <c r="G6" s="2">
        <f>IF(OR(AND(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H6&lt;&gt;"",H6&lt;&gt;"not_applicable"),AND(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I6&lt;&gt;"",I6&lt;&gt;"not_applicable"),AND(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J6&lt;&gt;"",J6&lt;&gt;"not_applicable"),AND(OR(AND(IF($D6="",INDEX(primary_jama_2018_14282_disposition,MATCH($A6,primary_jama_2018_14282_key,0)),$D6)&lt;&gt;"",IF($D6="",INDEX(primary_jama_2018_14282_disposition,MATCH($A6,primary_jama_2018_14282_key,0)),$D6)&lt;&gt;"retain"),NOT(OR(IF($E6="",INDEX(primary_jama_2018_14282_domain,MATCH($A6,primary_jama_2018_14282_key,0)),$E6)="internal_nonstatistical",IF($E6="",INDEX(primary_jama_2018_14282_domain,MATCH($A6,primary_jama_2018_14282_key,0)),$E6)="plan_material"))),K6&lt;&gt;"",K6&lt;&gt;"not_applicable"),AND(OR(AND(IF($D6="",INDEX(primary_jama_2018_14282_disposition,MATCH($A6,primary_jama_2018_14282_key,0)),$D6)&lt;&gt;"",IF($D6="",INDEX(primary_jama_2018_14282_disposition,MATCH($A6,primary_jama_2018_14282_key,0)),$D6)&lt;&gt;"retain"),NOT(OR(IF($E6="",INDEX(primary_jama_2018_14282_domain,MATCH($A6,primary_jama_2018_14282_key,0)),$E6)="protocol_report"))),L6&lt;&gt;"",L6&lt;&gt;"not_applicable")),"CLEAR INACTIVE VALUES",IF(O6="","PENDING",IF(AND(O6&lt;&gt;"agree",LEN(TRIM(P6))=0),"COMMENT NEEDED",IF(F6="yes","CHECKED - see resolution","DRAFT"))))</f>
        <v/>
      </c>
      <c r="H6" s="8">
        <f>IF(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not_applicable","")</f>
        <v/>
      </c>
      <c r="I6" s="8">
        <f>IF(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not_applicable","")</f>
        <v/>
      </c>
      <c r="J6" s="9">
        <f>IF(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not_applicable","")</f>
        <v/>
      </c>
      <c r="K6" s="8">
        <f>IF(OR(AND(IF($D6="",INDEX(primary_jama_2018_14282_disposition,MATCH($A6,primary_jama_2018_14282_key,0)),$D6)&lt;&gt;"",IF($D6="",INDEX(primary_jama_2018_14282_disposition,MATCH($A6,primary_jama_2018_14282_key,0)),$D6)&lt;&gt;"retain"),NOT(OR(IF($E6="",INDEX(primary_jama_2018_14282_domain,MATCH($A6,primary_jama_2018_14282_key,0)),$E6)="internal_nonstatistical",IF($E6="",INDEX(primary_jama_2018_14282_domain,MATCH($A6,primary_jama_2018_14282_key,0)),$E6)="plan_material"))),"not_applicable","")</f>
        <v/>
      </c>
      <c r="L6" s="9">
        <f>IF(OR(AND(IF($D6="",INDEX(primary_jama_2018_14282_disposition,MATCH($A6,primary_jama_2018_14282_key,0)),$D6)&lt;&gt;"",IF($D6="",INDEX(primary_jama_2018_14282_disposition,MATCH($A6,primary_jama_2018_14282_key,0)),$D6)&lt;&gt;"retain"),NOT(OR(IF($E6="",INDEX(primary_jama_2018_14282_domain,MATCH($A6,primary_jama_2018_14282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2018::jama.2018.14282::C006</t>
        </is>
      </c>
      <c r="B7" s="3" t="inlineStr">
        <is>
          <t>Standard-arm nontransplant immunosuppression percentage does not reconcile</t>
        </is>
      </c>
      <c r="C7" s="3" t="inlineStr">
        <is>
          <t>DOC-001 Table 1 — PDF p. 4</t>
        </is>
      </c>
      <c r="D7" s="8" t="inlineStr"/>
      <c r="E7" s="8" t="inlineStr"/>
      <c r="F7" s="8" t="inlineStr">
        <is>
          <t>no</t>
        </is>
      </c>
      <c r="G7" s="3">
        <f>IF(OR(AND(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H7&lt;&gt;"",H7&lt;&gt;"not_applicable"),AND(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I7&lt;&gt;"",I7&lt;&gt;"not_applicable"),AND(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J7&lt;&gt;"",J7&lt;&gt;"not_applicable"),AND(OR(AND(IF($D7="",INDEX(primary_jama_2018_14282_disposition,MATCH($A7,primary_jama_2018_14282_key,0)),$D7)&lt;&gt;"",IF($D7="",INDEX(primary_jama_2018_14282_disposition,MATCH($A7,primary_jama_2018_14282_key,0)),$D7)&lt;&gt;"retain"),NOT(OR(IF($E7="",INDEX(primary_jama_2018_14282_domain,MATCH($A7,primary_jama_2018_14282_key,0)),$E7)="internal_nonstatistical",IF($E7="",INDEX(primary_jama_2018_14282_domain,MATCH($A7,primary_jama_2018_14282_key,0)),$E7)="plan_material"))),K7&lt;&gt;"",K7&lt;&gt;"not_applicable"),AND(OR(AND(IF($D7="",INDEX(primary_jama_2018_14282_disposition,MATCH($A7,primary_jama_2018_14282_key,0)),$D7)&lt;&gt;"",IF($D7="",INDEX(primary_jama_2018_14282_disposition,MATCH($A7,primary_jama_2018_14282_key,0)),$D7)&lt;&gt;"retain"),NOT(OR(IF($E7="",INDEX(primary_jama_2018_14282_domain,MATCH($A7,primary_jama_2018_14282_key,0)),$E7)="protocol_report"))),L7&lt;&gt;"",L7&lt;&gt;"not_applicable")),"CLEAR INACTIVE VALUES",IF(O7="","PENDING",IF(AND(O7&lt;&gt;"agree",LEN(TRIM(P7))=0),"COMMENT NEEDED",IF(F7="yes","CHECKED - see resolution","DRAFT"))))</f>
        <v/>
      </c>
      <c r="H7" s="8">
        <f>IF(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not_applicable","")</f>
        <v/>
      </c>
      <c r="I7" s="8">
        <f>IF(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not_applicable","")</f>
        <v/>
      </c>
      <c r="J7" s="9">
        <f>IF(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not_applicable","")</f>
        <v/>
      </c>
      <c r="K7" s="8">
        <f>IF(OR(AND(IF($D7="",INDEX(primary_jama_2018_14282_disposition,MATCH($A7,primary_jama_2018_14282_key,0)),$D7)&lt;&gt;"",IF($D7="",INDEX(primary_jama_2018_14282_disposition,MATCH($A7,primary_jama_2018_14282_key,0)),$D7)&lt;&gt;"retain"),NOT(OR(IF($E7="",INDEX(primary_jama_2018_14282_domain,MATCH($A7,primary_jama_2018_14282_key,0)),$E7)="internal_nonstatistical",IF($E7="",INDEX(primary_jama_2018_14282_domain,MATCH($A7,primary_jama_2018_14282_key,0)),$E7)="plan_material"))),"not_applicable","")</f>
        <v/>
      </c>
      <c r="L7" s="9">
        <f>IF(OR(AND(IF($D7="",INDEX(primary_jama_2018_14282_disposition,MATCH($A7,primary_jama_2018_14282_key,0)),$D7)&lt;&gt;"",IF($D7="",INDEX(primary_jama_2018_14282_disposition,MATCH($A7,primary_jama_2018_14282_key,0)),$D7)&lt;&gt;"retain"),NOT(OR(IF($E7="",INDEX(primary_jama_2018_14282_domain,MATCH($A7,primary_jama_2018_14282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2018::jama.2018.14282::C007</t>
        </is>
      </c>
      <c r="B8" s="2" t="inlineStr">
        <is>
          <t>High-flow ≥3-days-after-ICU-admission percentage does not reconcile</t>
        </is>
      </c>
      <c r="C8" s="2" t="inlineStr">
        <is>
          <t>DOC-001 Table 1 — PDF p. 4</t>
        </is>
      </c>
      <c r="D8" s="8" t="inlineStr"/>
      <c r="E8" s="8" t="inlineStr"/>
      <c r="F8" s="8" t="inlineStr">
        <is>
          <t>no</t>
        </is>
      </c>
      <c r="G8" s="2">
        <f>IF(OR(AND(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H8&lt;&gt;"",H8&lt;&gt;"not_applicable"),AND(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I8&lt;&gt;"",I8&lt;&gt;"not_applicable"),AND(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J8&lt;&gt;"",J8&lt;&gt;"not_applicable"),AND(OR(AND(IF($D8="",INDEX(primary_jama_2018_14282_disposition,MATCH($A8,primary_jama_2018_14282_key,0)),$D8)&lt;&gt;"",IF($D8="",INDEX(primary_jama_2018_14282_disposition,MATCH($A8,primary_jama_2018_14282_key,0)),$D8)&lt;&gt;"retain"),NOT(OR(IF($E8="",INDEX(primary_jama_2018_14282_domain,MATCH($A8,primary_jama_2018_14282_key,0)),$E8)="internal_nonstatistical",IF($E8="",INDEX(primary_jama_2018_14282_domain,MATCH($A8,primary_jama_2018_14282_key,0)),$E8)="plan_material"))),K8&lt;&gt;"",K8&lt;&gt;"not_applicable"),AND(OR(AND(IF($D8="",INDEX(primary_jama_2018_14282_disposition,MATCH($A8,primary_jama_2018_14282_key,0)),$D8)&lt;&gt;"",IF($D8="",INDEX(primary_jama_2018_14282_disposition,MATCH($A8,primary_jama_2018_14282_key,0)),$D8)&lt;&gt;"retain"),NOT(OR(IF($E8="",INDEX(primary_jama_2018_14282_domain,MATCH($A8,primary_jama_2018_14282_key,0)),$E8)="protocol_report"))),L8&lt;&gt;"",L8&lt;&gt;"not_applicable")),"CLEAR INACTIVE VALUES",IF(O8="","PENDING",IF(AND(O8&lt;&gt;"agree",LEN(TRIM(P8))=0),"COMMENT NEEDED",IF(F8="yes","CHECKED - see resolution","DRAFT"))))</f>
        <v/>
      </c>
      <c r="H8" s="8">
        <f>IF(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not_applicable","")</f>
        <v/>
      </c>
      <c r="I8" s="8">
        <f>IF(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not_applicable","")</f>
        <v/>
      </c>
      <c r="J8" s="9">
        <f>IF(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not_applicable","")</f>
        <v/>
      </c>
      <c r="K8" s="8">
        <f>IF(OR(AND(IF($D8="",INDEX(primary_jama_2018_14282_disposition,MATCH($A8,primary_jama_2018_14282_key,0)),$D8)&lt;&gt;"",IF($D8="",INDEX(primary_jama_2018_14282_disposition,MATCH($A8,primary_jama_2018_14282_key,0)),$D8)&lt;&gt;"retain"),NOT(OR(IF($E8="",INDEX(primary_jama_2018_14282_domain,MATCH($A8,primary_jama_2018_14282_key,0)),$E8)="internal_nonstatistical",IF($E8="",INDEX(primary_jama_2018_14282_domain,MATCH($A8,primary_jama_2018_14282_key,0)),$E8)="plan_material"))),"not_applicable","")</f>
        <v/>
      </c>
      <c r="L8" s="9">
        <f>IF(OR(AND(IF($D8="",INDEX(primary_jama_2018_14282_disposition,MATCH($A8,primary_jama_2018_14282_key,0)),$D8)&lt;&gt;"",IF($D8="",INDEX(primary_jama_2018_14282_disposition,MATCH($A8,primary_jama_2018_14282_key,0)),$D8)&lt;&gt;"retain"),NOT(OR(IF($E8="",INDEX(primary_jama_2018_14282_domain,MATCH($A8,primary_jama_2018_14282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2018::jama.2018.14282::C008</t>
        </is>
      </c>
      <c r="B9" s="3" t="inlineStr">
        <is>
          <t>Standard-arm ≥3-days-after-ICU-admission percentage does not reconcile</t>
        </is>
      </c>
      <c r="C9" s="3" t="inlineStr">
        <is>
          <t>DOC-001 Table 1 — PDF p. 4</t>
        </is>
      </c>
      <c r="D9" s="8" t="inlineStr"/>
      <c r="E9" s="8" t="inlineStr"/>
      <c r="F9" s="8" t="inlineStr">
        <is>
          <t>no</t>
        </is>
      </c>
      <c r="G9" s="3">
        <f>IF(OR(AND(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H9&lt;&gt;"",H9&lt;&gt;"not_applicable"),AND(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I9&lt;&gt;"",I9&lt;&gt;"not_applicable"),AND(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J9&lt;&gt;"",J9&lt;&gt;"not_applicable"),AND(OR(AND(IF($D9="",INDEX(primary_jama_2018_14282_disposition,MATCH($A9,primary_jama_2018_14282_key,0)),$D9)&lt;&gt;"",IF($D9="",INDEX(primary_jama_2018_14282_disposition,MATCH($A9,primary_jama_2018_14282_key,0)),$D9)&lt;&gt;"retain"),NOT(OR(IF($E9="",INDEX(primary_jama_2018_14282_domain,MATCH($A9,primary_jama_2018_14282_key,0)),$E9)="internal_nonstatistical",IF($E9="",INDEX(primary_jama_2018_14282_domain,MATCH($A9,primary_jama_2018_14282_key,0)),$E9)="plan_material"))),K9&lt;&gt;"",K9&lt;&gt;"not_applicable"),AND(OR(AND(IF($D9="",INDEX(primary_jama_2018_14282_disposition,MATCH($A9,primary_jama_2018_14282_key,0)),$D9)&lt;&gt;"",IF($D9="",INDEX(primary_jama_2018_14282_disposition,MATCH($A9,primary_jama_2018_14282_key,0)),$D9)&lt;&gt;"retain"),NOT(OR(IF($E9="",INDEX(primary_jama_2018_14282_domain,MATCH($A9,primary_jama_2018_14282_key,0)),$E9)="protocol_report"))),L9&lt;&gt;"",L9&lt;&gt;"not_applicable")),"CLEAR INACTIVE VALUES",IF(O9="","PENDING",IF(AND(O9&lt;&gt;"agree",LEN(TRIM(P9))=0),"COMMENT NEEDED",IF(F9="yes","CHECKED - see resolution","DRAFT"))))</f>
        <v/>
      </c>
      <c r="H9" s="8">
        <f>IF(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not_applicable","")</f>
        <v/>
      </c>
      <c r="I9" s="8">
        <f>IF(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not_applicable","")</f>
        <v/>
      </c>
      <c r="J9" s="9">
        <f>IF(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not_applicable","")</f>
        <v/>
      </c>
      <c r="K9" s="8">
        <f>IF(OR(AND(IF($D9="",INDEX(primary_jama_2018_14282_disposition,MATCH($A9,primary_jama_2018_14282_key,0)),$D9)&lt;&gt;"",IF($D9="",INDEX(primary_jama_2018_14282_disposition,MATCH($A9,primary_jama_2018_14282_key,0)),$D9)&lt;&gt;"retain"),NOT(OR(IF($E9="",INDEX(primary_jama_2018_14282_domain,MATCH($A9,primary_jama_2018_14282_key,0)),$E9)="internal_nonstatistical",IF($E9="",INDEX(primary_jama_2018_14282_domain,MATCH($A9,primary_jama_2018_14282_key,0)),$E9)="plan_material"))),"not_applicable","")</f>
        <v/>
      </c>
      <c r="L9" s="9">
        <f>IF(OR(AND(IF($D9="",INDEX(primary_jama_2018_14282_disposition,MATCH($A9,primary_jama_2018_14282_key,0)),$D9)&lt;&gt;"",IF($D9="",INDEX(primary_jama_2018_14282_disposition,MATCH($A9,primary_jama_2018_14282_key,0)),$D9)&lt;&gt;"retain"),NOT(OR(IF($E9="",INDEX(primary_jama_2018_14282_domain,MATCH($A9,primary_jama_2018_14282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2018::jama.2018.14282::C009</t>
        </is>
      </c>
      <c r="B10" s="2" t="inlineStr">
        <is>
          <t>Standard-arm vasopressor percentage does not reconcile</t>
        </is>
      </c>
      <c r="C10" s="2" t="inlineStr">
        <is>
          <t>DOC-001 Table 1 — PDF p. 4</t>
        </is>
      </c>
      <c r="D10" s="8" t="inlineStr"/>
      <c r="E10" s="8" t="inlineStr"/>
      <c r="F10" s="8" t="inlineStr">
        <is>
          <t>no</t>
        </is>
      </c>
      <c r="G10" s="2">
        <f>IF(OR(AND(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H10&lt;&gt;"",H10&lt;&gt;"not_applicable"),AND(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I10&lt;&gt;"",I10&lt;&gt;"not_applicable"),AND(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J10&lt;&gt;"",J10&lt;&gt;"not_applicable"),AND(OR(AND(IF($D10="",INDEX(primary_jama_2018_14282_disposition,MATCH($A10,primary_jama_2018_14282_key,0)),$D10)&lt;&gt;"",IF($D10="",INDEX(primary_jama_2018_14282_disposition,MATCH($A10,primary_jama_2018_14282_key,0)),$D10)&lt;&gt;"retain"),NOT(OR(IF($E10="",INDEX(primary_jama_2018_14282_domain,MATCH($A10,primary_jama_2018_14282_key,0)),$E10)="internal_nonstatistical",IF($E10="",INDEX(primary_jama_2018_14282_domain,MATCH($A10,primary_jama_2018_14282_key,0)),$E10)="plan_material"))),K10&lt;&gt;"",K10&lt;&gt;"not_applicable"),AND(OR(AND(IF($D10="",INDEX(primary_jama_2018_14282_disposition,MATCH($A10,primary_jama_2018_14282_key,0)),$D10)&lt;&gt;"",IF($D10="",INDEX(primary_jama_2018_14282_disposition,MATCH($A10,primary_jama_2018_14282_key,0)),$D10)&lt;&gt;"retain"),NOT(OR(IF($E10="",INDEX(primary_jama_2018_14282_domain,MATCH($A10,primary_jama_2018_14282_key,0)),$E10)="protocol_report"))),L10&lt;&gt;"",L10&lt;&gt;"not_applicable")),"CLEAR INACTIVE VALUES",IF(O10="","PENDING",IF(AND(O10&lt;&gt;"agree",LEN(TRIM(P10))=0),"COMMENT NEEDED",IF(F10="yes","CHECKED - see resolution","DRAFT"))))</f>
        <v/>
      </c>
      <c r="H10" s="8">
        <f>IF(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not_applicable","")</f>
        <v/>
      </c>
      <c r="I10" s="8">
        <f>IF(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not_applicable","")</f>
        <v/>
      </c>
      <c r="J10" s="9">
        <f>IF(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not_applicable","")</f>
        <v/>
      </c>
      <c r="K10" s="8">
        <f>IF(OR(AND(IF($D10="",INDEX(primary_jama_2018_14282_disposition,MATCH($A10,primary_jama_2018_14282_key,0)),$D10)&lt;&gt;"",IF($D10="",INDEX(primary_jama_2018_14282_disposition,MATCH($A10,primary_jama_2018_14282_key,0)),$D10)&lt;&gt;"retain"),NOT(OR(IF($E10="",INDEX(primary_jama_2018_14282_domain,MATCH($A10,primary_jama_2018_14282_key,0)),$E10)="internal_nonstatistical",IF($E10="",INDEX(primary_jama_2018_14282_domain,MATCH($A10,primary_jama_2018_14282_key,0)),$E10)="plan_material"))),"not_applicable","")</f>
        <v/>
      </c>
      <c r="L10" s="9">
        <f>IF(OR(AND(IF($D10="",INDEX(primary_jama_2018_14282_disposition,MATCH($A10,primary_jama_2018_14282_key,0)),$D10)&lt;&gt;"",IF($D10="",INDEX(primary_jama_2018_14282_disposition,MATCH($A10,primary_jama_2018_14282_key,0)),$D10)&lt;&gt;"retain"),NOT(OR(IF($E10="",INDEX(primary_jama_2018_14282_domain,MATCH($A10,primary_jama_2018_14282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2018::jama.2018.14282::C010</t>
        </is>
      </c>
      <c r="B11" s="3" t="inlineStr">
        <is>
          <t>High-flow do-not-intubate percentage does not reconcile</t>
        </is>
      </c>
      <c r="C11" s="3" t="inlineStr">
        <is>
          <t>DOC-001 Table 1 — PDF p. 4</t>
        </is>
      </c>
      <c r="D11" s="8" t="inlineStr"/>
      <c r="E11" s="8" t="inlineStr"/>
      <c r="F11" s="8" t="inlineStr">
        <is>
          <t>no</t>
        </is>
      </c>
      <c r="G11" s="3">
        <f>IF(OR(AND(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H11&lt;&gt;"",H11&lt;&gt;"not_applicable"),AND(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I11&lt;&gt;"",I11&lt;&gt;"not_applicable"),AND(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J11&lt;&gt;"",J11&lt;&gt;"not_applicable"),AND(OR(AND(IF($D11="",INDEX(primary_jama_2018_14282_disposition,MATCH($A11,primary_jama_2018_14282_key,0)),$D11)&lt;&gt;"",IF($D11="",INDEX(primary_jama_2018_14282_disposition,MATCH($A11,primary_jama_2018_14282_key,0)),$D11)&lt;&gt;"retain"),NOT(OR(IF($E11="",INDEX(primary_jama_2018_14282_domain,MATCH($A11,primary_jama_2018_14282_key,0)),$E11)="internal_nonstatistical",IF($E11="",INDEX(primary_jama_2018_14282_domain,MATCH($A11,primary_jama_2018_14282_key,0)),$E11)="plan_material"))),K11&lt;&gt;"",K11&lt;&gt;"not_applicable"),AND(OR(AND(IF($D11="",INDEX(primary_jama_2018_14282_disposition,MATCH($A11,primary_jama_2018_14282_key,0)),$D11)&lt;&gt;"",IF($D11="",INDEX(primary_jama_2018_14282_disposition,MATCH($A11,primary_jama_2018_14282_key,0)),$D11)&lt;&gt;"retain"),NOT(OR(IF($E11="",INDEX(primary_jama_2018_14282_domain,MATCH($A11,primary_jama_2018_14282_key,0)),$E11)="protocol_report"))),L11&lt;&gt;"",L11&lt;&gt;"not_applicable")),"CLEAR INACTIVE VALUES",IF(O11="","PENDING",IF(AND(O11&lt;&gt;"agree",LEN(TRIM(P11))=0),"COMMENT NEEDED",IF(F11="yes","CHECKED - see resolution","DRAFT"))))</f>
        <v/>
      </c>
      <c r="H11" s="8">
        <f>IF(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not_applicable","")</f>
        <v/>
      </c>
      <c r="I11" s="8">
        <f>IF(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not_applicable","")</f>
        <v/>
      </c>
      <c r="J11" s="9">
        <f>IF(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not_applicable","")</f>
        <v/>
      </c>
      <c r="K11" s="8">
        <f>IF(OR(AND(IF($D11="",INDEX(primary_jama_2018_14282_disposition,MATCH($A11,primary_jama_2018_14282_key,0)),$D11)&lt;&gt;"",IF($D11="",INDEX(primary_jama_2018_14282_disposition,MATCH($A11,primary_jama_2018_14282_key,0)),$D11)&lt;&gt;"retain"),NOT(OR(IF($E11="",INDEX(primary_jama_2018_14282_domain,MATCH($A11,primary_jama_2018_14282_key,0)),$E11)="internal_nonstatistical",IF($E11="",INDEX(primary_jama_2018_14282_domain,MATCH($A11,primary_jama_2018_14282_key,0)),$E11)="plan_material"))),"not_applicable","")</f>
        <v/>
      </c>
      <c r="L11" s="9">
        <f>IF(OR(AND(IF($D11="",INDEX(primary_jama_2018_14282_disposition,MATCH($A11,primary_jama_2018_14282_key,0)),$D11)&lt;&gt;"",IF($D11="",INDEX(primary_jama_2018_14282_disposition,MATCH($A11,primary_jama_2018_14282_key,0)),$D11)&lt;&gt;"retain"),NOT(OR(IF($E11="",INDEX(primary_jama_2018_14282_domain,MATCH($A11,primary_jama_2018_14282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2018::jama.2018.14282::C011</t>
        </is>
      </c>
      <c r="B12" s="2" t="inlineStr">
        <is>
          <t>High-flow do-not-resuscitate percentage does not reconcile</t>
        </is>
      </c>
      <c r="C12" s="2" t="inlineStr">
        <is>
          <t>DOC-001 Table 1 — PDF p. 4</t>
        </is>
      </c>
      <c r="D12" s="8" t="inlineStr"/>
      <c r="E12" s="8" t="inlineStr"/>
      <c r="F12" s="8" t="inlineStr">
        <is>
          <t>no</t>
        </is>
      </c>
      <c r="G12" s="2">
        <f>IF(OR(AND(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H12&lt;&gt;"",H12&lt;&gt;"not_applicable"),AND(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I12&lt;&gt;"",I12&lt;&gt;"not_applicable"),AND(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J12&lt;&gt;"",J12&lt;&gt;"not_applicable"),AND(OR(AND(IF($D12="",INDEX(primary_jama_2018_14282_disposition,MATCH($A12,primary_jama_2018_14282_key,0)),$D12)&lt;&gt;"",IF($D12="",INDEX(primary_jama_2018_14282_disposition,MATCH($A12,primary_jama_2018_14282_key,0)),$D12)&lt;&gt;"retain"),NOT(OR(IF($E12="",INDEX(primary_jama_2018_14282_domain,MATCH($A12,primary_jama_2018_14282_key,0)),$E12)="internal_nonstatistical",IF($E12="",INDEX(primary_jama_2018_14282_domain,MATCH($A12,primary_jama_2018_14282_key,0)),$E12)="plan_material"))),K12&lt;&gt;"",K12&lt;&gt;"not_applicable"),AND(OR(AND(IF($D12="",INDEX(primary_jama_2018_14282_disposition,MATCH($A12,primary_jama_2018_14282_key,0)),$D12)&lt;&gt;"",IF($D12="",INDEX(primary_jama_2018_14282_disposition,MATCH($A12,primary_jama_2018_14282_key,0)),$D12)&lt;&gt;"retain"),NOT(OR(IF($E12="",INDEX(primary_jama_2018_14282_domain,MATCH($A12,primary_jama_2018_14282_key,0)),$E12)="protocol_report"))),L12&lt;&gt;"",L12&lt;&gt;"not_applicable")),"CLEAR INACTIVE VALUES",IF(O12="","PENDING",IF(AND(O12&lt;&gt;"agree",LEN(TRIM(P12))=0),"COMMENT NEEDED",IF(F12="yes","CHECKED - see resolution","DRAFT"))))</f>
        <v/>
      </c>
      <c r="H12" s="8">
        <f>IF(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not_applicable","")</f>
        <v/>
      </c>
      <c r="I12" s="8">
        <f>IF(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not_applicable","")</f>
        <v/>
      </c>
      <c r="J12" s="9">
        <f>IF(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not_applicable","")</f>
        <v/>
      </c>
      <c r="K12" s="8">
        <f>IF(OR(AND(IF($D12="",INDEX(primary_jama_2018_14282_disposition,MATCH($A12,primary_jama_2018_14282_key,0)),$D12)&lt;&gt;"",IF($D12="",INDEX(primary_jama_2018_14282_disposition,MATCH($A12,primary_jama_2018_14282_key,0)),$D12)&lt;&gt;"retain"),NOT(OR(IF($E12="",INDEX(primary_jama_2018_14282_domain,MATCH($A12,primary_jama_2018_14282_key,0)),$E12)="internal_nonstatistical",IF($E12="",INDEX(primary_jama_2018_14282_domain,MATCH($A12,primary_jama_2018_14282_key,0)),$E12)="plan_material"))),"not_applicable","")</f>
        <v/>
      </c>
      <c r="L12" s="9">
        <f>IF(OR(AND(IF($D12="",INDEX(primary_jama_2018_14282_disposition,MATCH($A12,primary_jama_2018_14282_key,0)),$D12)&lt;&gt;"",IF($D12="",INDEX(primary_jama_2018_14282_disposition,MATCH($A12,primary_jama_2018_14282_key,0)),$D12)&lt;&gt;"retain"),NOT(OR(IF($E12="",INDEX(primary_jama_2018_14282_domain,MATCH($A12,primary_jama_2018_14282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row r="13" ht="76" customHeight="1">
      <c r="A13" s="3" t="inlineStr">
        <is>
          <t>2018::jama.2018.14282::C012</t>
        </is>
      </c>
      <c r="B13" s="3" t="inlineStr">
        <is>
          <t>Standard-arm do-not-resuscitate percentage does not reconcile</t>
        </is>
      </c>
      <c r="C13" s="3" t="inlineStr">
        <is>
          <t>DOC-001 Table 1 — PDF p. 4</t>
        </is>
      </c>
      <c r="D13" s="8" t="inlineStr"/>
      <c r="E13" s="8" t="inlineStr"/>
      <c r="F13" s="8" t="inlineStr">
        <is>
          <t>no</t>
        </is>
      </c>
      <c r="G13" s="3">
        <f>IF(OR(AND(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H13&lt;&gt;"",H13&lt;&gt;"not_applicable"),AND(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I13&lt;&gt;"",I13&lt;&gt;"not_applicable"),AND(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J13&lt;&gt;"",J13&lt;&gt;"not_applicable"),AND(OR(AND(IF($D13="",INDEX(primary_jama_2018_14282_disposition,MATCH($A13,primary_jama_2018_14282_key,0)),$D13)&lt;&gt;"",IF($D13="",INDEX(primary_jama_2018_14282_disposition,MATCH($A13,primary_jama_2018_14282_key,0)),$D13)&lt;&gt;"retain"),NOT(OR(IF($E13="",INDEX(primary_jama_2018_14282_domain,MATCH($A13,primary_jama_2018_14282_key,0)),$E13)="internal_nonstatistical",IF($E13="",INDEX(primary_jama_2018_14282_domain,MATCH($A13,primary_jama_2018_14282_key,0)),$E13)="plan_material"))),K13&lt;&gt;"",K13&lt;&gt;"not_applicable"),AND(OR(AND(IF($D13="",INDEX(primary_jama_2018_14282_disposition,MATCH($A13,primary_jama_2018_14282_key,0)),$D13)&lt;&gt;"",IF($D13="",INDEX(primary_jama_2018_14282_disposition,MATCH($A13,primary_jama_2018_14282_key,0)),$D13)&lt;&gt;"retain"),NOT(OR(IF($E13="",INDEX(primary_jama_2018_14282_domain,MATCH($A13,primary_jama_2018_14282_key,0)),$E13)="protocol_report"))),L13&lt;&gt;"",L13&lt;&gt;"not_applicable")),"CLEAR INACTIVE VALUES",IF(O13="","PENDING",IF(AND(O13&lt;&gt;"agree",LEN(TRIM(P13))=0),"COMMENT NEEDED",IF(F13="yes","CHECKED - see resolution","DRAFT"))))</f>
        <v/>
      </c>
      <c r="H13" s="8">
        <f>IF(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not_applicable","")</f>
        <v/>
      </c>
      <c r="I13" s="8">
        <f>IF(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not_applicable","")</f>
        <v/>
      </c>
      <c r="J13" s="9">
        <f>IF(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not_applicable","")</f>
        <v/>
      </c>
      <c r="K13" s="8">
        <f>IF(OR(AND(IF($D13="",INDEX(primary_jama_2018_14282_disposition,MATCH($A13,primary_jama_2018_14282_key,0)),$D13)&lt;&gt;"",IF($D13="",INDEX(primary_jama_2018_14282_disposition,MATCH($A13,primary_jama_2018_14282_key,0)),$D13)&lt;&gt;"retain"),NOT(OR(IF($E13="",INDEX(primary_jama_2018_14282_domain,MATCH($A13,primary_jama_2018_14282_key,0)),$E13)="internal_nonstatistical",IF($E13="",INDEX(primary_jama_2018_14282_domain,MATCH($A13,primary_jama_2018_14282_key,0)),$E13)="plan_material"))),"not_applicable","")</f>
        <v/>
      </c>
      <c r="L13" s="9">
        <f>IF(OR(AND(IF($D13="",INDEX(primary_jama_2018_14282_disposition,MATCH($A13,primary_jama_2018_14282_key,0)),$D13)&lt;&gt;"",IF($D13="",INDEX(primary_jama_2018_14282_disposition,MATCH($A13,primary_jama_2018_14282_key,0)),$D13)&lt;&gt;"retain"),NOT(OR(IF($E13="",INDEX(primary_jama_2018_14282_domain,MATCH($A13,primary_jama_2018_14282_key,0)),$E13)="protocol_report"))),"not_applicable","")</f>
        <v/>
      </c>
      <c r="M13" s="10" t="inlineStr"/>
      <c r="N13" s="10" t="inlineStr"/>
      <c r="O13" s="8" t="inlineStr"/>
      <c r="P13" s="11" t="inlineStr"/>
      <c r="Q13" s="8" t="inlineStr">
        <is>
          <t>pending</t>
        </is>
      </c>
      <c r="R13" s="11" t="inlineStr"/>
      <c r="S13" s="3" t="inlineStr">
        <is>
          <t>AWAITING PRIMARY HANDOFF - do not start checking this template.</t>
        </is>
      </c>
    </row>
    <row r="14" ht="76" customHeight="1">
      <c r="A14" s="2" t="inlineStr">
        <is>
          <t>2018::jama.2018.14282::C013</t>
        </is>
      </c>
      <c r="B14" s="2" t="inlineStr">
        <is>
          <t>Standard-arm unknown-goals percentage does not reconcile</t>
        </is>
      </c>
      <c r="C14" s="2" t="inlineStr">
        <is>
          <t>DOC-001 Table 1 — PDF p. 4</t>
        </is>
      </c>
      <c r="D14" s="8" t="inlineStr"/>
      <c r="E14" s="8" t="inlineStr"/>
      <c r="F14" s="8" t="inlineStr">
        <is>
          <t>no</t>
        </is>
      </c>
      <c r="G14" s="2">
        <f>IF(OR(AND(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H14&lt;&gt;"",H14&lt;&gt;"not_applicable"),AND(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I14&lt;&gt;"",I14&lt;&gt;"not_applicable"),AND(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J14&lt;&gt;"",J14&lt;&gt;"not_applicable"),AND(OR(AND(IF($D14="",INDEX(primary_jama_2018_14282_disposition,MATCH($A14,primary_jama_2018_14282_key,0)),$D14)&lt;&gt;"",IF($D14="",INDEX(primary_jama_2018_14282_disposition,MATCH($A14,primary_jama_2018_14282_key,0)),$D14)&lt;&gt;"retain"),NOT(OR(IF($E14="",INDEX(primary_jama_2018_14282_domain,MATCH($A14,primary_jama_2018_14282_key,0)),$E14)="internal_nonstatistical",IF($E14="",INDEX(primary_jama_2018_14282_domain,MATCH($A14,primary_jama_2018_14282_key,0)),$E14)="plan_material"))),K14&lt;&gt;"",K14&lt;&gt;"not_applicable"),AND(OR(AND(IF($D14="",INDEX(primary_jama_2018_14282_disposition,MATCH($A14,primary_jama_2018_14282_key,0)),$D14)&lt;&gt;"",IF($D14="",INDEX(primary_jama_2018_14282_disposition,MATCH($A14,primary_jama_2018_14282_key,0)),$D14)&lt;&gt;"retain"),NOT(OR(IF($E14="",INDEX(primary_jama_2018_14282_domain,MATCH($A14,primary_jama_2018_14282_key,0)),$E14)="protocol_report"))),L14&lt;&gt;"",L14&lt;&gt;"not_applicable")),"CLEAR INACTIVE VALUES",IF(O14="","PENDING",IF(AND(O14&lt;&gt;"agree",LEN(TRIM(P14))=0),"COMMENT NEEDED",IF(F14="yes","CHECKED - see resolution","DRAFT"))))</f>
        <v/>
      </c>
      <c r="H14" s="8">
        <f>IF(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not_applicable","")</f>
        <v/>
      </c>
      <c r="I14" s="8">
        <f>IF(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not_applicable","")</f>
        <v/>
      </c>
      <c r="J14" s="9">
        <f>IF(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not_applicable","")</f>
        <v/>
      </c>
      <c r="K14" s="8">
        <f>IF(OR(AND(IF($D14="",INDEX(primary_jama_2018_14282_disposition,MATCH($A14,primary_jama_2018_14282_key,0)),$D14)&lt;&gt;"",IF($D14="",INDEX(primary_jama_2018_14282_disposition,MATCH($A14,primary_jama_2018_14282_key,0)),$D14)&lt;&gt;"retain"),NOT(OR(IF($E14="",INDEX(primary_jama_2018_14282_domain,MATCH($A14,primary_jama_2018_14282_key,0)),$E14)="internal_nonstatistical",IF($E14="",INDEX(primary_jama_2018_14282_domain,MATCH($A14,primary_jama_2018_14282_key,0)),$E14)="plan_material"))),"not_applicable","")</f>
        <v/>
      </c>
      <c r="L14" s="9">
        <f>IF(OR(AND(IF($D14="",INDEX(primary_jama_2018_14282_disposition,MATCH($A14,primary_jama_2018_14282_key,0)),$D14)&lt;&gt;"",IF($D14="",INDEX(primary_jama_2018_14282_disposition,MATCH($A14,primary_jama_2018_14282_key,0)),$D14)&lt;&gt;"retain"),NOT(OR(IF($E14="",INDEX(primary_jama_2018_14282_domain,MATCH($A14,primary_jama_2018_14282_key,0)),$E14)="protocol_report"))),"not_applicable","")</f>
        <v/>
      </c>
      <c r="M14" s="10" t="inlineStr"/>
      <c r="N14" s="10" t="inlineStr"/>
      <c r="O14" s="8" t="inlineStr"/>
      <c r="P14" s="11" t="inlineStr"/>
      <c r="Q14" s="8" t="inlineStr">
        <is>
          <t>pending</t>
        </is>
      </c>
      <c r="R14" s="11" t="inlineStr"/>
      <c r="S14" s="2" t="inlineStr">
        <is>
          <t>AWAITING PRIMARY HANDOFF - do not start checking this template.</t>
        </is>
      </c>
    </row>
    <row r="15" ht="76" customHeight="1">
      <c r="A15" s="3" t="inlineStr">
        <is>
          <t>2018::jama.2018.14282::C014</t>
        </is>
      </c>
      <c r="B15" s="3" t="inlineStr">
        <is>
          <t>High-flow pre-randomization standard-oxygen percentage does not reconcile</t>
        </is>
      </c>
      <c r="C15" s="3" t="inlineStr">
        <is>
          <t>DOC-001 Table 1 — PDF p. 4</t>
        </is>
      </c>
      <c r="D15" s="8" t="inlineStr"/>
      <c r="E15" s="8" t="inlineStr"/>
      <c r="F15" s="8" t="inlineStr">
        <is>
          <t>no</t>
        </is>
      </c>
      <c r="G15" s="3">
        <f>IF(OR(AND(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H15&lt;&gt;"",H15&lt;&gt;"not_applicable"),AND(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I15&lt;&gt;"",I15&lt;&gt;"not_applicable"),AND(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J15&lt;&gt;"",J15&lt;&gt;"not_applicable"),AND(OR(AND(IF($D15="",INDEX(primary_jama_2018_14282_disposition,MATCH($A15,primary_jama_2018_14282_key,0)),$D15)&lt;&gt;"",IF($D15="",INDEX(primary_jama_2018_14282_disposition,MATCH($A15,primary_jama_2018_14282_key,0)),$D15)&lt;&gt;"retain"),NOT(OR(IF($E15="",INDEX(primary_jama_2018_14282_domain,MATCH($A15,primary_jama_2018_14282_key,0)),$E15)="internal_nonstatistical",IF($E15="",INDEX(primary_jama_2018_14282_domain,MATCH($A15,primary_jama_2018_14282_key,0)),$E15)="plan_material"))),K15&lt;&gt;"",K15&lt;&gt;"not_applicable"),AND(OR(AND(IF($D15="",INDEX(primary_jama_2018_14282_disposition,MATCH($A15,primary_jama_2018_14282_key,0)),$D15)&lt;&gt;"",IF($D15="",INDEX(primary_jama_2018_14282_disposition,MATCH($A15,primary_jama_2018_14282_key,0)),$D15)&lt;&gt;"retain"),NOT(OR(IF($E15="",INDEX(primary_jama_2018_14282_domain,MATCH($A15,primary_jama_2018_14282_key,0)),$E15)="protocol_report"))),L15&lt;&gt;"",L15&lt;&gt;"not_applicable")),"CLEAR INACTIVE VALUES",IF(O15="","PENDING",IF(AND(O15&lt;&gt;"agree",LEN(TRIM(P15))=0),"COMMENT NEEDED",IF(F15="yes","CHECKED - see resolution","DRAFT"))))</f>
        <v/>
      </c>
      <c r="H15" s="8">
        <f>IF(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not_applicable","")</f>
        <v/>
      </c>
      <c r="I15" s="8">
        <f>IF(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not_applicable","")</f>
        <v/>
      </c>
      <c r="J15" s="9">
        <f>IF(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not_applicable","")</f>
        <v/>
      </c>
      <c r="K15" s="8">
        <f>IF(OR(AND(IF($D15="",INDEX(primary_jama_2018_14282_disposition,MATCH($A15,primary_jama_2018_14282_key,0)),$D15)&lt;&gt;"",IF($D15="",INDEX(primary_jama_2018_14282_disposition,MATCH($A15,primary_jama_2018_14282_key,0)),$D15)&lt;&gt;"retain"),NOT(OR(IF($E15="",INDEX(primary_jama_2018_14282_domain,MATCH($A15,primary_jama_2018_14282_key,0)),$E15)="internal_nonstatistical",IF($E15="",INDEX(primary_jama_2018_14282_domain,MATCH($A15,primary_jama_2018_14282_key,0)),$E15)="plan_material"))),"not_applicable","")</f>
        <v/>
      </c>
      <c r="L15" s="9">
        <f>IF(OR(AND(IF($D15="",INDEX(primary_jama_2018_14282_disposition,MATCH($A15,primary_jama_2018_14282_key,0)),$D15)&lt;&gt;"",IF($D15="",INDEX(primary_jama_2018_14282_disposition,MATCH($A15,primary_jama_2018_14282_key,0)),$D15)&lt;&gt;"retain"),NOT(OR(IF($E15="",INDEX(primary_jama_2018_14282_domain,MATCH($A15,primary_jama_2018_14282_key,0)),$E15)="protocol_report"))),"not_applicable","")</f>
        <v/>
      </c>
      <c r="M15" s="10" t="inlineStr"/>
      <c r="N15" s="10" t="inlineStr"/>
      <c r="O15" s="8" t="inlineStr"/>
      <c r="P15" s="11" t="inlineStr"/>
      <c r="Q15" s="8" t="inlineStr">
        <is>
          <t>pending</t>
        </is>
      </c>
      <c r="R15" s="11" t="inlineStr"/>
      <c r="S15" s="3" t="inlineStr">
        <is>
          <t>AWAITING PRIMARY HANDOFF - do not start checking this template.</t>
        </is>
      </c>
    </row>
    <row r="16" ht="76" customHeight="1">
      <c r="A16" s="2" t="inlineStr">
        <is>
          <t>2018::jama.2018.14282::C015</t>
        </is>
      </c>
      <c r="B16" s="2" t="inlineStr">
        <is>
          <t>High-flow ICU-acquired-infection percentage does not reconcile</t>
        </is>
      </c>
      <c r="C16" s="2" t="inlineStr">
        <is>
          <t>DOC-001 Table 2 — PDF p. 5</t>
        </is>
      </c>
      <c r="D16" s="8" t="inlineStr"/>
      <c r="E16" s="8" t="inlineStr"/>
      <c r="F16" s="8" t="inlineStr">
        <is>
          <t>no</t>
        </is>
      </c>
      <c r="G16" s="2">
        <f>IF(OR(AND(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H16&lt;&gt;"",H16&lt;&gt;"not_applicable"),AND(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I16&lt;&gt;"",I16&lt;&gt;"not_applicable"),AND(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J16&lt;&gt;"",J16&lt;&gt;"not_applicable"),AND(OR(AND(IF($D16="",INDEX(primary_jama_2018_14282_disposition,MATCH($A16,primary_jama_2018_14282_key,0)),$D16)&lt;&gt;"",IF($D16="",INDEX(primary_jama_2018_14282_disposition,MATCH($A16,primary_jama_2018_14282_key,0)),$D16)&lt;&gt;"retain"),NOT(OR(IF($E16="",INDEX(primary_jama_2018_14282_domain,MATCH($A16,primary_jama_2018_14282_key,0)),$E16)="internal_nonstatistical",IF($E16="",INDEX(primary_jama_2018_14282_domain,MATCH($A16,primary_jama_2018_14282_key,0)),$E16)="plan_material"))),K16&lt;&gt;"",K16&lt;&gt;"not_applicable"),AND(OR(AND(IF($D16="",INDEX(primary_jama_2018_14282_disposition,MATCH($A16,primary_jama_2018_14282_key,0)),$D16)&lt;&gt;"",IF($D16="",INDEX(primary_jama_2018_14282_disposition,MATCH($A16,primary_jama_2018_14282_key,0)),$D16)&lt;&gt;"retain"),NOT(OR(IF($E16="",INDEX(primary_jama_2018_14282_domain,MATCH($A16,primary_jama_2018_14282_key,0)),$E16)="protocol_report"))),L16&lt;&gt;"",L16&lt;&gt;"not_applicable")),"CLEAR INACTIVE VALUES",IF(O16="","PENDING",IF(AND(O16&lt;&gt;"agree",LEN(TRIM(P16))=0),"COMMENT NEEDED",IF(F16="yes","CHECKED - see resolution","DRAFT"))))</f>
        <v/>
      </c>
      <c r="H16" s="8">
        <f>IF(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not_applicable","")</f>
        <v/>
      </c>
      <c r="I16" s="8">
        <f>IF(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not_applicable","")</f>
        <v/>
      </c>
      <c r="J16" s="9">
        <f>IF(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not_applicable","")</f>
        <v/>
      </c>
      <c r="K16" s="8">
        <f>IF(OR(AND(IF($D16="",INDEX(primary_jama_2018_14282_disposition,MATCH($A16,primary_jama_2018_14282_key,0)),$D16)&lt;&gt;"",IF($D16="",INDEX(primary_jama_2018_14282_disposition,MATCH($A16,primary_jama_2018_14282_key,0)),$D16)&lt;&gt;"retain"),NOT(OR(IF($E16="",INDEX(primary_jama_2018_14282_domain,MATCH($A16,primary_jama_2018_14282_key,0)),$E16)="internal_nonstatistical",IF($E16="",INDEX(primary_jama_2018_14282_domain,MATCH($A16,primary_jama_2018_14282_key,0)),$E16)="plan_material"))),"not_applicable","")</f>
        <v/>
      </c>
      <c r="L16" s="9">
        <f>IF(OR(AND(IF($D16="",INDEX(primary_jama_2018_14282_disposition,MATCH($A16,primary_jama_2018_14282_key,0)),$D16)&lt;&gt;"",IF($D16="",INDEX(primary_jama_2018_14282_disposition,MATCH($A16,primary_jama_2018_14282_key,0)),$D16)&lt;&gt;"retain"),NOT(OR(IF($E16="",INDEX(primary_jama_2018_14282_domain,MATCH($A16,primary_jama_2018_14282_key,0)),$E16)="protocol_report"))),"not_applicable","")</f>
        <v/>
      </c>
      <c r="M16" s="10" t="inlineStr"/>
      <c r="N16" s="10" t="inlineStr"/>
      <c r="O16" s="8" t="inlineStr"/>
      <c r="P16" s="11" t="inlineStr"/>
      <c r="Q16" s="8" t="inlineStr">
        <is>
          <t>pending</t>
        </is>
      </c>
      <c r="R16" s="11" t="inlineStr"/>
      <c r="S16" s="2" t="inlineStr">
        <is>
          <t>AWAITING PRIMARY HANDOFF - do not start checking this template.</t>
        </is>
      </c>
    </row>
    <row r="17" ht="76" customHeight="1">
      <c r="A17" s="3" t="inlineStr">
        <is>
          <t>2018::jama.2018.14282::C016</t>
        </is>
      </c>
      <c r="B17" s="3" t="inlineStr">
        <is>
          <t>Standard-arm hospital-mortality percentage does not reconcile</t>
        </is>
      </c>
      <c r="C17" s="3" t="inlineStr">
        <is>
          <t>DOC-001 Table 2 — PDF p. 5</t>
        </is>
      </c>
      <c r="D17" s="8" t="inlineStr"/>
      <c r="E17" s="8" t="inlineStr"/>
      <c r="F17" s="8" t="inlineStr">
        <is>
          <t>no</t>
        </is>
      </c>
      <c r="G17" s="3">
        <f>IF(OR(AND(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H17&lt;&gt;"",H17&lt;&gt;"not_applicable"),AND(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I17&lt;&gt;"",I17&lt;&gt;"not_applicable"),AND(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J17&lt;&gt;"",J17&lt;&gt;"not_applicable"),AND(OR(AND(IF($D17="",INDEX(primary_jama_2018_14282_disposition,MATCH($A17,primary_jama_2018_14282_key,0)),$D17)&lt;&gt;"",IF($D17="",INDEX(primary_jama_2018_14282_disposition,MATCH($A17,primary_jama_2018_14282_key,0)),$D17)&lt;&gt;"retain"),NOT(OR(IF($E17="",INDEX(primary_jama_2018_14282_domain,MATCH($A17,primary_jama_2018_14282_key,0)),$E17)="internal_nonstatistical",IF($E17="",INDEX(primary_jama_2018_14282_domain,MATCH($A17,primary_jama_2018_14282_key,0)),$E17)="plan_material"))),K17&lt;&gt;"",K17&lt;&gt;"not_applicable"),AND(OR(AND(IF($D17="",INDEX(primary_jama_2018_14282_disposition,MATCH($A17,primary_jama_2018_14282_key,0)),$D17)&lt;&gt;"",IF($D17="",INDEX(primary_jama_2018_14282_disposition,MATCH($A17,primary_jama_2018_14282_key,0)),$D17)&lt;&gt;"retain"),NOT(OR(IF($E17="",INDEX(primary_jama_2018_14282_domain,MATCH($A17,primary_jama_2018_14282_key,0)),$E17)="protocol_report"))),L17&lt;&gt;"",L17&lt;&gt;"not_applicable")),"CLEAR INACTIVE VALUES",IF(O17="","PENDING",IF(AND(O17&lt;&gt;"agree",LEN(TRIM(P17))=0),"COMMENT NEEDED",IF(F17="yes","CHECKED - see resolution","DRAFT"))))</f>
        <v/>
      </c>
      <c r="H17" s="8">
        <f>IF(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not_applicable","")</f>
        <v/>
      </c>
      <c r="I17" s="8">
        <f>IF(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not_applicable","")</f>
        <v/>
      </c>
      <c r="J17" s="9">
        <f>IF(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not_applicable","")</f>
        <v/>
      </c>
      <c r="K17" s="8">
        <f>IF(OR(AND(IF($D17="",INDEX(primary_jama_2018_14282_disposition,MATCH($A17,primary_jama_2018_14282_key,0)),$D17)&lt;&gt;"",IF($D17="",INDEX(primary_jama_2018_14282_disposition,MATCH($A17,primary_jama_2018_14282_key,0)),$D17)&lt;&gt;"retain"),NOT(OR(IF($E17="",INDEX(primary_jama_2018_14282_domain,MATCH($A17,primary_jama_2018_14282_key,0)),$E17)="internal_nonstatistical",IF($E17="",INDEX(primary_jama_2018_14282_domain,MATCH($A17,primary_jama_2018_14282_key,0)),$E17)="plan_material"))),"not_applicable","")</f>
        <v/>
      </c>
      <c r="L17" s="9">
        <f>IF(OR(AND(IF($D17="",INDEX(primary_jama_2018_14282_disposition,MATCH($A17,primary_jama_2018_14282_key,0)),$D17)&lt;&gt;"",IF($D17="",INDEX(primary_jama_2018_14282_disposition,MATCH($A17,primary_jama_2018_14282_key,0)),$D17)&lt;&gt;"retain"),NOT(OR(IF($E17="",INDEX(primary_jama_2018_14282_domain,MATCH($A17,primary_jama_2018_14282_key,0)),$E17)="protocol_report"))),"not_applicable","")</f>
        <v/>
      </c>
      <c r="M17" s="10" t="inlineStr"/>
      <c r="N17" s="10" t="inlineStr"/>
      <c r="O17" s="8" t="inlineStr"/>
      <c r="P17" s="11" t="inlineStr"/>
      <c r="Q17" s="8" t="inlineStr">
        <is>
          <t>pending</t>
        </is>
      </c>
      <c r="R17" s="11" t="inlineStr"/>
      <c r="S17" s="3" t="inlineStr">
        <is>
          <t>AWAITING PRIMARY HANDOFF - do not start checking this template.</t>
        </is>
      </c>
    </row>
    <row r="18" ht="76" customHeight="1">
      <c r="A18" s="2" t="inlineStr">
        <is>
          <t>2018::jama.2018.14282::C017</t>
        </is>
      </c>
      <c r="B18" s="2" t="inlineStr">
        <is>
          <t>Respiratory-rate confidence-interval endpoint differs between matched occurrences</t>
        </is>
      </c>
      <c r="C18" s="2" t="inlineStr">
        <is>
          <t>DOC-001 abstract — PDF p. 1; DOC-001 results — PDF p. 6</t>
        </is>
      </c>
      <c r="D18" s="8" t="inlineStr"/>
      <c r="E18" s="8" t="inlineStr"/>
      <c r="F18" s="8" t="inlineStr">
        <is>
          <t>no</t>
        </is>
      </c>
      <c r="G18" s="2">
        <f>IF(OR(AND(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H18&lt;&gt;"",H18&lt;&gt;"not_applicable"),AND(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I18&lt;&gt;"",I18&lt;&gt;"not_applicable"),AND(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J18&lt;&gt;"",J18&lt;&gt;"not_applicable"),AND(OR(AND(IF($D18="",INDEX(primary_jama_2018_14282_disposition,MATCH($A18,primary_jama_2018_14282_key,0)),$D18)&lt;&gt;"",IF($D18="",INDEX(primary_jama_2018_14282_disposition,MATCH($A18,primary_jama_2018_14282_key,0)),$D18)&lt;&gt;"retain"),NOT(OR(IF($E18="",INDEX(primary_jama_2018_14282_domain,MATCH($A18,primary_jama_2018_14282_key,0)),$E18)="internal_nonstatistical",IF($E18="",INDEX(primary_jama_2018_14282_domain,MATCH($A18,primary_jama_2018_14282_key,0)),$E18)="plan_material"))),K18&lt;&gt;"",K18&lt;&gt;"not_applicable"),AND(OR(AND(IF($D18="",INDEX(primary_jama_2018_14282_disposition,MATCH($A18,primary_jama_2018_14282_key,0)),$D18)&lt;&gt;"",IF($D18="",INDEX(primary_jama_2018_14282_disposition,MATCH($A18,primary_jama_2018_14282_key,0)),$D18)&lt;&gt;"retain"),NOT(OR(IF($E18="",INDEX(primary_jama_2018_14282_domain,MATCH($A18,primary_jama_2018_14282_key,0)),$E18)="protocol_report"))),L18&lt;&gt;"",L18&lt;&gt;"not_applicable")),"CLEAR INACTIVE VALUES",IF(O18="","PENDING",IF(AND(O18&lt;&gt;"agree",LEN(TRIM(P18))=0),"COMMENT NEEDED",IF(F18="yes","CHECKED - see resolution","DRAFT"))))</f>
        <v/>
      </c>
      <c r="H18" s="8">
        <f>IF(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not_applicable","")</f>
        <v/>
      </c>
      <c r="I18" s="8">
        <f>IF(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not_applicable","")</f>
        <v/>
      </c>
      <c r="J18" s="9">
        <f>IF(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not_applicable","")</f>
        <v/>
      </c>
      <c r="K18" s="8">
        <f>IF(OR(AND(IF($D18="",INDEX(primary_jama_2018_14282_disposition,MATCH($A18,primary_jama_2018_14282_key,0)),$D18)&lt;&gt;"",IF($D18="",INDEX(primary_jama_2018_14282_disposition,MATCH($A18,primary_jama_2018_14282_key,0)),$D18)&lt;&gt;"retain"),NOT(OR(IF($E18="",INDEX(primary_jama_2018_14282_domain,MATCH($A18,primary_jama_2018_14282_key,0)),$E18)="internal_nonstatistical",IF($E18="",INDEX(primary_jama_2018_14282_domain,MATCH($A18,primary_jama_2018_14282_key,0)),$E18)="plan_material"))),"not_applicable","")</f>
        <v/>
      </c>
      <c r="L18" s="9">
        <f>IF(OR(AND(IF($D18="",INDEX(primary_jama_2018_14282_disposition,MATCH($A18,primary_jama_2018_14282_key,0)),$D18)&lt;&gt;"",IF($D18="",INDEX(primary_jama_2018_14282_disposition,MATCH($A18,primary_jama_2018_14282_key,0)),$D18)&lt;&gt;"retain"),NOT(OR(IF($E18="",INDEX(primary_jama_2018_14282_domain,MATCH($A18,primary_jama_2018_14282_key,0)),$E18)="protocol_report"))),"not_applicable","")</f>
        <v/>
      </c>
      <c r="M18" s="10" t="inlineStr"/>
      <c r="N18" s="10" t="inlineStr"/>
      <c r="O18" s="8" t="inlineStr"/>
      <c r="P18" s="11" t="inlineStr"/>
      <c r="Q18" s="8" t="inlineStr">
        <is>
          <t>pending</t>
        </is>
      </c>
      <c r="R18" s="11" t="inlineStr"/>
      <c r="S18" s="2" t="inlineStr">
        <is>
          <t>AWAITING PRIMARY HANDOFF - do not start checking this template.</t>
        </is>
      </c>
    </row>
    <row r="19" ht="76" customHeight="1">
      <c r="A19" s="3" t="inlineStr">
        <is>
          <t>2018::jama.2018.14282::C018</t>
        </is>
      </c>
      <c r="B19" s="3" t="inlineStr">
        <is>
          <t>Arm-attributed support-needs percentages use the overall-population denominator</t>
        </is>
      </c>
      <c r="C19" s="3" t="inlineStr">
        <is>
          <t>DOC-001 post hoc outcomes — PDF p. 6</t>
        </is>
      </c>
      <c r="D19" s="8" t="inlineStr"/>
      <c r="E19" s="8" t="inlineStr"/>
      <c r="F19" s="8" t="inlineStr">
        <is>
          <t>no</t>
        </is>
      </c>
      <c r="G19" s="3">
        <f>IF(OR(AND(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H19&lt;&gt;"",H19&lt;&gt;"not_applicable"),AND(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I19&lt;&gt;"",I19&lt;&gt;"not_applicable"),AND(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J19&lt;&gt;"",J19&lt;&gt;"not_applicable"),AND(OR(AND(IF($D19="",INDEX(primary_jama_2018_14282_disposition,MATCH($A19,primary_jama_2018_14282_key,0)),$D19)&lt;&gt;"",IF($D19="",INDEX(primary_jama_2018_14282_disposition,MATCH($A19,primary_jama_2018_14282_key,0)),$D19)&lt;&gt;"retain"),NOT(OR(IF($E19="",INDEX(primary_jama_2018_14282_domain,MATCH($A19,primary_jama_2018_14282_key,0)),$E19)="internal_nonstatistical",IF($E19="",INDEX(primary_jama_2018_14282_domain,MATCH($A19,primary_jama_2018_14282_key,0)),$E19)="plan_material"))),K19&lt;&gt;"",K19&lt;&gt;"not_applicable"),AND(OR(AND(IF($D19="",INDEX(primary_jama_2018_14282_disposition,MATCH($A19,primary_jama_2018_14282_key,0)),$D19)&lt;&gt;"",IF($D19="",INDEX(primary_jama_2018_14282_disposition,MATCH($A19,primary_jama_2018_14282_key,0)),$D19)&lt;&gt;"retain"),NOT(OR(IF($E19="",INDEX(primary_jama_2018_14282_domain,MATCH($A19,primary_jama_2018_14282_key,0)),$E19)="protocol_report"))),L19&lt;&gt;"",L19&lt;&gt;"not_applicable")),"CLEAR INACTIVE VALUES",IF(O19="","PENDING",IF(AND(O19&lt;&gt;"agree",LEN(TRIM(P19))=0),"COMMENT NEEDED",IF(F19="yes","CHECKED - see resolution","DRAFT"))))</f>
        <v/>
      </c>
      <c r="H19" s="8">
        <f>IF(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not_applicable","")</f>
        <v/>
      </c>
      <c r="I19" s="8">
        <f>IF(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not_applicable","")</f>
        <v/>
      </c>
      <c r="J19" s="9">
        <f>IF(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not_applicable","")</f>
        <v/>
      </c>
      <c r="K19" s="8">
        <f>IF(OR(AND(IF($D19="",INDEX(primary_jama_2018_14282_disposition,MATCH($A19,primary_jama_2018_14282_key,0)),$D19)&lt;&gt;"",IF($D19="",INDEX(primary_jama_2018_14282_disposition,MATCH($A19,primary_jama_2018_14282_key,0)),$D19)&lt;&gt;"retain"),NOT(OR(IF($E19="",INDEX(primary_jama_2018_14282_domain,MATCH($A19,primary_jama_2018_14282_key,0)),$E19)="internal_nonstatistical",IF($E19="",INDEX(primary_jama_2018_14282_domain,MATCH($A19,primary_jama_2018_14282_key,0)),$E19)="plan_material"))),"not_applicable","")</f>
        <v/>
      </c>
      <c r="L19" s="9">
        <f>IF(OR(AND(IF($D19="",INDEX(primary_jama_2018_14282_disposition,MATCH($A19,primary_jama_2018_14282_key,0)),$D19)&lt;&gt;"",IF($D19="",INDEX(primary_jama_2018_14282_disposition,MATCH($A19,primary_jama_2018_14282_key,0)),$D19)&lt;&gt;"retain"),NOT(OR(IF($E19="",INDEX(primary_jama_2018_14282_domain,MATCH($A19,primary_jama_2018_14282_key,0)),$E19)="protocol_report"))),"not_applicable","")</f>
        <v/>
      </c>
      <c r="M19" s="10" t="inlineStr"/>
      <c r="N19" s="10" t="inlineStr"/>
      <c r="O19" s="8" t="inlineStr"/>
      <c r="P19" s="11" t="inlineStr"/>
      <c r="Q19" s="8" t="inlineStr">
        <is>
          <t>pending</t>
        </is>
      </c>
      <c r="R19" s="11" t="inlineStr"/>
      <c r="S19" s="3" t="inlineStr">
        <is>
          <t>AWAITING PRIMARY HANDOFF - do not start checking this template.</t>
        </is>
      </c>
    </row>
    <row r="20" ht="76" customHeight="1">
      <c r="A20" s="2" t="inlineStr">
        <is>
          <t>2018::jama.2018.14282::C019</t>
        </is>
      </c>
      <c r="B20" s="2" t="inlineStr">
        <is>
          <t>eTable high-flow invasive-MV percentage does not reconcile</t>
        </is>
      </c>
      <c r="C20" s="2" t="inlineStr">
        <is>
          <t>DOC-003 eTable — PDF p. 2</t>
        </is>
      </c>
      <c r="D20" s="8" t="inlineStr"/>
      <c r="E20" s="8" t="inlineStr"/>
      <c r="F20" s="8" t="inlineStr">
        <is>
          <t>no</t>
        </is>
      </c>
      <c r="G20" s="2">
        <f>IF(OR(AND(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H20&lt;&gt;"",H20&lt;&gt;"not_applicable"),AND(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I20&lt;&gt;"",I20&lt;&gt;"not_applicable"),AND(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J20&lt;&gt;"",J20&lt;&gt;"not_applicable"),AND(OR(AND(IF($D20="",INDEX(primary_jama_2018_14282_disposition,MATCH($A20,primary_jama_2018_14282_key,0)),$D20)&lt;&gt;"",IF($D20="",INDEX(primary_jama_2018_14282_disposition,MATCH($A20,primary_jama_2018_14282_key,0)),$D20)&lt;&gt;"retain"),NOT(OR(IF($E20="",INDEX(primary_jama_2018_14282_domain,MATCH($A20,primary_jama_2018_14282_key,0)),$E20)="internal_nonstatistical",IF($E20="",INDEX(primary_jama_2018_14282_domain,MATCH($A20,primary_jama_2018_14282_key,0)),$E20)="plan_material"))),K20&lt;&gt;"",K20&lt;&gt;"not_applicable"),AND(OR(AND(IF($D20="",INDEX(primary_jama_2018_14282_disposition,MATCH($A20,primary_jama_2018_14282_key,0)),$D20)&lt;&gt;"",IF($D20="",INDEX(primary_jama_2018_14282_disposition,MATCH($A20,primary_jama_2018_14282_key,0)),$D20)&lt;&gt;"retain"),NOT(OR(IF($E20="",INDEX(primary_jama_2018_14282_domain,MATCH($A20,primary_jama_2018_14282_key,0)),$E20)="protocol_report"))),L20&lt;&gt;"",L20&lt;&gt;"not_applicable")),"CLEAR INACTIVE VALUES",IF(O20="","PENDING",IF(AND(O20&lt;&gt;"agree",LEN(TRIM(P20))=0),"COMMENT NEEDED",IF(F20="yes","CHECKED - see resolution","DRAFT"))))</f>
        <v/>
      </c>
      <c r="H20" s="8">
        <f>IF(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not_applicable","")</f>
        <v/>
      </c>
      <c r="I20" s="8">
        <f>IF(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not_applicable","")</f>
        <v/>
      </c>
      <c r="J20" s="9">
        <f>IF(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not_applicable","")</f>
        <v/>
      </c>
      <c r="K20" s="8">
        <f>IF(OR(AND(IF($D20="",INDEX(primary_jama_2018_14282_disposition,MATCH($A20,primary_jama_2018_14282_key,0)),$D20)&lt;&gt;"",IF($D20="",INDEX(primary_jama_2018_14282_disposition,MATCH($A20,primary_jama_2018_14282_key,0)),$D20)&lt;&gt;"retain"),NOT(OR(IF($E20="",INDEX(primary_jama_2018_14282_domain,MATCH($A20,primary_jama_2018_14282_key,0)),$E20)="internal_nonstatistical",IF($E20="",INDEX(primary_jama_2018_14282_domain,MATCH($A20,primary_jama_2018_14282_key,0)),$E20)="plan_material"))),"not_applicable","")</f>
        <v/>
      </c>
      <c r="L20" s="9">
        <f>IF(OR(AND(IF($D20="",INDEX(primary_jama_2018_14282_disposition,MATCH($A20,primary_jama_2018_14282_key,0)),$D20)&lt;&gt;"",IF($D20="",INDEX(primary_jama_2018_14282_disposition,MATCH($A20,primary_jama_2018_14282_key,0)),$D20)&lt;&gt;"retain"),NOT(OR(IF($E20="",INDEX(primary_jama_2018_14282_domain,MATCH($A20,primary_jama_2018_14282_key,0)),$E20)="protocol_report"))),"not_applicable","")</f>
        <v/>
      </c>
      <c r="M20" s="10" t="inlineStr"/>
      <c r="N20" s="10" t="inlineStr"/>
      <c r="O20" s="8" t="inlineStr"/>
      <c r="P20" s="11" t="inlineStr"/>
      <c r="Q20" s="8" t="inlineStr">
        <is>
          <t>pending</t>
        </is>
      </c>
      <c r="R20" s="11" t="inlineStr"/>
      <c r="S20" s="2" t="inlineStr">
        <is>
          <t>AWAITING PRIMARY HANDOFF - do not start checking this template.</t>
        </is>
      </c>
    </row>
    <row r="21" ht="76" customHeight="1">
      <c r="A21" s="3" t="inlineStr">
        <is>
          <t>2018::jama.2018.14282::C020</t>
        </is>
      </c>
      <c r="B21" s="3" t="inlineStr">
        <is>
          <t>eTable standard-arm invasive-MV percentage does not reconcile</t>
        </is>
      </c>
      <c r="C21" s="3" t="inlineStr">
        <is>
          <t>DOC-003 eTable — PDF p. 2</t>
        </is>
      </c>
      <c r="D21" s="8" t="inlineStr"/>
      <c r="E21" s="8" t="inlineStr"/>
      <c r="F21" s="8" t="inlineStr">
        <is>
          <t>no</t>
        </is>
      </c>
      <c r="G21" s="3">
        <f>IF(OR(AND(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H21&lt;&gt;"",H21&lt;&gt;"not_applicable"),AND(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I21&lt;&gt;"",I21&lt;&gt;"not_applicable"),AND(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J21&lt;&gt;"",J21&lt;&gt;"not_applicable"),AND(OR(AND(IF($D21="",INDEX(primary_jama_2018_14282_disposition,MATCH($A21,primary_jama_2018_14282_key,0)),$D21)&lt;&gt;"",IF($D21="",INDEX(primary_jama_2018_14282_disposition,MATCH($A21,primary_jama_2018_14282_key,0)),$D21)&lt;&gt;"retain"),NOT(OR(IF($E21="",INDEX(primary_jama_2018_14282_domain,MATCH($A21,primary_jama_2018_14282_key,0)),$E21)="internal_nonstatistical",IF($E21="",INDEX(primary_jama_2018_14282_domain,MATCH($A21,primary_jama_2018_14282_key,0)),$E21)="plan_material"))),K21&lt;&gt;"",K21&lt;&gt;"not_applicable"),AND(OR(AND(IF($D21="",INDEX(primary_jama_2018_14282_disposition,MATCH($A21,primary_jama_2018_14282_key,0)),$D21)&lt;&gt;"",IF($D21="",INDEX(primary_jama_2018_14282_disposition,MATCH($A21,primary_jama_2018_14282_key,0)),$D21)&lt;&gt;"retain"),NOT(OR(IF($E21="",INDEX(primary_jama_2018_14282_domain,MATCH($A21,primary_jama_2018_14282_key,0)),$E21)="protocol_report"))),L21&lt;&gt;"",L21&lt;&gt;"not_applicable")),"CLEAR INACTIVE VALUES",IF(O21="","PENDING",IF(AND(O21&lt;&gt;"agree",LEN(TRIM(P21))=0),"COMMENT NEEDED",IF(F21="yes","CHECKED - see resolution","DRAFT"))))</f>
        <v/>
      </c>
      <c r="H21" s="8">
        <f>IF(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not_applicable","")</f>
        <v/>
      </c>
      <c r="I21" s="8">
        <f>IF(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not_applicable","")</f>
        <v/>
      </c>
      <c r="J21" s="9">
        <f>IF(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not_applicable","")</f>
        <v/>
      </c>
      <c r="K21" s="8">
        <f>IF(OR(AND(IF($D21="",INDEX(primary_jama_2018_14282_disposition,MATCH($A21,primary_jama_2018_14282_key,0)),$D21)&lt;&gt;"",IF($D21="",INDEX(primary_jama_2018_14282_disposition,MATCH($A21,primary_jama_2018_14282_key,0)),$D21)&lt;&gt;"retain"),NOT(OR(IF($E21="",INDEX(primary_jama_2018_14282_domain,MATCH($A21,primary_jama_2018_14282_key,0)),$E21)="internal_nonstatistical",IF($E21="",INDEX(primary_jama_2018_14282_domain,MATCH($A21,primary_jama_2018_14282_key,0)),$E21)="plan_material"))),"not_applicable","")</f>
        <v/>
      </c>
      <c r="L21" s="9">
        <f>IF(OR(AND(IF($D21="",INDEX(primary_jama_2018_14282_disposition,MATCH($A21,primary_jama_2018_14282_key,0)),$D21)&lt;&gt;"",IF($D21="",INDEX(primary_jama_2018_14282_disposition,MATCH($A21,primary_jama_2018_14282_key,0)),$D21)&lt;&gt;"retain"),NOT(OR(IF($E21="",INDEX(primary_jama_2018_14282_domain,MATCH($A21,primary_jama_2018_14282_key,0)),$E21)="protocol_report"))),"not_applicable","")</f>
        <v/>
      </c>
      <c r="M21" s="10" t="inlineStr"/>
      <c r="N21" s="10" t="inlineStr"/>
      <c r="O21" s="8" t="inlineStr"/>
      <c r="P21" s="11" t="inlineStr"/>
      <c r="Q21" s="8" t="inlineStr">
        <is>
          <t>pending</t>
        </is>
      </c>
      <c r="R21" s="11" t="inlineStr"/>
      <c r="S21" s="3" t="inlineStr">
        <is>
          <t>AWAITING PRIMARY HANDOFF - do not start checking this template.</t>
        </is>
      </c>
    </row>
    <row r="22" ht="76" customHeight="1">
      <c r="A22" s="2" t="inlineStr">
        <is>
          <t>2018::jama.2018.14282::C021</t>
        </is>
      </c>
      <c r="B22" s="2" t="inlineStr">
        <is>
          <t>eTable standard-oxygen-only percentage does not reconcile</t>
        </is>
      </c>
      <c r="C22" s="2" t="inlineStr">
        <is>
          <t>DOC-003 eTable — PDF p. 2</t>
        </is>
      </c>
      <c r="D22" s="8" t="inlineStr"/>
      <c r="E22" s="8" t="inlineStr"/>
      <c r="F22" s="8" t="inlineStr">
        <is>
          <t>no</t>
        </is>
      </c>
      <c r="G22" s="2">
        <f>IF(OR(AND(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H22&lt;&gt;"",H22&lt;&gt;"not_applicable"),AND(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I22&lt;&gt;"",I22&lt;&gt;"not_applicable"),AND(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J22&lt;&gt;"",J22&lt;&gt;"not_applicable"),AND(OR(AND(IF($D22="",INDEX(primary_jama_2018_14282_disposition,MATCH($A22,primary_jama_2018_14282_key,0)),$D22)&lt;&gt;"",IF($D22="",INDEX(primary_jama_2018_14282_disposition,MATCH($A22,primary_jama_2018_14282_key,0)),$D22)&lt;&gt;"retain"),NOT(OR(IF($E22="",INDEX(primary_jama_2018_14282_domain,MATCH($A22,primary_jama_2018_14282_key,0)),$E22)="internal_nonstatistical",IF($E22="",INDEX(primary_jama_2018_14282_domain,MATCH($A22,primary_jama_2018_14282_key,0)),$E22)="plan_material"))),K22&lt;&gt;"",K22&lt;&gt;"not_applicable"),AND(OR(AND(IF($D22="",INDEX(primary_jama_2018_14282_disposition,MATCH($A22,primary_jama_2018_14282_key,0)),$D22)&lt;&gt;"",IF($D22="",INDEX(primary_jama_2018_14282_disposition,MATCH($A22,primary_jama_2018_14282_key,0)),$D22)&lt;&gt;"retain"),NOT(OR(IF($E22="",INDEX(primary_jama_2018_14282_domain,MATCH($A22,primary_jama_2018_14282_key,0)),$E22)="protocol_report"))),L22&lt;&gt;"",L22&lt;&gt;"not_applicable")),"CLEAR INACTIVE VALUES",IF(O22="","PENDING",IF(AND(O22&lt;&gt;"agree",LEN(TRIM(P22))=0),"COMMENT NEEDED",IF(F22="yes","CHECKED - see resolution","DRAFT"))))</f>
        <v/>
      </c>
      <c r="H22" s="8">
        <f>IF(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not_applicable","")</f>
        <v/>
      </c>
      <c r="I22" s="8">
        <f>IF(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not_applicable","")</f>
        <v/>
      </c>
      <c r="J22" s="9">
        <f>IF(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not_applicable","")</f>
        <v/>
      </c>
      <c r="K22" s="8">
        <f>IF(OR(AND(IF($D22="",INDEX(primary_jama_2018_14282_disposition,MATCH($A22,primary_jama_2018_14282_key,0)),$D22)&lt;&gt;"",IF($D22="",INDEX(primary_jama_2018_14282_disposition,MATCH($A22,primary_jama_2018_14282_key,0)),$D22)&lt;&gt;"retain"),NOT(OR(IF($E22="",INDEX(primary_jama_2018_14282_domain,MATCH($A22,primary_jama_2018_14282_key,0)),$E22)="internal_nonstatistical",IF($E22="",INDEX(primary_jama_2018_14282_domain,MATCH($A22,primary_jama_2018_14282_key,0)),$E22)="plan_material"))),"not_applicable","")</f>
        <v/>
      </c>
      <c r="L22" s="9">
        <f>IF(OR(AND(IF($D22="",INDEX(primary_jama_2018_14282_disposition,MATCH($A22,primary_jama_2018_14282_key,0)),$D22)&lt;&gt;"",IF($D22="",INDEX(primary_jama_2018_14282_disposition,MATCH($A22,primary_jama_2018_14282_key,0)),$D22)&lt;&gt;"retain"),NOT(OR(IF($E22="",INDEX(primary_jama_2018_14282_domain,MATCH($A22,primary_jama_2018_14282_key,0)),$E22)="protocol_report"))),"not_applicable","")</f>
        <v/>
      </c>
      <c r="M22" s="10" t="inlineStr"/>
      <c r="N22" s="10" t="inlineStr"/>
      <c r="O22" s="8" t="inlineStr"/>
      <c r="P22" s="11" t="inlineStr"/>
      <c r="Q22" s="8" t="inlineStr">
        <is>
          <t>pending</t>
        </is>
      </c>
      <c r="R22" s="11" t="inlineStr"/>
      <c r="S22" s="2" t="inlineStr">
        <is>
          <t>AWAITING PRIMARY HANDOFF - do not start checking this template.</t>
        </is>
      </c>
    </row>
    <row r="23" ht="76" customHeight="1">
      <c r="A23" s="3" t="inlineStr">
        <is>
          <t>2018::jama.2018.14282::C022</t>
        </is>
      </c>
      <c r="B23" s="3" t="inlineStr">
        <is>
          <t>IMV cumulative-incidence comparison has incompatible printed test labels</t>
        </is>
      </c>
      <c r="C23" s="3" t="inlineStr">
        <is>
          <t>DOC-001 methods — PDF p. 4; DOC-001 results — PDF p. 6; DOC-003 eFigure 1 — PDF p. 3</t>
        </is>
      </c>
      <c r="D23" s="8" t="inlineStr"/>
      <c r="E23" s="8" t="inlineStr"/>
      <c r="F23" s="8" t="inlineStr">
        <is>
          <t>no</t>
        </is>
      </c>
      <c r="G23" s="3">
        <f>IF(OR(AND(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H23&lt;&gt;"",H23&lt;&gt;"not_applicable"),AND(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I23&lt;&gt;"",I23&lt;&gt;"not_applicable"),AND(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J23&lt;&gt;"",J23&lt;&gt;"not_applicable"),AND(OR(AND(IF($D23="",INDEX(primary_jama_2018_14282_disposition,MATCH($A23,primary_jama_2018_14282_key,0)),$D23)&lt;&gt;"",IF($D23="",INDEX(primary_jama_2018_14282_disposition,MATCH($A23,primary_jama_2018_14282_key,0)),$D23)&lt;&gt;"retain"),NOT(OR(IF($E23="",INDEX(primary_jama_2018_14282_domain,MATCH($A23,primary_jama_2018_14282_key,0)),$E23)="internal_nonstatistical",IF($E23="",INDEX(primary_jama_2018_14282_domain,MATCH($A23,primary_jama_2018_14282_key,0)),$E23)="plan_material"))),K23&lt;&gt;"",K23&lt;&gt;"not_applicable"),AND(OR(AND(IF($D23="",INDEX(primary_jama_2018_14282_disposition,MATCH($A23,primary_jama_2018_14282_key,0)),$D23)&lt;&gt;"",IF($D23="",INDEX(primary_jama_2018_14282_disposition,MATCH($A23,primary_jama_2018_14282_key,0)),$D23)&lt;&gt;"retain"),NOT(OR(IF($E23="",INDEX(primary_jama_2018_14282_domain,MATCH($A23,primary_jama_2018_14282_key,0)),$E23)="protocol_report"))),L23&lt;&gt;"",L23&lt;&gt;"not_applicable")),"CLEAR INACTIVE VALUES",IF(O23="","PENDING",IF(AND(O23&lt;&gt;"agree",LEN(TRIM(P23))=0),"COMMENT NEEDED",IF(F23="yes","CHECKED - see resolution","DRAFT"))))</f>
        <v/>
      </c>
      <c r="H23" s="8">
        <f>IF(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not_applicable","")</f>
        <v/>
      </c>
      <c r="I23" s="8">
        <f>IF(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not_applicable","")</f>
        <v/>
      </c>
      <c r="J23" s="9">
        <f>IF(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not_applicable","")</f>
        <v/>
      </c>
      <c r="K23" s="8">
        <f>IF(OR(AND(IF($D23="",INDEX(primary_jama_2018_14282_disposition,MATCH($A23,primary_jama_2018_14282_key,0)),$D23)&lt;&gt;"",IF($D23="",INDEX(primary_jama_2018_14282_disposition,MATCH($A23,primary_jama_2018_14282_key,0)),$D23)&lt;&gt;"retain"),NOT(OR(IF($E23="",INDEX(primary_jama_2018_14282_domain,MATCH($A23,primary_jama_2018_14282_key,0)),$E23)="internal_nonstatistical",IF($E23="",INDEX(primary_jama_2018_14282_domain,MATCH($A23,primary_jama_2018_14282_key,0)),$E23)="plan_material"))),"not_applicable","")</f>
        <v/>
      </c>
      <c r="L23" s="9">
        <f>IF(OR(AND(IF($D23="",INDEX(primary_jama_2018_14282_disposition,MATCH($A23,primary_jama_2018_14282_key,0)),$D23)&lt;&gt;"",IF($D23="",INDEX(primary_jama_2018_14282_disposition,MATCH($A23,primary_jama_2018_14282_key,0)),$D23)&lt;&gt;"retain"),NOT(OR(IF($E23="",INDEX(primary_jama_2018_14282_domain,MATCH($A23,primary_jama_2018_14282_key,0)),$E23)="protocol_report"))),"not_applicable","")</f>
        <v/>
      </c>
      <c r="M23" s="10" t="inlineStr"/>
      <c r="N23" s="10" t="inlineStr"/>
      <c r="O23" s="8" t="inlineStr"/>
      <c r="P23" s="11" t="inlineStr"/>
      <c r="Q23" s="8" t="inlineStr">
        <is>
          <t>pending</t>
        </is>
      </c>
      <c r="R23" s="11" t="inlineStr"/>
      <c r="S23" s="3" t="inlineStr">
        <is>
          <t>AWAITING PRIMARY HANDOFF - do not start checking this template.</t>
        </is>
      </c>
    </row>
    <row r="24" ht="76" customHeight="1">
      <c r="A24" s="2" t="inlineStr">
        <is>
          <t>2018::jama.2018.14282::C023</t>
        </is>
      </c>
      <c r="B24" s="2" t="inlineStr">
        <is>
          <t>Figure 3A mortality HR has a near-reciprocal orientation relative to Table 2</t>
        </is>
      </c>
      <c r="C24" s="2" t="inlineStr">
        <is>
          <t>DOC-001 Table 2 and narrative — PDF p. 5; DOC-001 Figure 3A — PDF p. 7</t>
        </is>
      </c>
      <c r="D24" s="8" t="inlineStr"/>
      <c r="E24" s="8" t="inlineStr"/>
      <c r="F24" s="8" t="inlineStr">
        <is>
          <t>no</t>
        </is>
      </c>
      <c r="G24" s="2">
        <f>IF(OR(AND(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H24&lt;&gt;"",H24&lt;&gt;"not_applicable"),AND(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I24&lt;&gt;"",I24&lt;&gt;"not_applicable"),AND(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J24&lt;&gt;"",J24&lt;&gt;"not_applicable"),AND(OR(AND(IF($D24="",INDEX(primary_jama_2018_14282_disposition,MATCH($A24,primary_jama_2018_14282_key,0)),$D24)&lt;&gt;"",IF($D24="",INDEX(primary_jama_2018_14282_disposition,MATCH($A24,primary_jama_2018_14282_key,0)),$D24)&lt;&gt;"retain"),NOT(OR(IF($E24="",INDEX(primary_jama_2018_14282_domain,MATCH($A24,primary_jama_2018_14282_key,0)),$E24)="internal_nonstatistical",IF($E24="",INDEX(primary_jama_2018_14282_domain,MATCH($A24,primary_jama_2018_14282_key,0)),$E24)="plan_material"))),K24&lt;&gt;"",K24&lt;&gt;"not_applicable"),AND(OR(AND(IF($D24="",INDEX(primary_jama_2018_14282_disposition,MATCH($A24,primary_jama_2018_14282_key,0)),$D24)&lt;&gt;"",IF($D24="",INDEX(primary_jama_2018_14282_disposition,MATCH($A24,primary_jama_2018_14282_key,0)),$D24)&lt;&gt;"retain"),NOT(OR(IF($E24="",INDEX(primary_jama_2018_14282_domain,MATCH($A24,primary_jama_2018_14282_key,0)),$E24)="protocol_report"))),L24&lt;&gt;"",L24&lt;&gt;"not_applicable")),"CLEAR INACTIVE VALUES",IF(O24="","PENDING",IF(AND(O24&lt;&gt;"agree",LEN(TRIM(P24))=0),"COMMENT NEEDED",IF(F24="yes","CHECKED - see resolution","DRAFT"))))</f>
        <v/>
      </c>
      <c r="H24" s="8">
        <f>IF(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not_applicable","")</f>
        <v/>
      </c>
      <c r="I24" s="8">
        <f>IF(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not_applicable","")</f>
        <v/>
      </c>
      <c r="J24" s="9">
        <f>IF(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not_applicable","")</f>
        <v/>
      </c>
      <c r="K24" s="8">
        <f>IF(OR(AND(IF($D24="",INDEX(primary_jama_2018_14282_disposition,MATCH($A24,primary_jama_2018_14282_key,0)),$D24)&lt;&gt;"",IF($D24="",INDEX(primary_jama_2018_14282_disposition,MATCH($A24,primary_jama_2018_14282_key,0)),$D24)&lt;&gt;"retain"),NOT(OR(IF($E24="",INDEX(primary_jama_2018_14282_domain,MATCH($A24,primary_jama_2018_14282_key,0)),$E24)="internal_nonstatistical",IF($E24="",INDEX(primary_jama_2018_14282_domain,MATCH($A24,primary_jama_2018_14282_key,0)),$E24)="plan_material"))),"not_applicable","")</f>
        <v/>
      </c>
      <c r="L24" s="9">
        <f>IF(OR(AND(IF($D24="",INDEX(primary_jama_2018_14282_disposition,MATCH($A24,primary_jama_2018_14282_key,0)),$D24)&lt;&gt;"",IF($D24="",INDEX(primary_jama_2018_14282_disposition,MATCH($A24,primary_jama_2018_14282_key,0)),$D24)&lt;&gt;"retain"),NOT(OR(IF($E24="",INDEX(primary_jama_2018_14282_domain,MATCH($A24,primary_jama_2018_14282_key,0)),$E24)="protocol_report"))),"not_applicable","")</f>
        <v/>
      </c>
      <c r="M24" s="10" t="inlineStr"/>
      <c r="N24" s="10" t="inlineStr"/>
      <c r="O24" s="8" t="inlineStr"/>
      <c r="P24" s="11" t="inlineStr"/>
      <c r="Q24" s="8" t="inlineStr">
        <is>
          <t>pending</t>
        </is>
      </c>
      <c r="R24" s="11" t="inlineStr"/>
      <c r="S24" s="2" t="inlineStr">
        <is>
          <t>AWAITING PRIMARY HANDOFF - do not start checking this template.</t>
        </is>
      </c>
    </row>
    <row r="25" ht="76" customHeight="1">
      <c r="A25" s="3" t="inlineStr">
        <is>
          <t>2018::jama.2018.14282::C024</t>
        </is>
      </c>
      <c r="B25" s="3" t="inlineStr">
        <is>
          <t>Figure 3B IMV HR has a near-reciprocal orientation relative to Table 2</t>
        </is>
      </c>
      <c r="C25" s="3" t="inlineStr">
        <is>
          <t>DOC-001 Table 2 — PDF p. 5; DOC-001 narrative — PDF p. 6; DOC-001 Figure 3B — PDF p. 7</t>
        </is>
      </c>
      <c r="D25" s="8" t="inlineStr"/>
      <c r="E25" s="8" t="inlineStr"/>
      <c r="F25" s="8" t="inlineStr">
        <is>
          <t>no</t>
        </is>
      </c>
      <c r="G25" s="3">
        <f>IF(OR(AND(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H25&lt;&gt;"",H25&lt;&gt;"not_applicable"),AND(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I25&lt;&gt;"",I25&lt;&gt;"not_applicable"),AND(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J25&lt;&gt;"",J25&lt;&gt;"not_applicable"),AND(OR(AND(IF($D25="",INDEX(primary_jama_2018_14282_disposition,MATCH($A25,primary_jama_2018_14282_key,0)),$D25)&lt;&gt;"",IF($D25="",INDEX(primary_jama_2018_14282_disposition,MATCH($A25,primary_jama_2018_14282_key,0)),$D25)&lt;&gt;"retain"),NOT(OR(IF($E25="",INDEX(primary_jama_2018_14282_domain,MATCH($A25,primary_jama_2018_14282_key,0)),$E25)="internal_nonstatistical",IF($E25="",INDEX(primary_jama_2018_14282_domain,MATCH($A25,primary_jama_2018_14282_key,0)),$E25)="plan_material"))),K25&lt;&gt;"",K25&lt;&gt;"not_applicable"),AND(OR(AND(IF($D25="",INDEX(primary_jama_2018_14282_disposition,MATCH($A25,primary_jama_2018_14282_key,0)),$D25)&lt;&gt;"",IF($D25="",INDEX(primary_jama_2018_14282_disposition,MATCH($A25,primary_jama_2018_14282_key,0)),$D25)&lt;&gt;"retain"),NOT(OR(IF($E25="",INDEX(primary_jama_2018_14282_domain,MATCH($A25,primary_jama_2018_14282_key,0)),$E25)="protocol_report"))),L25&lt;&gt;"",L25&lt;&gt;"not_applicable")),"CLEAR INACTIVE VALUES",IF(O25="","PENDING",IF(AND(O25&lt;&gt;"agree",LEN(TRIM(P25))=0),"COMMENT NEEDED",IF(F25="yes","CHECKED - see resolution","DRAFT"))))</f>
        <v/>
      </c>
      <c r="H25" s="8">
        <f>IF(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not_applicable","")</f>
        <v/>
      </c>
      <c r="I25" s="8">
        <f>IF(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not_applicable","")</f>
        <v/>
      </c>
      <c r="J25" s="9">
        <f>IF(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not_applicable","")</f>
        <v/>
      </c>
      <c r="K25" s="8">
        <f>IF(OR(AND(IF($D25="",INDEX(primary_jama_2018_14282_disposition,MATCH($A25,primary_jama_2018_14282_key,0)),$D25)&lt;&gt;"",IF($D25="",INDEX(primary_jama_2018_14282_disposition,MATCH($A25,primary_jama_2018_14282_key,0)),$D25)&lt;&gt;"retain"),NOT(OR(IF($E25="",INDEX(primary_jama_2018_14282_domain,MATCH($A25,primary_jama_2018_14282_key,0)),$E25)="internal_nonstatistical",IF($E25="",INDEX(primary_jama_2018_14282_domain,MATCH($A25,primary_jama_2018_14282_key,0)),$E25)="plan_material"))),"not_applicable","")</f>
        <v/>
      </c>
      <c r="L25" s="9">
        <f>IF(OR(AND(IF($D25="",INDEX(primary_jama_2018_14282_disposition,MATCH($A25,primary_jama_2018_14282_key,0)),$D25)&lt;&gt;"",IF($D25="",INDEX(primary_jama_2018_14282_disposition,MATCH($A25,primary_jama_2018_14282_key,0)),$D25)&lt;&gt;"retain"),NOT(OR(IF($E25="",INDEX(primary_jama_2018_14282_domain,MATCH($A25,primary_jama_2018_14282_key,0)),$E25)="protocol_report"))),"not_applicable","")</f>
        <v/>
      </c>
      <c r="M25" s="10" t="inlineStr"/>
      <c r="N25" s="10" t="inlineStr"/>
      <c r="O25" s="8" t="inlineStr"/>
      <c r="P25" s="11" t="inlineStr"/>
      <c r="Q25" s="8" t="inlineStr">
        <is>
          <t>pending</t>
        </is>
      </c>
      <c r="R25" s="11" t="inlineStr"/>
      <c r="S25" s="3" t="inlineStr">
        <is>
          <t>AWAITING PRIMARY HANDOFF - do not start checking this template.</t>
        </is>
      </c>
    </row>
    <row r="26" ht="76" customHeight="1">
      <c r="A26" s="2" t="inlineStr">
        <is>
          <t>2018::jama.2018.14282::C025</t>
        </is>
      </c>
      <c r="B26" s="2" t="inlineStr">
        <is>
          <t>Revised-superiority sample-size total conflicts with equal arm counts</t>
        </is>
      </c>
      <c r="C26" s="2" t="inlineStr">
        <is>
          <t>DOC-001 — PDF p. 3; DOC-002 completed published-protocol abstract sentence — PDF p. 91; DOC-002 statistical-plan comparator — PDF p. 103</t>
        </is>
      </c>
      <c r="D26" s="8" t="inlineStr"/>
      <c r="E26" s="8" t="inlineStr"/>
      <c r="F26" s="8" t="inlineStr">
        <is>
          <t>no</t>
        </is>
      </c>
      <c r="G26" s="2">
        <f>IF(OR(AND(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H26&lt;&gt;"",H26&lt;&gt;"not_applicable"),AND(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I26&lt;&gt;"",I26&lt;&gt;"not_applicable"),AND(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J26&lt;&gt;"",J26&lt;&gt;"not_applicable"),AND(OR(AND(IF($D26="",INDEX(primary_jama_2018_14282_disposition,MATCH($A26,primary_jama_2018_14282_key,0)),$D26)&lt;&gt;"",IF($D26="",INDEX(primary_jama_2018_14282_disposition,MATCH($A26,primary_jama_2018_14282_key,0)),$D26)&lt;&gt;"retain"),NOT(OR(IF($E26="",INDEX(primary_jama_2018_14282_domain,MATCH($A26,primary_jama_2018_14282_key,0)),$E26)="internal_nonstatistical",IF($E26="",INDEX(primary_jama_2018_14282_domain,MATCH($A26,primary_jama_2018_14282_key,0)),$E26)="plan_material"))),K26&lt;&gt;"",K26&lt;&gt;"not_applicable"),AND(OR(AND(IF($D26="",INDEX(primary_jama_2018_14282_disposition,MATCH($A26,primary_jama_2018_14282_key,0)),$D26)&lt;&gt;"",IF($D26="",INDEX(primary_jama_2018_14282_disposition,MATCH($A26,primary_jama_2018_14282_key,0)),$D26)&lt;&gt;"retain"),NOT(OR(IF($E26="",INDEX(primary_jama_2018_14282_domain,MATCH($A26,primary_jama_2018_14282_key,0)),$E26)="protocol_report"))),L26&lt;&gt;"",L26&lt;&gt;"not_applicable")),"CLEAR INACTIVE VALUES",IF(O26="","PENDING",IF(AND(O26&lt;&gt;"agree",LEN(TRIM(P26))=0),"COMMENT NEEDED",IF(F26="yes","CHECKED - see resolution","DRAFT"))))</f>
        <v/>
      </c>
      <c r="H26" s="8">
        <f>IF(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not_applicable","")</f>
        <v/>
      </c>
      <c r="I26" s="8">
        <f>IF(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not_applicable","")</f>
        <v/>
      </c>
      <c r="J26" s="9">
        <f>IF(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not_applicable","")</f>
        <v/>
      </c>
      <c r="K26" s="8">
        <f>IF(OR(AND(IF($D26="",INDEX(primary_jama_2018_14282_disposition,MATCH($A26,primary_jama_2018_14282_key,0)),$D26)&lt;&gt;"",IF($D26="",INDEX(primary_jama_2018_14282_disposition,MATCH($A26,primary_jama_2018_14282_key,0)),$D26)&lt;&gt;"retain"),NOT(OR(IF($E26="",INDEX(primary_jama_2018_14282_domain,MATCH($A26,primary_jama_2018_14282_key,0)),$E26)="internal_nonstatistical",IF($E26="",INDEX(primary_jama_2018_14282_domain,MATCH($A26,primary_jama_2018_14282_key,0)),$E26)="plan_material"))),"not_applicable","")</f>
        <v/>
      </c>
      <c r="L26" s="9">
        <f>IF(OR(AND(IF($D26="",INDEX(primary_jama_2018_14282_disposition,MATCH($A26,primary_jama_2018_14282_key,0)),$D26)&lt;&gt;"",IF($D26="",INDEX(primary_jama_2018_14282_disposition,MATCH($A26,primary_jama_2018_14282_key,0)),$D26)&lt;&gt;"retain"),NOT(OR(IF($E26="",INDEX(primary_jama_2018_14282_domain,MATCH($A26,primary_jama_2018_14282_key,0)),$E26)="protocol_report"))),"not_applicable","")</f>
        <v/>
      </c>
      <c r="M26" s="10" t="inlineStr"/>
      <c r="N26" s="10" t="inlineStr"/>
      <c r="O26" s="8" t="inlineStr"/>
      <c r="P26" s="11" t="inlineStr"/>
      <c r="Q26" s="8" t="inlineStr">
        <is>
          <t>pending</t>
        </is>
      </c>
      <c r="R26" s="11" t="inlineStr"/>
      <c r="S26" s="2" t="inlineStr">
        <is>
          <t>AWAITING PRIMARY HANDOFF - do not start checking this template.</t>
        </is>
      </c>
    </row>
    <row r="27" ht="76" customHeight="1">
      <c r="A27" s="3" t="inlineStr">
        <is>
          <t>2018::jama.2018.14282::C026</t>
        </is>
      </c>
      <c r="B27" s="3" t="inlineStr">
        <is>
          <t>Noninferiority bound/sign wording conflicts with its explanatory axis</t>
        </is>
      </c>
      <c r="C27" s="3" t="inlineStr">
        <is>
          <t>DOC-002 Figure 4 — PDF p. 40; DOC-002 — PDF p. 42</t>
        </is>
      </c>
      <c r="D27" s="8" t="inlineStr"/>
      <c r="E27" s="8" t="inlineStr"/>
      <c r="F27" s="8" t="inlineStr">
        <is>
          <t>no</t>
        </is>
      </c>
      <c r="G27" s="3">
        <f>IF(OR(AND(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H27&lt;&gt;"",H27&lt;&gt;"not_applicable"),AND(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I27&lt;&gt;"",I27&lt;&gt;"not_applicable"),AND(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J27&lt;&gt;"",J27&lt;&gt;"not_applicable"),AND(OR(AND(IF($D27="",INDEX(primary_jama_2018_14282_disposition,MATCH($A27,primary_jama_2018_14282_key,0)),$D27)&lt;&gt;"",IF($D27="",INDEX(primary_jama_2018_14282_disposition,MATCH($A27,primary_jama_2018_14282_key,0)),$D27)&lt;&gt;"retain"),NOT(OR(IF($E27="",INDEX(primary_jama_2018_14282_domain,MATCH($A27,primary_jama_2018_14282_key,0)),$E27)="internal_nonstatistical",IF($E27="",INDEX(primary_jama_2018_14282_domain,MATCH($A27,primary_jama_2018_14282_key,0)),$E27)="plan_material"))),K27&lt;&gt;"",K27&lt;&gt;"not_applicable"),AND(OR(AND(IF($D27="",INDEX(primary_jama_2018_14282_disposition,MATCH($A27,primary_jama_2018_14282_key,0)),$D27)&lt;&gt;"",IF($D27="",INDEX(primary_jama_2018_14282_disposition,MATCH($A27,primary_jama_2018_14282_key,0)),$D27)&lt;&gt;"retain"),NOT(OR(IF($E27="",INDEX(primary_jama_2018_14282_domain,MATCH($A27,primary_jama_2018_14282_key,0)),$E27)="protocol_report"))),L27&lt;&gt;"",L27&lt;&gt;"not_applicable")),"CLEAR INACTIVE VALUES",IF(O27="","PENDING",IF(AND(O27&lt;&gt;"agree",LEN(TRIM(P27))=0),"COMMENT NEEDED",IF(F27="yes","CHECKED - see resolution","DRAFT"))))</f>
        <v/>
      </c>
      <c r="H27" s="8">
        <f>IF(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not_applicable","")</f>
        <v/>
      </c>
      <c r="I27" s="8">
        <f>IF(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not_applicable","")</f>
        <v/>
      </c>
      <c r="J27" s="9">
        <f>IF(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not_applicable","")</f>
        <v/>
      </c>
      <c r="K27" s="8">
        <f>IF(OR(AND(IF($D27="",INDEX(primary_jama_2018_14282_disposition,MATCH($A27,primary_jama_2018_14282_key,0)),$D27)&lt;&gt;"",IF($D27="",INDEX(primary_jama_2018_14282_disposition,MATCH($A27,primary_jama_2018_14282_key,0)),$D27)&lt;&gt;"retain"),NOT(OR(IF($E27="",INDEX(primary_jama_2018_14282_domain,MATCH($A27,primary_jama_2018_14282_key,0)),$E27)="internal_nonstatistical",IF($E27="",INDEX(primary_jama_2018_14282_domain,MATCH($A27,primary_jama_2018_14282_key,0)),$E27)="plan_material"))),"not_applicable","")</f>
        <v/>
      </c>
      <c r="L27" s="9">
        <f>IF(OR(AND(IF($D27="",INDEX(primary_jama_2018_14282_disposition,MATCH($A27,primary_jama_2018_14282_key,0)),$D27)&lt;&gt;"",IF($D27="",INDEX(primary_jama_2018_14282_disposition,MATCH($A27,primary_jama_2018_14282_key,0)),$D27)&lt;&gt;"retain"),NOT(OR(IF($E27="",INDEX(primary_jama_2018_14282_domain,MATCH($A27,primary_jama_2018_14282_key,0)),$E27)="protocol_report"))),"not_applicable","")</f>
        <v/>
      </c>
      <c r="M27" s="10" t="inlineStr"/>
      <c r="N27" s="10" t="inlineStr"/>
      <c r="O27" s="8" t="inlineStr"/>
      <c r="P27" s="11" t="inlineStr"/>
      <c r="Q27" s="8" t="inlineStr">
        <is>
          <t>pending</t>
        </is>
      </c>
      <c r="R27" s="11" t="inlineStr"/>
      <c r="S27" s="3" t="inlineStr">
        <is>
          <t>AWAITING PRIMARY HANDOFF - do not start checking this template.</t>
        </is>
      </c>
    </row>
    <row r="28" ht="76" customHeight="1">
      <c r="A28" s="2" t="inlineStr">
        <is>
          <t>2018::jama.2018.14282::C027</t>
        </is>
      </c>
      <c r="B28" s="2" t="inlineStr">
        <is>
          <t>Primary-hypothesis intervention is labelled NIV while plans identify HFNO</t>
        </is>
      </c>
      <c r="C28" s="2" t="inlineStr">
        <is>
          <t>DOC-002 — PDF p. 52; DOC-002 — PDF p. 104</t>
        </is>
      </c>
      <c r="D28" s="8" t="inlineStr"/>
      <c r="E28" s="8" t="inlineStr"/>
      <c r="F28" s="8" t="inlineStr">
        <is>
          <t>no</t>
        </is>
      </c>
      <c r="G28" s="2">
        <f>IF(OR(AND(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H28&lt;&gt;"",H28&lt;&gt;"not_applicable"),AND(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I28&lt;&gt;"",I28&lt;&gt;"not_applicable"),AND(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J28&lt;&gt;"",J28&lt;&gt;"not_applicable"),AND(OR(AND(IF($D28="",INDEX(primary_jama_2018_14282_disposition,MATCH($A28,primary_jama_2018_14282_key,0)),$D28)&lt;&gt;"",IF($D28="",INDEX(primary_jama_2018_14282_disposition,MATCH($A28,primary_jama_2018_14282_key,0)),$D28)&lt;&gt;"retain"),NOT(OR(IF($E28="",INDEX(primary_jama_2018_14282_domain,MATCH($A28,primary_jama_2018_14282_key,0)),$E28)="internal_nonstatistical",IF($E28="",INDEX(primary_jama_2018_14282_domain,MATCH($A28,primary_jama_2018_14282_key,0)),$E28)="plan_material"))),K28&lt;&gt;"",K28&lt;&gt;"not_applicable"),AND(OR(AND(IF($D28="",INDEX(primary_jama_2018_14282_disposition,MATCH($A28,primary_jama_2018_14282_key,0)),$D28)&lt;&gt;"",IF($D28="",INDEX(primary_jama_2018_14282_disposition,MATCH($A28,primary_jama_2018_14282_key,0)),$D28)&lt;&gt;"retain"),NOT(OR(IF($E28="",INDEX(primary_jama_2018_14282_domain,MATCH($A28,primary_jama_2018_14282_key,0)),$E28)="protocol_report"))),L28&lt;&gt;"",L28&lt;&gt;"not_applicable")),"CLEAR INACTIVE VALUES",IF(O28="","PENDING",IF(AND(O28&lt;&gt;"agree",LEN(TRIM(P28))=0),"COMMENT NEEDED",IF(F28="yes","CHECKED - see resolution","DRAFT"))))</f>
        <v/>
      </c>
      <c r="H28" s="8">
        <f>IF(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not_applicable","")</f>
        <v/>
      </c>
      <c r="I28" s="8">
        <f>IF(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not_applicable","")</f>
        <v/>
      </c>
      <c r="J28" s="9">
        <f>IF(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not_applicable","")</f>
        <v/>
      </c>
      <c r="K28" s="8">
        <f>IF(OR(AND(IF($D28="",INDEX(primary_jama_2018_14282_disposition,MATCH($A28,primary_jama_2018_14282_key,0)),$D28)&lt;&gt;"",IF($D28="",INDEX(primary_jama_2018_14282_disposition,MATCH($A28,primary_jama_2018_14282_key,0)),$D28)&lt;&gt;"retain"),NOT(OR(IF($E28="",INDEX(primary_jama_2018_14282_domain,MATCH($A28,primary_jama_2018_14282_key,0)),$E28)="internal_nonstatistical",IF($E28="",INDEX(primary_jama_2018_14282_domain,MATCH($A28,primary_jama_2018_14282_key,0)),$E28)="plan_material"))),"not_applicable","")</f>
        <v/>
      </c>
      <c r="L28" s="9">
        <f>IF(OR(AND(IF($D28="",INDEX(primary_jama_2018_14282_disposition,MATCH($A28,primary_jama_2018_14282_key,0)),$D28)&lt;&gt;"",IF($D28="",INDEX(primary_jama_2018_14282_disposition,MATCH($A28,primary_jama_2018_14282_key,0)),$D28)&lt;&gt;"retain"),NOT(OR(IF($E28="",INDEX(primary_jama_2018_14282_domain,MATCH($A28,primary_jama_2018_14282_key,0)),$E28)="protocol_report"))),"not_applicable","")</f>
        <v/>
      </c>
      <c r="M28" s="10" t="inlineStr"/>
      <c r="N28" s="10" t="inlineStr"/>
      <c r="O28" s="8" t="inlineStr"/>
      <c r="P28" s="11" t="inlineStr"/>
      <c r="Q28" s="8" t="inlineStr">
        <is>
          <t>pending</t>
        </is>
      </c>
      <c r="R28" s="11" t="inlineStr"/>
      <c r="S28" s="2" t="inlineStr">
        <is>
          <t>AWAITING PRIMARY HANDOFF - do not start checking this template.</t>
        </is>
      </c>
    </row>
    <row r="29" ht="76" customHeight="1">
      <c r="A29" s="3" t="inlineStr">
        <is>
          <t>2018::jama.2018.14282::C028</t>
        </is>
      </c>
      <c r="B29" s="3" t="inlineStr">
        <is>
          <t>Planned primary outcome alternates between day-28 vital status and hospital death</t>
        </is>
      </c>
      <c r="C29" s="3" t="inlineStr">
        <is>
          <t>DOC-002 — PDF p. 54; DOC-002 — PDF p. 82; DOC-002 — PDF p. 104</t>
        </is>
      </c>
      <c r="D29" s="8" t="inlineStr"/>
      <c r="E29" s="8" t="inlineStr"/>
      <c r="F29" s="8" t="inlineStr">
        <is>
          <t>no</t>
        </is>
      </c>
      <c r="G29" s="3">
        <f>IF(OR(AND(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H29&lt;&gt;"",H29&lt;&gt;"not_applicable"),AND(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I29&lt;&gt;"",I29&lt;&gt;"not_applicable"),AND(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J29&lt;&gt;"",J29&lt;&gt;"not_applicable"),AND(OR(AND(IF($D29="",INDEX(primary_jama_2018_14282_disposition,MATCH($A29,primary_jama_2018_14282_key,0)),$D29)&lt;&gt;"",IF($D29="",INDEX(primary_jama_2018_14282_disposition,MATCH($A29,primary_jama_2018_14282_key,0)),$D29)&lt;&gt;"retain"),NOT(OR(IF($E29="",INDEX(primary_jama_2018_14282_domain,MATCH($A29,primary_jama_2018_14282_key,0)),$E29)="internal_nonstatistical",IF($E29="",INDEX(primary_jama_2018_14282_domain,MATCH($A29,primary_jama_2018_14282_key,0)),$E29)="plan_material"))),K29&lt;&gt;"",K29&lt;&gt;"not_applicable"),AND(OR(AND(IF($D29="",INDEX(primary_jama_2018_14282_disposition,MATCH($A29,primary_jama_2018_14282_key,0)),$D29)&lt;&gt;"",IF($D29="",INDEX(primary_jama_2018_14282_disposition,MATCH($A29,primary_jama_2018_14282_key,0)),$D29)&lt;&gt;"retain"),NOT(OR(IF($E29="",INDEX(primary_jama_2018_14282_domain,MATCH($A29,primary_jama_2018_14282_key,0)),$E29)="protocol_report"))),L29&lt;&gt;"",L29&lt;&gt;"not_applicable")),"CLEAR INACTIVE VALUES",IF(O29="","PENDING",IF(AND(O29&lt;&gt;"agree",LEN(TRIM(P29))=0),"COMMENT NEEDED",IF(F29="yes","CHECKED - see resolution","DRAFT"))))</f>
        <v/>
      </c>
      <c r="H29" s="8">
        <f>IF(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not_applicable","")</f>
        <v/>
      </c>
      <c r="I29" s="8">
        <f>IF(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not_applicable","")</f>
        <v/>
      </c>
      <c r="J29" s="9">
        <f>IF(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not_applicable","")</f>
        <v/>
      </c>
      <c r="K29" s="8">
        <f>IF(OR(AND(IF($D29="",INDEX(primary_jama_2018_14282_disposition,MATCH($A29,primary_jama_2018_14282_key,0)),$D29)&lt;&gt;"",IF($D29="",INDEX(primary_jama_2018_14282_disposition,MATCH($A29,primary_jama_2018_14282_key,0)),$D29)&lt;&gt;"retain"),NOT(OR(IF($E29="",INDEX(primary_jama_2018_14282_domain,MATCH($A29,primary_jama_2018_14282_key,0)),$E29)="internal_nonstatistical",IF($E29="",INDEX(primary_jama_2018_14282_domain,MATCH($A29,primary_jama_2018_14282_key,0)),$E29)="plan_material"))),"not_applicable","")</f>
        <v/>
      </c>
      <c r="L29" s="9">
        <f>IF(OR(AND(IF($D29="",INDEX(primary_jama_2018_14282_disposition,MATCH($A29,primary_jama_2018_14282_key,0)),$D29)&lt;&gt;"",IF($D29="",INDEX(primary_jama_2018_14282_disposition,MATCH($A29,primary_jama_2018_14282_key,0)),$D29)&lt;&gt;"retain"),NOT(OR(IF($E29="",INDEX(primary_jama_2018_14282_domain,MATCH($A29,primary_jama_2018_14282_key,0)),$E29)="protocol_report"))),"not_applicable","")</f>
        <v/>
      </c>
      <c r="M29" s="10" t="inlineStr"/>
      <c r="N29" s="10" t="inlineStr"/>
      <c r="O29" s="8" t="inlineStr"/>
      <c r="P29" s="11" t="inlineStr"/>
      <c r="Q29" s="8" t="inlineStr">
        <is>
          <t>pending</t>
        </is>
      </c>
      <c r="R29" s="11" t="inlineStr"/>
      <c r="S29"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29"/>
  <conditionalFormatting sqref="H2">
    <cfRule type="expression" priority="1" dxfId="0" stopIfTrue="1">
      <formula>AND(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H2&lt;&gt;"",H2&lt;&gt;"not_applicable")</formula>
    </cfRule>
    <cfRule type="expression" priority="2" dxfId="1">
      <formula>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formula>
    </cfRule>
  </conditionalFormatting>
  <conditionalFormatting sqref="H3">
    <cfRule type="expression" priority="3" dxfId="0" stopIfTrue="1">
      <formula>AND(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H3&lt;&gt;"",H3&lt;&gt;"not_applicable")</formula>
    </cfRule>
    <cfRule type="expression" priority="4" dxfId="1">
      <formula>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formula>
    </cfRule>
  </conditionalFormatting>
  <conditionalFormatting sqref="H4">
    <cfRule type="expression" priority="5" dxfId="0" stopIfTrue="1">
      <formula>AND(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H4&lt;&gt;"",H4&lt;&gt;"not_applicable")</formula>
    </cfRule>
    <cfRule type="expression" priority="6" dxfId="1">
      <formula>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formula>
    </cfRule>
  </conditionalFormatting>
  <conditionalFormatting sqref="H5">
    <cfRule type="expression" priority="7" dxfId="0" stopIfTrue="1">
      <formula>AND(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H5&lt;&gt;"",H5&lt;&gt;"not_applicable")</formula>
    </cfRule>
    <cfRule type="expression" priority="8" dxfId="1">
      <formula>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formula>
    </cfRule>
  </conditionalFormatting>
  <conditionalFormatting sqref="H6">
    <cfRule type="expression" priority="9" dxfId="0" stopIfTrue="1">
      <formula>AND(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H6&lt;&gt;"",H6&lt;&gt;"not_applicable")</formula>
    </cfRule>
    <cfRule type="expression" priority="10" dxfId="1">
      <formula>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formula>
    </cfRule>
  </conditionalFormatting>
  <conditionalFormatting sqref="H7">
    <cfRule type="expression" priority="11" dxfId="0" stopIfTrue="1">
      <formula>AND(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H7&lt;&gt;"",H7&lt;&gt;"not_applicable")</formula>
    </cfRule>
    <cfRule type="expression" priority="12" dxfId="1">
      <formula>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formula>
    </cfRule>
  </conditionalFormatting>
  <conditionalFormatting sqref="H8">
    <cfRule type="expression" priority="13" dxfId="0" stopIfTrue="1">
      <formula>AND(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H8&lt;&gt;"",H8&lt;&gt;"not_applicable")</formula>
    </cfRule>
    <cfRule type="expression" priority="14" dxfId="1">
      <formula>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formula>
    </cfRule>
  </conditionalFormatting>
  <conditionalFormatting sqref="H9">
    <cfRule type="expression" priority="15" dxfId="0" stopIfTrue="1">
      <formula>AND(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H9&lt;&gt;"",H9&lt;&gt;"not_applicable")</formula>
    </cfRule>
    <cfRule type="expression" priority="16" dxfId="1">
      <formula>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formula>
    </cfRule>
  </conditionalFormatting>
  <conditionalFormatting sqref="H10">
    <cfRule type="expression" priority="17" dxfId="0" stopIfTrue="1">
      <formula>AND(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H10&lt;&gt;"",H10&lt;&gt;"not_applicable")</formula>
    </cfRule>
    <cfRule type="expression" priority="18" dxfId="1">
      <formula>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formula>
    </cfRule>
  </conditionalFormatting>
  <conditionalFormatting sqref="H11">
    <cfRule type="expression" priority="19" dxfId="0" stopIfTrue="1">
      <formula>AND(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H11&lt;&gt;"",H11&lt;&gt;"not_applicable")</formula>
    </cfRule>
    <cfRule type="expression" priority="20" dxfId="1">
      <formula>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formula>
    </cfRule>
  </conditionalFormatting>
  <conditionalFormatting sqref="H12">
    <cfRule type="expression" priority="21" dxfId="0" stopIfTrue="1">
      <formula>AND(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H12&lt;&gt;"",H12&lt;&gt;"not_applicable")</formula>
    </cfRule>
    <cfRule type="expression" priority="22" dxfId="1">
      <formula>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formula>
    </cfRule>
  </conditionalFormatting>
  <conditionalFormatting sqref="H13">
    <cfRule type="expression" priority="23" dxfId="0" stopIfTrue="1">
      <formula>AND(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H13&lt;&gt;"",H13&lt;&gt;"not_applicable")</formula>
    </cfRule>
    <cfRule type="expression" priority="24" dxfId="1">
      <formula>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formula>
    </cfRule>
  </conditionalFormatting>
  <conditionalFormatting sqref="H14">
    <cfRule type="expression" priority="25" dxfId="0" stopIfTrue="1">
      <formula>AND(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H14&lt;&gt;"",H14&lt;&gt;"not_applicable")</formula>
    </cfRule>
    <cfRule type="expression" priority="26" dxfId="1">
      <formula>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formula>
    </cfRule>
  </conditionalFormatting>
  <conditionalFormatting sqref="H15">
    <cfRule type="expression" priority="27" dxfId="0" stopIfTrue="1">
      <formula>AND(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H15&lt;&gt;"",H15&lt;&gt;"not_applicable")</formula>
    </cfRule>
    <cfRule type="expression" priority="28" dxfId="1">
      <formula>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formula>
    </cfRule>
  </conditionalFormatting>
  <conditionalFormatting sqref="H16">
    <cfRule type="expression" priority="29" dxfId="0" stopIfTrue="1">
      <formula>AND(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H16&lt;&gt;"",H16&lt;&gt;"not_applicable")</formula>
    </cfRule>
    <cfRule type="expression" priority="30" dxfId="1">
      <formula>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formula>
    </cfRule>
  </conditionalFormatting>
  <conditionalFormatting sqref="H17">
    <cfRule type="expression" priority="31" dxfId="0" stopIfTrue="1">
      <formula>AND(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H17&lt;&gt;"",H17&lt;&gt;"not_applicable")</formula>
    </cfRule>
    <cfRule type="expression" priority="32" dxfId="1">
      <formula>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formula>
    </cfRule>
  </conditionalFormatting>
  <conditionalFormatting sqref="H18">
    <cfRule type="expression" priority="33" dxfId="0" stopIfTrue="1">
      <formula>AND(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H18&lt;&gt;"",H18&lt;&gt;"not_applicable")</formula>
    </cfRule>
    <cfRule type="expression" priority="34" dxfId="1">
      <formula>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formula>
    </cfRule>
  </conditionalFormatting>
  <conditionalFormatting sqref="H19">
    <cfRule type="expression" priority="35" dxfId="0" stopIfTrue="1">
      <formula>AND(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H19&lt;&gt;"",H19&lt;&gt;"not_applicable")</formula>
    </cfRule>
    <cfRule type="expression" priority="36" dxfId="1">
      <formula>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formula>
    </cfRule>
  </conditionalFormatting>
  <conditionalFormatting sqref="H20">
    <cfRule type="expression" priority="37" dxfId="0" stopIfTrue="1">
      <formula>AND(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H20&lt;&gt;"",H20&lt;&gt;"not_applicable")</formula>
    </cfRule>
    <cfRule type="expression" priority="38" dxfId="1">
      <formula>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formula>
    </cfRule>
  </conditionalFormatting>
  <conditionalFormatting sqref="H21">
    <cfRule type="expression" priority="39" dxfId="0" stopIfTrue="1">
      <formula>AND(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H21&lt;&gt;"",H21&lt;&gt;"not_applicable")</formula>
    </cfRule>
    <cfRule type="expression" priority="40" dxfId="1">
      <formula>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formula>
    </cfRule>
  </conditionalFormatting>
  <conditionalFormatting sqref="H22">
    <cfRule type="expression" priority="41" dxfId="0" stopIfTrue="1">
      <formula>AND(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H22&lt;&gt;"",H22&lt;&gt;"not_applicable")</formula>
    </cfRule>
    <cfRule type="expression" priority="42" dxfId="1">
      <formula>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formula>
    </cfRule>
  </conditionalFormatting>
  <conditionalFormatting sqref="H23">
    <cfRule type="expression" priority="43" dxfId="0" stopIfTrue="1">
      <formula>AND(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H23&lt;&gt;"",H23&lt;&gt;"not_applicable")</formula>
    </cfRule>
    <cfRule type="expression" priority="44" dxfId="1">
      <formula>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formula>
    </cfRule>
  </conditionalFormatting>
  <conditionalFormatting sqref="H24">
    <cfRule type="expression" priority="45" dxfId="0" stopIfTrue="1">
      <formula>AND(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H24&lt;&gt;"",H24&lt;&gt;"not_applicable")</formula>
    </cfRule>
    <cfRule type="expression" priority="46" dxfId="1">
      <formula>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formula>
    </cfRule>
  </conditionalFormatting>
  <conditionalFormatting sqref="H25">
    <cfRule type="expression" priority="47" dxfId="0" stopIfTrue="1">
      <formula>AND(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H25&lt;&gt;"",H25&lt;&gt;"not_applicable")</formula>
    </cfRule>
    <cfRule type="expression" priority="48" dxfId="1">
      <formula>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formula>
    </cfRule>
  </conditionalFormatting>
  <conditionalFormatting sqref="H26">
    <cfRule type="expression" priority="49" dxfId="0" stopIfTrue="1">
      <formula>AND(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H26&lt;&gt;"",H26&lt;&gt;"not_applicable")</formula>
    </cfRule>
    <cfRule type="expression" priority="50" dxfId="1">
      <formula>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formula>
    </cfRule>
  </conditionalFormatting>
  <conditionalFormatting sqref="H27">
    <cfRule type="expression" priority="51" dxfId="0" stopIfTrue="1">
      <formula>AND(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H27&lt;&gt;"",H27&lt;&gt;"not_applicable")</formula>
    </cfRule>
    <cfRule type="expression" priority="52" dxfId="1">
      <formula>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formula>
    </cfRule>
  </conditionalFormatting>
  <conditionalFormatting sqref="H28">
    <cfRule type="expression" priority="53" dxfId="0" stopIfTrue="1">
      <formula>AND(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H28&lt;&gt;"",H28&lt;&gt;"not_applicable")</formula>
    </cfRule>
    <cfRule type="expression" priority="54" dxfId="1">
      <formula>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formula>
    </cfRule>
  </conditionalFormatting>
  <conditionalFormatting sqref="H29">
    <cfRule type="expression" priority="55" dxfId="0" stopIfTrue="1">
      <formula>AND(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H29&lt;&gt;"",H29&lt;&gt;"not_applicable")</formula>
    </cfRule>
    <cfRule type="expression" priority="56" dxfId="1">
      <formula>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formula>
    </cfRule>
  </conditionalFormatting>
  <conditionalFormatting sqref="I2">
    <cfRule type="expression" priority="57" dxfId="0" stopIfTrue="1">
      <formula>AND(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I2&lt;&gt;"",I2&lt;&gt;"not_applicable")</formula>
    </cfRule>
    <cfRule type="expression" priority="58" dxfId="1">
      <formula>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formula>
    </cfRule>
  </conditionalFormatting>
  <conditionalFormatting sqref="I3">
    <cfRule type="expression" priority="59" dxfId="0" stopIfTrue="1">
      <formula>AND(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I3&lt;&gt;"",I3&lt;&gt;"not_applicable")</formula>
    </cfRule>
    <cfRule type="expression" priority="60" dxfId="1">
      <formula>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formula>
    </cfRule>
  </conditionalFormatting>
  <conditionalFormatting sqref="I4">
    <cfRule type="expression" priority="61" dxfId="0" stopIfTrue="1">
      <formula>AND(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I4&lt;&gt;"",I4&lt;&gt;"not_applicable")</formula>
    </cfRule>
    <cfRule type="expression" priority="62" dxfId="1">
      <formula>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formula>
    </cfRule>
  </conditionalFormatting>
  <conditionalFormatting sqref="I5">
    <cfRule type="expression" priority="63" dxfId="0" stopIfTrue="1">
      <formula>AND(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I5&lt;&gt;"",I5&lt;&gt;"not_applicable")</formula>
    </cfRule>
    <cfRule type="expression" priority="64" dxfId="1">
      <formula>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formula>
    </cfRule>
  </conditionalFormatting>
  <conditionalFormatting sqref="I6">
    <cfRule type="expression" priority="65" dxfId="0" stopIfTrue="1">
      <formula>AND(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I6&lt;&gt;"",I6&lt;&gt;"not_applicable")</formula>
    </cfRule>
    <cfRule type="expression" priority="66" dxfId="1">
      <formula>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formula>
    </cfRule>
  </conditionalFormatting>
  <conditionalFormatting sqref="I7">
    <cfRule type="expression" priority="67" dxfId="0" stopIfTrue="1">
      <formula>AND(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I7&lt;&gt;"",I7&lt;&gt;"not_applicable")</formula>
    </cfRule>
    <cfRule type="expression" priority="68" dxfId="1">
      <formula>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formula>
    </cfRule>
  </conditionalFormatting>
  <conditionalFormatting sqref="I8">
    <cfRule type="expression" priority="69" dxfId="0" stopIfTrue="1">
      <formula>AND(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I8&lt;&gt;"",I8&lt;&gt;"not_applicable")</formula>
    </cfRule>
    <cfRule type="expression" priority="70" dxfId="1">
      <formula>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formula>
    </cfRule>
  </conditionalFormatting>
  <conditionalFormatting sqref="I9">
    <cfRule type="expression" priority="71" dxfId="0" stopIfTrue="1">
      <formula>AND(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I9&lt;&gt;"",I9&lt;&gt;"not_applicable")</formula>
    </cfRule>
    <cfRule type="expression" priority="72" dxfId="1">
      <formula>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formula>
    </cfRule>
  </conditionalFormatting>
  <conditionalFormatting sqref="I10">
    <cfRule type="expression" priority="73" dxfId="0" stopIfTrue="1">
      <formula>AND(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I10&lt;&gt;"",I10&lt;&gt;"not_applicable")</formula>
    </cfRule>
    <cfRule type="expression" priority="74" dxfId="1">
      <formula>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formula>
    </cfRule>
  </conditionalFormatting>
  <conditionalFormatting sqref="I11">
    <cfRule type="expression" priority="75" dxfId="0" stopIfTrue="1">
      <formula>AND(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I11&lt;&gt;"",I11&lt;&gt;"not_applicable")</formula>
    </cfRule>
    <cfRule type="expression" priority="76" dxfId="1">
      <formula>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formula>
    </cfRule>
  </conditionalFormatting>
  <conditionalFormatting sqref="I12">
    <cfRule type="expression" priority="77" dxfId="0" stopIfTrue="1">
      <formula>AND(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I12&lt;&gt;"",I12&lt;&gt;"not_applicable")</formula>
    </cfRule>
    <cfRule type="expression" priority="78" dxfId="1">
      <formula>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formula>
    </cfRule>
  </conditionalFormatting>
  <conditionalFormatting sqref="I13">
    <cfRule type="expression" priority="79" dxfId="0" stopIfTrue="1">
      <formula>AND(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I13&lt;&gt;"",I13&lt;&gt;"not_applicable")</formula>
    </cfRule>
    <cfRule type="expression" priority="80" dxfId="1">
      <formula>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formula>
    </cfRule>
  </conditionalFormatting>
  <conditionalFormatting sqref="I14">
    <cfRule type="expression" priority="81" dxfId="0" stopIfTrue="1">
      <formula>AND(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I14&lt;&gt;"",I14&lt;&gt;"not_applicable")</formula>
    </cfRule>
    <cfRule type="expression" priority="82" dxfId="1">
      <formula>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formula>
    </cfRule>
  </conditionalFormatting>
  <conditionalFormatting sqref="I15">
    <cfRule type="expression" priority="83" dxfId="0" stopIfTrue="1">
      <formula>AND(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I15&lt;&gt;"",I15&lt;&gt;"not_applicable")</formula>
    </cfRule>
    <cfRule type="expression" priority="84" dxfId="1">
      <formula>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formula>
    </cfRule>
  </conditionalFormatting>
  <conditionalFormatting sqref="I16">
    <cfRule type="expression" priority="85" dxfId="0" stopIfTrue="1">
      <formula>AND(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I16&lt;&gt;"",I16&lt;&gt;"not_applicable")</formula>
    </cfRule>
    <cfRule type="expression" priority="86" dxfId="1">
      <formula>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formula>
    </cfRule>
  </conditionalFormatting>
  <conditionalFormatting sqref="I17">
    <cfRule type="expression" priority="87" dxfId="0" stopIfTrue="1">
      <formula>AND(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I17&lt;&gt;"",I17&lt;&gt;"not_applicable")</formula>
    </cfRule>
    <cfRule type="expression" priority="88" dxfId="1">
      <formula>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formula>
    </cfRule>
  </conditionalFormatting>
  <conditionalFormatting sqref="I18">
    <cfRule type="expression" priority="89" dxfId="0" stopIfTrue="1">
      <formula>AND(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I18&lt;&gt;"",I18&lt;&gt;"not_applicable")</formula>
    </cfRule>
    <cfRule type="expression" priority="90" dxfId="1">
      <formula>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formula>
    </cfRule>
  </conditionalFormatting>
  <conditionalFormatting sqref="I19">
    <cfRule type="expression" priority="91" dxfId="0" stopIfTrue="1">
      <formula>AND(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I19&lt;&gt;"",I19&lt;&gt;"not_applicable")</formula>
    </cfRule>
    <cfRule type="expression" priority="92" dxfId="1">
      <formula>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formula>
    </cfRule>
  </conditionalFormatting>
  <conditionalFormatting sqref="I20">
    <cfRule type="expression" priority="93" dxfId="0" stopIfTrue="1">
      <formula>AND(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I20&lt;&gt;"",I20&lt;&gt;"not_applicable")</formula>
    </cfRule>
    <cfRule type="expression" priority="94" dxfId="1">
      <formula>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formula>
    </cfRule>
  </conditionalFormatting>
  <conditionalFormatting sqref="I21">
    <cfRule type="expression" priority="95" dxfId="0" stopIfTrue="1">
      <formula>AND(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I21&lt;&gt;"",I21&lt;&gt;"not_applicable")</formula>
    </cfRule>
    <cfRule type="expression" priority="96" dxfId="1">
      <formula>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formula>
    </cfRule>
  </conditionalFormatting>
  <conditionalFormatting sqref="I22">
    <cfRule type="expression" priority="97" dxfId="0" stopIfTrue="1">
      <formula>AND(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I22&lt;&gt;"",I22&lt;&gt;"not_applicable")</formula>
    </cfRule>
    <cfRule type="expression" priority="98" dxfId="1">
      <formula>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formula>
    </cfRule>
  </conditionalFormatting>
  <conditionalFormatting sqref="I23">
    <cfRule type="expression" priority="99" dxfId="0" stopIfTrue="1">
      <formula>AND(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I23&lt;&gt;"",I23&lt;&gt;"not_applicable")</formula>
    </cfRule>
    <cfRule type="expression" priority="100" dxfId="1">
      <formula>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formula>
    </cfRule>
  </conditionalFormatting>
  <conditionalFormatting sqref="I24">
    <cfRule type="expression" priority="101" dxfId="0" stopIfTrue="1">
      <formula>AND(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I24&lt;&gt;"",I24&lt;&gt;"not_applicable")</formula>
    </cfRule>
    <cfRule type="expression" priority="102" dxfId="1">
      <formula>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formula>
    </cfRule>
  </conditionalFormatting>
  <conditionalFormatting sqref="I25">
    <cfRule type="expression" priority="103" dxfId="0" stopIfTrue="1">
      <formula>AND(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I25&lt;&gt;"",I25&lt;&gt;"not_applicable")</formula>
    </cfRule>
    <cfRule type="expression" priority="104" dxfId="1">
      <formula>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formula>
    </cfRule>
  </conditionalFormatting>
  <conditionalFormatting sqref="I26">
    <cfRule type="expression" priority="105" dxfId="0" stopIfTrue="1">
      <formula>AND(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I26&lt;&gt;"",I26&lt;&gt;"not_applicable")</formula>
    </cfRule>
    <cfRule type="expression" priority="106" dxfId="1">
      <formula>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formula>
    </cfRule>
  </conditionalFormatting>
  <conditionalFormatting sqref="I27">
    <cfRule type="expression" priority="107" dxfId="0" stopIfTrue="1">
      <formula>AND(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I27&lt;&gt;"",I27&lt;&gt;"not_applicable")</formula>
    </cfRule>
    <cfRule type="expression" priority="108" dxfId="1">
      <formula>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formula>
    </cfRule>
  </conditionalFormatting>
  <conditionalFormatting sqref="I28">
    <cfRule type="expression" priority="109" dxfId="0" stopIfTrue="1">
      <formula>AND(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I28&lt;&gt;"",I28&lt;&gt;"not_applicable")</formula>
    </cfRule>
    <cfRule type="expression" priority="110" dxfId="1">
      <formula>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formula>
    </cfRule>
  </conditionalFormatting>
  <conditionalFormatting sqref="I29">
    <cfRule type="expression" priority="111" dxfId="0" stopIfTrue="1">
      <formula>AND(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I29&lt;&gt;"",I29&lt;&gt;"not_applicable")</formula>
    </cfRule>
    <cfRule type="expression" priority="112" dxfId="1">
      <formula>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formula>
    </cfRule>
  </conditionalFormatting>
  <conditionalFormatting sqref="J2">
    <cfRule type="expression" priority="113" dxfId="0" stopIfTrue="1">
      <formula>AND(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J2&lt;&gt;"",J2&lt;&gt;"not_applicable")</formula>
    </cfRule>
    <cfRule type="expression" priority="114" dxfId="1">
      <formula>OR(AND(IF($D2="",INDEX(primary_jama_2018_14282_disposition,MATCH($A2,primary_jama_2018_14282_key,0)),$D2)&lt;&gt;"",IF($D2="",INDEX(primary_jama_2018_14282_disposition,MATCH($A2,primary_jama_2018_14282_key,0)),$D2)&lt;&gt;"retain"),NOT(OR(IF($E2="",INDEX(primary_jama_2018_14282_domain,MATCH($A2,primary_jama_2018_14282_key,0)),$E2)="statistical_results")))</formula>
    </cfRule>
  </conditionalFormatting>
  <conditionalFormatting sqref="J3">
    <cfRule type="expression" priority="115" dxfId="0" stopIfTrue="1">
      <formula>AND(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J3&lt;&gt;"",J3&lt;&gt;"not_applicable")</formula>
    </cfRule>
    <cfRule type="expression" priority="116" dxfId="1">
      <formula>OR(AND(IF($D3="",INDEX(primary_jama_2018_14282_disposition,MATCH($A3,primary_jama_2018_14282_key,0)),$D3)&lt;&gt;"",IF($D3="",INDEX(primary_jama_2018_14282_disposition,MATCH($A3,primary_jama_2018_14282_key,0)),$D3)&lt;&gt;"retain"),NOT(OR(IF($E3="",INDEX(primary_jama_2018_14282_domain,MATCH($A3,primary_jama_2018_14282_key,0)),$E3)="statistical_results")))</formula>
    </cfRule>
  </conditionalFormatting>
  <conditionalFormatting sqref="J4">
    <cfRule type="expression" priority="117" dxfId="0" stopIfTrue="1">
      <formula>AND(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J4&lt;&gt;"",J4&lt;&gt;"not_applicable")</formula>
    </cfRule>
    <cfRule type="expression" priority="118" dxfId="1">
      <formula>OR(AND(IF($D4="",INDEX(primary_jama_2018_14282_disposition,MATCH($A4,primary_jama_2018_14282_key,0)),$D4)&lt;&gt;"",IF($D4="",INDEX(primary_jama_2018_14282_disposition,MATCH($A4,primary_jama_2018_14282_key,0)),$D4)&lt;&gt;"retain"),NOT(OR(IF($E4="",INDEX(primary_jama_2018_14282_domain,MATCH($A4,primary_jama_2018_14282_key,0)),$E4)="statistical_results")))</formula>
    </cfRule>
  </conditionalFormatting>
  <conditionalFormatting sqref="J5">
    <cfRule type="expression" priority="119" dxfId="0" stopIfTrue="1">
      <formula>AND(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J5&lt;&gt;"",J5&lt;&gt;"not_applicable")</formula>
    </cfRule>
    <cfRule type="expression" priority="120" dxfId="1">
      <formula>OR(AND(IF($D5="",INDEX(primary_jama_2018_14282_disposition,MATCH($A5,primary_jama_2018_14282_key,0)),$D5)&lt;&gt;"",IF($D5="",INDEX(primary_jama_2018_14282_disposition,MATCH($A5,primary_jama_2018_14282_key,0)),$D5)&lt;&gt;"retain"),NOT(OR(IF($E5="",INDEX(primary_jama_2018_14282_domain,MATCH($A5,primary_jama_2018_14282_key,0)),$E5)="statistical_results")))</formula>
    </cfRule>
  </conditionalFormatting>
  <conditionalFormatting sqref="J6">
    <cfRule type="expression" priority="121" dxfId="0" stopIfTrue="1">
      <formula>AND(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J6&lt;&gt;"",J6&lt;&gt;"not_applicable")</formula>
    </cfRule>
    <cfRule type="expression" priority="122" dxfId="1">
      <formula>OR(AND(IF($D6="",INDEX(primary_jama_2018_14282_disposition,MATCH($A6,primary_jama_2018_14282_key,0)),$D6)&lt;&gt;"",IF($D6="",INDEX(primary_jama_2018_14282_disposition,MATCH($A6,primary_jama_2018_14282_key,0)),$D6)&lt;&gt;"retain"),NOT(OR(IF($E6="",INDEX(primary_jama_2018_14282_domain,MATCH($A6,primary_jama_2018_14282_key,0)),$E6)="statistical_results")))</formula>
    </cfRule>
  </conditionalFormatting>
  <conditionalFormatting sqref="J7">
    <cfRule type="expression" priority="123" dxfId="0" stopIfTrue="1">
      <formula>AND(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J7&lt;&gt;"",J7&lt;&gt;"not_applicable")</formula>
    </cfRule>
    <cfRule type="expression" priority="124" dxfId="1">
      <formula>OR(AND(IF($D7="",INDEX(primary_jama_2018_14282_disposition,MATCH($A7,primary_jama_2018_14282_key,0)),$D7)&lt;&gt;"",IF($D7="",INDEX(primary_jama_2018_14282_disposition,MATCH($A7,primary_jama_2018_14282_key,0)),$D7)&lt;&gt;"retain"),NOT(OR(IF($E7="",INDEX(primary_jama_2018_14282_domain,MATCH($A7,primary_jama_2018_14282_key,0)),$E7)="statistical_results")))</formula>
    </cfRule>
  </conditionalFormatting>
  <conditionalFormatting sqref="J8">
    <cfRule type="expression" priority="125" dxfId="0" stopIfTrue="1">
      <formula>AND(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J8&lt;&gt;"",J8&lt;&gt;"not_applicable")</formula>
    </cfRule>
    <cfRule type="expression" priority="126" dxfId="1">
      <formula>OR(AND(IF($D8="",INDEX(primary_jama_2018_14282_disposition,MATCH($A8,primary_jama_2018_14282_key,0)),$D8)&lt;&gt;"",IF($D8="",INDEX(primary_jama_2018_14282_disposition,MATCH($A8,primary_jama_2018_14282_key,0)),$D8)&lt;&gt;"retain"),NOT(OR(IF($E8="",INDEX(primary_jama_2018_14282_domain,MATCH($A8,primary_jama_2018_14282_key,0)),$E8)="statistical_results")))</formula>
    </cfRule>
  </conditionalFormatting>
  <conditionalFormatting sqref="J9">
    <cfRule type="expression" priority="127" dxfId="0" stopIfTrue="1">
      <formula>AND(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J9&lt;&gt;"",J9&lt;&gt;"not_applicable")</formula>
    </cfRule>
    <cfRule type="expression" priority="128" dxfId="1">
      <formula>OR(AND(IF($D9="",INDEX(primary_jama_2018_14282_disposition,MATCH($A9,primary_jama_2018_14282_key,0)),$D9)&lt;&gt;"",IF($D9="",INDEX(primary_jama_2018_14282_disposition,MATCH($A9,primary_jama_2018_14282_key,0)),$D9)&lt;&gt;"retain"),NOT(OR(IF($E9="",INDEX(primary_jama_2018_14282_domain,MATCH($A9,primary_jama_2018_14282_key,0)),$E9)="statistical_results")))</formula>
    </cfRule>
  </conditionalFormatting>
  <conditionalFormatting sqref="J10">
    <cfRule type="expression" priority="129" dxfId="0" stopIfTrue="1">
      <formula>AND(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J10&lt;&gt;"",J10&lt;&gt;"not_applicable")</formula>
    </cfRule>
    <cfRule type="expression" priority="130" dxfId="1">
      <formula>OR(AND(IF($D10="",INDEX(primary_jama_2018_14282_disposition,MATCH($A10,primary_jama_2018_14282_key,0)),$D10)&lt;&gt;"",IF($D10="",INDEX(primary_jama_2018_14282_disposition,MATCH($A10,primary_jama_2018_14282_key,0)),$D10)&lt;&gt;"retain"),NOT(OR(IF($E10="",INDEX(primary_jama_2018_14282_domain,MATCH($A10,primary_jama_2018_14282_key,0)),$E10)="statistical_results")))</formula>
    </cfRule>
  </conditionalFormatting>
  <conditionalFormatting sqref="J11">
    <cfRule type="expression" priority="131" dxfId="0" stopIfTrue="1">
      <formula>AND(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J11&lt;&gt;"",J11&lt;&gt;"not_applicable")</formula>
    </cfRule>
    <cfRule type="expression" priority="132" dxfId="1">
      <formula>OR(AND(IF($D11="",INDEX(primary_jama_2018_14282_disposition,MATCH($A11,primary_jama_2018_14282_key,0)),$D11)&lt;&gt;"",IF($D11="",INDEX(primary_jama_2018_14282_disposition,MATCH($A11,primary_jama_2018_14282_key,0)),$D11)&lt;&gt;"retain"),NOT(OR(IF($E11="",INDEX(primary_jama_2018_14282_domain,MATCH($A11,primary_jama_2018_14282_key,0)),$E11)="statistical_results")))</formula>
    </cfRule>
  </conditionalFormatting>
  <conditionalFormatting sqref="J12">
    <cfRule type="expression" priority="133" dxfId="0" stopIfTrue="1">
      <formula>AND(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J12&lt;&gt;"",J12&lt;&gt;"not_applicable")</formula>
    </cfRule>
    <cfRule type="expression" priority="134" dxfId="1">
      <formula>OR(AND(IF($D12="",INDEX(primary_jama_2018_14282_disposition,MATCH($A12,primary_jama_2018_14282_key,0)),$D12)&lt;&gt;"",IF($D12="",INDEX(primary_jama_2018_14282_disposition,MATCH($A12,primary_jama_2018_14282_key,0)),$D12)&lt;&gt;"retain"),NOT(OR(IF($E12="",INDEX(primary_jama_2018_14282_domain,MATCH($A12,primary_jama_2018_14282_key,0)),$E12)="statistical_results")))</formula>
    </cfRule>
  </conditionalFormatting>
  <conditionalFormatting sqref="J13">
    <cfRule type="expression" priority="135" dxfId="0" stopIfTrue="1">
      <formula>AND(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J13&lt;&gt;"",J13&lt;&gt;"not_applicable")</formula>
    </cfRule>
    <cfRule type="expression" priority="136" dxfId="1">
      <formula>OR(AND(IF($D13="",INDEX(primary_jama_2018_14282_disposition,MATCH($A13,primary_jama_2018_14282_key,0)),$D13)&lt;&gt;"",IF($D13="",INDEX(primary_jama_2018_14282_disposition,MATCH($A13,primary_jama_2018_14282_key,0)),$D13)&lt;&gt;"retain"),NOT(OR(IF($E13="",INDEX(primary_jama_2018_14282_domain,MATCH($A13,primary_jama_2018_14282_key,0)),$E13)="statistical_results")))</formula>
    </cfRule>
  </conditionalFormatting>
  <conditionalFormatting sqref="J14">
    <cfRule type="expression" priority="137" dxfId="0" stopIfTrue="1">
      <formula>AND(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J14&lt;&gt;"",J14&lt;&gt;"not_applicable")</formula>
    </cfRule>
    <cfRule type="expression" priority="138" dxfId="1">
      <formula>OR(AND(IF($D14="",INDEX(primary_jama_2018_14282_disposition,MATCH($A14,primary_jama_2018_14282_key,0)),$D14)&lt;&gt;"",IF($D14="",INDEX(primary_jama_2018_14282_disposition,MATCH($A14,primary_jama_2018_14282_key,0)),$D14)&lt;&gt;"retain"),NOT(OR(IF($E14="",INDEX(primary_jama_2018_14282_domain,MATCH($A14,primary_jama_2018_14282_key,0)),$E14)="statistical_results")))</formula>
    </cfRule>
  </conditionalFormatting>
  <conditionalFormatting sqref="J15">
    <cfRule type="expression" priority="139" dxfId="0" stopIfTrue="1">
      <formula>AND(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J15&lt;&gt;"",J15&lt;&gt;"not_applicable")</formula>
    </cfRule>
    <cfRule type="expression" priority="140" dxfId="1">
      <formula>OR(AND(IF($D15="",INDEX(primary_jama_2018_14282_disposition,MATCH($A15,primary_jama_2018_14282_key,0)),$D15)&lt;&gt;"",IF($D15="",INDEX(primary_jama_2018_14282_disposition,MATCH($A15,primary_jama_2018_14282_key,0)),$D15)&lt;&gt;"retain"),NOT(OR(IF($E15="",INDEX(primary_jama_2018_14282_domain,MATCH($A15,primary_jama_2018_14282_key,0)),$E15)="statistical_results")))</formula>
    </cfRule>
  </conditionalFormatting>
  <conditionalFormatting sqref="J16">
    <cfRule type="expression" priority="141" dxfId="0" stopIfTrue="1">
      <formula>AND(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J16&lt;&gt;"",J16&lt;&gt;"not_applicable")</formula>
    </cfRule>
    <cfRule type="expression" priority="142" dxfId="1">
      <formula>OR(AND(IF($D16="",INDEX(primary_jama_2018_14282_disposition,MATCH($A16,primary_jama_2018_14282_key,0)),$D16)&lt;&gt;"",IF($D16="",INDEX(primary_jama_2018_14282_disposition,MATCH($A16,primary_jama_2018_14282_key,0)),$D16)&lt;&gt;"retain"),NOT(OR(IF($E16="",INDEX(primary_jama_2018_14282_domain,MATCH($A16,primary_jama_2018_14282_key,0)),$E16)="statistical_results")))</formula>
    </cfRule>
  </conditionalFormatting>
  <conditionalFormatting sqref="J17">
    <cfRule type="expression" priority="143" dxfId="0" stopIfTrue="1">
      <formula>AND(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J17&lt;&gt;"",J17&lt;&gt;"not_applicable")</formula>
    </cfRule>
    <cfRule type="expression" priority="144" dxfId="1">
      <formula>OR(AND(IF($D17="",INDEX(primary_jama_2018_14282_disposition,MATCH($A17,primary_jama_2018_14282_key,0)),$D17)&lt;&gt;"",IF($D17="",INDEX(primary_jama_2018_14282_disposition,MATCH($A17,primary_jama_2018_14282_key,0)),$D17)&lt;&gt;"retain"),NOT(OR(IF($E17="",INDEX(primary_jama_2018_14282_domain,MATCH($A17,primary_jama_2018_14282_key,0)),$E17)="statistical_results")))</formula>
    </cfRule>
  </conditionalFormatting>
  <conditionalFormatting sqref="J18">
    <cfRule type="expression" priority="145" dxfId="0" stopIfTrue="1">
      <formula>AND(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J18&lt;&gt;"",J18&lt;&gt;"not_applicable")</formula>
    </cfRule>
    <cfRule type="expression" priority="146" dxfId="1">
      <formula>OR(AND(IF($D18="",INDEX(primary_jama_2018_14282_disposition,MATCH($A18,primary_jama_2018_14282_key,0)),$D18)&lt;&gt;"",IF($D18="",INDEX(primary_jama_2018_14282_disposition,MATCH($A18,primary_jama_2018_14282_key,0)),$D18)&lt;&gt;"retain"),NOT(OR(IF($E18="",INDEX(primary_jama_2018_14282_domain,MATCH($A18,primary_jama_2018_14282_key,0)),$E18)="statistical_results")))</formula>
    </cfRule>
  </conditionalFormatting>
  <conditionalFormatting sqref="J19">
    <cfRule type="expression" priority="147" dxfId="0" stopIfTrue="1">
      <formula>AND(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J19&lt;&gt;"",J19&lt;&gt;"not_applicable")</formula>
    </cfRule>
    <cfRule type="expression" priority="148" dxfId="1">
      <formula>OR(AND(IF($D19="",INDEX(primary_jama_2018_14282_disposition,MATCH($A19,primary_jama_2018_14282_key,0)),$D19)&lt;&gt;"",IF($D19="",INDEX(primary_jama_2018_14282_disposition,MATCH($A19,primary_jama_2018_14282_key,0)),$D19)&lt;&gt;"retain"),NOT(OR(IF($E19="",INDEX(primary_jama_2018_14282_domain,MATCH($A19,primary_jama_2018_14282_key,0)),$E19)="statistical_results")))</formula>
    </cfRule>
  </conditionalFormatting>
  <conditionalFormatting sqref="J20">
    <cfRule type="expression" priority="149" dxfId="0" stopIfTrue="1">
      <formula>AND(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J20&lt;&gt;"",J20&lt;&gt;"not_applicable")</formula>
    </cfRule>
    <cfRule type="expression" priority="150" dxfId="1">
      <formula>OR(AND(IF($D20="",INDEX(primary_jama_2018_14282_disposition,MATCH($A20,primary_jama_2018_14282_key,0)),$D20)&lt;&gt;"",IF($D20="",INDEX(primary_jama_2018_14282_disposition,MATCH($A20,primary_jama_2018_14282_key,0)),$D20)&lt;&gt;"retain"),NOT(OR(IF($E20="",INDEX(primary_jama_2018_14282_domain,MATCH($A20,primary_jama_2018_14282_key,0)),$E20)="statistical_results")))</formula>
    </cfRule>
  </conditionalFormatting>
  <conditionalFormatting sqref="J21">
    <cfRule type="expression" priority="151" dxfId="0" stopIfTrue="1">
      <formula>AND(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J21&lt;&gt;"",J21&lt;&gt;"not_applicable")</formula>
    </cfRule>
    <cfRule type="expression" priority="152" dxfId="1">
      <formula>OR(AND(IF($D21="",INDEX(primary_jama_2018_14282_disposition,MATCH($A21,primary_jama_2018_14282_key,0)),$D21)&lt;&gt;"",IF($D21="",INDEX(primary_jama_2018_14282_disposition,MATCH($A21,primary_jama_2018_14282_key,0)),$D21)&lt;&gt;"retain"),NOT(OR(IF($E21="",INDEX(primary_jama_2018_14282_domain,MATCH($A21,primary_jama_2018_14282_key,0)),$E21)="statistical_results")))</formula>
    </cfRule>
  </conditionalFormatting>
  <conditionalFormatting sqref="J22">
    <cfRule type="expression" priority="153" dxfId="0" stopIfTrue="1">
      <formula>AND(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J22&lt;&gt;"",J22&lt;&gt;"not_applicable")</formula>
    </cfRule>
    <cfRule type="expression" priority="154" dxfId="1">
      <formula>OR(AND(IF($D22="",INDEX(primary_jama_2018_14282_disposition,MATCH($A22,primary_jama_2018_14282_key,0)),$D22)&lt;&gt;"",IF($D22="",INDEX(primary_jama_2018_14282_disposition,MATCH($A22,primary_jama_2018_14282_key,0)),$D22)&lt;&gt;"retain"),NOT(OR(IF($E22="",INDEX(primary_jama_2018_14282_domain,MATCH($A22,primary_jama_2018_14282_key,0)),$E22)="statistical_results")))</formula>
    </cfRule>
  </conditionalFormatting>
  <conditionalFormatting sqref="J23">
    <cfRule type="expression" priority="155" dxfId="0" stopIfTrue="1">
      <formula>AND(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J23&lt;&gt;"",J23&lt;&gt;"not_applicable")</formula>
    </cfRule>
    <cfRule type="expression" priority="156" dxfId="1">
      <formula>OR(AND(IF($D23="",INDEX(primary_jama_2018_14282_disposition,MATCH($A23,primary_jama_2018_14282_key,0)),$D23)&lt;&gt;"",IF($D23="",INDEX(primary_jama_2018_14282_disposition,MATCH($A23,primary_jama_2018_14282_key,0)),$D23)&lt;&gt;"retain"),NOT(OR(IF($E23="",INDEX(primary_jama_2018_14282_domain,MATCH($A23,primary_jama_2018_14282_key,0)),$E23)="statistical_results")))</formula>
    </cfRule>
  </conditionalFormatting>
  <conditionalFormatting sqref="J24">
    <cfRule type="expression" priority="157" dxfId="0" stopIfTrue="1">
      <formula>AND(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J24&lt;&gt;"",J24&lt;&gt;"not_applicable")</formula>
    </cfRule>
    <cfRule type="expression" priority="158" dxfId="1">
      <formula>OR(AND(IF($D24="",INDEX(primary_jama_2018_14282_disposition,MATCH($A24,primary_jama_2018_14282_key,0)),$D24)&lt;&gt;"",IF($D24="",INDEX(primary_jama_2018_14282_disposition,MATCH($A24,primary_jama_2018_14282_key,0)),$D24)&lt;&gt;"retain"),NOT(OR(IF($E24="",INDEX(primary_jama_2018_14282_domain,MATCH($A24,primary_jama_2018_14282_key,0)),$E24)="statistical_results")))</formula>
    </cfRule>
  </conditionalFormatting>
  <conditionalFormatting sqref="J25">
    <cfRule type="expression" priority="159" dxfId="0" stopIfTrue="1">
      <formula>AND(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J25&lt;&gt;"",J25&lt;&gt;"not_applicable")</formula>
    </cfRule>
    <cfRule type="expression" priority="160" dxfId="1">
      <formula>OR(AND(IF($D25="",INDEX(primary_jama_2018_14282_disposition,MATCH($A25,primary_jama_2018_14282_key,0)),$D25)&lt;&gt;"",IF($D25="",INDEX(primary_jama_2018_14282_disposition,MATCH($A25,primary_jama_2018_14282_key,0)),$D25)&lt;&gt;"retain"),NOT(OR(IF($E25="",INDEX(primary_jama_2018_14282_domain,MATCH($A25,primary_jama_2018_14282_key,0)),$E25)="statistical_results")))</formula>
    </cfRule>
  </conditionalFormatting>
  <conditionalFormatting sqref="J26">
    <cfRule type="expression" priority="161" dxfId="0" stopIfTrue="1">
      <formula>AND(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J26&lt;&gt;"",J26&lt;&gt;"not_applicable")</formula>
    </cfRule>
    <cfRule type="expression" priority="162" dxfId="1">
      <formula>OR(AND(IF($D26="",INDEX(primary_jama_2018_14282_disposition,MATCH($A26,primary_jama_2018_14282_key,0)),$D26)&lt;&gt;"",IF($D26="",INDEX(primary_jama_2018_14282_disposition,MATCH($A26,primary_jama_2018_14282_key,0)),$D26)&lt;&gt;"retain"),NOT(OR(IF($E26="",INDEX(primary_jama_2018_14282_domain,MATCH($A26,primary_jama_2018_14282_key,0)),$E26)="statistical_results")))</formula>
    </cfRule>
  </conditionalFormatting>
  <conditionalFormatting sqref="J27">
    <cfRule type="expression" priority="163" dxfId="0" stopIfTrue="1">
      <formula>AND(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J27&lt;&gt;"",J27&lt;&gt;"not_applicable")</formula>
    </cfRule>
    <cfRule type="expression" priority="164" dxfId="1">
      <formula>OR(AND(IF($D27="",INDEX(primary_jama_2018_14282_disposition,MATCH($A27,primary_jama_2018_14282_key,0)),$D27)&lt;&gt;"",IF($D27="",INDEX(primary_jama_2018_14282_disposition,MATCH($A27,primary_jama_2018_14282_key,0)),$D27)&lt;&gt;"retain"),NOT(OR(IF($E27="",INDEX(primary_jama_2018_14282_domain,MATCH($A27,primary_jama_2018_14282_key,0)),$E27)="statistical_results")))</formula>
    </cfRule>
  </conditionalFormatting>
  <conditionalFormatting sqref="J28">
    <cfRule type="expression" priority="165" dxfId="0" stopIfTrue="1">
      <formula>AND(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J28&lt;&gt;"",J28&lt;&gt;"not_applicable")</formula>
    </cfRule>
    <cfRule type="expression" priority="166" dxfId="1">
      <formula>OR(AND(IF($D28="",INDEX(primary_jama_2018_14282_disposition,MATCH($A28,primary_jama_2018_14282_key,0)),$D28)&lt;&gt;"",IF($D28="",INDEX(primary_jama_2018_14282_disposition,MATCH($A28,primary_jama_2018_14282_key,0)),$D28)&lt;&gt;"retain"),NOT(OR(IF($E28="",INDEX(primary_jama_2018_14282_domain,MATCH($A28,primary_jama_2018_14282_key,0)),$E28)="statistical_results")))</formula>
    </cfRule>
  </conditionalFormatting>
  <conditionalFormatting sqref="J29">
    <cfRule type="expression" priority="167" dxfId="0" stopIfTrue="1">
      <formula>AND(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J29&lt;&gt;"",J29&lt;&gt;"not_applicable")</formula>
    </cfRule>
    <cfRule type="expression" priority="168" dxfId="1">
      <formula>OR(AND(IF($D29="",INDEX(primary_jama_2018_14282_disposition,MATCH($A29,primary_jama_2018_14282_key,0)),$D29)&lt;&gt;"",IF($D29="",INDEX(primary_jama_2018_14282_disposition,MATCH($A29,primary_jama_2018_14282_key,0)),$D29)&lt;&gt;"retain"),NOT(OR(IF($E29="",INDEX(primary_jama_2018_14282_domain,MATCH($A29,primary_jama_2018_14282_key,0)),$E29)="statistical_results")))</formula>
    </cfRule>
  </conditionalFormatting>
  <conditionalFormatting sqref="K2">
    <cfRule type="expression" priority="169" dxfId="0" stopIfTrue="1">
      <formula>AND(OR(AND(IF($D2="",INDEX(primary_jama_2018_14282_disposition,MATCH($A2,primary_jama_2018_14282_key,0)),$D2)&lt;&gt;"",IF($D2="",INDEX(primary_jama_2018_14282_disposition,MATCH($A2,primary_jama_2018_14282_key,0)),$D2)&lt;&gt;"retain"),NOT(OR(IF($E2="",INDEX(primary_jama_2018_14282_domain,MATCH($A2,primary_jama_2018_14282_key,0)),$E2)="internal_nonstatistical",IF($E2="",INDEX(primary_jama_2018_14282_domain,MATCH($A2,primary_jama_2018_14282_key,0)),$E2)="plan_material"))),K2&lt;&gt;"",K2&lt;&gt;"not_applicable")</formula>
    </cfRule>
    <cfRule type="expression" priority="170" dxfId="1">
      <formula>OR(AND(IF($D2="",INDEX(primary_jama_2018_14282_disposition,MATCH($A2,primary_jama_2018_14282_key,0)),$D2)&lt;&gt;"",IF($D2="",INDEX(primary_jama_2018_14282_disposition,MATCH($A2,primary_jama_2018_14282_key,0)),$D2)&lt;&gt;"retain"),NOT(OR(IF($E2="",INDEX(primary_jama_2018_14282_domain,MATCH($A2,primary_jama_2018_14282_key,0)),$E2)="internal_nonstatistical",IF($E2="",INDEX(primary_jama_2018_14282_domain,MATCH($A2,primary_jama_2018_14282_key,0)),$E2)="plan_material")))</formula>
    </cfRule>
  </conditionalFormatting>
  <conditionalFormatting sqref="K3">
    <cfRule type="expression" priority="171" dxfId="0" stopIfTrue="1">
      <formula>AND(OR(AND(IF($D3="",INDEX(primary_jama_2018_14282_disposition,MATCH($A3,primary_jama_2018_14282_key,0)),$D3)&lt;&gt;"",IF($D3="",INDEX(primary_jama_2018_14282_disposition,MATCH($A3,primary_jama_2018_14282_key,0)),$D3)&lt;&gt;"retain"),NOT(OR(IF($E3="",INDEX(primary_jama_2018_14282_domain,MATCH($A3,primary_jama_2018_14282_key,0)),$E3)="internal_nonstatistical",IF($E3="",INDEX(primary_jama_2018_14282_domain,MATCH($A3,primary_jama_2018_14282_key,0)),$E3)="plan_material"))),K3&lt;&gt;"",K3&lt;&gt;"not_applicable")</formula>
    </cfRule>
    <cfRule type="expression" priority="172" dxfId="1">
      <formula>OR(AND(IF($D3="",INDEX(primary_jama_2018_14282_disposition,MATCH($A3,primary_jama_2018_14282_key,0)),$D3)&lt;&gt;"",IF($D3="",INDEX(primary_jama_2018_14282_disposition,MATCH($A3,primary_jama_2018_14282_key,0)),$D3)&lt;&gt;"retain"),NOT(OR(IF($E3="",INDEX(primary_jama_2018_14282_domain,MATCH($A3,primary_jama_2018_14282_key,0)),$E3)="internal_nonstatistical",IF($E3="",INDEX(primary_jama_2018_14282_domain,MATCH($A3,primary_jama_2018_14282_key,0)),$E3)="plan_material")))</formula>
    </cfRule>
  </conditionalFormatting>
  <conditionalFormatting sqref="K4">
    <cfRule type="expression" priority="173" dxfId="0" stopIfTrue="1">
      <formula>AND(OR(AND(IF($D4="",INDEX(primary_jama_2018_14282_disposition,MATCH($A4,primary_jama_2018_14282_key,0)),$D4)&lt;&gt;"",IF($D4="",INDEX(primary_jama_2018_14282_disposition,MATCH($A4,primary_jama_2018_14282_key,0)),$D4)&lt;&gt;"retain"),NOT(OR(IF($E4="",INDEX(primary_jama_2018_14282_domain,MATCH($A4,primary_jama_2018_14282_key,0)),$E4)="internal_nonstatistical",IF($E4="",INDEX(primary_jama_2018_14282_domain,MATCH($A4,primary_jama_2018_14282_key,0)),$E4)="plan_material"))),K4&lt;&gt;"",K4&lt;&gt;"not_applicable")</formula>
    </cfRule>
    <cfRule type="expression" priority="174" dxfId="1">
      <formula>OR(AND(IF($D4="",INDEX(primary_jama_2018_14282_disposition,MATCH($A4,primary_jama_2018_14282_key,0)),$D4)&lt;&gt;"",IF($D4="",INDEX(primary_jama_2018_14282_disposition,MATCH($A4,primary_jama_2018_14282_key,0)),$D4)&lt;&gt;"retain"),NOT(OR(IF($E4="",INDEX(primary_jama_2018_14282_domain,MATCH($A4,primary_jama_2018_14282_key,0)),$E4)="internal_nonstatistical",IF($E4="",INDEX(primary_jama_2018_14282_domain,MATCH($A4,primary_jama_2018_14282_key,0)),$E4)="plan_material")))</formula>
    </cfRule>
  </conditionalFormatting>
  <conditionalFormatting sqref="K5">
    <cfRule type="expression" priority="175" dxfId="0" stopIfTrue="1">
      <formula>AND(OR(AND(IF($D5="",INDEX(primary_jama_2018_14282_disposition,MATCH($A5,primary_jama_2018_14282_key,0)),$D5)&lt;&gt;"",IF($D5="",INDEX(primary_jama_2018_14282_disposition,MATCH($A5,primary_jama_2018_14282_key,0)),$D5)&lt;&gt;"retain"),NOT(OR(IF($E5="",INDEX(primary_jama_2018_14282_domain,MATCH($A5,primary_jama_2018_14282_key,0)),$E5)="internal_nonstatistical",IF($E5="",INDEX(primary_jama_2018_14282_domain,MATCH($A5,primary_jama_2018_14282_key,0)),$E5)="plan_material"))),K5&lt;&gt;"",K5&lt;&gt;"not_applicable")</formula>
    </cfRule>
    <cfRule type="expression" priority="176" dxfId="1">
      <formula>OR(AND(IF($D5="",INDEX(primary_jama_2018_14282_disposition,MATCH($A5,primary_jama_2018_14282_key,0)),$D5)&lt;&gt;"",IF($D5="",INDEX(primary_jama_2018_14282_disposition,MATCH($A5,primary_jama_2018_14282_key,0)),$D5)&lt;&gt;"retain"),NOT(OR(IF($E5="",INDEX(primary_jama_2018_14282_domain,MATCH($A5,primary_jama_2018_14282_key,0)),$E5)="internal_nonstatistical",IF($E5="",INDEX(primary_jama_2018_14282_domain,MATCH($A5,primary_jama_2018_14282_key,0)),$E5)="plan_material")))</formula>
    </cfRule>
  </conditionalFormatting>
  <conditionalFormatting sqref="K6">
    <cfRule type="expression" priority="177" dxfId="0" stopIfTrue="1">
      <formula>AND(OR(AND(IF($D6="",INDEX(primary_jama_2018_14282_disposition,MATCH($A6,primary_jama_2018_14282_key,0)),$D6)&lt;&gt;"",IF($D6="",INDEX(primary_jama_2018_14282_disposition,MATCH($A6,primary_jama_2018_14282_key,0)),$D6)&lt;&gt;"retain"),NOT(OR(IF($E6="",INDEX(primary_jama_2018_14282_domain,MATCH($A6,primary_jama_2018_14282_key,0)),$E6)="internal_nonstatistical",IF($E6="",INDEX(primary_jama_2018_14282_domain,MATCH($A6,primary_jama_2018_14282_key,0)),$E6)="plan_material"))),K6&lt;&gt;"",K6&lt;&gt;"not_applicable")</formula>
    </cfRule>
    <cfRule type="expression" priority="178" dxfId="1">
      <formula>OR(AND(IF($D6="",INDEX(primary_jama_2018_14282_disposition,MATCH($A6,primary_jama_2018_14282_key,0)),$D6)&lt;&gt;"",IF($D6="",INDEX(primary_jama_2018_14282_disposition,MATCH($A6,primary_jama_2018_14282_key,0)),$D6)&lt;&gt;"retain"),NOT(OR(IF($E6="",INDEX(primary_jama_2018_14282_domain,MATCH($A6,primary_jama_2018_14282_key,0)),$E6)="internal_nonstatistical",IF($E6="",INDEX(primary_jama_2018_14282_domain,MATCH($A6,primary_jama_2018_14282_key,0)),$E6)="plan_material")))</formula>
    </cfRule>
  </conditionalFormatting>
  <conditionalFormatting sqref="K7">
    <cfRule type="expression" priority="179" dxfId="0" stopIfTrue="1">
      <formula>AND(OR(AND(IF($D7="",INDEX(primary_jama_2018_14282_disposition,MATCH($A7,primary_jama_2018_14282_key,0)),$D7)&lt;&gt;"",IF($D7="",INDEX(primary_jama_2018_14282_disposition,MATCH($A7,primary_jama_2018_14282_key,0)),$D7)&lt;&gt;"retain"),NOT(OR(IF($E7="",INDEX(primary_jama_2018_14282_domain,MATCH($A7,primary_jama_2018_14282_key,0)),$E7)="internal_nonstatistical",IF($E7="",INDEX(primary_jama_2018_14282_domain,MATCH($A7,primary_jama_2018_14282_key,0)),$E7)="plan_material"))),K7&lt;&gt;"",K7&lt;&gt;"not_applicable")</formula>
    </cfRule>
    <cfRule type="expression" priority="180" dxfId="1">
      <formula>OR(AND(IF($D7="",INDEX(primary_jama_2018_14282_disposition,MATCH($A7,primary_jama_2018_14282_key,0)),$D7)&lt;&gt;"",IF($D7="",INDEX(primary_jama_2018_14282_disposition,MATCH($A7,primary_jama_2018_14282_key,0)),$D7)&lt;&gt;"retain"),NOT(OR(IF($E7="",INDEX(primary_jama_2018_14282_domain,MATCH($A7,primary_jama_2018_14282_key,0)),$E7)="internal_nonstatistical",IF($E7="",INDEX(primary_jama_2018_14282_domain,MATCH($A7,primary_jama_2018_14282_key,0)),$E7)="plan_material")))</formula>
    </cfRule>
  </conditionalFormatting>
  <conditionalFormatting sqref="K8">
    <cfRule type="expression" priority="181" dxfId="0" stopIfTrue="1">
      <formula>AND(OR(AND(IF($D8="",INDEX(primary_jama_2018_14282_disposition,MATCH($A8,primary_jama_2018_14282_key,0)),$D8)&lt;&gt;"",IF($D8="",INDEX(primary_jama_2018_14282_disposition,MATCH($A8,primary_jama_2018_14282_key,0)),$D8)&lt;&gt;"retain"),NOT(OR(IF($E8="",INDEX(primary_jama_2018_14282_domain,MATCH($A8,primary_jama_2018_14282_key,0)),$E8)="internal_nonstatistical",IF($E8="",INDEX(primary_jama_2018_14282_domain,MATCH($A8,primary_jama_2018_14282_key,0)),$E8)="plan_material"))),K8&lt;&gt;"",K8&lt;&gt;"not_applicable")</formula>
    </cfRule>
    <cfRule type="expression" priority="182" dxfId="1">
      <formula>OR(AND(IF($D8="",INDEX(primary_jama_2018_14282_disposition,MATCH($A8,primary_jama_2018_14282_key,0)),$D8)&lt;&gt;"",IF($D8="",INDEX(primary_jama_2018_14282_disposition,MATCH($A8,primary_jama_2018_14282_key,0)),$D8)&lt;&gt;"retain"),NOT(OR(IF($E8="",INDEX(primary_jama_2018_14282_domain,MATCH($A8,primary_jama_2018_14282_key,0)),$E8)="internal_nonstatistical",IF($E8="",INDEX(primary_jama_2018_14282_domain,MATCH($A8,primary_jama_2018_14282_key,0)),$E8)="plan_material")))</formula>
    </cfRule>
  </conditionalFormatting>
  <conditionalFormatting sqref="K9">
    <cfRule type="expression" priority="183" dxfId="0" stopIfTrue="1">
      <formula>AND(OR(AND(IF($D9="",INDEX(primary_jama_2018_14282_disposition,MATCH($A9,primary_jama_2018_14282_key,0)),$D9)&lt;&gt;"",IF($D9="",INDEX(primary_jama_2018_14282_disposition,MATCH($A9,primary_jama_2018_14282_key,0)),$D9)&lt;&gt;"retain"),NOT(OR(IF($E9="",INDEX(primary_jama_2018_14282_domain,MATCH($A9,primary_jama_2018_14282_key,0)),$E9)="internal_nonstatistical",IF($E9="",INDEX(primary_jama_2018_14282_domain,MATCH($A9,primary_jama_2018_14282_key,0)),$E9)="plan_material"))),K9&lt;&gt;"",K9&lt;&gt;"not_applicable")</formula>
    </cfRule>
    <cfRule type="expression" priority="184" dxfId="1">
      <formula>OR(AND(IF($D9="",INDEX(primary_jama_2018_14282_disposition,MATCH($A9,primary_jama_2018_14282_key,0)),$D9)&lt;&gt;"",IF($D9="",INDEX(primary_jama_2018_14282_disposition,MATCH($A9,primary_jama_2018_14282_key,0)),$D9)&lt;&gt;"retain"),NOT(OR(IF($E9="",INDEX(primary_jama_2018_14282_domain,MATCH($A9,primary_jama_2018_14282_key,0)),$E9)="internal_nonstatistical",IF($E9="",INDEX(primary_jama_2018_14282_domain,MATCH($A9,primary_jama_2018_14282_key,0)),$E9)="plan_material")))</formula>
    </cfRule>
  </conditionalFormatting>
  <conditionalFormatting sqref="K10">
    <cfRule type="expression" priority="185" dxfId="0" stopIfTrue="1">
      <formula>AND(OR(AND(IF($D10="",INDEX(primary_jama_2018_14282_disposition,MATCH($A10,primary_jama_2018_14282_key,0)),$D10)&lt;&gt;"",IF($D10="",INDEX(primary_jama_2018_14282_disposition,MATCH($A10,primary_jama_2018_14282_key,0)),$D10)&lt;&gt;"retain"),NOT(OR(IF($E10="",INDEX(primary_jama_2018_14282_domain,MATCH($A10,primary_jama_2018_14282_key,0)),$E10)="internal_nonstatistical",IF($E10="",INDEX(primary_jama_2018_14282_domain,MATCH($A10,primary_jama_2018_14282_key,0)),$E10)="plan_material"))),K10&lt;&gt;"",K10&lt;&gt;"not_applicable")</formula>
    </cfRule>
    <cfRule type="expression" priority="186" dxfId="1">
      <formula>OR(AND(IF($D10="",INDEX(primary_jama_2018_14282_disposition,MATCH($A10,primary_jama_2018_14282_key,0)),$D10)&lt;&gt;"",IF($D10="",INDEX(primary_jama_2018_14282_disposition,MATCH($A10,primary_jama_2018_14282_key,0)),$D10)&lt;&gt;"retain"),NOT(OR(IF($E10="",INDEX(primary_jama_2018_14282_domain,MATCH($A10,primary_jama_2018_14282_key,0)),$E10)="internal_nonstatistical",IF($E10="",INDEX(primary_jama_2018_14282_domain,MATCH($A10,primary_jama_2018_14282_key,0)),$E10)="plan_material")))</formula>
    </cfRule>
  </conditionalFormatting>
  <conditionalFormatting sqref="K11">
    <cfRule type="expression" priority="187" dxfId="0" stopIfTrue="1">
      <formula>AND(OR(AND(IF($D11="",INDEX(primary_jama_2018_14282_disposition,MATCH($A11,primary_jama_2018_14282_key,0)),$D11)&lt;&gt;"",IF($D11="",INDEX(primary_jama_2018_14282_disposition,MATCH($A11,primary_jama_2018_14282_key,0)),$D11)&lt;&gt;"retain"),NOT(OR(IF($E11="",INDEX(primary_jama_2018_14282_domain,MATCH($A11,primary_jama_2018_14282_key,0)),$E11)="internal_nonstatistical",IF($E11="",INDEX(primary_jama_2018_14282_domain,MATCH($A11,primary_jama_2018_14282_key,0)),$E11)="plan_material"))),K11&lt;&gt;"",K11&lt;&gt;"not_applicable")</formula>
    </cfRule>
    <cfRule type="expression" priority="188" dxfId="1">
      <formula>OR(AND(IF($D11="",INDEX(primary_jama_2018_14282_disposition,MATCH($A11,primary_jama_2018_14282_key,0)),$D11)&lt;&gt;"",IF($D11="",INDEX(primary_jama_2018_14282_disposition,MATCH($A11,primary_jama_2018_14282_key,0)),$D11)&lt;&gt;"retain"),NOT(OR(IF($E11="",INDEX(primary_jama_2018_14282_domain,MATCH($A11,primary_jama_2018_14282_key,0)),$E11)="internal_nonstatistical",IF($E11="",INDEX(primary_jama_2018_14282_domain,MATCH($A11,primary_jama_2018_14282_key,0)),$E11)="plan_material")))</formula>
    </cfRule>
  </conditionalFormatting>
  <conditionalFormatting sqref="K12">
    <cfRule type="expression" priority="189" dxfId="0" stopIfTrue="1">
      <formula>AND(OR(AND(IF($D12="",INDEX(primary_jama_2018_14282_disposition,MATCH($A12,primary_jama_2018_14282_key,0)),$D12)&lt;&gt;"",IF($D12="",INDEX(primary_jama_2018_14282_disposition,MATCH($A12,primary_jama_2018_14282_key,0)),$D12)&lt;&gt;"retain"),NOT(OR(IF($E12="",INDEX(primary_jama_2018_14282_domain,MATCH($A12,primary_jama_2018_14282_key,0)),$E12)="internal_nonstatistical",IF($E12="",INDEX(primary_jama_2018_14282_domain,MATCH($A12,primary_jama_2018_14282_key,0)),$E12)="plan_material"))),K12&lt;&gt;"",K12&lt;&gt;"not_applicable")</formula>
    </cfRule>
    <cfRule type="expression" priority="190" dxfId="1">
      <formula>OR(AND(IF($D12="",INDEX(primary_jama_2018_14282_disposition,MATCH($A12,primary_jama_2018_14282_key,0)),$D12)&lt;&gt;"",IF($D12="",INDEX(primary_jama_2018_14282_disposition,MATCH($A12,primary_jama_2018_14282_key,0)),$D12)&lt;&gt;"retain"),NOT(OR(IF($E12="",INDEX(primary_jama_2018_14282_domain,MATCH($A12,primary_jama_2018_14282_key,0)),$E12)="internal_nonstatistical",IF($E12="",INDEX(primary_jama_2018_14282_domain,MATCH($A12,primary_jama_2018_14282_key,0)),$E12)="plan_material")))</formula>
    </cfRule>
  </conditionalFormatting>
  <conditionalFormatting sqref="K13">
    <cfRule type="expression" priority="191" dxfId="0" stopIfTrue="1">
      <formula>AND(OR(AND(IF($D13="",INDEX(primary_jama_2018_14282_disposition,MATCH($A13,primary_jama_2018_14282_key,0)),$D13)&lt;&gt;"",IF($D13="",INDEX(primary_jama_2018_14282_disposition,MATCH($A13,primary_jama_2018_14282_key,0)),$D13)&lt;&gt;"retain"),NOT(OR(IF($E13="",INDEX(primary_jama_2018_14282_domain,MATCH($A13,primary_jama_2018_14282_key,0)),$E13)="internal_nonstatistical",IF($E13="",INDEX(primary_jama_2018_14282_domain,MATCH($A13,primary_jama_2018_14282_key,0)),$E13)="plan_material"))),K13&lt;&gt;"",K13&lt;&gt;"not_applicable")</formula>
    </cfRule>
    <cfRule type="expression" priority="192" dxfId="1">
      <formula>OR(AND(IF($D13="",INDEX(primary_jama_2018_14282_disposition,MATCH($A13,primary_jama_2018_14282_key,0)),$D13)&lt;&gt;"",IF($D13="",INDEX(primary_jama_2018_14282_disposition,MATCH($A13,primary_jama_2018_14282_key,0)),$D13)&lt;&gt;"retain"),NOT(OR(IF($E13="",INDEX(primary_jama_2018_14282_domain,MATCH($A13,primary_jama_2018_14282_key,0)),$E13)="internal_nonstatistical",IF($E13="",INDEX(primary_jama_2018_14282_domain,MATCH($A13,primary_jama_2018_14282_key,0)),$E13)="plan_material")))</formula>
    </cfRule>
  </conditionalFormatting>
  <conditionalFormatting sqref="K14">
    <cfRule type="expression" priority="193" dxfId="0" stopIfTrue="1">
      <formula>AND(OR(AND(IF($D14="",INDEX(primary_jama_2018_14282_disposition,MATCH($A14,primary_jama_2018_14282_key,0)),$D14)&lt;&gt;"",IF($D14="",INDEX(primary_jama_2018_14282_disposition,MATCH($A14,primary_jama_2018_14282_key,0)),$D14)&lt;&gt;"retain"),NOT(OR(IF($E14="",INDEX(primary_jama_2018_14282_domain,MATCH($A14,primary_jama_2018_14282_key,0)),$E14)="internal_nonstatistical",IF($E14="",INDEX(primary_jama_2018_14282_domain,MATCH($A14,primary_jama_2018_14282_key,0)),$E14)="plan_material"))),K14&lt;&gt;"",K14&lt;&gt;"not_applicable")</formula>
    </cfRule>
    <cfRule type="expression" priority="194" dxfId="1">
      <formula>OR(AND(IF($D14="",INDEX(primary_jama_2018_14282_disposition,MATCH($A14,primary_jama_2018_14282_key,0)),$D14)&lt;&gt;"",IF($D14="",INDEX(primary_jama_2018_14282_disposition,MATCH($A14,primary_jama_2018_14282_key,0)),$D14)&lt;&gt;"retain"),NOT(OR(IF($E14="",INDEX(primary_jama_2018_14282_domain,MATCH($A14,primary_jama_2018_14282_key,0)),$E14)="internal_nonstatistical",IF($E14="",INDEX(primary_jama_2018_14282_domain,MATCH($A14,primary_jama_2018_14282_key,0)),$E14)="plan_material")))</formula>
    </cfRule>
  </conditionalFormatting>
  <conditionalFormatting sqref="K15">
    <cfRule type="expression" priority="195" dxfId="0" stopIfTrue="1">
      <formula>AND(OR(AND(IF($D15="",INDEX(primary_jama_2018_14282_disposition,MATCH($A15,primary_jama_2018_14282_key,0)),$D15)&lt;&gt;"",IF($D15="",INDEX(primary_jama_2018_14282_disposition,MATCH($A15,primary_jama_2018_14282_key,0)),$D15)&lt;&gt;"retain"),NOT(OR(IF($E15="",INDEX(primary_jama_2018_14282_domain,MATCH($A15,primary_jama_2018_14282_key,0)),$E15)="internal_nonstatistical",IF($E15="",INDEX(primary_jama_2018_14282_domain,MATCH($A15,primary_jama_2018_14282_key,0)),$E15)="plan_material"))),K15&lt;&gt;"",K15&lt;&gt;"not_applicable")</formula>
    </cfRule>
    <cfRule type="expression" priority="196" dxfId="1">
      <formula>OR(AND(IF($D15="",INDEX(primary_jama_2018_14282_disposition,MATCH($A15,primary_jama_2018_14282_key,0)),$D15)&lt;&gt;"",IF($D15="",INDEX(primary_jama_2018_14282_disposition,MATCH($A15,primary_jama_2018_14282_key,0)),$D15)&lt;&gt;"retain"),NOT(OR(IF($E15="",INDEX(primary_jama_2018_14282_domain,MATCH($A15,primary_jama_2018_14282_key,0)),$E15)="internal_nonstatistical",IF($E15="",INDEX(primary_jama_2018_14282_domain,MATCH($A15,primary_jama_2018_14282_key,0)),$E15)="plan_material")))</formula>
    </cfRule>
  </conditionalFormatting>
  <conditionalFormatting sqref="K16">
    <cfRule type="expression" priority="197" dxfId="0" stopIfTrue="1">
      <formula>AND(OR(AND(IF($D16="",INDEX(primary_jama_2018_14282_disposition,MATCH($A16,primary_jama_2018_14282_key,0)),$D16)&lt;&gt;"",IF($D16="",INDEX(primary_jama_2018_14282_disposition,MATCH($A16,primary_jama_2018_14282_key,0)),$D16)&lt;&gt;"retain"),NOT(OR(IF($E16="",INDEX(primary_jama_2018_14282_domain,MATCH($A16,primary_jama_2018_14282_key,0)),$E16)="internal_nonstatistical",IF($E16="",INDEX(primary_jama_2018_14282_domain,MATCH($A16,primary_jama_2018_14282_key,0)),$E16)="plan_material"))),K16&lt;&gt;"",K16&lt;&gt;"not_applicable")</formula>
    </cfRule>
    <cfRule type="expression" priority="198" dxfId="1">
      <formula>OR(AND(IF($D16="",INDEX(primary_jama_2018_14282_disposition,MATCH($A16,primary_jama_2018_14282_key,0)),$D16)&lt;&gt;"",IF($D16="",INDEX(primary_jama_2018_14282_disposition,MATCH($A16,primary_jama_2018_14282_key,0)),$D16)&lt;&gt;"retain"),NOT(OR(IF($E16="",INDEX(primary_jama_2018_14282_domain,MATCH($A16,primary_jama_2018_14282_key,0)),$E16)="internal_nonstatistical",IF($E16="",INDEX(primary_jama_2018_14282_domain,MATCH($A16,primary_jama_2018_14282_key,0)),$E16)="plan_material")))</formula>
    </cfRule>
  </conditionalFormatting>
  <conditionalFormatting sqref="K17">
    <cfRule type="expression" priority="199" dxfId="0" stopIfTrue="1">
      <formula>AND(OR(AND(IF($D17="",INDEX(primary_jama_2018_14282_disposition,MATCH($A17,primary_jama_2018_14282_key,0)),$D17)&lt;&gt;"",IF($D17="",INDEX(primary_jama_2018_14282_disposition,MATCH($A17,primary_jama_2018_14282_key,0)),$D17)&lt;&gt;"retain"),NOT(OR(IF($E17="",INDEX(primary_jama_2018_14282_domain,MATCH($A17,primary_jama_2018_14282_key,0)),$E17)="internal_nonstatistical",IF($E17="",INDEX(primary_jama_2018_14282_domain,MATCH($A17,primary_jama_2018_14282_key,0)),$E17)="plan_material"))),K17&lt;&gt;"",K17&lt;&gt;"not_applicable")</formula>
    </cfRule>
    <cfRule type="expression" priority="200" dxfId="1">
      <formula>OR(AND(IF($D17="",INDEX(primary_jama_2018_14282_disposition,MATCH($A17,primary_jama_2018_14282_key,0)),$D17)&lt;&gt;"",IF($D17="",INDEX(primary_jama_2018_14282_disposition,MATCH($A17,primary_jama_2018_14282_key,0)),$D17)&lt;&gt;"retain"),NOT(OR(IF($E17="",INDEX(primary_jama_2018_14282_domain,MATCH($A17,primary_jama_2018_14282_key,0)),$E17)="internal_nonstatistical",IF($E17="",INDEX(primary_jama_2018_14282_domain,MATCH($A17,primary_jama_2018_14282_key,0)),$E17)="plan_material")))</formula>
    </cfRule>
  </conditionalFormatting>
  <conditionalFormatting sqref="K18">
    <cfRule type="expression" priority="201" dxfId="0" stopIfTrue="1">
      <formula>AND(OR(AND(IF($D18="",INDEX(primary_jama_2018_14282_disposition,MATCH($A18,primary_jama_2018_14282_key,0)),$D18)&lt;&gt;"",IF($D18="",INDEX(primary_jama_2018_14282_disposition,MATCH($A18,primary_jama_2018_14282_key,0)),$D18)&lt;&gt;"retain"),NOT(OR(IF($E18="",INDEX(primary_jama_2018_14282_domain,MATCH($A18,primary_jama_2018_14282_key,0)),$E18)="internal_nonstatistical",IF($E18="",INDEX(primary_jama_2018_14282_domain,MATCH($A18,primary_jama_2018_14282_key,0)),$E18)="plan_material"))),K18&lt;&gt;"",K18&lt;&gt;"not_applicable")</formula>
    </cfRule>
    <cfRule type="expression" priority="202" dxfId="1">
      <formula>OR(AND(IF($D18="",INDEX(primary_jama_2018_14282_disposition,MATCH($A18,primary_jama_2018_14282_key,0)),$D18)&lt;&gt;"",IF($D18="",INDEX(primary_jama_2018_14282_disposition,MATCH($A18,primary_jama_2018_14282_key,0)),$D18)&lt;&gt;"retain"),NOT(OR(IF($E18="",INDEX(primary_jama_2018_14282_domain,MATCH($A18,primary_jama_2018_14282_key,0)),$E18)="internal_nonstatistical",IF($E18="",INDEX(primary_jama_2018_14282_domain,MATCH($A18,primary_jama_2018_14282_key,0)),$E18)="plan_material")))</formula>
    </cfRule>
  </conditionalFormatting>
  <conditionalFormatting sqref="K19">
    <cfRule type="expression" priority="203" dxfId="0" stopIfTrue="1">
      <formula>AND(OR(AND(IF($D19="",INDEX(primary_jama_2018_14282_disposition,MATCH($A19,primary_jama_2018_14282_key,0)),$D19)&lt;&gt;"",IF($D19="",INDEX(primary_jama_2018_14282_disposition,MATCH($A19,primary_jama_2018_14282_key,0)),$D19)&lt;&gt;"retain"),NOT(OR(IF($E19="",INDEX(primary_jama_2018_14282_domain,MATCH($A19,primary_jama_2018_14282_key,0)),$E19)="internal_nonstatistical",IF($E19="",INDEX(primary_jama_2018_14282_domain,MATCH($A19,primary_jama_2018_14282_key,0)),$E19)="plan_material"))),K19&lt;&gt;"",K19&lt;&gt;"not_applicable")</formula>
    </cfRule>
    <cfRule type="expression" priority="204" dxfId="1">
      <formula>OR(AND(IF($D19="",INDEX(primary_jama_2018_14282_disposition,MATCH($A19,primary_jama_2018_14282_key,0)),$D19)&lt;&gt;"",IF($D19="",INDEX(primary_jama_2018_14282_disposition,MATCH($A19,primary_jama_2018_14282_key,0)),$D19)&lt;&gt;"retain"),NOT(OR(IF($E19="",INDEX(primary_jama_2018_14282_domain,MATCH($A19,primary_jama_2018_14282_key,0)),$E19)="internal_nonstatistical",IF($E19="",INDEX(primary_jama_2018_14282_domain,MATCH($A19,primary_jama_2018_14282_key,0)),$E19)="plan_material")))</formula>
    </cfRule>
  </conditionalFormatting>
  <conditionalFormatting sqref="K20">
    <cfRule type="expression" priority="205" dxfId="0" stopIfTrue="1">
      <formula>AND(OR(AND(IF($D20="",INDEX(primary_jama_2018_14282_disposition,MATCH($A20,primary_jama_2018_14282_key,0)),$D20)&lt;&gt;"",IF($D20="",INDEX(primary_jama_2018_14282_disposition,MATCH($A20,primary_jama_2018_14282_key,0)),$D20)&lt;&gt;"retain"),NOT(OR(IF($E20="",INDEX(primary_jama_2018_14282_domain,MATCH($A20,primary_jama_2018_14282_key,0)),$E20)="internal_nonstatistical",IF($E20="",INDEX(primary_jama_2018_14282_domain,MATCH($A20,primary_jama_2018_14282_key,0)),$E20)="plan_material"))),K20&lt;&gt;"",K20&lt;&gt;"not_applicable")</formula>
    </cfRule>
    <cfRule type="expression" priority="206" dxfId="1">
      <formula>OR(AND(IF($D20="",INDEX(primary_jama_2018_14282_disposition,MATCH($A20,primary_jama_2018_14282_key,0)),$D20)&lt;&gt;"",IF($D20="",INDEX(primary_jama_2018_14282_disposition,MATCH($A20,primary_jama_2018_14282_key,0)),$D20)&lt;&gt;"retain"),NOT(OR(IF($E20="",INDEX(primary_jama_2018_14282_domain,MATCH($A20,primary_jama_2018_14282_key,0)),$E20)="internal_nonstatistical",IF($E20="",INDEX(primary_jama_2018_14282_domain,MATCH($A20,primary_jama_2018_14282_key,0)),$E20)="plan_material")))</formula>
    </cfRule>
  </conditionalFormatting>
  <conditionalFormatting sqref="K21">
    <cfRule type="expression" priority="207" dxfId="0" stopIfTrue="1">
      <formula>AND(OR(AND(IF($D21="",INDEX(primary_jama_2018_14282_disposition,MATCH($A21,primary_jama_2018_14282_key,0)),$D21)&lt;&gt;"",IF($D21="",INDEX(primary_jama_2018_14282_disposition,MATCH($A21,primary_jama_2018_14282_key,0)),$D21)&lt;&gt;"retain"),NOT(OR(IF($E21="",INDEX(primary_jama_2018_14282_domain,MATCH($A21,primary_jama_2018_14282_key,0)),$E21)="internal_nonstatistical",IF($E21="",INDEX(primary_jama_2018_14282_domain,MATCH($A21,primary_jama_2018_14282_key,0)),$E21)="plan_material"))),K21&lt;&gt;"",K21&lt;&gt;"not_applicable")</formula>
    </cfRule>
    <cfRule type="expression" priority="208" dxfId="1">
      <formula>OR(AND(IF($D21="",INDEX(primary_jama_2018_14282_disposition,MATCH($A21,primary_jama_2018_14282_key,0)),$D21)&lt;&gt;"",IF($D21="",INDEX(primary_jama_2018_14282_disposition,MATCH($A21,primary_jama_2018_14282_key,0)),$D21)&lt;&gt;"retain"),NOT(OR(IF($E21="",INDEX(primary_jama_2018_14282_domain,MATCH($A21,primary_jama_2018_14282_key,0)),$E21)="internal_nonstatistical",IF($E21="",INDEX(primary_jama_2018_14282_domain,MATCH($A21,primary_jama_2018_14282_key,0)),$E21)="plan_material")))</formula>
    </cfRule>
  </conditionalFormatting>
  <conditionalFormatting sqref="K22">
    <cfRule type="expression" priority="209" dxfId="0" stopIfTrue="1">
      <formula>AND(OR(AND(IF($D22="",INDEX(primary_jama_2018_14282_disposition,MATCH($A22,primary_jama_2018_14282_key,0)),$D22)&lt;&gt;"",IF($D22="",INDEX(primary_jama_2018_14282_disposition,MATCH($A22,primary_jama_2018_14282_key,0)),$D22)&lt;&gt;"retain"),NOT(OR(IF($E22="",INDEX(primary_jama_2018_14282_domain,MATCH($A22,primary_jama_2018_14282_key,0)),$E22)="internal_nonstatistical",IF($E22="",INDEX(primary_jama_2018_14282_domain,MATCH($A22,primary_jama_2018_14282_key,0)),$E22)="plan_material"))),K22&lt;&gt;"",K22&lt;&gt;"not_applicable")</formula>
    </cfRule>
    <cfRule type="expression" priority="210" dxfId="1">
      <formula>OR(AND(IF($D22="",INDEX(primary_jama_2018_14282_disposition,MATCH($A22,primary_jama_2018_14282_key,0)),$D22)&lt;&gt;"",IF($D22="",INDEX(primary_jama_2018_14282_disposition,MATCH($A22,primary_jama_2018_14282_key,0)),$D22)&lt;&gt;"retain"),NOT(OR(IF($E22="",INDEX(primary_jama_2018_14282_domain,MATCH($A22,primary_jama_2018_14282_key,0)),$E22)="internal_nonstatistical",IF($E22="",INDEX(primary_jama_2018_14282_domain,MATCH($A22,primary_jama_2018_14282_key,0)),$E22)="plan_material")))</formula>
    </cfRule>
  </conditionalFormatting>
  <conditionalFormatting sqref="K23">
    <cfRule type="expression" priority="211" dxfId="0" stopIfTrue="1">
      <formula>AND(OR(AND(IF($D23="",INDEX(primary_jama_2018_14282_disposition,MATCH($A23,primary_jama_2018_14282_key,0)),$D23)&lt;&gt;"",IF($D23="",INDEX(primary_jama_2018_14282_disposition,MATCH($A23,primary_jama_2018_14282_key,0)),$D23)&lt;&gt;"retain"),NOT(OR(IF($E23="",INDEX(primary_jama_2018_14282_domain,MATCH($A23,primary_jama_2018_14282_key,0)),$E23)="internal_nonstatistical",IF($E23="",INDEX(primary_jama_2018_14282_domain,MATCH($A23,primary_jama_2018_14282_key,0)),$E23)="plan_material"))),K23&lt;&gt;"",K23&lt;&gt;"not_applicable")</formula>
    </cfRule>
    <cfRule type="expression" priority="212" dxfId="1">
      <formula>OR(AND(IF($D23="",INDEX(primary_jama_2018_14282_disposition,MATCH($A23,primary_jama_2018_14282_key,0)),$D23)&lt;&gt;"",IF($D23="",INDEX(primary_jama_2018_14282_disposition,MATCH($A23,primary_jama_2018_14282_key,0)),$D23)&lt;&gt;"retain"),NOT(OR(IF($E23="",INDEX(primary_jama_2018_14282_domain,MATCH($A23,primary_jama_2018_14282_key,0)),$E23)="internal_nonstatistical",IF($E23="",INDEX(primary_jama_2018_14282_domain,MATCH($A23,primary_jama_2018_14282_key,0)),$E23)="plan_material")))</formula>
    </cfRule>
  </conditionalFormatting>
  <conditionalFormatting sqref="K24">
    <cfRule type="expression" priority="213" dxfId="0" stopIfTrue="1">
      <formula>AND(OR(AND(IF($D24="",INDEX(primary_jama_2018_14282_disposition,MATCH($A24,primary_jama_2018_14282_key,0)),$D24)&lt;&gt;"",IF($D24="",INDEX(primary_jama_2018_14282_disposition,MATCH($A24,primary_jama_2018_14282_key,0)),$D24)&lt;&gt;"retain"),NOT(OR(IF($E24="",INDEX(primary_jama_2018_14282_domain,MATCH($A24,primary_jama_2018_14282_key,0)),$E24)="internal_nonstatistical",IF($E24="",INDEX(primary_jama_2018_14282_domain,MATCH($A24,primary_jama_2018_14282_key,0)),$E24)="plan_material"))),K24&lt;&gt;"",K24&lt;&gt;"not_applicable")</formula>
    </cfRule>
    <cfRule type="expression" priority="214" dxfId="1">
      <formula>OR(AND(IF($D24="",INDEX(primary_jama_2018_14282_disposition,MATCH($A24,primary_jama_2018_14282_key,0)),$D24)&lt;&gt;"",IF($D24="",INDEX(primary_jama_2018_14282_disposition,MATCH($A24,primary_jama_2018_14282_key,0)),$D24)&lt;&gt;"retain"),NOT(OR(IF($E24="",INDEX(primary_jama_2018_14282_domain,MATCH($A24,primary_jama_2018_14282_key,0)),$E24)="internal_nonstatistical",IF($E24="",INDEX(primary_jama_2018_14282_domain,MATCH($A24,primary_jama_2018_14282_key,0)),$E24)="plan_material")))</formula>
    </cfRule>
  </conditionalFormatting>
  <conditionalFormatting sqref="K25">
    <cfRule type="expression" priority="215" dxfId="0" stopIfTrue="1">
      <formula>AND(OR(AND(IF($D25="",INDEX(primary_jama_2018_14282_disposition,MATCH($A25,primary_jama_2018_14282_key,0)),$D25)&lt;&gt;"",IF($D25="",INDEX(primary_jama_2018_14282_disposition,MATCH($A25,primary_jama_2018_14282_key,0)),$D25)&lt;&gt;"retain"),NOT(OR(IF($E25="",INDEX(primary_jama_2018_14282_domain,MATCH($A25,primary_jama_2018_14282_key,0)),$E25)="internal_nonstatistical",IF($E25="",INDEX(primary_jama_2018_14282_domain,MATCH($A25,primary_jama_2018_14282_key,0)),$E25)="plan_material"))),K25&lt;&gt;"",K25&lt;&gt;"not_applicable")</formula>
    </cfRule>
    <cfRule type="expression" priority="216" dxfId="1">
      <formula>OR(AND(IF($D25="",INDEX(primary_jama_2018_14282_disposition,MATCH($A25,primary_jama_2018_14282_key,0)),$D25)&lt;&gt;"",IF($D25="",INDEX(primary_jama_2018_14282_disposition,MATCH($A25,primary_jama_2018_14282_key,0)),$D25)&lt;&gt;"retain"),NOT(OR(IF($E25="",INDEX(primary_jama_2018_14282_domain,MATCH($A25,primary_jama_2018_14282_key,0)),$E25)="internal_nonstatistical",IF($E25="",INDEX(primary_jama_2018_14282_domain,MATCH($A25,primary_jama_2018_14282_key,0)),$E25)="plan_material")))</formula>
    </cfRule>
  </conditionalFormatting>
  <conditionalFormatting sqref="K26">
    <cfRule type="expression" priority="217" dxfId="0" stopIfTrue="1">
      <formula>AND(OR(AND(IF($D26="",INDEX(primary_jama_2018_14282_disposition,MATCH($A26,primary_jama_2018_14282_key,0)),$D26)&lt;&gt;"",IF($D26="",INDEX(primary_jama_2018_14282_disposition,MATCH($A26,primary_jama_2018_14282_key,0)),$D26)&lt;&gt;"retain"),NOT(OR(IF($E26="",INDEX(primary_jama_2018_14282_domain,MATCH($A26,primary_jama_2018_14282_key,0)),$E26)="internal_nonstatistical",IF($E26="",INDEX(primary_jama_2018_14282_domain,MATCH($A26,primary_jama_2018_14282_key,0)),$E26)="plan_material"))),K26&lt;&gt;"",K26&lt;&gt;"not_applicable")</formula>
    </cfRule>
    <cfRule type="expression" priority="218" dxfId="1">
      <formula>OR(AND(IF($D26="",INDEX(primary_jama_2018_14282_disposition,MATCH($A26,primary_jama_2018_14282_key,0)),$D26)&lt;&gt;"",IF($D26="",INDEX(primary_jama_2018_14282_disposition,MATCH($A26,primary_jama_2018_14282_key,0)),$D26)&lt;&gt;"retain"),NOT(OR(IF($E26="",INDEX(primary_jama_2018_14282_domain,MATCH($A26,primary_jama_2018_14282_key,0)),$E26)="internal_nonstatistical",IF($E26="",INDEX(primary_jama_2018_14282_domain,MATCH($A26,primary_jama_2018_14282_key,0)),$E26)="plan_material")))</formula>
    </cfRule>
  </conditionalFormatting>
  <conditionalFormatting sqref="K27">
    <cfRule type="expression" priority="219" dxfId="0" stopIfTrue="1">
      <formula>AND(OR(AND(IF($D27="",INDEX(primary_jama_2018_14282_disposition,MATCH($A27,primary_jama_2018_14282_key,0)),$D27)&lt;&gt;"",IF($D27="",INDEX(primary_jama_2018_14282_disposition,MATCH($A27,primary_jama_2018_14282_key,0)),$D27)&lt;&gt;"retain"),NOT(OR(IF($E27="",INDEX(primary_jama_2018_14282_domain,MATCH($A27,primary_jama_2018_14282_key,0)),$E27)="internal_nonstatistical",IF($E27="",INDEX(primary_jama_2018_14282_domain,MATCH($A27,primary_jama_2018_14282_key,0)),$E27)="plan_material"))),K27&lt;&gt;"",K27&lt;&gt;"not_applicable")</formula>
    </cfRule>
    <cfRule type="expression" priority="220" dxfId="1">
      <formula>OR(AND(IF($D27="",INDEX(primary_jama_2018_14282_disposition,MATCH($A27,primary_jama_2018_14282_key,0)),$D27)&lt;&gt;"",IF($D27="",INDEX(primary_jama_2018_14282_disposition,MATCH($A27,primary_jama_2018_14282_key,0)),$D27)&lt;&gt;"retain"),NOT(OR(IF($E27="",INDEX(primary_jama_2018_14282_domain,MATCH($A27,primary_jama_2018_14282_key,0)),$E27)="internal_nonstatistical",IF($E27="",INDEX(primary_jama_2018_14282_domain,MATCH($A27,primary_jama_2018_14282_key,0)),$E27)="plan_material")))</formula>
    </cfRule>
  </conditionalFormatting>
  <conditionalFormatting sqref="K28">
    <cfRule type="expression" priority="221" dxfId="0" stopIfTrue="1">
      <formula>AND(OR(AND(IF($D28="",INDEX(primary_jama_2018_14282_disposition,MATCH($A28,primary_jama_2018_14282_key,0)),$D28)&lt;&gt;"",IF($D28="",INDEX(primary_jama_2018_14282_disposition,MATCH($A28,primary_jama_2018_14282_key,0)),$D28)&lt;&gt;"retain"),NOT(OR(IF($E28="",INDEX(primary_jama_2018_14282_domain,MATCH($A28,primary_jama_2018_14282_key,0)),$E28)="internal_nonstatistical",IF($E28="",INDEX(primary_jama_2018_14282_domain,MATCH($A28,primary_jama_2018_14282_key,0)),$E28)="plan_material"))),K28&lt;&gt;"",K28&lt;&gt;"not_applicable")</formula>
    </cfRule>
    <cfRule type="expression" priority="222" dxfId="1">
      <formula>OR(AND(IF($D28="",INDEX(primary_jama_2018_14282_disposition,MATCH($A28,primary_jama_2018_14282_key,0)),$D28)&lt;&gt;"",IF($D28="",INDEX(primary_jama_2018_14282_disposition,MATCH($A28,primary_jama_2018_14282_key,0)),$D28)&lt;&gt;"retain"),NOT(OR(IF($E28="",INDEX(primary_jama_2018_14282_domain,MATCH($A28,primary_jama_2018_14282_key,0)),$E28)="internal_nonstatistical",IF($E28="",INDEX(primary_jama_2018_14282_domain,MATCH($A28,primary_jama_2018_14282_key,0)),$E28)="plan_material")))</formula>
    </cfRule>
  </conditionalFormatting>
  <conditionalFormatting sqref="K29">
    <cfRule type="expression" priority="223" dxfId="0" stopIfTrue="1">
      <formula>AND(OR(AND(IF($D29="",INDEX(primary_jama_2018_14282_disposition,MATCH($A29,primary_jama_2018_14282_key,0)),$D29)&lt;&gt;"",IF($D29="",INDEX(primary_jama_2018_14282_disposition,MATCH($A29,primary_jama_2018_14282_key,0)),$D29)&lt;&gt;"retain"),NOT(OR(IF($E29="",INDEX(primary_jama_2018_14282_domain,MATCH($A29,primary_jama_2018_14282_key,0)),$E29)="internal_nonstatistical",IF($E29="",INDEX(primary_jama_2018_14282_domain,MATCH($A29,primary_jama_2018_14282_key,0)),$E29)="plan_material"))),K29&lt;&gt;"",K29&lt;&gt;"not_applicable")</formula>
    </cfRule>
    <cfRule type="expression" priority="224" dxfId="1">
      <formula>OR(AND(IF($D29="",INDEX(primary_jama_2018_14282_disposition,MATCH($A29,primary_jama_2018_14282_key,0)),$D29)&lt;&gt;"",IF($D29="",INDEX(primary_jama_2018_14282_disposition,MATCH($A29,primary_jama_2018_14282_key,0)),$D29)&lt;&gt;"retain"),NOT(OR(IF($E29="",INDEX(primary_jama_2018_14282_domain,MATCH($A29,primary_jama_2018_14282_key,0)),$E29)="internal_nonstatistical",IF($E29="",INDEX(primary_jama_2018_14282_domain,MATCH($A29,primary_jama_2018_14282_key,0)),$E29)="plan_material")))</formula>
    </cfRule>
  </conditionalFormatting>
  <conditionalFormatting sqref="L2">
    <cfRule type="expression" priority="225" dxfId="0" stopIfTrue="1">
      <formula>AND(OR(AND(IF($D2="",INDEX(primary_jama_2018_14282_disposition,MATCH($A2,primary_jama_2018_14282_key,0)),$D2)&lt;&gt;"",IF($D2="",INDEX(primary_jama_2018_14282_disposition,MATCH($A2,primary_jama_2018_14282_key,0)),$D2)&lt;&gt;"retain"),NOT(OR(IF($E2="",INDEX(primary_jama_2018_14282_domain,MATCH($A2,primary_jama_2018_14282_key,0)),$E2)="protocol_report"))),L2&lt;&gt;"",L2&lt;&gt;"not_applicable")</formula>
    </cfRule>
    <cfRule type="expression" priority="226" dxfId="1">
      <formula>OR(AND(IF($D2="",INDEX(primary_jama_2018_14282_disposition,MATCH($A2,primary_jama_2018_14282_key,0)),$D2)&lt;&gt;"",IF($D2="",INDEX(primary_jama_2018_14282_disposition,MATCH($A2,primary_jama_2018_14282_key,0)),$D2)&lt;&gt;"retain"),NOT(OR(IF($E2="",INDEX(primary_jama_2018_14282_domain,MATCH($A2,primary_jama_2018_14282_key,0)),$E2)="protocol_report")))</formula>
    </cfRule>
  </conditionalFormatting>
  <conditionalFormatting sqref="L3">
    <cfRule type="expression" priority="227" dxfId="0" stopIfTrue="1">
      <formula>AND(OR(AND(IF($D3="",INDEX(primary_jama_2018_14282_disposition,MATCH($A3,primary_jama_2018_14282_key,0)),$D3)&lt;&gt;"",IF($D3="",INDEX(primary_jama_2018_14282_disposition,MATCH($A3,primary_jama_2018_14282_key,0)),$D3)&lt;&gt;"retain"),NOT(OR(IF($E3="",INDEX(primary_jama_2018_14282_domain,MATCH($A3,primary_jama_2018_14282_key,0)),$E3)="protocol_report"))),L3&lt;&gt;"",L3&lt;&gt;"not_applicable")</formula>
    </cfRule>
    <cfRule type="expression" priority="228" dxfId="1">
      <formula>OR(AND(IF($D3="",INDEX(primary_jama_2018_14282_disposition,MATCH($A3,primary_jama_2018_14282_key,0)),$D3)&lt;&gt;"",IF($D3="",INDEX(primary_jama_2018_14282_disposition,MATCH($A3,primary_jama_2018_14282_key,0)),$D3)&lt;&gt;"retain"),NOT(OR(IF($E3="",INDEX(primary_jama_2018_14282_domain,MATCH($A3,primary_jama_2018_14282_key,0)),$E3)="protocol_report")))</formula>
    </cfRule>
  </conditionalFormatting>
  <conditionalFormatting sqref="L4">
    <cfRule type="expression" priority="229" dxfId="0" stopIfTrue="1">
      <formula>AND(OR(AND(IF($D4="",INDEX(primary_jama_2018_14282_disposition,MATCH($A4,primary_jama_2018_14282_key,0)),$D4)&lt;&gt;"",IF($D4="",INDEX(primary_jama_2018_14282_disposition,MATCH($A4,primary_jama_2018_14282_key,0)),$D4)&lt;&gt;"retain"),NOT(OR(IF($E4="",INDEX(primary_jama_2018_14282_domain,MATCH($A4,primary_jama_2018_14282_key,0)),$E4)="protocol_report"))),L4&lt;&gt;"",L4&lt;&gt;"not_applicable")</formula>
    </cfRule>
    <cfRule type="expression" priority="230" dxfId="1">
      <formula>OR(AND(IF($D4="",INDEX(primary_jama_2018_14282_disposition,MATCH($A4,primary_jama_2018_14282_key,0)),$D4)&lt;&gt;"",IF($D4="",INDEX(primary_jama_2018_14282_disposition,MATCH($A4,primary_jama_2018_14282_key,0)),$D4)&lt;&gt;"retain"),NOT(OR(IF($E4="",INDEX(primary_jama_2018_14282_domain,MATCH($A4,primary_jama_2018_14282_key,0)),$E4)="protocol_report")))</formula>
    </cfRule>
  </conditionalFormatting>
  <conditionalFormatting sqref="L5">
    <cfRule type="expression" priority="231" dxfId="0" stopIfTrue="1">
      <formula>AND(OR(AND(IF($D5="",INDEX(primary_jama_2018_14282_disposition,MATCH($A5,primary_jama_2018_14282_key,0)),$D5)&lt;&gt;"",IF($D5="",INDEX(primary_jama_2018_14282_disposition,MATCH($A5,primary_jama_2018_14282_key,0)),$D5)&lt;&gt;"retain"),NOT(OR(IF($E5="",INDEX(primary_jama_2018_14282_domain,MATCH($A5,primary_jama_2018_14282_key,0)),$E5)="protocol_report"))),L5&lt;&gt;"",L5&lt;&gt;"not_applicable")</formula>
    </cfRule>
    <cfRule type="expression" priority="232" dxfId="1">
      <formula>OR(AND(IF($D5="",INDEX(primary_jama_2018_14282_disposition,MATCH($A5,primary_jama_2018_14282_key,0)),$D5)&lt;&gt;"",IF($D5="",INDEX(primary_jama_2018_14282_disposition,MATCH($A5,primary_jama_2018_14282_key,0)),$D5)&lt;&gt;"retain"),NOT(OR(IF($E5="",INDEX(primary_jama_2018_14282_domain,MATCH($A5,primary_jama_2018_14282_key,0)),$E5)="protocol_report")))</formula>
    </cfRule>
  </conditionalFormatting>
  <conditionalFormatting sqref="L6">
    <cfRule type="expression" priority="233" dxfId="0" stopIfTrue="1">
      <formula>AND(OR(AND(IF($D6="",INDEX(primary_jama_2018_14282_disposition,MATCH($A6,primary_jama_2018_14282_key,0)),$D6)&lt;&gt;"",IF($D6="",INDEX(primary_jama_2018_14282_disposition,MATCH($A6,primary_jama_2018_14282_key,0)),$D6)&lt;&gt;"retain"),NOT(OR(IF($E6="",INDEX(primary_jama_2018_14282_domain,MATCH($A6,primary_jama_2018_14282_key,0)),$E6)="protocol_report"))),L6&lt;&gt;"",L6&lt;&gt;"not_applicable")</formula>
    </cfRule>
    <cfRule type="expression" priority="234" dxfId="1">
      <formula>OR(AND(IF($D6="",INDEX(primary_jama_2018_14282_disposition,MATCH($A6,primary_jama_2018_14282_key,0)),$D6)&lt;&gt;"",IF($D6="",INDEX(primary_jama_2018_14282_disposition,MATCH($A6,primary_jama_2018_14282_key,0)),$D6)&lt;&gt;"retain"),NOT(OR(IF($E6="",INDEX(primary_jama_2018_14282_domain,MATCH($A6,primary_jama_2018_14282_key,0)),$E6)="protocol_report")))</formula>
    </cfRule>
  </conditionalFormatting>
  <conditionalFormatting sqref="L7">
    <cfRule type="expression" priority="235" dxfId="0" stopIfTrue="1">
      <formula>AND(OR(AND(IF($D7="",INDEX(primary_jama_2018_14282_disposition,MATCH($A7,primary_jama_2018_14282_key,0)),$D7)&lt;&gt;"",IF($D7="",INDEX(primary_jama_2018_14282_disposition,MATCH($A7,primary_jama_2018_14282_key,0)),$D7)&lt;&gt;"retain"),NOT(OR(IF($E7="",INDEX(primary_jama_2018_14282_domain,MATCH($A7,primary_jama_2018_14282_key,0)),$E7)="protocol_report"))),L7&lt;&gt;"",L7&lt;&gt;"not_applicable")</formula>
    </cfRule>
    <cfRule type="expression" priority="236" dxfId="1">
      <formula>OR(AND(IF($D7="",INDEX(primary_jama_2018_14282_disposition,MATCH($A7,primary_jama_2018_14282_key,0)),$D7)&lt;&gt;"",IF($D7="",INDEX(primary_jama_2018_14282_disposition,MATCH($A7,primary_jama_2018_14282_key,0)),$D7)&lt;&gt;"retain"),NOT(OR(IF($E7="",INDEX(primary_jama_2018_14282_domain,MATCH($A7,primary_jama_2018_14282_key,0)),$E7)="protocol_report")))</formula>
    </cfRule>
  </conditionalFormatting>
  <conditionalFormatting sqref="L8">
    <cfRule type="expression" priority="237" dxfId="0" stopIfTrue="1">
      <formula>AND(OR(AND(IF($D8="",INDEX(primary_jama_2018_14282_disposition,MATCH($A8,primary_jama_2018_14282_key,0)),$D8)&lt;&gt;"",IF($D8="",INDEX(primary_jama_2018_14282_disposition,MATCH($A8,primary_jama_2018_14282_key,0)),$D8)&lt;&gt;"retain"),NOT(OR(IF($E8="",INDEX(primary_jama_2018_14282_domain,MATCH($A8,primary_jama_2018_14282_key,0)),$E8)="protocol_report"))),L8&lt;&gt;"",L8&lt;&gt;"not_applicable")</formula>
    </cfRule>
    <cfRule type="expression" priority="238" dxfId="1">
      <formula>OR(AND(IF($D8="",INDEX(primary_jama_2018_14282_disposition,MATCH($A8,primary_jama_2018_14282_key,0)),$D8)&lt;&gt;"",IF($D8="",INDEX(primary_jama_2018_14282_disposition,MATCH($A8,primary_jama_2018_14282_key,0)),$D8)&lt;&gt;"retain"),NOT(OR(IF($E8="",INDEX(primary_jama_2018_14282_domain,MATCH($A8,primary_jama_2018_14282_key,0)),$E8)="protocol_report")))</formula>
    </cfRule>
  </conditionalFormatting>
  <conditionalFormatting sqref="L9">
    <cfRule type="expression" priority="239" dxfId="0" stopIfTrue="1">
      <formula>AND(OR(AND(IF($D9="",INDEX(primary_jama_2018_14282_disposition,MATCH($A9,primary_jama_2018_14282_key,0)),$D9)&lt;&gt;"",IF($D9="",INDEX(primary_jama_2018_14282_disposition,MATCH($A9,primary_jama_2018_14282_key,0)),$D9)&lt;&gt;"retain"),NOT(OR(IF($E9="",INDEX(primary_jama_2018_14282_domain,MATCH($A9,primary_jama_2018_14282_key,0)),$E9)="protocol_report"))),L9&lt;&gt;"",L9&lt;&gt;"not_applicable")</formula>
    </cfRule>
    <cfRule type="expression" priority="240" dxfId="1">
      <formula>OR(AND(IF($D9="",INDEX(primary_jama_2018_14282_disposition,MATCH($A9,primary_jama_2018_14282_key,0)),$D9)&lt;&gt;"",IF($D9="",INDEX(primary_jama_2018_14282_disposition,MATCH($A9,primary_jama_2018_14282_key,0)),$D9)&lt;&gt;"retain"),NOT(OR(IF($E9="",INDEX(primary_jama_2018_14282_domain,MATCH($A9,primary_jama_2018_14282_key,0)),$E9)="protocol_report")))</formula>
    </cfRule>
  </conditionalFormatting>
  <conditionalFormatting sqref="L10">
    <cfRule type="expression" priority="241" dxfId="0" stopIfTrue="1">
      <formula>AND(OR(AND(IF($D10="",INDEX(primary_jama_2018_14282_disposition,MATCH($A10,primary_jama_2018_14282_key,0)),$D10)&lt;&gt;"",IF($D10="",INDEX(primary_jama_2018_14282_disposition,MATCH($A10,primary_jama_2018_14282_key,0)),$D10)&lt;&gt;"retain"),NOT(OR(IF($E10="",INDEX(primary_jama_2018_14282_domain,MATCH($A10,primary_jama_2018_14282_key,0)),$E10)="protocol_report"))),L10&lt;&gt;"",L10&lt;&gt;"not_applicable")</formula>
    </cfRule>
    <cfRule type="expression" priority="242" dxfId="1">
      <formula>OR(AND(IF($D10="",INDEX(primary_jama_2018_14282_disposition,MATCH($A10,primary_jama_2018_14282_key,0)),$D10)&lt;&gt;"",IF($D10="",INDEX(primary_jama_2018_14282_disposition,MATCH($A10,primary_jama_2018_14282_key,0)),$D10)&lt;&gt;"retain"),NOT(OR(IF($E10="",INDEX(primary_jama_2018_14282_domain,MATCH($A10,primary_jama_2018_14282_key,0)),$E10)="protocol_report")))</formula>
    </cfRule>
  </conditionalFormatting>
  <conditionalFormatting sqref="L11">
    <cfRule type="expression" priority="243" dxfId="0" stopIfTrue="1">
      <formula>AND(OR(AND(IF($D11="",INDEX(primary_jama_2018_14282_disposition,MATCH($A11,primary_jama_2018_14282_key,0)),$D11)&lt;&gt;"",IF($D11="",INDEX(primary_jama_2018_14282_disposition,MATCH($A11,primary_jama_2018_14282_key,0)),$D11)&lt;&gt;"retain"),NOT(OR(IF($E11="",INDEX(primary_jama_2018_14282_domain,MATCH($A11,primary_jama_2018_14282_key,0)),$E11)="protocol_report"))),L11&lt;&gt;"",L11&lt;&gt;"not_applicable")</formula>
    </cfRule>
    <cfRule type="expression" priority="244" dxfId="1">
      <formula>OR(AND(IF($D11="",INDEX(primary_jama_2018_14282_disposition,MATCH($A11,primary_jama_2018_14282_key,0)),$D11)&lt;&gt;"",IF($D11="",INDEX(primary_jama_2018_14282_disposition,MATCH($A11,primary_jama_2018_14282_key,0)),$D11)&lt;&gt;"retain"),NOT(OR(IF($E11="",INDEX(primary_jama_2018_14282_domain,MATCH($A11,primary_jama_2018_14282_key,0)),$E11)="protocol_report")))</formula>
    </cfRule>
  </conditionalFormatting>
  <conditionalFormatting sqref="L12">
    <cfRule type="expression" priority="245" dxfId="0" stopIfTrue="1">
      <formula>AND(OR(AND(IF($D12="",INDEX(primary_jama_2018_14282_disposition,MATCH($A12,primary_jama_2018_14282_key,0)),$D12)&lt;&gt;"",IF($D12="",INDEX(primary_jama_2018_14282_disposition,MATCH($A12,primary_jama_2018_14282_key,0)),$D12)&lt;&gt;"retain"),NOT(OR(IF($E12="",INDEX(primary_jama_2018_14282_domain,MATCH($A12,primary_jama_2018_14282_key,0)),$E12)="protocol_report"))),L12&lt;&gt;"",L12&lt;&gt;"not_applicable")</formula>
    </cfRule>
    <cfRule type="expression" priority="246" dxfId="1">
      <formula>OR(AND(IF($D12="",INDEX(primary_jama_2018_14282_disposition,MATCH($A12,primary_jama_2018_14282_key,0)),$D12)&lt;&gt;"",IF($D12="",INDEX(primary_jama_2018_14282_disposition,MATCH($A12,primary_jama_2018_14282_key,0)),$D12)&lt;&gt;"retain"),NOT(OR(IF($E12="",INDEX(primary_jama_2018_14282_domain,MATCH($A12,primary_jama_2018_14282_key,0)),$E12)="protocol_report")))</formula>
    </cfRule>
  </conditionalFormatting>
  <conditionalFormatting sqref="L13">
    <cfRule type="expression" priority="247" dxfId="0" stopIfTrue="1">
      <formula>AND(OR(AND(IF($D13="",INDEX(primary_jama_2018_14282_disposition,MATCH($A13,primary_jama_2018_14282_key,0)),$D13)&lt;&gt;"",IF($D13="",INDEX(primary_jama_2018_14282_disposition,MATCH($A13,primary_jama_2018_14282_key,0)),$D13)&lt;&gt;"retain"),NOT(OR(IF($E13="",INDEX(primary_jama_2018_14282_domain,MATCH($A13,primary_jama_2018_14282_key,0)),$E13)="protocol_report"))),L13&lt;&gt;"",L13&lt;&gt;"not_applicable")</formula>
    </cfRule>
    <cfRule type="expression" priority="248" dxfId="1">
      <formula>OR(AND(IF($D13="",INDEX(primary_jama_2018_14282_disposition,MATCH($A13,primary_jama_2018_14282_key,0)),$D13)&lt;&gt;"",IF($D13="",INDEX(primary_jama_2018_14282_disposition,MATCH($A13,primary_jama_2018_14282_key,0)),$D13)&lt;&gt;"retain"),NOT(OR(IF($E13="",INDEX(primary_jama_2018_14282_domain,MATCH($A13,primary_jama_2018_14282_key,0)),$E13)="protocol_report")))</formula>
    </cfRule>
  </conditionalFormatting>
  <conditionalFormatting sqref="L14">
    <cfRule type="expression" priority="249" dxfId="0" stopIfTrue="1">
      <formula>AND(OR(AND(IF($D14="",INDEX(primary_jama_2018_14282_disposition,MATCH($A14,primary_jama_2018_14282_key,0)),$D14)&lt;&gt;"",IF($D14="",INDEX(primary_jama_2018_14282_disposition,MATCH($A14,primary_jama_2018_14282_key,0)),$D14)&lt;&gt;"retain"),NOT(OR(IF($E14="",INDEX(primary_jama_2018_14282_domain,MATCH($A14,primary_jama_2018_14282_key,0)),$E14)="protocol_report"))),L14&lt;&gt;"",L14&lt;&gt;"not_applicable")</formula>
    </cfRule>
    <cfRule type="expression" priority="250" dxfId="1">
      <formula>OR(AND(IF($D14="",INDEX(primary_jama_2018_14282_disposition,MATCH($A14,primary_jama_2018_14282_key,0)),$D14)&lt;&gt;"",IF($D14="",INDEX(primary_jama_2018_14282_disposition,MATCH($A14,primary_jama_2018_14282_key,0)),$D14)&lt;&gt;"retain"),NOT(OR(IF($E14="",INDEX(primary_jama_2018_14282_domain,MATCH($A14,primary_jama_2018_14282_key,0)),$E14)="protocol_report")))</formula>
    </cfRule>
  </conditionalFormatting>
  <conditionalFormatting sqref="L15">
    <cfRule type="expression" priority="251" dxfId="0" stopIfTrue="1">
      <formula>AND(OR(AND(IF($D15="",INDEX(primary_jama_2018_14282_disposition,MATCH($A15,primary_jama_2018_14282_key,0)),$D15)&lt;&gt;"",IF($D15="",INDEX(primary_jama_2018_14282_disposition,MATCH($A15,primary_jama_2018_14282_key,0)),$D15)&lt;&gt;"retain"),NOT(OR(IF($E15="",INDEX(primary_jama_2018_14282_domain,MATCH($A15,primary_jama_2018_14282_key,0)),$E15)="protocol_report"))),L15&lt;&gt;"",L15&lt;&gt;"not_applicable")</formula>
    </cfRule>
    <cfRule type="expression" priority="252" dxfId="1">
      <formula>OR(AND(IF($D15="",INDEX(primary_jama_2018_14282_disposition,MATCH($A15,primary_jama_2018_14282_key,0)),$D15)&lt;&gt;"",IF($D15="",INDEX(primary_jama_2018_14282_disposition,MATCH($A15,primary_jama_2018_14282_key,0)),$D15)&lt;&gt;"retain"),NOT(OR(IF($E15="",INDEX(primary_jama_2018_14282_domain,MATCH($A15,primary_jama_2018_14282_key,0)),$E15)="protocol_report")))</formula>
    </cfRule>
  </conditionalFormatting>
  <conditionalFormatting sqref="L16">
    <cfRule type="expression" priority="253" dxfId="0" stopIfTrue="1">
      <formula>AND(OR(AND(IF($D16="",INDEX(primary_jama_2018_14282_disposition,MATCH($A16,primary_jama_2018_14282_key,0)),$D16)&lt;&gt;"",IF($D16="",INDEX(primary_jama_2018_14282_disposition,MATCH($A16,primary_jama_2018_14282_key,0)),$D16)&lt;&gt;"retain"),NOT(OR(IF($E16="",INDEX(primary_jama_2018_14282_domain,MATCH($A16,primary_jama_2018_14282_key,0)),$E16)="protocol_report"))),L16&lt;&gt;"",L16&lt;&gt;"not_applicable")</formula>
    </cfRule>
    <cfRule type="expression" priority="254" dxfId="1">
      <formula>OR(AND(IF($D16="",INDEX(primary_jama_2018_14282_disposition,MATCH($A16,primary_jama_2018_14282_key,0)),$D16)&lt;&gt;"",IF($D16="",INDEX(primary_jama_2018_14282_disposition,MATCH($A16,primary_jama_2018_14282_key,0)),$D16)&lt;&gt;"retain"),NOT(OR(IF($E16="",INDEX(primary_jama_2018_14282_domain,MATCH($A16,primary_jama_2018_14282_key,0)),$E16)="protocol_report")))</formula>
    </cfRule>
  </conditionalFormatting>
  <conditionalFormatting sqref="L17">
    <cfRule type="expression" priority="255" dxfId="0" stopIfTrue="1">
      <formula>AND(OR(AND(IF($D17="",INDEX(primary_jama_2018_14282_disposition,MATCH($A17,primary_jama_2018_14282_key,0)),$D17)&lt;&gt;"",IF($D17="",INDEX(primary_jama_2018_14282_disposition,MATCH($A17,primary_jama_2018_14282_key,0)),$D17)&lt;&gt;"retain"),NOT(OR(IF($E17="",INDEX(primary_jama_2018_14282_domain,MATCH($A17,primary_jama_2018_14282_key,0)),$E17)="protocol_report"))),L17&lt;&gt;"",L17&lt;&gt;"not_applicable")</formula>
    </cfRule>
    <cfRule type="expression" priority="256" dxfId="1">
      <formula>OR(AND(IF($D17="",INDEX(primary_jama_2018_14282_disposition,MATCH($A17,primary_jama_2018_14282_key,0)),$D17)&lt;&gt;"",IF($D17="",INDEX(primary_jama_2018_14282_disposition,MATCH($A17,primary_jama_2018_14282_key,0)),$D17)&lt;&gt;"retain"),NOT(OR(IF($E17="",INDEX(primary_jama_2018_14282_domain,MATCH($A17,primary_jama_2018_14282_key,0)),$E17)="protocol_report")))</formula>
    </cfRule>
  </conditionalFormatting>
  <conditionalFormatting sqref="L18">
    <cfRule type="expression" priority="257" dxfId="0" stopIfTrue="1">
      <formula>AND(OR(AND(IF($D18="",INDEX(primary_jama_2018_14282_disposition,MATCH($A18,primary_jama_2018_14282_key,0)),$D18)&lt;&gt;"",IF($D18="",INDEX(primary_jama_2018_14282_disposition,MATCH($A18,primary_jama_2018_14282_key,0)),$D18)&lt;&gt;"retain"),NOT(OR(IF($E18="",INDEX(primary_jama_2018_14282_domain,MATCH($A18,primary_jama_2018_14282_key,0)),$E18)="protocol_report"))),L18&lt;&gt;"",L18&lt;&gt;"not_applicable")</formula>
    </cfRule>
    <cfRule type="expression" priority="258" dxfId="1">
      <formula>OR(AND(IF($D18="",INDEX(primary_jama_2018_14282_disposition,MATCH($A18,primary_jama_2018_14282_key,0)),$D18)&lt;&gt;"",IF($D18="",INDEX(primary_jama_2018_14282_disposition,MATCH($A18,primary_jama_2018_14282_key,0)),$D18)&lt;&gt;"retain"),NOT(OR(IF($E18="",INDEX(primary_jama_2018_14282_domain,MATCH($A18,primary_jama_2018_14282_key,0)),$E18)="protocol_report")))</formula>
    </cfRule>
  </conditionalFormatting>
  <conditionalFormatting sqref="L19">
    <cfRule type="expression" priority="259" dxfId="0" stopIfTrue="1">
      <formula>AND(OR(AND(IF($D19="",INDEX(primary_jama_2018_14282_disposition,MATCH($A19,primary_jama_2018_14282_key,0)),$D19)&lt;&gt;"",IF($D19="",INDEX(primary_jama_2018_14282_disposition,MATCH($A19,primary_jama_2018_14282_key,0)),$D19)&lt;&gt;"retain"),NOT(OR(IF($E19="",INDEX(primary_jama_2018_14282_domain,MATCH($A19,primary_jama_2018_14282_key,0)),$E19)="protocol_report"))),L19&lt;&gt;"",L19&lt;&gt;"not_applicable")</formula>
    </cfRule>
    <cfRule type="expression" priority="260" dxfId="1">
      <formula>OR(AND(IF($D19="",INDEX(primary_jama_2018_14282_disposition,MATCH($A19,primary_jama_2018_14282_key,0)),$D19)&lt;&gt;"",IF($D19="",INDEX(primary_jama_2018_14282_disposition,MATCH($A19,primary_jama_2018_14282_key,0)),$D19)&lt;&gt;"retain"),NOT(OR(IF($E19="",INDEX(primary_jama_2018_14282_domain,MATCH($A19,primary_jama_2018_14282_key,0)),$E19)="protocol_report")))</formula>
    </cfRule>
  </conditionalFormatting>
  <conditionalFormatting sqref="L20">
    <cfRule type="expression" priority="261" dxfId="0" stopIfTrue="1">
      <formula>AND(OR(AND(IF($D20="",INDEX(primary_jama_2018_14282_disposition,MATCH($A20,primary_jama_2018_14282_key,0)),$D20)&lt;&gt;"",IF($D20="",INDEX(primary_jama_2018_14282_disposition,MATCH($A20,primary_jama_2018_14282_key,0)),$D20)&lt;&gt;"retain"),NOT(OR(IF($E20="",INDEX(primary_jama_2018_14282_domain,MATCH($A20,primary_jama_2018_14282_key,0)),$E20)="protocol_report"))),L20&lt;&gt;"",L20&lt;&gt;"not_applicable")</formula>
    </cfRule>
    <cfRule type="expression" priority="262" dxfId="1">
      <formula>OR(AND(IF($D20="",INDEX(primary_jama_2018_14282_disposition,MATCH($A20,primary_jama_2018_14282_key,0)),$D20)&lt;&gt;"",IF($D20="",INDEX(primary_jama_2018_14282_disposition,MATCH($A20,primary_jama_2018_14282_key,0)),$D20)&lt;&gt;"retain"),NOT(OR(IF($E20="",INDEX(primary_jama_2018_14282_domain,MATCH($A20,primary_jama_2018_14282_key,0)),$E20)="protocol_report")))</formula>
    </cfRule>
  </conditionalFormatting>
  <conditionalFormatting sqref="L21">
    <cfRule type="expression" priority="263" dxfId="0" stopIfTrue="1">
      <formula>AND(OR(AND(IF($D21="",INDEX(primary_jama_2018_14282_disposition,MATCH($A21,primary_jama_2018_14282_key,0)),$D21)&lt;&gt;"",IF($D21="",INDEX(primary_jama_2018_14282_disposition,MATCH($A21,primary_jama_2018_14282_key,0)),$D21)&lt;&gt;"retain"),NOT(OR(IF($E21="",INDEX(primary_jama_2018_14282_domain,MATCH($A21,primary_jama_2018_14282_key,0)),$E21)="protocol_report"))),L21&lt;&gt;"",L21&lt;&gt;"not_applicable")</formula>
    </cfRule>
    <cfRule type="expression" priority="264" dxfId="1">
      <formula>OR(AND(IF($D21="",INDEX(primary_jama_2018_14282_disposition,MATCH($A21,primary_jama_2018_14282_key,0)),$D21)&lt;&gt;"",IF($D21="",INDEX(primary_jama_2018_14282_disposition,MATCH($A21,primary_jama_2018_14282_key,0)),$D21)&lt;&gt;"retain"),NOT(OR(IF($E21="",INDEX(primary_jama_2018_14282_domain,MATCH($A21,primary_jama_2018_14282_key,0)),$E21)="protocol_report")))</formula>
    </cfRule>
  </conditionalFormatting>
  <conditionalFormatting sqref="L22">
    <cfRule type="expression" priority="265" dxfId="0" stopIfTrue="1">
      <formula>AND(OR(AND(IF($D22="",INDEX(primary_jama_2018_14282_disposition,MATCH($A22,primary_jama_2018_14282_key,0)),$D22)&lt;&gt;"",IF($D22="",INDEX(primary_jama_2018_14282_disposition,MATCH($A22,primary_jama_2018_14282_key,0)),$D22)&lt;&gt;"retain"),NOT(OR(IF($E22="",INDEX(primary_jama_2018_14282_domain,MATCH($A22,primary_jama_2018_14282_key,0)),$E22)="protocol_report"))),L22&lt;&gt;"",L22&lt;&gt;"not_applicable")</formula>
    </cfRule>
    <cfRule type="expression" priority="266" dxfId="1">
      <formula>OR(AND(IF($D22="",INDEX(primary_jama_2018_14282_disposition,MATCH($A22,primary_jama_2018_14282_key,0)),$D22)&lt;&gt;"",IF($D22="",INDEX(primary_jama_2018_14282_disposition,MATCH($A22,primary_jama_2018_14282_key,0)),$D22)&lt;&gt;"retain"),NOT(OR(IF($E22="",INDEX(primary_jama_2018_14282_domain,MATCH($A22,primary_jama_2018_14282_key,0)),$E22)="protocol_report")))</formula>
    </cfRule>
  </conditionalFormatting>
  <conditionalFormatting sqref="L23">
    <cfRule type="expression" priority="267" dxfId="0" stopIfTrue="1">
      <formula>AND(OR(AND(IF($D23="",INDEX(primary_jama_2018_14282_disposition,MATCH($A23,primary_jama_2018_14282_key,0)),$D23)&lt;&gt;"",IF($D23="",INDEX(primary_jama_2018_14282_disposition,MATCH($A23,primary_jama_2018_14282_key,0)),$D23)&lt;&gt;"retain"),NOT(OR(IF($E23="",INDEX(primary_jama_2018_14282_domain,MATCH($A23,primary_jama_2018_14282_key,0)),$E23)="protocol_report"))),L23&lt;&gt;"",L23&lt;&gt;"not_applicable")</formula>
    </cfRule>
    <cfRule type="expression" priority="268" dxfId="1">
      <formula>OR(AND(IF($D23="",INDEX(primary_jama_2018_14282_disposition,MATCH($A23,primary_jama_2018_14282_key,0)),$D23)&lt;&gt;"",IF($D23="",INDEX(primary_jama_2018_14282_disposition,MATCH($A23,primary_jama_2018_14282_key,0)),$D23)&lt;&gt;"retain"),NOT(OR(IF($E23="",INDEX(primary_jama_2018_14282_domain,MATCH($A23,primary_jama_2018_14282_key,0)),$E23)="protocol_report")))</formula>
    </cfRule>
  </conditionalFormatting>
  <conditionalFormatting sqref="L24">
    <cfRule type="expression" priority="269" dxfId="0" stopIfTrue="1">
      <formula>AND(OR(AND(IF($D24="",INDEX(primary_jama_2018_14282_disposition,MATCH($A24,primary_jama_2018_14282_key,0)),$D24)&lt;&gt;"",IF($D24="",INDEX(primary_jama_2018_14282_disposition,MATCH($A24,primary_jama_2018_14282_key,0)),$D24)&lt;&gt;"retain"),NOT(OR(IF($E24="",INDEX(primary_jama_2018_14282_domain,MATCH($A24,primary_jama_2018_14282_key,0)),$E24)="protocol_report"))),L24&lt;&gt;"",L24&lt;&gt;"not_applicable")</formula>
    </cfRule>
    <cfRule type="expression" priority="270" dxfId="1">
      <formula>OR(AND(IF($D24="",INDEX(primary_jama_2018_14282_disposition,MATCH($A24,primary_jama_2018_14282_key,0)),$D24)&lt;&gt;"",IF($D24="",INDEX(primary_jama_2018_14282_disposition,MATCH($A24,primary_jama_2018_14282_key,0)),$D24)&lt;&gt;"retain"),NOT(OR(IF($E24="",INDEX(primary_jama_2018_14282_domain,MATCH($A24,primary_jama_2018_14282_key,0)),$E24)="protocol_report")))</formula>
    </cfRule>
  </conditionalFormatting>
  <conditionalFormatting sqref="L25">
    <cfRule type="expression" priority="271" dxfId="0" stopIfTrue="1">
      <formula>AND(OR(AND(IF($D25="",INDEX(primary_jama_2018_14282_disposition,MATCH($A25,primary_jama_2018_14282_key,0)),$D25)&lt;&gt;"",IF($D25="",INDEX(primary_jama_2018_14282_disposition,MATCH($A25,primary_jama_2018_14282_key,0)),$D25)&lt;&gt;"retain"),NOT(OR(IF($E25="",INDEX(primary_jama_2018_14282_domain,MATCH($A25,primary_jama_2018_14282_key,0)),$E25)="protocol_report"))),L25&lt;&gt;"",L25&lt;&gt;"not_applicable")</formula>
    </cfRule>
    <cfRule type="expression" priority="272" dxfId="1">
      <formula>OR(AND(IF($D25="",INDEX(primary_jama_2018_14282_disposition,MATCH($A25,primary_jama_2018_14282_key,0)),$D25)&lt;&gt;"",IF($D25="",INDEX(primary_jama_2018_14282_disposition,MATCH($A25,primary_jama_2018_14282_key,0)),$D25)&lt;&gt;"retain"),NOT(OR(IF($E25="",INDEX(primary_jama_2018_14282_domain,MATCH($A25,primary_jama_2018_14282_key,0)),$E25)="protocol_report")))</formula>
    </cfRule>
  </conditionalFormatting>
  <conditionalFormatting sqref="L26">
    <cfRule type="expression" priority="273" dxfId="0" stopIfTrue="1">
      <formula>AND(OR(AND(IF($D26="",INDEX(primary_jama_2018_14282_disposition,MATCH($A26,primary_jama_2018_14282_key,0)),$D26)&lt;&gt;"",IF($D26="",INDEX(primary_jama_2018_14282_disposition,MATCH($A26,primary_jama_2018_14282_key,0)),$D26)&lt;&gt;"retain"),NOT(OR(IF($E26="",INDEX(primary_jama_2018_14282_domain,MATCH($A26,primary_jama_2018_14282_key,0)),$E26)="protocol_report"))),L26&lt;&gt;"",L26&lt;&gt;"not_applicable")</formula>
    </cfRule>
    <cfRule type="expression" priority="274" dxfId="1">
      <formula>OR(AND(IF($D26="",INDEX(primary_jama_2018_14282_disposition,MATCH($A26,primary_jama_2018_14282_key,0)),$D26)&lt;&gt;"",IF($D26="",INDEX(primary_jama_2018_14282_disposition,MATCH($A26,primary_jama_2018_14282_key,0)),$D26)&lt;&gt;"retain"),NOT(OR(IF($E26="",INDEX(primary_jama_2018_14282_domain,MATCH($A26,primary_jama_2018_14282_key,0)),$E26)="protocol_report")))</formula>
    </cfRule>
  </conditionalFormatting>
  <conditionalFormatting sqref="L27">
    <cfRule type="expression" priority="275" dxfId="0" stopIfTrue="1">
      <formula>AND(OR(AND(IF($D27="",INDEX(primary_jama_2018_14282_disposition,MATCH($A27,primary_jama_2018_14282_key,0)),$D27)&lt;&gt;"",IF($D27="",INDEX(primary_jama_2018_14282_disposition,MATCH($A27,primary_jama_2018_14282_key,0)),$D27)&lt;&gt;"retain"),NOT(OR(IF($E27="",INDEX(primary_jama_2018_14282_domain,MATCH($A27,primary_jama_2018_14282_key,0)),$E27)="protocol_report"))),L27&lt;&gt;"",L27&lt;&gt;"not_applicable")</formula>
    </cfRule>
    <cfRule type="expression" priority="276" dxfId="1">
      <formula>OR(AND(IF($D27="",INDEX(primary_jama_2018_14282_disposition,MATCH($A27,primary_jama_2018_14282_key,0)),$D27)&lt;&gt;"",IF($D27="",INDEX(primary_jama_2018_14282_disposition,MATCH($A27,primary_jama_2018_14282_key,0)),$D27)&lt;&gt;"retain"),NOT(OR(IF($E27="",INDEX(primary_jama_2018_14282_domain,MATCH($A27,primary_jama_2018_14282_key,0)),$E27)="protocol_report")))</formula>
    </cfRule>
  </conditionalFormatting>
  <conditionalFormatting sqref="L28">
    <cfRule type="expression" priority="277" dxfId="0" stopIfTrue="1">
      <formula>AND(OR(AND(IF($D28="",INDEX(primary_jama_2018_14282_disposition,MATCH($A28,primary_jama_2018_14282_key,0)),$D28)&lt;&gt;"",IF($D28="",INDEX(primary_jama_2018_14282_disposition,MATCH($A28,primary_jama_2018_14282_key,0)),$D28)&lt;&gt;"retain"),NOT(OR(IF($E28="",INDEX(primary_jama_2018_14282_domain,MATCH($A28,primary_jama_2018_14282_key,0)),$E28)="protocol_report"))),L28&lt;&gt;"",L28&lt;&gt;"not_applicable")</formula>
    </cfRule>
    <cfRule type="expression" priority="278" dxfId="1">
      <formula>OR(AND(IF($D28="",INDEX(primary_jama_2018_14282_disposition,MATCH($A28,primary_jama_2018_14282_key,0)),$D28)&lt;&gt;"",IF($D28="",INDEX(primary_jama_2018_14282_disposition,MATCH($A28,primary_jama_2018_14282_key,0)),$D28)&lt;&gt;"retain"),NOT(OR(IF($E28="",INDEX(primary_jama_2018_14282_domain,MATCH($A28,primary_jama_2018_14282_key,0)),$E28)="protocol_report")))</formula>
    </cfRule>
  </conditionalFormatting>
  <conditionalFormatting sqref="L29">
    <cfRule type="expression" priority="279" dxfId="0" stopIfTrue="1">
      <formula>AND(OR(AND(IF($D29="",INDEX(primary_jama_2018_14282_disposition,MATCH($A29,primary_jama_2018_14282_key,0)),$D29)&lt;&gt;"",IF($D29="",INDEX(primary_jama_2018_14282_disposition,MATCH($A29,primary_jama_2018_14282_key,0)),$D29)&lt;&gt;"retain"),NOT(OR(IF($E29="",INDEX(primary_jama_2018_14282_domain,MATCH($A29,primary_jama_2018_14282_key,0)),$E29)="protocol_report"))),L29&lt;&gt;"",L29&lt;&gt;"not_applicable")</formula>
    </cfRule>
    <cfRule type="expression" priority="280" dxfId="1">
      <formula>OR(AND(IF($D29="",INDEX(primary_jama_2018_14282_disposition,MATCH($A29,primary_jama_2018_14282_key,0)),$D29)&lt;&gt;"",IF($D29="",INDEX(primary_jama_2018_14282_disposition,MATCH($A29,primary_jama_2018_14282_key,0)),$D29)&lt;&gt;"retain"),NOT(OR(IF($E29="",INDEX(primary_jama_2018_14282_domain,MATCH($A29,primary_jama_2018_14282_key,0)),$E29)="protocol_report")))</formula>
    </cfRule>
  </conditionalFormatting>
  <dataValidations count="10">
    <dataValidation sqref="D2:D29" showDropDown="0" showInputMessage="1" showErrorMessage="1" allowBlank="1" errorTitle="Invalid option" error="Choose a listed value." promptTitle="Disposition" prompt="See Codebook for meanings." type="list" errorStyle="stop">
      <formula1>opt_disposition</formula1>
    </dataValidation>
    <dataValidation sqref="E2:E29" showDropDown="0" showInputMessage="1" showErrorMessage="1" allowBlank="1" errorTitle="Invalid option" error="Choose a listed value." promptTitle="Review domain" prompt="See Codebook for meanings." type="list" errorStyle="stop">
      <formula1>opt_domain</formula1>
    </dataValidation>
    <dataValidation sqref="F2:F29" showDropDown="0" showInputMessage="1" showErrorMessage="1" allowBlank="1" errorTitle="Invalid option" error="Choose a listed value." promptTitle="Complete" prompt="See Codebook for meanings." type="list" errorStyle="stop">
      <formula1>opt_reviewComplete</formula1>
    </dataValidation>
    <dataValidation sqref="H2:H2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9" showDropDown="0" showInputMessage="1" showErrorMessage="1" allowBlank="1" errorTitle="Invalid option" error="Choose a listed value." promptTitle="Substantiveness" prompt="See Codebook for meanings." type="list" errorStyle="stop">
      <formula1>opt_substantiveStatus</formula1>
    </dataValidation>
    <dataValidation sqref="J2:J29" showDropDown="0" showInputMessage="1" showErrorMessage="1" allowBlank="1" errorTitle="Invalid option" error="Choose a listed value." promptTitle="Downstream impact" prompt="See Codebook for meanings." type="list" errorStyle="stop">
      <formula1>opt_downstreamImpact</formula1>
    </dataValidation>
    <dataValidation sqref="K2:K2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29" showDropDown="0" showInputMessage="1" showErrorMessage="1" allowBlank="1" errorTitle="Invalid option" error="Choose a listed value." promptTitle="Checker result" prompt="See Codebook for meanings." type="list" errorStyle="stop">
      <formula1>opt_checkStatus</formula1>
    </dataValidation>
    <dataValidation sqref="Q2:Q2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2018::jama.2018.17075::C001</t>
        </is>
      </c>
      <c r="B2" s="2" t="inlineStr">
        <is>
          <t>Normothermia Injury Severity Score median is below its printed IQR lower endpoint</t>
        </is>
      </c>
      <c r="C2" s="2" t="inlineStr">
        <is>
          <t>jama_cooper_2018_oi_180132.pdf — PDF p. 5, Table 1, normothermia Injury Severity Score.</t>
        </is>
      </c>
      <c r="D2" s="8" t="inlineStr"/>
      <c r="E2" s="8" t="inlineStr"/>
      <c r="F2" s="8" t="inlineStr">
        <is>
          <t>no</t>
        </is>
      </c>
      <c r="G2" s="2">
        <f>IF(OR(AND(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H2&lt;&gt;"",H2&lt;&gt;"not_applicable"),AND(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I2&lt;&gt;"",I2&lt;&gt;"not_applicable"),AND(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J2&lt;&gt;"",J2&lt;&gt;"not_applicable"),AND(OR(AND(IF($D2="",INDEX(primary_jama_2018_17075_disposition,MATCH($A2,primary_jama_2018_17075_key,0)),$D2)&lt;&gt;"",IF($D2="",INDEX(primary_jama_2018_17075_disposition,MATCH($A2,primary_jama_2018_17075_key,0)),$D2)&lt;&gt;"retain"),NOT(OR(IF($E2="",INDEX(primary_jama_2018_17075_domain,MATCH($A2,primary_jama_2018_17075_key,0)),$E2)="internal_nonstatistical",IF($E2="",INDEX(primary_jama_2018_17075_domain,MATCH($A2,primary_jama_2018_17075_key,0)),$E2)="plan_material"))),K2&lt;&gt;"",K2&lt;&gt;"not_applicable"),AND(OR(AND(IF($D2="",INDEX(primary_jama_2018_17075_disposition,MATCH($A2,primary_jama_2018_17075_key,0)),$D2)&lt;&gt;"",IF($D2="",INDEX(primary_jama_2018_17075_disposition,MATCH($A2,primary_jama_2018_17075_key,0)),$D2)&lt;&gt;"retain"),NOT(OR(IF($E2="",INDEX(primary_jama_2018_17075_domain,MATCH($A2,primary_jama_2018_17075_key,0)),$E2)="protocol_report"))),L2&lt;&gt;"",L2&lt;&gt;"not_applicable")),"CLEAR INACTIVE VALUES",IF(O2="","PENDING",IF(AND(O2&lt;&gt;"agree",LEN(TRIM(P2))=0),"COMMENT NEEDED",IF(F2="yes","CHECKED - see resolution","DRAFT"))))</f>
        <v/>
      </c>
      <c r="H2" s="8">
        <f>IF(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not_applicable","")</f>
        <v/>
      </c>
      <c r="I2" s="8">
        <f>IF(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not_applicable","")</f>
        <v/>
      </c>
      <c r="J2" s="9">
        <f>IF(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not_applicable","")</f>
        <v/>
      </c>
      <c r="K2" s="8">
        <f>IF(OR(AND(IF($D2="",INDEX(primary_jama_2018_17075_disposition,MATCH($A2,primary_jama_2018_17075_key,0)),$D2)&lt;&gt;"",IF($D2="",INDEX(primary_jama_2018_17075_disposition,MATCH($A2,primary_jama_2018_17075_key,0)),$D2)&lt;&gt;"retain"),NOT(OR(IF($E2="",INDEX(primary_jama_2018_17075_domain,MATCH($A2,primary_jama_2018_17075_key,0)),$E2)="internal_nonstatistical",IF($E2="",INDEX(primary_jama_2018_17075_domain,MATCH($A2,primary_jama_2018_17075_key,0)),$E2)="plan_material"))),"not_applicable","")</f>
        <v/>
      </c>
      <c r="L2" s="9">
        <f>IF(OR(AND(IF($D2="",INDEX(primary_jama_2018_17075_disposition,MATCH($A2,primary_jama_2018_17075_key,0)),$D2)&lt;&gt;"",IF($D2="",INDEX(primary_jama_2018_17075_disposition,MATCH($A2,primary_jama_2018_17075_key,0)),$D2)&lt;&gt;"retain"),NOT(OR(IF($E2="",INDEX(primary_jama_2018_17075_domain,MATCH($A2,primary_jama_2018_17075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2018::jama.2018.17075::C002</t>
        </is>
      </c>
      <c r="B3" s="3" t="inlineStr">
        <is>
          <t>Primary risk difference has opposite signs in matched main-article locations</t>
        </is>
      </c>
      <c r="C3" s="3" t="inlineStr">
        <is>
          <t>jama_cooper_2018_oi_180132.pdf — PDF p. 1, abstract Results; PDF p. 5, Primary Outcome Results; PDF p. 7, Table 2 favorable outcome.</t>
        </is>
      </c>
      <c r="D3" s="8" t="inlineStr"/>
      <c r="E3" s="8" t="inlineStr"/>
      <c r="F3" s="8" t="inlineStr">
        <is>
          <t>no</t>
        </is>
      </c>
      <c r="G3" s="3">
        <f>IF(OR(AND(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H3&lt;&gt;"",H3&lt;&gt;"not_applicable"),AND(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I3&lt;&gt;"",I3&lt;&gt;"not_applicable"),AND(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J3&lt;&gt;"",J3&lt;&gt;"not_applicable"),AND(OR(AND(IF($D3="",INDEX(primary_jama_2018_17075_disposition,MATCH($A3,primary_jama_2018_17075_key,0)),$D3)&lt;&gt;"",IF($D3="",INDEX(primary_jama_2018_17075_disposition,MATCH($A3,primary_jama_2018_17075_key,0)),$D3)&lt;&gt;"retain"),NOT(OR(IF($E3="",INDEX(primary_jama_2018_17075_domain,MATCH($A3,primary_jama_2018_17075_key,0)),$E3)="internal_nonstatistical",IF($E3="",INDEX(primary_jama_2018_17075_domain,MATCH($A3,primary_jama_2018_17075_key,0)),$E3)="plan_material"))),K3&lt;&gt;"",K3&lt;&gt;"not_applicable"),AND(OR(AND(IF($D3="",INDEX(primary_jama_2018_17075_disposition,MATCH($A3,primary_jama_2018_17075_key,0)),$D3)&lt;&gt;"",IF($D3="",INDEX(primary_jama_2018_17075_disposition,MATCH($A3,primary_jama_2018_17075_key,0)),$D3)&lt;&gt;"retain"),NOT(OR(IF($E3="",INDEX(primary_jama_2018_17075_domain,MATCH($A3,primary_jama_2018_17075_key,0)),$E3)="protocol_report"))),L3&lt;&gt;"",L3&lt;&gt;"not_applicable")),"CLEAR INACTIVE VALUES",IF(O3="","PENDING",IF(AND(O3&lt;&gt;"agree",LEN(TRIM(P3))=0),"COMMENT NEEDED",IF(F3="yes","CHECKED - see resolution","DRAFT"))))</f>
        <v/>
      </c>
      <c r="H3" s="8">
        <f>IF(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not_applicable","")</f>
        <v/>
      </c>
      <c r="I3" s="8">
        <f>IF(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not_applicable","")</f>
        <v/>
      </c>
      <c r="J3" s="9">
        <f>IF(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not_applicable","")</f>
        <v/>
      </c>
      <c r="K3" s="8">
        <f>IF(OR(AND(IF($D3="",INDEX(primary_jama_2018_17075_disposition,MATCH($A3,primary_jama_2018_17075_key,0)),$D3)&lt;&gt;"",IF($D3="",INDEX(primary_jama_2018_17075_disposition,MATCH($A3,primary_jama_2018_17075_key,0)),$D3)&lt;&gt;"retain"),NOT(OR(IF($E3="",INDEX(primary_jama_2018_17075_domain,MATCH($A3,primary_jama_2018_17075_key,0)),$E3)="internal_nonstatistical",IF($E3="",INDEX(primary_jama_2018_17075_domain,MATCH($A3,primary_jama_2018_17075_key,0)),$E3)="plan_material"))),"not_applicable","")</f>
        <v/>
      </c>
      <c r="L3" s="9">
        <f>IF(OR(AND(IF($D3="",INDEX(primary_jama_2018_17075_disposition,MATCH($A3,primary_jama_2018_17075_key,0)),$D3)&lt;&gt;"",IF($D3="",INDEX(primary_jama_2018_17075_disposition,MATCH($A3,primary_jama_2018_17075_key,0)),$D3)&lt;&gt;"retain"),NOT(OR(IF($E3="",INDEX(primary_jama_2018_17075_domain,MATCH($A3,primary_jama_2018_17075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2018::jama.2018.17075::C003</t>
        </is>
      </c>
      <c r="B4" s="2" t="inlineStr">
        <is>
          <t>Intracranial-bleeding effect and P-value reporting conflicts with matched evidence</t>
        </is>
      </c>
      <c r="C4" s="2" t="inlineStr">
        <is>
          <t>jama_cooper_2018_oi_180132.pdf — PDF p. 7, Table 2, new or increased intracranial bleeding; joi180132supp2_prod.pdf — PDF p. 10, eTable 6, same outcome; jama_cooper_2018_oi_180132.pdf — PDF p. 3, Statistical Analysis.</t>
        </is>
      </c>
      <c r="D4" s="8" t="inlineStr"/>
      <c r="E4" s="8" t="inlineStr"/>
      <c r="F4" s="8" t="inlineStr">
        <is>
          <t>no</t>
        </is>
      </c>
      <c r="G4" s="2">
        <f>IF(OR(AND(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H4&lt;&gt;"",H4&lt;&gt;"not_applicable"),AND(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I4&lt;&gt;"",I4&lt;&gt;"not_applicable"),AND(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J4&lt;&gt;"",J4&lt;&gt;"not_applicable"),AND(OR(AND(IF($D4="",INDEX(primary_jama_2018_17075_disposition,MATCH($A4,primary_jama_2018_17075_key,0)),$D4)&lt;&gt;"",IF($D4="",INDEX(primary_jama_2018_17075_disposition,MATCH($A4,primary_jama_2018_17075_key,0)),$D4)&lt;&gt;"retain"),NOT(OR(IF($E4="",INDEX(primary_jama_2018_17075_domain,MATCH($A4,primary_jama_2018_17075_key,0)),$E4)="internal_nonstatistical",IF($E4="",INDEX(primary_jama_2018_17075_domain,MATCH($A4,primary_jama_2018_17075_key,0)),$E4)="plan_material"))),K4&lt;&gt;"",K4&lt;&gt;"not_applicable"),AND(OR(AND(IF($D4="",INDEX(primary_jama_2018_17075_disposition,MATCH($A4,primary_jama_2018_17075_key,0)),$D4)&lt;&gt;"",IF($D4="",INDEX(primary_jama_2018_17075_disposition,MATCH($A4,primary_jama_2018_17075_key,0)),$D4)&lt;&gt;"retain"),NOT(OR(IF($E4="",INDEX(primary_jama_2018_17075_domain,MATCH($A4,primary_jama_2018_17075_key,0)),$E4)="protocol_report"))),L4&lt;&gt;"",L4&lt;&gt;"not_applicable")),"CLEAR INACTIVE VALUES",IF(O4="","PENDING",IF(AND(O4&lt;&gt;"agree",LEN(TRIM(P4))=0),"COMMENT NEEDED",IF(F4="yes","CHECKED - see resolution","DRAFT"))))</f>
        <v/>
      </c>
      <c r="H4" s="8">
        <f>IF(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not_applicable","")</f>
        <v/>
      </c>
      <c r="I4" s="8">
        <f>IF(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not_applicable","")</f>
        <v/>
      </c>
      <c r="J4" s="9">
        <f>IF(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not_applicable","")</f>
        <v/>
      </c>
      <c r="K4" s="8">
        <f>IF(OR(AND(IF($D4="",INDEX(primary_jama_2018_17075_disposition,MATCH($A4,primary_jama_2018_17075_key,0)),$D4)&lt;&gt;"",IF($D4="",INDEX(primary_jama_2018_17075_disposition,MATCH($A4,primary_jama_2018_17075_key,0)),$D4)&lt;&gt;"retain"),NOT(OR(IF($E4="",INDEX(primary_jama_2018_17075_domain,MATCH($A4,primary_jama_2018_17075_key,0)),$E4)="internal_nonstatistical",IF($E4="",INDEX(primary_jama_2018_17075_domain,MATCH($A4,primary_jama_2018_17075_key,0)),$E4)="plan_material"))),"not_applicable","")</f>
        <v/>
      </c>
      <c r="L4" s="9">
        <f>IF(OR(AND(IF($D4="",INDEX(primary_jama_2018_17075_disposition,MATCH($A4,primary_jama_2018_17075_key,0)),$D4)&lt;&gt;"",IF($D4="",INDEX(primary_jama_2018_17075_disposition,MATCH($A4,primary_jama_2018_17075_key,0)),$D4)&lt;&gt;"retain"),NOT(OR(IF($E4="",INDEX(primary_jama_2018_17075_domain,MATCH($A4,primary_jama_2018_17075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2018::jama.2018.17075::C004</t>
        </is>
      </c>
      <c r="B5" s="3" t="inlineStr">
        <is>
          <t>Extracranial-bleeding effect and P-value reporting conflicts with matched evidence</t>
        </is>
      </c>
      <c r="C5" s="3" t="inlineStr">
        <is>
          <t>jama_cooper_2018_oi_180132.pdf — PDF p. 7, Table 2, new significant extracranial bleeding; joi180132supp2_prod.pdf — PDF p. 10, eTable 6, same outcome; jama_cooper_2018_oi_180132.pdf — PDF p. 3, Statistical Analysis.</t>
        </is>
      </c>
      <c r="D5" s="8" t="inlineStr"/>
      <c r="E5" s="8" t="inlineStr"/>
      <c r="F5" s="8" t="inlineStr">
        <is>
          <t>no</t>
        </is>
      </c>
      <c r="G5" s="3">
        <f>IF(OR(AND(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H5&lt;&gt;"",H5&lt;&gt;"not_applicable"),AND(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I5&lt;&gt;"",I5&lt;&gt;"not_applicable"),AND(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J5&lt;&gt;"",J5&lt;&gt;"not_applicable"),AND(OR(AND(IF($D5="",INDEX(primary_jama_2018_17075_disposition,MATCH($A5,primary_jama_2018_17075_key,0)),$D5)&lt;&gt;"",IF($D5="",INDEX(primary_jama_2018_17075_disposition,MATCH($A5,primary_jama_2018_17075_key,0)),$D5)&lt;&gt;"retain"),NOT(OR(IF($E5="",INDEX(primary_jama_2018_17075_domain,MATCH($A5,primary_jama_2018_17075_key,0)),$E5)="internal_nonstatistical",IF($E5="",INDEX(primary_jama_2018_17075_domain,MATCH($A5,primary_jama_2018_17075_key,0)),$E5)="plan_material"))),K5&lt;&gt;"",K5&lt;&gt;"not_applicable"),AND(OR(AND(IF($D5="",INDEX(primary_jama_2018_17075_disposition,MATCH($A5,primary_jama_2018_17075_key,0)),$D5)&lt;&gt;"",IF($D5="",INDEX(primary_jama_2018_17075_disposition,MATCH($A5,primary_jama_2018_17075_key,0)),$D5)&lt;&gt;"retain"),NOT(OR(IF($E5="",INDEX(primary_jama_2018_17075_domain,MATCH($A5,primary_jama_2018_17075_key,0)),$E5)="protocol_report"))),L5&lt;&gt;"",L5&lt;&gt;"not_applicable")),"CLEAR INACTIVE VALUES",IF(O5="","PENDING",IF(AND(O5&lt;&gt;"agree",LEN(TRIM(P5))=0),"COMMENT NEEDED",IF(F5="yes","CHECKED - see resolution","DRAFT"))))</f>
        <v/>
      </c>
      <c r="H5" s="8">
        <f>IF(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not_applicable","")</f>
        <v/>
      </c>
      <c r="I5" s="8">
        <f>IF(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not_applicable","")</f>
        <v/>
      </c>
      <c r="J5" s="9">
        <f>IF(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not_applicable","")</f>
        <v/>
      </c>
      <c r="K5" s="8">
        <f>IF(OR(AND(IF($D5="",INDEX(primary_jama_2018_17075_disposition,MATCH($A5,primary_jama_2018_17075_key,0)),$D5)&lt;&gt;"",IF($D5="",INDEX(primary_jama_2018_17075_disposition,MATCH($A5,primary_jama_2018_17075_key,0)),$D5)&lt;&gt;"retain"),NOT(OR(IF($E5="",INDEX(primary_jama_2018_17075_domain,MATCH($A5,primary_jama_2018_17075_key,0)),$E5)="internal_nonstatistical",IF($E5="",INDEX(primary_jama_2018_17075_domain,MATCH($A5,primary_jama_2018_17075_key,0)),$E5)="plan_material"))),"not_applicable","")</f>
        <v/>
      </c>
      <c r="L5" s="9">
        <f>IF(OR(AND(IF($D5="",INDEX(primary_jama_2018_17075_disposition,MATCH($A5,primary_jama_2018_17075_key,0)),$D5)&lt;&gt;"",IF($D5="",INDEX(primary_jama_2018_17075_disposition,MATCH($A5,primary_jama_2018_17075_key,0)),$D5)&lt;&gt;"retain"),NOT(OR(IF($E5="",INDEX(primary_jama_2018_17075_domain,MATCH($A5,primary_jama_2018_17075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2018::jama.2018.17075::C005</t>
        </is>
      </c>
      <c r="B6" s="2" t="inlineStr">
        <is>
          <t>As-treated evacuated-mass-lesion cell reverses count and percentage order</t>
        </is>
      </c>
      <c r="C6" s="2" t="inlineStr">
        <is>
          <t>joi180132supp2_prod.pdf — PDF p. 18, eTable 10, CT Marshall classification, evacuated mass lesion V, normothermia.</t>
        </is>
      </c>
      <c r="D6" s="8" t="inlineStr"/>
      <c r="E6" s="8" t="inlineStr"/>
      <c r="F6" s="8" t="inlineStr">
        <is>
          <t>no</t>
        </is>
      </c>
      <c r="G6" s="2">
        <f>IF(OR(AND(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H6&lt;&gt;"",H6&lt;&gt;"not_applicable"),AND(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I6&lt;&gt;"",I6&lt;&gt;"not_applicable"),AND(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J6&lt;&gt;"",J6&lt;&gt;"not_applicable"),AND(OR(AND(IF($D6="",INDEX(primary_jama_2018_17075_disposition,MATCH($A6,primary_jama_2018_17075_key,0)),$D6)&lt;&gt;"",IF($D6="",INDEX(primary_jama_2018_17075_disposition,MATCH($A6,primary_jama_2018_17075_key,0)),$D6)&lt;&gt;"retain"),NOT(OR(IF($E6="",INDEX(primary_jama_2018_17075_domain,MATCH($A6,primary_jama_2018_17075_key,0)),$E6)="internal_nonstatistical",IF($E6="",INDEX(primary_jama_2018_17075_domain,MATCH($A6,primary_jama_2018_17075_key,0)),$E6)="plan_material"))),K6&lt;&gt;"",K6&lt;&gt;"not_applicable"),AND(OR(AND(IF($D6="",INDEX(primary_jama_2018_17075_disposition,MATCH($A6,primary_jama_2018_17075_key,0)),$D6)&lt;&gt;"",IF($D6="",INDEX(primary_jama_2018_17075_disposition,MATCH($A6,primary_jama_2018_17075_key,0)),$D6)&lt;&gt;"retain"),NOT(OR(IF($E6="",INDEX(primary_jama_2018_17075_domain,MATCH($A6,primary_jama_2018_17075_key,0)),$E6)="protocol_report"))),L6&lt;&gt;"",L6&lt;&gt;"not_applicable")),"CLEAR INACTIVE VALUES",IF(O6="","PENDING",IF(AND(O6&lt;&gt;"agree",LEN(TRIM(P6))=0),"COMMENT NEEDED",IF(F6="yes","CHECKED - see resolution","DRAFT"))))</f>
        <v/>
      </c>
      <c r="H6" s="8">
        <f>IF(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not_applicable","")</f>
        <v/>
      </c>
      <c r="I6" s="8">
        <f>IF(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not_applicable","")</f>
        <v/>
      </c>
      <c r="J6" s="9">
        <f>IF(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not_applicable","")</f>
        <v/>
      </c>
      <c r="K6" s="8">
        <f>IF(OR(AND(IF($D6="",INDEX(primary_jama_2018_17075_disposition,MATCH($A6,primary_jama_2018_17075_key,0)),$D6)&lt;&gt;"",IF($D6="",INDEX(primary_jama_2018_17075_disposition,MATCH($A6,primary_jama_2018_17075_key,0)),$D6)&lt;&gt;"retain"),NOT(OR(IF($E6="",INDEX(primary_jama_2018_17075_domain,MATCH($A6,primary_jama_2018_17075_key,0)),$E6)="internal_nonstatistical",IF($E6="",INDEX(primary_jama_2018_17075_domain,MATCH($A6,primary_jama_2018_17075_key,0)),$E6)="plan_material"))),"not_applicable","")</f>
        <v/>
      </c>
      <c r="L6" s="9">
        <f>IF(OR(AND(IF($D6="",INDEX(primary_jama_2018_17075_disposition,MATCH($A6,primary_jama_2018_17075_key,0)),$D6)&lt;&gt;"",IF($D6="",INDEX(primary_jama_2018_17075_disposition,MATCH($A6,primary_jama_2018_17075_key,0)),$D6)&lt;&gt;"retain"),NOT(OR(IF($E6="",INDEX(primary_jama_2018_17075_domain,MATCH($A6,primary_jama_2018_17075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2018::jama.2018.17075::C006</t>
        </is>
      </c>
      <c r="B7" s="3" t="inlineStr">
        <is>
          <t>As-treated non-evacuated-mass-lesion cell reverses count and percentage order</t>
        </is>
      </c>
      <c r="C7" s="3" t="inlineStr">
        <is>
          <t>joi180132supp2_prod.pdf — PDF p. 18, eTable 10, CT Marshall classification, non-evacuated mass lesion VI, normothermia.</t>
        </is>
      </c>
      <c r="D7" s="8" t="inlineStr"/>
      <c r="E7" s="8" t="inlineStr"/>
      <c r="F7" s="8" t="inlineStr">
        <is>
          <t>no</t>
        </is>
      </c>
      <c r="G7" s="3">
        <f>IF(OR(AND(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H7&lt;&gt;"",H7&lt;&gt;"not_applicable"),AND(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I7&lt;&gt;"",I7&lt;&gt;"not_applicable"),AND(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J7&lt;&gt;"",J7&lt;&gt;"not_applicable"),AND(OR(AND(IF($D7="",INDEX(primary_jama_2018_17075_disposition,MATCH($A7,primary_jama_2018_17075_key,0)),$D7)&lt;&gt;"",IF($D7="",INDEX(primary_jama_2018_17075_disposition,MATCH($A7,primary_jama_2018_17075_key,0)),$D7)&lt;&gt;"retain"),NOT(OR(IF($E7="",INDEX(primary_jama_2018_17075_domain,MATCH($A7,primary_jama_2018_17075_key,0)),$E7)="internal_nonstatistical",IF($E7="",INDEX(primary_jama_2018_17075_domain,MATCH($A7,primary_jama_2018_17075_key,0)),$E7)="plan_material"))),K7&lt;&gt;"",K7&lt;&gt;"not_applicable"),AND(OR(AND(IF($D7="",INDEX(primary_jama_2018_17075_disposition,MATCH($A7,primary_jama_2018_17075_key,0)),$D7)&lt;&gt;"",IF($D7="",INDEX(primary_jama_2018_17075_disposition,MATCH($A7,primary_jama_2018_17075_key,0)),$D7)&lt;&gt;"retain"),NOT(OR(IF($E7="",INDEX(primary_jama_2018_17075_domain,MATCH($A7,primary_jama_2018_17075_key,0)),$E7)="protocol_report"))),L7&lt;&gt;"",L7&lt;&gt;"not_applicable")),"CLEAR INACTIVE VALUES",IF(O7="","PENDING",IF(AND(O7&lt;&gt;"agree",LEN(TRIM(P7))=0),"COMMENT NEEDED",IF(F7="yes","CHECKED - see resolution","DRAFT"))))</f>
        <v/>
      </c>
      <c r="H7" s="8">
        <f>IF(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not_applicable","")</f>
        <v/>
      </c>
      <c r="I7" s="8">
        <f>IF(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not_applicable","")</f>
        <v/>
      </c>
      <c r="J7" s="9">
        <f>IF(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not_applicable","")</f>
        <v/>
      </c>
      <c r="K7" s="8">
        <f>IF(OR(AND(IF($D7="",INDEX(primary_jama_2018_17075_disposition,MATCH($A7,primary_jama_2018_17075_key,0)),$D7)&lt;&gt;"",IF($D7="",INDEX(primary_jama_2018_17075_disposition,MATCH($A7,primary_jama_2018_17075_key,0)),$D7)&lt;&gt;"retain"),NOT(OR(IF($E7="",INDEX(primary_jama_2018_17075_domain,MATCH($A7,primary_jama_2018_17075_key,0)),$E7)="internal_nonstatistical",IF($E7="",INDEX(primary_jama_2018_17075_domain,MATCH($A7,primary_jama_2018_17075_key,0)),$E7)="plan_material"))),"not_applicable","")</f>
        <v/>
      </c>
      <c r="L7" s="9">
        <f>IF(OR(AND(IF($D7="",INDEX(primary_jama_2018_17075_disposition,MATCH($A7,primary_jama_2018_17075_key,0)),$D7)&lt;&gt;"",IF($D7="",INDEX(primary_jama_2018_17075_disposition,MATCH($A7,primary_jama_2018_17075_key,0)),$D7)&lt;&gt;"retain"),NOT(OR(IF($E7="",INDEX(primary_jama_2018_17075_domain,MATCH($A7,primary_jama_2018_17075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2018::jama.2018.17075::C007</t>
        </is>
      </c>
      <c r="B8" s="2" t="inlineStr">
        <is>
          <t>Adjusted odds-ratio confidence-interval string is malformed</t>
        </is>
      </c>
      <c r="C8" s="2" t="inlineStr">
        <is>
          <t>joi180132supp2_prod.pdf — PDF p. 22, post-hoc adequate-cooling Results, final sentence.</t>
        </is>
      </c>
      <c r="D8" s="8" t="inlineStr"/>
      <c r="E8" s="8" t="inlineStr"/>
      <c r="F8" s="8" t="inlineStr">
        <is>
          <t>no</t>
        </is>
      </c>
      <c r="G8" s="2">
        <f>IF(OR(AND(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H8&lt;&gt;"",H8&lt;&gt;"not_applicable"),AND(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I8&lt;&gt;"",I8&lt;&gt;"not_applicable"),AND(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J8&lt;&gt;"",J8&lt;&gt;"not_applicable"),AND(OR(AND(IF($D8="",INDEX(primary_jama_2018_17075_disposition,MATCH($A8,primary_jama_2018_17075_key,0)),$D8)&lt;&gt;"",IF($D8="",INDEX(primary_jama_2018_17075_disposition,MATCH($A8,primary_jama_2018_17075_key,0)),$D8)&lt;&gt;"retain"),NOT(OR(IF($E8="",INDEX(primary_jama_2018_17075_domain,MATCH($A8,primary_jama_2018_17075_key,0)),$E8)="internal_nonstatistical",IF($E8="",INDEX(primary_jama_2018_17075_domain,MATCH($A8,primary_jama_2018_17075_key,0)),$E8)="plan_material"))),K8&lt;&gt;"",K8&lt;&gt;"not_applicable"),AND(OR(AND(IF($D8="",INDEX(primary_jama_2018_17075_disposition,MATCH($A8,primary_jama_2018_17075_key,0)),$D8)&lt;&gt;"",IF($D8="",INDEX(primary_jama_2018_17075_disposition,MATCH($A8,primary_jama_2018_17075_key,0)),$D8)&lt;&gt;"retain"),NOT(OR(IF($E8="",INDEX(primary_jama_2018_17075_domain,MATCH($A8,primary_jama_2018_17075_key,0)),$E8)="protocol_report"))),L8&lt;&gt;"",L8&lt;&gt;"not_applicable")),"CLEAR INACTIVE VALUES",IF(O8="","PENDING",IF(AND(O8&lt;&gt;"agree",LEN(TRIM(P8))=0),"COMMENT NEEDED",IF(F8="yes","CHECKED - see resolution","DRAFT"))))</f>
        <v/>
      </c>
      <c r="H8" s="8">
        <f>IF(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not_applicable","")</f>
        <v/>
      </c>
      <c r="I8" s="8">
        <f>IF(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not_applicable","")</f>
        <v/>
      </c>
      <c r="J8" s="9">
        <f>IF(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not_applicable","")</f>
        <v/>
      </c>
      <c r="K8" s="8">
        <f>IF(OR(AND(IF($D8="",INDEX(primary_jama_2018_17075_disposition,MATCH($A8,primary_jama_2018_17075_key,0)),$D8)&lt;&gt;"",IF($D8="",INDEX(primary_jama_2018_17075_disposition,MATCH($A8,primary_jama_2018_17075_key,0)),$D8)&lt;&gt;"retain"),NOT(OR(IF($E8="",INDEX(primary_jama_2018_17075_domain,MATCH($A8,primary_jama_2018_17075_key,0)),$E8)="internal_nonstatistical",IF($E8="",INDEX(primary_jama_2018_17075_domain,MATCH($A8,primary_jama_2018_17075_key,0)),$E8)="plan_material"))),"not_applicable","")</f>
        <v/>
      </c>
      <c r="L8" s="9">
        <f>IF(OR(AND(IF($D8="",INDEX(primary_jama_2018_17075_disposition,MATCH($A8,primary_jama_2018_17075_key,0)),$D8)&lt;&gt;"",IF($D8="",INDEX(primary_jama_2018_17075_disposition,MATCH($A8,primary_jama_2018_17075_key,0)),$D8)&lt;&gt;"retain"),NOT(OR(IF($E8="",INDEX(primary_jama_2018_17075_domain,MATCH($A8,primary_jama_2018_17075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2018::jama.2018.17075::C008</t>
        </is>
      </c>
      <c r="B9" s="3" t="inlineStr">
        <is>
          <t>Abstract male count conflicts with its percentage and Table 1 total</t>
        </is>
      </c>
      <c r="C9" s="3" t="inlineStr">
        <is>
          <t>jama_cooper_2018_oi_180132.pdf — PDF p. 1, abstract Results; PDF p. 5, Table 1, Men and Women rows.</t>
        </is>
      </c>
      <c r="D9" s="8" t="inlineStr"/>
      <c r="E9" s="8" t="inlineStr"/>
      <c r="F9" s="8" t="inlineStr">
        <is>
          <t>no</t>
        </is>
      </c>
      <c r="G9" s="3">
        <f>IF(OR(AND(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H9&lt;&gt;"",H9&lt;&gt;"not_applicable"),AND(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I9&lt;&gt;"",I9&lt;&gt;"not_applicable"),AND(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J9&lt;&gt;"",J9&lt;&gt;"not_applicable"),AND(OR(AND(IF($D9="",INDEX(primary_jama_2018_17075_disposition,MATCH($A9,primary_jama_2018_17075_key,0)),$D9)&lt;&gt;"",IF($D9="",INDEX(primary_jama_2018_17075_disposition,MATCH($A9,primary_jama_2018_17075_key,0)),$D9)&lt;&gt;"retain"),NOT(OR(IF($E9="",INDEX(primary_jama_2018_17075_domain,MATCH($A9,primary_jama_2018_17075_key,0)),$E9)="internal_nonstatistical",IF($E9="",INDEX(primary_jama_2018_17075_domain,MATCH($A9,primary_jama_2018_17075_key,0)),$E9)="plan_material"))),K9&lt;&gt;"",K9&lt;&gt;"not_applicable"),AND(OR(AND(IF($D9="",INDEX(primary_jama_2018_17075_disposition,MATCH($A9,primary_jama_2018_17075_key,0)),$D9)&lt;&gt;"",IF($D9="",INDEX(primary_jama_2018_17075_disposition,MATCH($A9,primary_jama_2018_17075_key,0)),$D9)&lt;&gt;"retain"),NOT(OR(IF($E9="",INDEX(primary_jama_2018_17075_domain,MATCH($A9,primary_jama_2018_17075_key,0)),$E9)="protocol_report"))),L9&lt;&gt;"",L9&lt;&gt;"not_applicable")),"CLEAR INACTIVE VALUES",IF(O9="","PENDING",IF(AND(O9&lt;&gt;"agree",LEN(TRIM(P9))=0),"COMMENT NEEDED",IF(F9="yes","CHECKED - see resolution","DRAFT"))))</f>
        <v/>
      </c>
      <c r="H9" s="8">
        <f>IF(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not_applicable","")</f>
        <v/>
      </c>
      <c r="I9" s="8">
        <f>IF(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not_applicable","")</f>
        <v/>
      </c>
      <c r="J9" s="9">
        <f>IF(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not_applicable","")</f>
        <v/>
      </c>
      <c r="K9" s="8">
        <f>IF(OR(AND(IF($D9="",INDEX(primary_jama_2018_17075_disposition,MATCH($A9,primary_jama_2018_17075_key,0)),$D9)&lt;&gt;"",IF($D9="",INDEX(primary_jama_2018_17075_disposition,MATCH($A9,primary_jama_2018_17075_key,0)),$D9)&lt;&gt;"retain"),NOT(OR(IF($E9="",INDEX(primary_jama_2018_17075_domain,MATCH($A9,primary_jama_2018_17075_key,0)),$E9)="internal_nonstatistical",IF($E9="",INDEX(primary_jama_2018_17075_domain,MATCH($A9,primary_jama_2018_17075_key,0)),$E9)="plan_material"))),"not_applicable","")</f>
        <v/>
      </c>
      <c r="L9" s="9">
        <f>IF(OR(AND(IF($D9="",INDEX(primary_jama_2018_17075_disposition,MATCH($A9,primary_jama_2018_17075_key,0)),$D9)&lt;&gt;"",IF($D9="",INDEX(primary_jama_2018_17075_disposition,MATCH($A9,primary_jama_2018_17075_key,0)),$D9)&lt;&gt;"retain"),NOT(OR(IF($E9="",INDEX(primary_jama_2018_17075_domain,MATCH($A9,primary_jama_2018_17075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
    <cfRule type="expression" priority="1" dxfId="0" stopIfTrue="1">
      <formula>AND(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H2&lt;&gt;"",H2&lt;&gt;"not_applicable")</formula>
    </cfRule>
    <cfRule type="expression" priority="2" dxfId="1">
      <formula>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formula>
    </cfRule>
  </conditionalFormatting>
  <conditionalFormatting sqref="H3">
    <cfRule type="expression" priority="3" dxfId="0" stopIfTrue="1">
      <formula>AND(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H3&lt;&gt;"",H3&lt;&gt;"not_applicable")</formula>
    </cfRule>
    <cfRule type="expression" priority="4" dxfId="1">
      <formula>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formula>
    </cfRule>
  </conditionalFormatting>
  <conditionalFormatting sqref="H4">
    <cfRule type="expression" priority="5" dxfId="0" stopIfTrue="1">
      <formula>AND(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H4&lt;&gt;"",H4&lt;&gt;"not_applicable")</formula>
    </cfRule>
    <cfRule type="expression" priority="6" dxfId="1">
      <formula>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formula>
    </cfRule>
  </conditionalFormatting>
  <conditionalFormatting sqref="H5">
    <cfRule type="expression" priority="7" dxfId="0" stopIfTrue="1">
      <formula>AND(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H5&lt;&gt;"",H5&lt;&gt;"not_applicable")</formula>
    </cfRule>
    <cfRule type="expression" priority="8" dxfId="1">
      <formula>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formula>
    </cfRule>
  </conditionalFormatting>
  <conditionalFormatting sqref="H6">
    <cfRule type="expression" priority="9" dxfId="0" stopIfTrue="1">
      <formula>AND(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H6&lt;&gt;"",H6&lt;&gt;"not_applicable")</formula>
    </cfRule>
    <cfRule type="expression" priority="10" dxfId="1">
      <formula>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formula>
    </cfRule>
  </conditionalFormatting>
  <conditionalFormatting sqref="H7">
    <cfRule type="expression" priority="11" dxfId="0" stopIfTrue="1">
      <formula>AND(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H7&lt;&gt;"",H7&lt;&gt;"not_applicable")</formula>
    </cfRule>
    <cfRule type="expression" priority="12" dxfId="1">
      <formula>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formula>
    </cfRule>
  </conditionalFormatting>
  <conditionalFormatting sqref="H8">
    <cfRule type="expression" priority="13" dxfId="0" stopIfTrue="1">
      <formula>AND(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H8&lt;&gt;"",H8&lt;&gt;"not_applicable")</formula>
    </cfRule>
    <cfRule type="expression" priority="14" dxfId="1">
      <formula>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formula>
    </cfRule>
  </conditionalFormatting>
  <conditionalFormatting sqref="H9">
    <cfRule type="expression" priority="15" dxfId="0" stopIfTrue="1">
      <formula>AND(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H9&lt;&gt;"",H9&lt;&gt;"not_applicable")</formula>
    </cfRule>
    <cfRule type="expression" priority="16" dxfId="1">
      <formula>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formula>
    </cfRule>
  </conditionalFormatting>
  <conditionalFormatting sqref="I2">
    <cfRule type="expression" priority="17" dxfId="0" stopIfTrue="1">
      <formula>AND(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I2&lt;&gt;"",I2&lt;&gt;"not_applicable")</formula>
    </cfRule>
    <cfRule type="expression" priority="18" dxfId="1">
      <formula>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formula>
    </cfRule>
  </conditionalFormatting>
  <conditionalFormatting sqref="I3">
    <cfRule type="expression" priority="19" dxfId="0" stopIfTrue="1">
      <formula>AND(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I3&lt;&gt;"",I3&lt;&gt;"not_applicable")</formula>
    </cfRule>
    <cfRule type="expression" priority="20" dxfId="1">
      <formula>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formula>
    </cfRule>
  </conditionalFormatting>
  <conditionalFormatting sqref="I4">
    <cfRule type="expression" priority="21" dxfId="0" stopIfTrue="1">
      <formula>AND(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I4&lt;&gt;"",I4&lt;&gt;"not_applicable")</formula>
    </cfRule>
    <cfRule type="expression" priority="22" dxfId="1">
      <formula>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formula>
    </cfRule>
  </conditionalFormatting>
  <conditionalFormatting sqref="I5">
    <cfRule type="expression" priority="23" dxfId="0" stopIfTrue="1">
      <formula>AND(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I5&lt;&gt;"",I5&lt;&gt;"not_applicable")</formula>
    </cfRule>
    <cfRule type="expression" priority="24" dxfId="1">
      <formula>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formula>
    </cfRule>
  </conditionalFormatting>
  <conditionalFormatting sqref="I6">
    <cfRule type="expression" priority="25" dxfId="0" stopIfTrue="1">
      <formula>AND(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I6&lt;&gt;"",I6&lt;&gt;"not_applicable")</formula>
    </cfRule>
    <cfRule type="expression" priority="26" dxfId="1">
      <formula>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formula>
    </cfRule>
  </conditionalFormatting>
  <conditionalFormatting sqref="I7">
    <cfRule type="expression" priority="27" dxfId="0" stopIfTrue="1">
      <formula>AND(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I7&lt;&gt;"",I7&lt;&gt;"not_applicable")</formula>
    </cfRule>
    <cfRule type="expression" priority="28" dxfId="1">
      <formula>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formula>
    </cfRule>
  </conditionalFormatting>
  <conditionalFormatting sqref="I8">
    <cfRule type="expression" priority="29" dxfId="0" stopIfTrue="1">
      <formula>AND(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I8&lt;&gt;"",I8&lt;&gt;"not_applicable")</formula>
    </cfRule>
    <cfRule type="expression" priority="30" dxfId="1">
      <formula>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formula>
    </cfRule>
  </conditionalFormatting>
  <conditionalFormatting sqref="I9">
    <cfRule type="expression" priority="31" dxfId="0" stopIfTrue="1">
      <formula>AND(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I9&lt;&gt;"",I9&lt;&gt;"not_applicable")</formula>
    </cfRule>
    <cfRule type="expression" priority="32" dxfId="1">
      <formula>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formula>
    </cfRule>
  </conditionalFormatting>
  <conditionalFormatting sqref="J2">
    <cfRule type="expression" priority="33" dxfId="0" stopIfTrue="1">
      <formula>AND(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J2&lt;&gt;"",J2&lt;&gt;"not_applicable")</formula>
    </cfRule>
    <cfRule type="expression" priority="34" dxfId="1">
      <formula>OR(AND(IF($D2="",INDEX(primary_jama_2018_17075_disposition,MATCH($A2,primary_jama_2018_17075_key,0)),$D2)&lt;&gt;"",IF($D2="",INDEX(primary_jama_2018_17075_disposition,MATCH($A2,primary_jama_2018_17075_key,0)),$D2)&lt;&gt;"retain"),NOT(OR(IF($E2="",INDEX(primary_jama_2018_17075_domain,MATCH($A2,primary_jama_2018_17075_key,0)),$E2)="statistical_results")))</formula>
    </cfRule>
  </conditionalFormatting>
  <conditionalFormatting sqref="J3">
    <cfRule type="expression" priority="35" dxfId="0" stopIfTrue="1">
      <formula>AND(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J3&lt;&gt;"",J3&lt;&gt;"not_applicable")</formula>
    </cfRule>
    <cfRule type="expression" priority="36" dxfId="1">
      <formula>OR(AND(IF($D3="",INDEX(primary_jama_2018_17075_disposition,MATCH($A3,primary_jama_2018_17075_key,0)),$D3)&lt;&gt;"",IF($D3="",INDEX(primary_jama_2018_17075_disposition,MATCH($A3,primary_jama_2018_17075_key,0)),$D3)&lt;&gt;"retain"),NOT(OR(IF($E3="",INDEX(primary_jama_2018_17075_domain,MATCH($A3,primary_jama_2018_17075_key,0)),$E3)="statistical_results")))</formula>
    </cfRule>
  </conditionalFormatting>
  <conditionalFormatting sqref="J4">
    <cfRule type="expression" priority="37" dxfId="0" stopIfTrue="1">
      <formula>AND(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J4&lt;&gt;"",J4&lt;&gt;"not_applicable")</formula>
    </cfRule>
    <cfRule type="expression" priority="38" dxfId="1">
      <formula>OR(AND(IF($D4="",INDEX(primary_jama_2018_17075_disposition,MATCH($A4,primary_jama_2018_17075_key,0)),$D4)&lt;&gt;"",IF($D4="",INDEX(primary_jama_2018_17075_disposition,MATCH($A4,primary_jama_2018_17075_key,0)),$D4)&lt;&gt;"retain"),NOT(OR(IF($E4="",INDEX(primary_jama_2018_17075_domain,MATCH($A4,primary_jama_2018_17075_key,0)),$E4)="statistical_results")))</formula>
    </cfRule>
  </conditionalFormatting>
  <conditionalFormatting sqref="J5">
    <cfRule type="expression" priority="39" dxfId="0" stopIfTrue="1">
      <formula>AND(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J5&lt;&gt;"",J5&lt;&gt;"not_applicable")</formula>
    </cfRule>
    <cfRule type="expression" priority="40" dxfId="1">
      <formula>OR(AND(IF($D5="",INDEX(primary_jama_2018_17075_disposition,MATCH($A5,primary_jama_2018_17075_key,0)),$D5)&lt;&gt;"",IF($D5="",INDEX(primary_jama_2018_17075_disposition,MATCH($A5,primary_jama_2018_17075_key,0)),$D5)&lt;&gt;"retain"),NOT(OR(IF($E5="",INDEX(primary_jama_2018_17075_domain,MATCH($A5,primary_jama_2018_17075_key,0)),$E5)="statistical_results")))</formula>
    </cfRule>
  </conditionalFormatting>
  <conditionalFormatting sqref="J6">
    <cfRule type="expression" priority="41" dxfId="0" stopIfTrue="1">
      <formula>AND(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J6&lt;&gt;"",J6&lt;&gt;"not_applicable")</formula>
    </cfRule>
    <cfRule type="expression" priority="42" dxfId="1">
      <formula>OR(AND(IF($D6="",INDEX(primary_jama_2018_17075_disposition,MATCH($A6,primary_jama_2018_17075_key,0)),$D6)&lt;&gt;"",IF($D6="",INDEX(primary_jama_2018_17075_disposition,MATCH($A6,primary_jama_2018_17075_key,0)),$D6)&lt;&gt;"retain"),NOT(OR(IF($E6="",INDEX(primary_jama_2018_17075_domain,MATCH($A6,primary_jama_2018_17075_key,0)),$E6)="statistical_results")))</formula>
    </cfRule>
  </conditionalFormatting>
  <conditionalFormatting sqref="J7">
    <cfRule type="expression" priority="43" dxfId="0" stopIfTrue="1">
      <formula>AND(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J7&lt;&gt;"",J7&lt;&gt;"not_applicable")</formula>
    </cfRule>
    <cfRule type="expression" priority="44" dxfId="1">
      <formula>OR(AND(IF($D7="",INDEX(primary_jama_2018_17075_disposition,MATCH($A7,primary_jama_2018_17075_key,0)),$D7)&lt;&gt;"",IF($D7="",INDEX(primary_jama_2018_17075_disposition,MATCH($A7,primary_jama_2018_17075_key,0)),$D7)&lt;&gt;"retain"),NOT(OR(IF($E7="",INDEX(primary_jama_2018_17075_domain,MATCH($A7,primary_jama_2018_17075_key,0)),$E7)="statistical_results")))</formula>
    </cfRule>
  </conditionalFormatting>
  <conditionalFormatting sqref="J8">
    <cfRule type="expression" priority="45" dxfId="0" stopIfTrue="1">
      <formula>AND(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J8&lt;&gt;"",J8&lt;&gt;"not_applicable")</formula>
    </cfRule>
    <cfRule type="expression" priority="46" dxfId="1">
      <formula>OR(AND(IF($D8="",INDEX(primary_jama_2018_17075_disposition,MATCH($A8,primary_jama_2018_17075_key,0)),$D8)&lt;&gt;"",IF($D8="",INDEX(primary_jama_2018_17075_disposition,MATCH($A8,primary_jama_2018_17075_key,0)),$D8)&lt;&gt;"retain"),NOT(OR(IF($E8="",INDEX(primary_jama_2018_17075_domain,MATCH($A8,primary_jama_2018_17075_key,0)),$E8)="statistical_results")))</formula>
    </cfRule>
  </conditionalFormatting>
  <conditionalFormatting sqref="J9">
    <cfRule type="expression" priority="47" dxfId="0" stopIfTrue="1">
      <formula>AND(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J9&lt;&gt;"",J9&lt;&gt;"not_applicable")</formula>
    </cfRule>
    <cfRule type="expression" priority="48" dxfId="1">
      <formula>OR(AND(IF($D9="",INDEX(primary_jama_2018_17075_disposition,MATCH($A9,primary_jama_2018_17075_key,0)),$D9)&lt;&gt;"",IF($D9="",INDEX(primary_jama_2018_17075_disposition,MATCH($A9,primary_jama_2018_17075_key,0)),$D9)&lt;&gt;"retain"),NOT(OR(IF($E9="",INDEX(primary_jama_2018_17075_domain,MATCH($A9,primary_jama_2018_17075_key,0)),$E9)="statistical_results")))</formula>
    </cfRule>
  </conditionalFormatting>
  <conditionalFormatting sqref="K2">
    <cfRule type="expression" priority="49" dxfId="0" stopIfTrue="1">
      <formula>AND(OR(AND(IF($D2="",INDEX(primary_jama_2018_17075_disposition,MATCH($A2,primary_jama_2018_17075_key,0)),$D2)&lt;&gt;"",IF($D2="",INDEX(primary_jama_2018_17075_disposition,MATCH($A2,primary_jama_2018_17075_key,0)),$D2)&lt;&gt;"retain"),NOT(OR(IF($E2="",INDEX(primary_jama_2018_17075_domain,MATCH($A2,primary_jama_2018_17075_key,0)),$E2)="internal_nonstatistical",IF($E2="",INDEX(primary_jama_2018_17075_domain,MATCH($A2,primary_jama_2018_17075_key,0)),$E2)="plan_material"))),K2&lt;&gt;"",K2&lt;&gt;"not_applicable")</formula>
    </cfRule>
    <cfRule type="expression" priority="50" dxfId="1">
      <formula>OR(AND(IF($D2="",INDEX(primary_jama_2018_17075_disposition,MATCH($A2,primary_jama_2018_17075_key,0)),$D2)&lt;&gt;"",IF($D2="",INDEX(primary_jama_2018_17075_disposition,MATCH($A2,primary_jama_2018_17075_key,0)),$D2)&lt;&gt;"retain"),NOT(OR(IF($E2="",INDEX(primary_jama_2018_17075_domain,MATCH($A2,primary_jama_2018_17075_key,0)),$E2)="internal_nonstatistical",IF($E2="",INDEX(primary_jama_2018_17075_domain,MATCH($A2,primary_jama_2018_17075_key,0)),$E2)="plan_material")))</formula>
    </cfRule>
  </conditionalFormatting>
  <conditionalFormatting sqref="K3">
    <cfRule type="expression" priority="51" dxfId="0" stopIfTrue="1">
      <formula>AND(OR(AND(IF($D3="",INDEX(primary_jama_2018_17075_disposition,MATCH($A3,primary_jama_2018_17075_key,0)),$D3)&lt;&gt;"",IF($D3="",INDEX(primary_jama_2018_17075_disposition,MATCH($A3,primary_jama_2018_17075_key,0)),$D3)&lt;&gt;"retain"),NOT(OR(IF($E3="",INDEX(primary_jama_2018_17075_domain,MATCH($A3,primary_jama_2018_17075_key,0)),$E3)="internal_nonstatistical",IF($E3="",INDEX(primary_jama_2018_17075_domain,MATCH($A3,primary_jama_2018_17075_key,0)),$E3)="plan_material"))),K3&lt;&gt;"",K3&lt;&gt;"not_applicable")</formula>
    </cfRule>
    <cfRule type="expression" priority="52" dxfId="1">
      <formula>OR(AND(IF($D3="",INDEX(primary_jama_2018_17075_disposition,MATCH($A3,primary_jama_2018_17075_key,0)),$D3)&lt;&gt;"",IF($D3="",INDEX(primary_jama_2018_17075_disposition,MATCH($A3,primary_jama_2018_17075_key,0)),$D3)&lt;&gt;"retain"),NOT(OR(IF($E3="",INDEX(primary_jama_2018_17075_domain,MATCH($A3,primary_jama_2018_17075_key,0)),$E3)="internal_nonstatistical",IF($E3="",INDEX(primary_jama_2018_17075_domain,MATCH($A3,primary_jama_2018_17075_key,0)),$E3)="plan_material")))</formula>
    </cfRule>
  </conditionalFormatting>
  <conditionalFormatting sqref="K4">
    <cfRule type="expression" priority="53" dxfId="0" stopIfTrue="1">
      <formula>AND(OR(AND(IF($D4="",INDEX(primary_jama_2018_17075_disposition,MATCH($A4,primary_jama_2018_17075_key,0)),$D4)&lt;&gt;"",IF($D4="",INDEX(primary_jama_2018_17075_disposition,MATCH($A4,primary_jama_2018_17075_key,0)),$D4)&lt;&gt;"retain"),NOT(OR(IF($E4="",INDEX(primary_jama_2018_17075_domain,MATCH($A4,primary_jama_2018_17075_key,0)),$E4)="internal_nonstatistical",IF($E4="",INDEX(primary_jama_2018_17075_domain,MATCH($A4,primary_jama_2018_17075_key,0)),$E4)="plan_material"))),K4&lt;&gt;"",K4&lt;&gt;"not_applicable")</formula>
    </cfRule>
    <cfRule type="expression" priority="54" dxfId="1">
      <formula>OR(AND(IF($D4="",INDEX(primary_jama_2018_17075_disposition,MATCH($A4,primary_jama_2018_17075_key,0)),$D4)&lt;&gt;"",IF($D4="",INDEX(primary_jama_2018_17075_disposition,MATCH($A4,primary_jama_2018_17075_key,0)),$D4)&lt;&gt;"retain"),NOT(OR(IF($E4="",INDEX(primary_jama_2018_17075_domain,MATCH($A4,primary_jama_2018_17075_key,0)),$E4)="internal_nonstatistical",IF($E4="",INDEX(primary_jama_2018_17075_domain,MATCH($A4,primary_jama_2018_17075_key,0)),$E4)="plan_material")))</formula>
    </cfRule>
  </conditionalFormatting>
  <conditionalFormatting sqref="K5">
    <cfRule type="expression" priority="55" dxfId="0" stopIfTrue="1">
      <formula>AND(OR(AND(IF($D5="",INDEX(primary_jama_2018_17075_disposition,MATCH($A5,primary_jama_2018_17075_key,0)),$D5)&lt;&gt;"",IF($D5="",INDEX(primary_jama_2018_17075_disposition,MATCH($A5,primary_jama_2018_17075_key,0)),$D5)&lt;&gt;"retain"),NOT(OR(IF($E5="",INDEX(primary_jama_2018_17075_domain,MATCH($A5,primary_jama_2018_17075_key,0)),$E5)="internal_nonstatistical",IF($E5="",INDEX(primary_jama_2018_17075_domain,MATCH($A5,primary_jama_2018_17075_key,0)),$E5)="plan_material"))),K5&lt;&gt;"",K5&lt;&gt;"not_applicable")</formula>
    </cfRule>
    <cfRule type="expression" priority="56" dxfId="1">
      <formula>OR(AND(IF($D5="",INDEX(primary_jama_2018_17075_disposition,MATCH($A5,primary_jama_2018_17075_key,0)),$D5)&lt;&gt;"",IF($D5="",INDEX(primary_jama_2018_17075_disposition,MATCH($A5,primary_jama_2018_17075_key,0)),$D5)&lt;&gt;"retain"),NOT(OR(IF($E5="",INDEX(primary_jama_2018_17075_domain,MATCH($A5,primary_jama_2018_17075_key,0)),$E5)="internal_nonstatistical",IF($E5="",INDEX(primary_jama_2018_17075_domain,MATCH($A5,primary_jama_2018_17075_key,0)),$E5)="plan_material")))</formula>
    </cfRule>
  </conditionalFormatting>
  <conditionalFormatting sqref="K6">
    <cfRule type="expression" priority="57" dxfId="0" stopIfTrue="1">
      <formula>AND(OR(AND(IF($D6="",INDEX(primary_jama_2018_17075_disposition,MATCH($A6,primary_jama_2018_17075_key,0)),$D6)&lt;&gt;"",IF($D6="",INDEX(primary_jama_2018_17075_disposition,MATCH($A6,primary_jama_2018_17075_key,0)),$D6)&lt;&gt;"retain"),NOT(OR(IF($E6="",INDEX(primary_jama_2018_17075_domain,MATCH($A6,primary_jama_2018_17075_key,0)),$E6)="internal_nonstatistical",IF($E6="",INDEX(primary_jama_2018_17075_domain,MATCH($A6,primary_jama_2018_17075_key,0)),$E6)="plan_material"))),K6&lt;&gt;"",K6&lt;&gt;"not_applicable")</formula>
    </cfRule>
    <cfRule type="expression" priority="58" dxfId="1">
      <formula>OR(AND(IF($D6="",INDEX(primary_jama_2018_17075_disposition,MATCH($A6,primary_jama_2018_17075_key,0)),$D6)&lt;&gt;"",IF($D6="",INDEX(primary_jama_2018_17075_disposition,MATCH($A6,primary_jama_2018_17075_key,0)),$D6)&lt;&gt;"retain"),NOT(OR(IF($E6="",INDEX(primary_jama_2018_17075_domain,MATCH($A6,primary_jama_2018_17075_key,0)),$E6)="internal_nonstatistical",IF($E6="",INDEX(primary_jama_2018_17075_domain,MATCH($A6,primary_jama_2018_17075_key,0)),$E6)="plan_material")))</formula>
    </cfRule>
  </conditionalFormatting>
  <conditionalFormatting sqref="K7">
    <cfRule type="expression" priority="59" dxfId="0" stopIfTrue="1">
      <formula>AND(OR(AND(IF($D7="",INDEX(primary_jama_2018_17075_disposition,MATCH($A7,primary_jama_2018_17075_key,0)),$D7)&lt;&gt;"",IF($D7="",INDEX(primary_jama_2018_17075_disposition,MATCH($A7,primary_jama_2018_17075_key,0)),$D7)&lt;&gt;"retain"),NOT(OR(IF($E7="",INDEX(primary_jama_2018_17075_domain,MATCH($A7,primary_jama_2018_17075_key,0)),$E7)="internal_nonstatistical",IF($E7="",INDEX(primary_jama_2018_17075_domain,MATCH($A7,primary_jama_2018_17075_key,0)),$E7)="plan_material"))),K7&lt;&gt;"",K7&lt;&gt;"not_applicable")</formula>
    </cfRule>
    <cfRule type="expression" priority="60" dxfId="1">
      <formula>OR(AND(IF($D7="",INDEX(primary_jama_2018_17075_disposition,MATCH($A7,primary_jama_2018_17075_key,0)),$D7)&lt;&gt;"",IF($D7="",INDEX(primary_jama_2018_17075_disposition,MATCH($A7,primary_jama_2018_17075_key,0)),$D7)&lt;&gt;"retain"),NOT(OR(IF($E7="",INDEX(primary_jama_2018_17075_domain,MATCH($A7,primary_jama_2018_17075_key,0)),$E7)="internal_nonstatistical",IF($E7="",INDEX(primary_jama_2018_17075_domain,MATCH($A7,primary_jama_2018_17075_key,0)),$E7)="plan_material")))</formula>
    </cfRule>
  </conditionalFormatting>
  <conditionalFormatting sqref="K8">
    <cfRule type="expression" priority="61" dxfId="0" stopIfTrue="1">
      <formula>AND(OR(AND(IF($D8="",INDEX(primary_jama_2018_17075_disposition,MATCH($A8,primary_jama_2018_17075_key,0)),$D8)&lt;&gt;"",IF($D8="",INDEX(primary_jama_2018_17075_disposition,MATCH($A8,primary_jama_2018_17075_key,0)),$D8)&lt;&gt;"retain"),NOT(OR(IF($E8="",INDEX(primary_jama_2018_17075_domain,MATCH($A8,primary_jama_2018_17075_key,0)),$E8)="internal_nonstatistical",IF($E8="",INDEX(primary_jama_2018_17075_domain,MATCH($A8,primary_jama_2018_17075_key,0)),$E8)="plan_material"))),K8&lt;&gt;"",K8&lt;&gt;"not_applicable")</formula>
    </cfRule>
    <cfRule type="expression" priority="62" dxfId="1">
      <formula>OR(AND(IF($D8="",INDEX(primary_jama_2018_17075_disposition,MATCH($A8,primary_jama_2018_17075_key,0)),$D8)&lt;&gt;"",IF($D8="",INDEX(primary_jama_2018_17075_disposition,MATCH($A8,primary_jama_2018_17075_key,0)),$D8)&lt;&gt;"retain"),NOT(OR(IF($E8="",INDEX(primary_jama_2018_17075_domain,MATCH($A8,primary_jama_2018_17075_key,0)),$E8)="internal_nonstatistical",IF($E8="",INDEX(primary_jama_2018_17075_domain,MATCH($A8,primary_jama_2018_17075_key,0)),$E8)="plan_material")))</formula>
    </cfRule>
  </conditionalFormatting>
  <conditionalFormatting sqref="K9">
    <cfRule type="expression" priority="63" dxfId="0" stopIfTrue="1">
      <formula>AND(OR(AND(IF($D9="",INDEX(primary_jama_2018_17075_disposition,MATCH($A9,primary_jama_2018_17075_key,0)),$D9)&lt;&gt;"",IF($D9="",INDEX(primary_jama_2018_17075_disposition,MATCH($A9,primary_jama_2018_17075_key,0)),$D9)&lt;&gt;"retain"),NOT(OR(IF($E9="",INDEX(primary_jama_2018_17075_domain,MATCH($A9,primary_jama_2018_17075_key,0)),$E9)="internal_nonstatistical",IF($E9="",INDEX(primary_jama_2018_17075_domain,MATCH($A9,primary_jama_2018_17075_key,0)),$E9)="plan_material"))),K9&lt;&gt;"",K9&lt;&gt;"not_applicable")</formula>
    </cfRule>
    <cfRule type="expression" priority="64" dxfId="1">
      <formula>OR(AND(IF($D9="",INDEX(primary_jama_2018_17075_disposition,MATCH($A9,primary_jama_2018_17075_key,0)),$D9)&lt;&gt;"",IF($D9="",INDEX(primary_jama_2018_17075_disposition,MATCH($A9,primary_jama_2018_17075_key,0)),$D9)&lt;&gt;"retain"),NOT(OR(IF($E9="",INDEX(primary_jama_2018_17075_domain,MATCH($A9,primary_jama_2018_17075_key,0)),$E9)="internal_nonstatistical",IF($E9="",INDEX(primary_jama_2018_17075_domain,MATCH($A9,primary_jama_2018_17075_key,0)),$E9)="plan_material")))</formula>
    </cfRule>
  </conditionalFormatting>
  <conditionalFormatting sqref="L2">
    <cfRule type="expression" priority="65" dxfId="0" stopIfTrue="1">
      <formula>AND(OR(AND(IF($D2="",INDEX(primary_jama_2018_17075_disposition,MATCH($A2,primary_jama_2018_17075_key,0)),$D2)&lt;&gt;"",IF($D2="",INDEX(primary_jama_2018_17075_disposition,MATCH($A2,primary_jama_2018_17075_key,0)),$D2)&lt;&gt;"retain"),NOT(OR(IF($E2="",INDEX(primary_jama_2018_17075_domain,MATCH($A2,primary_jama_2018_17075_key,0)),$E2)="protocol_report"))),L2&lt;&gt;"",L2&lt;&gt;"not_applicable")</formula>
    </cfRule>
    <cfRule type="expression" priority="66" dxfId="1">
      <formula>OR(AND(IF($D2="",INDEX(primary_jama_2018_17075_disposition,MATCH($A2,primary_jama_2018_17075_key,0)),$D2)&lt;&gt;"",IF($D2="",INDEX(primary_jama_2018_17075_disposition,MATCH($A2,primary_jama_2018_17075_key,0)),$D2)&lt;&gt;"retain"),NOT(OR(IF($E2="",INDEX(primary_jama_2018_17075_domain,MATCH($A2,primary_jama_2018_17075_key,0)),$E2)="protocol_report")))</formula>
    </cfRule>
  </conditionalFormatting>
  <conditionalFormatting sqref="L3">
    <cfRule type="expression" priority="67" dxfId="0" stopIfTrue="1">
      <formula>AND(OR(AND(IF($D3="",INDEX(primary_jama_2018_17075_disposition,MATCH($A3,primary_jama_2018_17075_key,0)),$D3)&lt;&gt;"",IF($D3="",INDEX(primary_jama_2018_17075_disposition,MATCH($A3,primary_jama_2018_17075_key,0)),$D3)&lt;&gt;"retain"),NOT(OR(IF($E3="",INDEX(primary_jama_2018_17075_domain,MATCH($A3,primary_jama_2018_17075_key,0)),$E3)="protocol_report"))),L3&lt;&gt;"",L3&lt;&gt;"not_applicable")</formula>
    </cfRule>
    <cfRule type="expression" priority="68" dxfId="1">
      <formula>OR(AND(IF($D3="",INDEX(primary_jama_2018_17075_disposition,MATCH($A3,primary_jama_2018_17075_key,0)),$D3)&lt;&gt;"",IF($D3="",INDEX(primary_jama_2018_17075_disposition,MATCH($A3,primary_jama_2018_17075_key,0)),$D3)&lt;&gt;"retain"),NOT(OR(IF($E3="",INDEX(primary_jama_2018_17075_domain,MATCH($A3,primary_jama_2018_17075_key,0)),$E3)="protocol_report")))</formula>
    </cfRule>
  </conditionalFormatting>
  <conditionalFormatting sqref="L4">
    <cfRule type="expression" priority="69" dxfId="0" stopIfTrue="1">
      <formula>AND(OR(AND(IF($D4="",INDEX(primary_jama_2018_17075_disposition,MATCH($A4,primary_jama_2018_17075_key,0)),$D4)&lt;&gt;"",IF($D4="",INDEX(primary_jama_2018_17075_disposition,MATCH($A4,primary_jama_2018_17075_key,0)),$D4)&lt;&gt;"retain"),NOT(OR(IF($E4="",INDEX(primary_jama_2018_17075_domain,MATCH($A4,primary_jama_2018_17075_key,0)),$E4)="protocol_report"))),L4&lt;&gt;"",L4&lt;&gt;"not_applicable")</formula>
    </cfRule>
    <cfRule type="expression" priority="70" dxfId="1">
      <formula>OR(AND(IF($D4="",INDEX(primary_jama_2018_17075_disposition,MATCH($A4,primary_jama_2018_17075_key,0)),$D4)&lt;&gt;"",IF($D4="",INDEX(primary_jama_2018_17075_disposition,MATCH($A4,primary_jama_2018_17075_key,0)),$D4)&lt;&gt;"retain"),NOT(OR(IF($E4="",INDEX(primary_jama_2018_17075_domain,MATCH($A4,primary_jama_2018_17075_key,0)),$E4)="protocol_report")))</formula>
    </cfRule>
  </conditionalFormatting>
  <conditionalFormatting sqref="L5">
    <cfRule type="expression" priority="71" dxfId="0" stopIfTrue="1">
      <formula>AND(OR(AND(IF($D5="",INDEX(primary_jama_2018_17075_disposition,MATCH($A5,primary_jama_2018_17075_key,0)),$D5)&lt;&gt;"",IF($D5="",INDEX(primary_jama_2018_17075_disposition,MATCH($A5,primary_jama_2018_17075_key,0)),$D5)&lt;&gt;"retain"),NOT(OR(IF($E5="",INDEX(primary_jama_2018_17075_domain,MATCH($A5,primary_jama_2018_17075_key,0)),$E5)="protocol_report"))),L5&lt;&gt;"",L5&lt;&gt;"not_applicable")</formula>
    </cfRule>
    <cfRule type="expression" priority="72" dxfId="1">
      <formula>OR(AND(IF($D5="",INDEX(primary_jama_2018_17075_disposition,MATCH($A5,primary_jama_2018_17075_key,0)),$D5)&lt;&gt;"",IF($D5="",INDEX(primary_jama_2018_17075_disposition,MATCH($A5,primary_jama_2018_17075_key,0)),$D5)&lt;&gt;"retain"),NOT(OR(IF($E5="",INDEX(primary_jama_2018_17075_domain,MATCH($A5,primary_jama_2018_17075_key,0)),$E5)="protocol_report")))</formula>
    </cfRule>
  </conditionalFormatting>
  <conditionalFormatting sqref="L6">
    <cfRule type="expression" priority="73" dxfId="0" stopIfTrue="1">
      <formula>AND(OR(AND(IF($D6="",INDEX(primary_jama_2018_17075_disposition,MATCH($A6,primary_jama_2018_17075_key,0)),$D6)&lt;&gt;"",IF($D6="",INDEX(primary_jama_2018_17075_disposition,MATCH($A6,primary_jama_2018_17075_key,0)),$D6)&lt;&gt;"retain"),NOT(OR(IF($E6="",INDEX(primary_jama_2018_17075_domain,MATCH($A6,primary_jama_2018_17075_key,0)),$E6)="protocol_report"))),L6&lt;&gt;"",L6&lt;&gt;"not_applicable")</formula>
    </cfRule>
    <cfRule type="expression" priority="74" dxfId="1">
      <formula>OR(AND(IF($D6="",INDEX(primary_jama_2018_17075_disposition,MATCH($A6,primary_jama_2018_17075_key,0)),$D6)&lt;&gt;"",IF($D6="",INDEX(primary_jama_2018_17075_disposition,MATCH($A6,primary_jama_2018_17075_key,0)),$D6)&lt;&gt;"retain"),NOT(OR(IF($E6="",INDEX(primary_jama_2018_17075_domain,MATCH($A6,primary_jama_2018_17075_key,0)),$E6)="protocol_report")))</formula>
    </cfRule>
  </conditionalFormatting>
  <conditionalFormatting sqref="L7">
    <cfRule type="expression" priority="75" dxfId="0" stopIfTrue="1">
      <formula>AND(OR(AND(IF($D7="",INDEX(primary_jama_2018_17075_disposition,MATCH($A7,primary_jama_2018_17075_key,0)),$D7)&lt;&gt;"",IF($D7="",INDEX(primary_jama_2018_17075_disposition,MATCH($A7,primary_jama_2018_17075_key,0)),$D7)&lt;&gt;"retain"),NOT(OR(IF($E7="",INDEX(primary_jama_2018_17075_domain,MATCH($A7,primary_jama_2018_17075_key,0)),$E7)="protocol_report"))),L7&lt;&gt;"",L7&lt;&gt;"not_applicable")</formula>
    </cfRule>
    <cfRule type="expression" priority="76" dxfId="1">
      <formula>OR(AND(IF($D7="",INDEX(primary_jama_2018_17075_disposition,MATCH($A7,primary_jama_2018_17075_key,0)),$D7)&lt;&gt;"",IF($D7="",INDEX(primary_jama_2018_17075_disposition,MATCH($A7,primary_jama_2018_17075_key,0)),$D7)&lt;&gt;"retain"),NOT(OR(IF($E7="",INDEX(primary_jama_2018_17075_domain,MATCH($A7,primary_jama_2018_17075_key,0)),$E7)="protocol_report")))</formula>
    </cfRule>
  </conditionalFormatting>
  <conditionalFormatting sqref="L8">
    <cfRule type="expression" priority="77" dxfId="0" stopIfTrue="1">
      <formula>AND(OR(AND(IF($D8="",INDEX(primary_jama_2018_17075_disposition,MATCH($A8,primary_jama_2018_17075_key,0)),$D8)&lt;&gt;"",IF($D8="",INDEX(primary_jama_2018_17075_disposition,MATCH($A8,primary_jama_2018_17075_key,0)),$D8)&lt;&gt;"retain"),NOT(OR(IF($E8="",INDEX(primary_jama_2018_17075_domain,MATCH($A8,primary_jama_2018_17075_key,0)),$E8)="protocol_report"))),L8&lt;&gt;"",L8&lt;&gt;"not_applicable")</formula>
    </cfRule>
    <cfRule type="expression" priority="78" dxfId="1">
      <formula>OR(AND(IF($D8="",INDEX(primary_jama_2018_17075_disposition,MATCH($A8,primary_jama_2018_17075_key,0)),$D8)&lt;&gt;"",IF($D8="",INDEX(primary_jama_2018_17075_disposition,MATCH($A8,primary_jama_2018_17075_key,0)),$D8)&lt;&gt;"retain"),NOT(OR(IF($E8="",INDEX(primary_jama_2018_17075_domain,MATCH($A8,primary_jama_2018_17075_key,0)),$E8)="protocol_report")))</formula>
    </cfRule>
  </conditionalFormatting>
  <conditionalFormatting sqref="L9">
    <cfRule type="expression" priority="79" dxfId="0" stopIfTrue="1">
      <formula>AND(OR(AND(IF($D9="",INDEX(primary_jama_2018_17075_disposition,MATCH($A9,primary_jama_2018_17075_key,0)),$D9)&lt;&gt;"",IF($D9="",INDEX(primary_jama_2018_17075_disposition,MATCH($A9,primary_jama_2018_17075_key,0)),$D9)&lt;&gt;"retain"),NOT(OR(IF($E9="",INDEX(primary_jama_2018_17075_domain,MATCH($A9,primary_jama_2018_17075_key,0)),$E9)="protocol_report"))),L9&lt;&gt;"",L9&lt;&gt;"not_applicable")</formula>
    </cfRule>
    <cfRule type="expression" priority="80" dxfId="1">
      <formula>OR(AND(IF($D9="",INDEX(primary_jama_2018_17075_disposition,MATCH($A9,primary_jama_2018_17075_key,0)),$D9)&lt;&gt;"",IF($D9="",INDEX(primary_jama_2018_17075_disposition,MATCH($A9,primary_jama_2018_17075_key,0)),$D9)&lt;&gt;"retain"),NOT(OR(IF($E9="",INDEX(primary_jama_2018_17075_domain,MATCH($A9,primary_jama_2018_17075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9" showDropDown="0" showInputMessage="1" showErrorMessage="1" allowBlank="1" errorTitle="Invalid option" error="Choose a listed value." promptTitle="Checker result" prompt="See Codebook for meanings." type="list" errorStyle="stop">
      <formula1>opt_checkStatus</formula1>
    </dataValidation>
    <dataValidation sqref="Q2:Q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2018::jama.2018.18020::C001</t>
        </is>
      </c>
      <c r="B2" s="2" t="inlineStr">
        <is>
          <t>Abstract sex percentage conflicts with the enrolled sex count</t>
        </is>
      </c>
      <c r="C2" s="2" t="inlineStr">
        <is>
          <t>jama_stunnenberg_2018_oi_180136.pdf — PDF p. 1, Abstract Results; jama_stunnenberg_2018_oi_180136.pdf — PDF p. 4, Baseline Data.</t>
        </is>
      </c>
      <c r="D2" s="8" t="inlineStr"/>
      <c r="E2" s="8" t="inlineStr"/>
      <c r="F2" s="8" t="inlineStr">
        <is>
          <t>no</t>
        </is>
      </c>
      <c r="G2" s="2">
        <f>IF(OR(AND(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H2&lt;&gt;"",H2&lt;&gt;"not_applicable"),AND(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I2&lt;&gt;"",I2&lt;&gt;"not_applicable"),AND(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J2&lt;&gt;"",J2&lt;&gt;"not_applicable"),AND(OR(AND(IF($D2="",INDEX(primary_jama_2018_18020_disposition,MATCH($A2,primary_jama_2018_18020_key,0)),$D2)&lt;&gt;"",IF($D2="",INDEX(primary_jama_2018_18020_disposition,MATCH($A2,primary_jama_2018_18020_key,0)),$D2)&lt;&gt;"retain"),NOT(OR(IF($E2="",INDEX(primary_jama_2018_18020_domain,MATCH($A2,primary_jama_2018_18020_key,0)),$E2)="internal_nonstatistical",IF($E2="",INDEX(primary_jama_2018_18020_domain,MATCH($A2,primary_jama_2018_18020_key,0)),$E2)="plan_material"))),K2&lt;&gt;"",K2&lt;&gt;"not_applicable"),AND(OR(AND(IF($D2="",INDEX(primary_jama_2018_18020_disposition,MATCH($A2,primary_jama_2018_18020_key,0)),$D2)&lt;&gt;"",IF($D2="",INDEX(primary_jama_2018_18020_disposition,MATCH($A2,primary_jama_2018_18020_key,0)),$D2)&lt;&gt;"retain"),NOT(OR(IF($E2="",INDEX(primary_jama_2018_18020_domain,MATCH($A2,primary_jama_2018_18020_key,0)),$E2)="protocol_report"))),L2&lt;&gt;"",L2&lt;&gt;"not_applicable")),"CLEAR INACTIVE VALUES",IF(O2="","PENDING",IF(AND(O2&lt;&gt;"agree",LEN(TRIM(P2))=0),"COMMENT NEEDED",IF(F2="yes","CHECKED - see resolution","DRAFT"))))</f>
        <v/>
      </c>
      <c r="H2" s="8">
        <f>IF(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not_applicable","")</f>
        <v/>
      </c>
      <c r="I2" s="8">
        <f>IF(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not_applicable","")</f>
        <v/>
      </c>
      <c r="J2" s="9">
        <f>IF(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not_applicable","")</f>
        <v/>
      </c>
      <c r="K2" s="8">
        <f>IF(OR(AND(IF($D2="",INDEX(primary_jama_2018_18020_disposition,MATCH($A2,primary_jama_2018_18020_key,0)),$D2)&lt;&gt;"",IF($D2="",INDEX(primary_jama_2018_18020_disposition,MATCH($A2,primary_jama_2018_18020_key,0)),$D2)&lt;&gt;"retain"),NOT(OR(IF($E2="",INDEX(primary_jama_2018_18020_domain,MATCH($A2,primary_jama_2018_18020_key,0)),$E2)="internal_nonstatistical",IF($E2="",INDEX(primary_jama_2018_18020_domain,MATCH($A2,primary_jama_2018_18020_key,0)),$E2)="plan_material"))),"not_applicable","")</f>
        <v/>
      </c>
      <c r="L2" s="9">
        <f>IF(OR(AND(IF($D2="",INDEX(primary_jama_2018_18020_disposition,MATCH($A2,primary_jama_2018_18020_key,0)),$D2)&lt;&gt;"",IF($D2="",INDEX(primary_jama_2018_18020_disposition,MATCH($A2,primary_jama_2018_18020_key,0)),$D2)&lt;&gt;"retain"),NOT(OR(IF($E2="",INDEX(primary_jama_2018_18020_domain,MATCH($A2,primary_jama_2018_18020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2018::jama.2018.18020::C002</t>
        </is>
      </c>
      <c r="B3" s="3" t="inlineStr">
        <is>
          <t>INQoL IQR endpoints exceed the stated 0-to-100 scale</t>
        </is>
      </c>
      <c r="C3" s="3" t="inlineStr">
        <is>
          <t>jama_stunnenberg_2018_oi_180136.pdf — PDF p. 5, Table 1 and footnote f; jama_stunnenberg_2018_oi_180136.pdf — PDF p. 8, Table 2 footnote g.</t>
        </is>
      </c>
      <c r="D3" s="8" t="inlineStr"/>
      <c r="E3" s="8" t="inlineStr"/>
      <c r="F3" s="8" t="inlineStr">
        <is>
          <t>no</t>
        </is>
      </c>
      <c r="G3" s="3">
        <f>IF(OR(AND(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H3&lt;&gt;"",H3&lt;&gt;"not_applicable"),AND(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I3&lt;&gt;"",I3&lt;&gt;"not_applicable"),AND(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J3&lt;&gt;"",J3&lt;&gt;"not_applicable"),AND(OR(AND(IF($D3="",INDEX(primary_jama_2018_18020_disposition,MATCH($A3,primary_jama_2018_18020_key,0)),$D3)&lt;&gt;"",IF($D3="",INDEX(primary_jama_2018_18020_disposition,MATCH($A3,primary_jama_2018_18020_key,0)),$D3)&lt;&gt;"retain"),NOT(OR(IF($E3="",INDEX(primary_jama_2018_18020_domain,MATCH($A3,primary_jama_2018_18020_key,0)),$E3)="internal_nonstatistical",IF($E3="",INDEX(primary_jama_2018_18020_domain,MATCH($A3,primary_jama_2018_18020_key,0)),$E3)="plan_material"))),K3&lt;&gt;"",K3&lt;&gt;"not_applicable"),AND(OR(AND(IF($D3="",INDEX(primary_jama_2018_18020_disposition,MATCH($A3,primary_jama_2018_18020_key,0)),$D3)&lt;&gt;"",IF($D3="",INDEX(primary_jama_2018_18020_disposition,MATCH($A3,primary_jama_2018_18020_key,0)),$D3)&lt;&gt;"retain"),NOT(OR(IF($E3="",INDEX(primary_jama_2018_18020_domain,MATCH($A3,primary_jama_2018_18020_key,0)),$E3)="protocol_report"))),L3&lt;&gt;"",L3&lt;&gt;"not_applicable")),"CLEAR INACTIVE VALUES",IF(O3="","PENDING",IF(AND(O3&lt;&gt;"agree",LEN(TRIM(P3))=0),"COMMENT NEEDED",IF(F3="yes","CHECKED - see resolution","DRAFT"))))</f>
        <v/>
      </c>
      <c r="H3" s="8">
        <f>IF(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not_applicable","")</f>
        <v/>
      </c>
      <c r="I3" s="8">
        <f>IF(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not_applicable","")</f>
        <v/>
      </c>
      <c r="J3" s="9">
        <f>IF(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not_applicable","")</f>
        <v/>
      </c>
      <c r="K3" s="8">
        <f>IF(OR(AND(IF($D3="",INDEX(primary_jama_2018_18020_disposition,MATCH($A3,primary_jama_2018_18020_key,0)),$D3)&lt;&gt;"",IF($D3="",INDEX(primary_jama_2018_18020_disposition,MATCH($A3,primary_jama_2018_18020_key,0)),$D3)&lt;&gt;"retain"),NOT(OR(IF($E3="",INDEX(primary_jama_2018_18020_domain,MATCH($A3,primary_jama_2018_18020_key,0)),$E3)="internal_nonstatistical",IF($E3="",INDEX(primary_jama_2018_18020_domain,MATCH($A3,primary_jama_2018_18020_key,0)),$E3)="plan_material"))),"not_applicable","")</f>
        <v/>
      </c>
      <c r="L3" s="9">
        <f>IF(OR(AND(IF($D3="",INDEX(primary_jama_2018_18020_disposition,MATCH($A3,primary_jama_2018_18020_key,0)),$D3)&lt;&gt;"",IF($D3="",INDEX(primary_jama_2018_18020_disposition,MATCH($A3,primary_jama_2018_18020_key,0)),$D3)&lt;&gt;"retain"),NOT(OR(IF($E3="",INDEX(primary_jama_2018_18020_domain,MATCH($A3,primary_jama_2018_18020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2018::jama.2018.18020::C003</t>
        </is>
      </c>
      <c r="B4" s="2" t="inlineStr">
        <is>
          <t>Table 2 secondary-outcome contrast header is opposite to the displayed effect signs</t>
        </is>
      </c>
      <c r="C4" s="2" t="inlineStr">
        <is>
          <t>jama_stunnenberg_2018_oi_180136.pdf — PDF p. 7, Table 2 header and change-score rows; jama_stunnenberg_2018_oi_180136.pdf — PDF p. 8, Table 2 footnotes.</t>
        </is>
      </c>
      <c r="D4" s="8" t="inlineStr"/>
      <c r="E4" s="8" t="inlineStr"/>
      <c r="F4" s="8" t="inlineStr">
        <is>
          <t>no</t>
        </is>
      </c>
      <c r="G4" s="2">
        <f>IF(OR(AND(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H4&lt;&gt;"",H4&lt;&gt;"not_applicable"),AND(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I4&lt;&gt;"",I4&lt;&gt;"not_applicable"),AND(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J4&lt;&gt;"",J4&lt;&gt;"not_applicable"),AND(OR(AND(IF($D4="",INDEX(primary_jama_2018_18020_disposition,MATCH($A4,primary_jama_2018_18020_key,0)),$D4)&lt;&gt;"",IF($D4="",INDEX(primary_jama_2018_18020_disposition,MATCH($A4,primary_jama_2018_18020_key,0)),$D4)&lt;&gt;"retain"),NOT(OR(IF($E4="",INDEX(primary_jama_2018_18020_domain,MATCH($A4,primary_jama_2018_18020_key,0)),$E4)="internal_nonstatistical",IF($E4="",INDEX(primary_jama_2018_18020_domain,MATCH($A4,primary_jama_2018_18020_key,0)),$E4)="plan_material"))),K4&lt;&gt;"",K4&lt;&gt;"not_applicable"),AND(OR(AND(IF($D4="",INDEX(primary_jama_2018_18020_disposition,MATCH($A4,primary_jama_2018_18020_key,0)),$D4)&lt;&gt;"",IF($D4="",INDEX(primary_jama_2018_18020_disposition,MATCH($A4,primary_jama_2018_18020_key,0)),$D4)&lt;&gt;"retain"),NOT(OR(IF($E4="",INDEX(primary_jama_2018_18020_domain,MATCH($A4,primary_jama_2018_18020_key,0)),$E4)="protocol_report"))),L4&lt;&gt;"",L4&lt;&gt;"not_applicable")),"CLEAR INACTIVE VALUES",IF(O4="","PENDING",IF(AND(O4&lt;&gt;"agree",LEN(TRIM(P4))=0),"COMMENT NEEDED",IF(F4="yes","CHECKED - see resolution","DRAFT"))))</f>
        <v/>
      </c>
      <c r="H4" s="8">
        <f>IF(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not_applicable","")</f>
        <v/>
      </c>
      <c r="I4" s="8">
        <f>IF(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not_applicable","")</f>
        <v/>
      </c>
      <c r="J4" s="9">
        <f>IF(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not_applicable","")</f>
        <v/>
      </c>
      <c r="K4" s="8">
        <f>IF(OR(AND(IF($D4="",INDEX(primary_jama_2018_18020_disposition,MATCH($A4,primary_jama_2018_18020_key,0)),$D4)&lt;&gt;"",IF($D4="",INDEX(primary_jama_2018_18020_disposition,MATCH($A4,primary_jama_2018_18020_key,0)),$D4)&lt;&gt;"retain"),NOT(OR(IF($E4="",INDEX(primary_jama_2018_18020_domain,MATCH($A4,primary_jama_2018_18020_key,0)),$E4)="internal_nonstatistical",IF($E4="",INDEX(primary_jama_2018_18020_domain,MATCH($A4,primary_jama_2018_18020_key,0)),$E4)="plan_material"))),"not_applicable","")</f>
        <v/>
      </c>
      <c r="L4" s="9">
        <f>IF(OR(AND(IF($D4="",INDEX(primary_jama_2018_18020_disposition,MATCH($A4,primary_jama_2018_18020_key,0)),$D4)&lt;&gt;"",IF($D4="",INDEX(primary_jama_2018_18020_disposition,MATCH($A4,primary_jama_2018_18020_key,0)),$D4)&lt;&gt;"retain"),NOT(OR(IF($E4="",INDEX(primary_jama_2018_18020_domain,MATCH($A4,primary_jama_2018_18020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2018::jama.2018.18020::C004</t>
        </is>
      </c>
      <c r="B5" s="3" t="inlineStr">
        <is>
          <t>Placebo “Any” adverse-reaction percentage does not reconcile with the apparent denominator</t>
        </is>
      </c>
      <c r="C5" s="3" t="inlineStr">
        <is>
          <t>joi180136supp2_prod.pdf — PDF p. 6, eTable 4; jama_stunnenberg_2018_oi_180136.pdf — PDF p. 8, Adverse Events.</t>
        </is>
      </c>
      <c r="D5" s="8" t="inlineStr"/>
      <c r="E5" s="8" t="inlineStr"/>
      <c r="F5" s="8" t="inlineStr">
        <is>
          <t>no</t>
        </is>
      </c>
      <c r="G5" s="3">
        <f>IF(OR(AND(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H5&lt;&gt;"",H5&lt;&gt;"not_applicable"),AND(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I5&lt;&gt;"",I5&lt;&gt;"not_applicable"),AND(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J5&lt;&gt;"",J5&lt;&gt;"not_applicable"),AND(OR(AND(IF($D5="",INDEX(primary_jama_2018_18020_disposition,MATCH($A5,primary_jama_2018_18020_key,0)),$D5)&lt;&gt;"",IF($D5="",INDEX(primary_jama_2018_18020_disposition,MATCH($A5,primary_jama_2018_18020_key,0)),$D5)&lt;&gt;"retain"),NOT(OR(IF($E5="",INDEX(primary_jama_2018_18020_domain,MATCH($A5,primary_jama_2018_18020_key,0)),$E5)="internal_nonstatistical",IF($E5="",INDEX(primary_jama_2018_18020_domain,MATCH($A5,primary_jama_2018_18020_key,0)),$E5)="plan_material"))),K5&lt;&gt;"",K5&lt;&gt;"not_applicable"),AND(OR(AND(IF($D5="",INDEX(primary_jama_2018_18020_disposition,MATCH($A5,primary_jama_2018_18020_key,0)),$D5)&lt;&gt;"",IF($D5="",INDEX(primary_jama_2018_18020_disposition,MATCH($A5,primary_jama_2018_18020_key,0)),$D5)&lt;&gt;"retain"),NOT(OR(IF($E5="",INDEX(primary_jama_2018_18020_domain,MATCH($A5,primary_jama_2018_18020_key,0)),$E5)="protocol_report"))),L5&lt;&gt;"",L5&lt;&gt;"not_applicable")),"CLEAR INACTIVE VALUES",IF(O5="","PENDING",IF(AND(O5&lt;&gt;"agree",LEN(TRIM(P5))=0),"COMMENT NEEDED",IF(F5="yes","CHECKED - see resolution","DRAFT"))))</f>
        <v/>
      </c>
      <c r="H5" s="8">
        <f>IF(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not_applicable","")</f>
        <v/>
      </c>
      <c r="I5" s="8">
        <f>IF(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not_applicable","")</f>
        <v/>
      </c>
      <c r="J5" s="9">
        <f>IF(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not_applicable","")</f>
        <v/>
      </c>
      <c r="K5" s="8">
        <f>IF(OR(AND(IF($D5="",INDEX(primary_jama_2018_18020_disposition,MATCH($A5,primary_jama_2018_18020_key,0)),$D5)&lt;&gt;"",IF($D5="",INDEX(primary_jama_2018_18020_disposition,MATCH($A5,primary_jama_2018_18020_key,0)),$D5)&lt;&gt;"retain"),NOT(OR(IF($E5="",INDEX(primary_jama_2018_18020_domain,MATCH($A5,primary_jama_2018_18020_key,0)),$E5)="internal_nonstatistical",IF($E5="",INDEX(primary_jama_2018_18020_domain,MATCH($A5,primary_jama_2018_18020_key,0)),$E5)="plan_material"))),"not_applicable","")</f>
        <v/>
      </c>
      <c r="L5" s="9">
        <f>IF(OR(AND(IF($D5="",INDEX(primary_jama_2018_18020_disposition,MATCH($A5,primary_jama_2018_18020_key,0)),$D5)&lt;&gt;"",IF($D5="",INDEX(primary_jama_2018_18020_disposition,MATCH($A5,primary_jama_2018_18020_key,0)),$D5)&lt;&gt;"retain"),NOT(OR(IF($E5="",INDEX(primary_jama_2018_18020_domain,MATCH($A5,primary_jama_2018_18020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2018::jama.2018.18020::C005</t>
        </is>
      </c>
      <c r="B6" s="2" t="inlineStr">
        <is>
          <t>Bayesian parameter prose swaps mu_mex[i] and mu_plac[i] treatment labels</t>
        </is>
      </c>
      <c r="C6" s="2" t="inlineStr">
        <is>
          <t>joi180136supp2_prod.pdf — PDF p. 11, eMethods 2 code/dictionary; joi180136supp2_prod.pdf — PDF p. 13, eMethods 3 code; joi180136supp2_prod.pdf — PDF p. 14, eMethods 3 dictionary.</t>
        </is>
      </c>
      <c r="D6" s="8" t="inlineStr"/>
      <c r="E6" s="8" t="inlineStr"/>
      <c r="F6" s="8" t="inlineStr">
        <is>
          <t>no</t>
        </is>
      </c>
      <c r="G6" s="2">
        <f>IF(OR(AND(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H6&lt;&gt;"",H6&lt;&gt;"not_applicable"),AND(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I6&lt;&gt;"",I6&lt;&gt;"not_applicable"),AND(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J6&lt;&gt;"",J6&lt;&gt;"not_applicable"),AND(OR(AND(IF($D6="",INDEX(primary_jama_2018_18020_disposition,MATCH($A6,primary_jama_2018_18020_key,0)),$D6)&lt;&gt;"",IF($D6="",INDEX(primary_jama_2018_18020_disposition,MATCH($A6,primary_jama_2018_18020_key,0)),$D6)&lt;&gt;"retain"),NOT(OR(IF($E6="",INDEX(primary_jama_2018_18020_domain,MATCH($A6,primary_jama_2018_18020_key,0)),$E6)="internal_nonstatistical",IF($E6="",INDEX(primary_jama_2018_18020_domain,MATCH($A6,primary_jama_2018_18020_key,0)),$E6)="plan_material"))),K6&lt;&gt;"",K6&lt;&gt;"not_applicable"),AND(OR(AND(IF($D6="",INDEX(primary_jama_2018_18020_disposition,MATCH($A6,primary_jama_2018_18020_key,0)),$D6)&lt;&gt;"",IF($D6="",INDEX(primary_jama_2018_18020_disposition,MATCH($A6,primary_jama_2018_18020_key,0)),$D6)&lt;&gt;"retain"),NOT(OR(IF($E6="",INDEX(primary_jama_2018_18020_domain,MATCH($A6,primary_jama_2018_18020_key,0)),$E6)="protocol_report"))),L6&lt;&gt;"",L6&lt;&gt;"not_applicable")),"CLEAR INACTIVE VALUES",IF(O6="","PENDING",IF(AND(O6&lt;&gt;"agree",LEN(TRIM(P6))=0),"COMMENT NEEDED",IF(F6="yes","CHECKED - see resolution","DRAFT"))))</f>
        <v/>
      </c>
      <c r="H6" s="8">
        <f>IF(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not_applicable","")</f>
        <v/>
      </c>
      <c r="I6" s="8">
        <f>IF(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not_applicable","")</f>
        <v/>
      </c>
      <c r="J6" s="9">
        <f>IF(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not_applicable","")</f>
        <v/>
      </c>
      <c r="K6" s="8">
        <f>IF(OR(AND(IF($D6="",INDEX(primary_jama_2018_18020_disposition,MATCH($A6,primary_jama_2018_18020_key,0)),$D6)&lt;&gt;"",IF($D6="",INDEX(primary_jama_2018_18020_disposition,MATCH($A6,primary_jama_2018_18020_key,0)),$D6)&lt;&gt;"retain"),NOT(OR(IF($E6="",INDEX(primary_jama_2018_18020_domain,MATCH($A6,primary_jama_2018_18020_key,0)),$E6)="internal_nonstatistical",IF($E6="",INDEX(primary_jama_2018_18020_domain,MATCH($A6,primary_jama_2018_18020_key,0)),$E6)="plan_material"))),"not_applicable","")</f>
        <v/>
      </c>
      <c r="L6" s="9">
        <f>IF(OR(AND(IF($D6="",INDEX(primary_jama_2018_18020_disposition,MATCH($A6,primary_jama_2018_18020_key,0)),$D6)&lt;&gt;"",IF($D6="",INDEX(primary_jama_2018_18020_disposition,MATCH($A6,primary_jama_2018_18020_key,0)),$D6)&lt;&gt;"retain"),NOT(OR(IF($E6="",INDEX(primary_jama_2018_18020_domain,MATCH($A6,primary_jama_2018_18020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2018::jama.2018.18020::C006</t>
        </is>
      </c>
      <c r="B7" s="3" t="inlineStr">
        <is>
          <t>diff_CLCN1 is described as an SCN4A contrast</t>
        </is>
      </c>
      <c r="C7" s="3" t="inlineStr">
        <is>
          <t>joi180136supp2_prod.pdf — PDF p. 13, eMethods 3 code; joi180136supp2_prod.pdf — PDF p. 14, parameter dictionary.</t>
        </is>
      </c>
      <c r="D7" s="8" t="inlineStr"/>
      <c r="E7" s="8" t="inlineStr"/>
      <c r="F7" s="8" t="inlineStr">
        <is>
          <t>no</t>
        </is>
      </c>
      <c r="G7" s="3">
        <f>IF(OR(AND(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H7&lt;&gt;"",H7&lt;&gt;"not_applicable"),AND(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I7&lt;&gt;"",I7&lt;&gt;"not_applicable"),AND(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J7&lt;&gt;"",J7&lt;&gt;"not_applicable"),AND(OR(AND(IF($D7="",INDEX(primary_jama_2018_18020_disposition,MATCH($A7,primary_jama_2018_18020_key,0)),$D7)&lt;&gt;"",IF($D7="",INDEX(primary_jama_2018_18020_disposition,MATCH($A7,primary_jama_2018_18020_key,0)),$D7)&lt;&gt;"retain"),NOT(OR(IF($E7="",INDEX(primary_jama_2018_18020_domain,MATCH($A7,primary_jama_2018_18020_key,0)),$E7)="internal_nonstatistical",IF($E7="",INDEX(primary_jama_2018_18020_domain,MATCH($A7,primary_jama_2018_18020_key,0)),$E7)="plan_material"))),K7&lt;&gt;"",K7&lt;&gt;"not_applicable"),AND(OR(AND(IF($D7="",INDEX(primary_jama_2018_18020_disposition,MATCH($A7,primary_jama_2018_18020_key,0)),$D7)&lt;&gt;"",IF($D7="",INDEX(primary_jama_2018_18020_disposition,MATCH($A7,primary_jama_2018_18020_key,0)),$D7)&lt;&gt;"retain"),NOT(OR(IF($E7="",INDEX(primary_jama_2018_18020_domain,MATCH($A7,primary_jama_2018_18020_key,0)),$E7)="protocol_report"))),L7&lt;&gt;"",L7&lt;&gt;"not_applicable")),"CLEAR INACTIVE VALUES",IF(O7="","PENDING",IF(AND(O7&lt;&gt;"agree",LEN(TRIM(P7))=0),"COMMENT NEEDED",IF(F7="yes","CHECKED - see resolution","DRAFT"))))</f>
        <v/>
      </c>
      <c r="H7" s="8">
        <f>IF(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not_applicable","")</f>
        <v/>
      </c>
      <c r="I7" s="8">
        <f>IF(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not_applicable","")</f>
        <v/>
      </c>
      <c r="J7" s="9">
        <f>IF(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not_applicable","")</f>
        <v/>
      </c>
      <c r="K7" s="8">
        <f>IF(OR(AND(IF($D7="",INDEX(primary_jama_2018_18020_disposition,MATCH($A7,primary_jama_2018_18020_key,0)),$D7)&lt;&gt;"",IF($D7="",INDEX(primary_jama_2018_18020_disposition,MATCH($A7,primary_jama_2018_18020_key,0)),$D7)&lt;&gt;"retain"),NOT(OR(IF($E7="",INDEX(primary_jama_2018_18020_domain,MATCH($A7,primary_jama_2018_18020_key,0)),$E7)="internal_nonstatistical",IF($E7="",INDEX(primary_jama_2018_18020_domain,MATCH($A7,primary_jama_2018_18020_key,0)),$E7)="plan_material"))),"not_applicable","")</f>
        <v/>
      </c>
      <c r="L7" s="9">
        <f>IF(OR(AND(IF($D7="",INDEX(primary_jama_2018_18020_disposition,MATCH($A7,primary_jama_2018_18020_key,0)),$D7)&lt;&gt;"",IF($D7="",INDEX(primary_jama_2018_18020_disposition,MATCH($A7,primary_jama_2018_18020_key,0)),$D7)&lt;&gt;"retain"),NOT(OR(IF($E7="",INDEX(primary_jama_2018_18020_domain,MATCH($A7,primary_jama_2018_18020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2018::jama.2018.18020::C007</t>
        </is>
      </c>
      <c r="B8" s="2" t="inlineStr">
        <is>
          <t>sigma.mex is described as placebo-period variability</t>
        </is>
      </c>
      <c r="C8" s="2" t="inlineStr">
        <is>
          <t>joi180136supp2_prod.pdf — PDF p. 11, eMethods 2 code; joi180136supp2_prod.pdf — PDF p. 12, eMethods 2 dictionary; joi180136supp2_prod.pdf — PDF p. 13, eMethods 3 code; joi180136supp2_prod.pdf — PDF p. 14, eMethods 3 dictionary.</t>
        </is>
      </c>
      <c r="D8" s="8" t="inlineStr"/>
      <c r="E8" s="8" t="inlineStr"/>
      <c r="F8" s="8" t="inlineStr">
        <is>
          <t>no</t>
        </is>
      </c>
      <c r="G8" s="2">
        <f>IF(OR(AND(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H8&lt;&gt;"",H8&lt;&gt;"not_applicable"),AND(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I8&lt;&gt;"",I8&lt;&gt;"not_applicable"),AND(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J8&lt;&gt;"",J8&lt;&gt;"not_applicable"),AND(OR(AND(IF($D8="",INDEX(primary_jama_2018_18020_disposition,MATCH($A8,primary_jama_2018_18020_key,0)),$D8)&lt;&gt;"",IF($D8="",INDEX(primary_jama_2018_18020_disposition,MATCH($A8,primary_jama_2018_18020_key,0)),$D8)&lt;&gt;"retain"),NOT(OR(IF($E8="",INDEX(primary_jama_2018_18020_domain,MATCH($A8,primary_jama_2018_18020_key,0)),$E8)="internal_nonstatistical",IF($E8="",INDEX(primary_jama_2018_18020_domain,MATCH($A8,primary_jama_2018_18020_key,0)),$E8)="plan_material"))),K8&lt;&gt;"",K8&lt;&gt;"not_applicable"),AND(OR(AND(IF($D8="",INDEX(primary_jama_2018_18020_disposition,MATCH($A8,primary_jama_2018_18020_key,0)),$D8)&lt;&gt;"",IF($D8="",INDEX(primary_jama_2018_18020_disposition,MATCH($A8,primary_jama_2018_18020_key,0)),$D8)&lt;&gt;"retain"),NOT(OR(IF($E8="",INDEX(primary_jama_2018_18020_domain,MATCH($A8,primary_jama_2018_18020_key,0)),$E8)="protocol_report"))),L8&lt;&gt;"",L8&lt;&gt;"not_applicable")),"CLEAR INACTIVE VALUES",IF(O8="","PENDING",IF(AND(O8&lt;&gt;"agree",LEN(TRIM(P8))=0),"COMMENT NEEDED",IF(F8="yes","CHECKED - see resolution","DRAFT"))))</f>
        <v/>
      </c>
      <c r="H8" s="8">
        <f>IF(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not_applicable","")</f>
        <v/>
      </c>
      <c r="I8" s="8">
        <f>IF(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not_applicable","")</f>
        <v/>
      </c>
      <c r="J8" s="9">
        <f>IF(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not_applicable","")</f>
        <v/>
      </c>
      <c r="K8" s="8">
        <f>IF(OR(AND(IF($D8="",INDEX(primary_jama_2018_18020_disposition,MATCH($A8,primary_jama_2018_18020_key,0)),$D8)&lt;&gt;"",IF($D8="",INDEX(primary_jama_2018_18020_disposition,MATCH($A8,primary_jama_2018_18020_key,0)),$D8)&lt;&gt;"retain"),NOT(OR(IF($E8="",INDEX(primary_jama_2018_18020_domain,MATCH($A8,primary_jama_2018_18020_key,0)),$E8)="internal_nonstatistical",IF($E8="",INDEX(primary_jama_2018_18020_domain,MATCH($A8,primary_jama_2018_18020_key,0)),$E8)="plan_material"))),"not_applicable","")</f>
        <v/>
      </c>
      <c r="L8" s="9">
        <f>IF(OR(AND(IF($D8="",INDEX(primary_jama_2018_18020_disposition,MATCH($A8,primary_jama_2018_18020_key,0)),$D8)&lt;&gt;"",IF($D8="",INDEX(primary_jama_2018_18020_disposition,MATCH($A8,primary_jama_2018_18020_key,0)),$D8)&lt;&gt;"retain"),NOT(OR(IF($E8="",INDEX(primary_jama_2018_18020_domain,MATCH($A8,primary_jama_2018_18020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2018::jama.2018.18020::C008</t>
        </is>
      </c>
      <c r="B9" s="3" t="inlineStr">
        <is>
          <t>Main text prints CLNC1 for the matched CLCN1 genotype subgroup</t>
        </is>
      </c>
      <c r="C9" s="3" t="inlineStr">
        <is>
          <t>jama_stunnenberg_2018_oi_180136.pdf — PDF p. 4, Primary Outcome; jama_stunnenberg_2018_oi_180136.pdf — PDF p. 5, Table 1/Figure 2; jama_stunnenberg_2018_oi_180136.pdf — PDF p. 6, Figure 3; joi180136supp2_prod.pdf — PDF p. 4, eTable 2 footnote.</t>
        </is>
      </c>
      <c r="D9" s="8" t="inlineStr"/>
      <c r="E9" s="8" t="inlineStr"/>
      <c r="F9" s="8" t="inlineStr">
        <is>
          <t>no</t>
        </is>
      </c>
      <c r="G9" s="3">
        <f>IF(OR(AND(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H9&lt;&gt;"",H9&lt;&gt;"not_applicable"),AND(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I9&lt;&gt;"",I9&lt;&gt;"not_applicable"),AND(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J9&lt;&gt;"",J9&lt;&gt;"not_applicable"),AND(OR(AND(IF($D9="",INDEX(primary_jama_2018_18020_disposition,MATCH($A9,primary_jama_2018_18020_key,0)),$D9)&lt;&gt;"",IF($D9="",INDEX(primary_jama_2018_18020_disposition,MATCH($A9,primary_jama_2018_18020_key,0)),$D9)&lt;&gt;"retain"),NOT(OR(IF($E9="",INDEX(primary_jama_2018_18020_domain,MATCH($A9,primary_jama_2018_18020_key,0)),$E9)="internal_nonstatistical",IF($E9="",INDEX(primary_jama_2018_18020_domain,MATCH($A9,primary_jama_2018_18020_key,0)),$E9)="plan_material"))),K9&lt;&gt;"",K9&lt;&gt;"not_applicable"),AND(OR(AND(IF($D9="",INDEX(primary_jama_2018_18020_disposition,MATCH($A9,primary_jama_2018_18020_key,0)),$D9)&lt;&gt;"",IF($D9="",INDEX(primary_jama_2018_18020_disposition,MATCH($A9,primary_jama_2018_18020_key,0)),$D9)&lt;&gt;"retain"),NOT(OR(IF($E9="",INDEX(primary_jama_2018_18020_domain,MATCH($A9,primary_jama_2018_18020_key,0)),$E9)="protocol_report"))),L9&lt;&gt;"",L9&lt;&gt;"not_applicable")),"CLEAR INACTIVE VALUES",IF(O9="","PENDING",IF(AND(O9&lt;&gt;"agree",LEN(TRIM(P9))=0),"COMMENT NEEDED",IF(F9="yes","CHECKED - see resolution","DRAFT"))))</f>
        <v/>
      </c>
      <c r="H9" s="8">
        <f>IF(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not_applicable","")</f>
        <v/>
      </c>
      <c r="I9" s="8">
        <f>IF(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not_applicable","")</f>
        <v/>
      </c>
      <c r="J9" s="9">
        <f>IF(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not_applicable","")</f>
        <v/>
      </c>
      <c r="K9" s="8">
        <f>IF(OR(AND(IF($D9="",INDEX(primary_jama_2018_18020_disposition,MATCH($A9,primary_jama_2018_18020_key,0)),$D9)&lt;&gt;"",IF($D9="",INDEX(primary_jama_2018_18020_disposition,MATCH($A9,primary_jama_2018_18020_key,0)),$D9)&lt;&gt;"retain"),NOT(OR(IF($E9="",INDEX(primary_jama_2018_18020_domain,MATCH($A9,primary_jama_2018_18020_key,0)),$E9)="internal_nonstatistical",IF($E9="",INDEX(primary_jama_2018_18020_domain,MATCH($A9,primary_jama_2018_18020_key,0)),$E9)="plan_material"))),"not_applicable","")</f>
        <v/>
      </c>
      <c r="L9" s="9">
        <f>IF(OR(AND(IF($D9="",INDEX(primary_jama_2018_18020_disposition,MATCH($A9,primary_jama_2018_18020_key,0)),$D9)&lt;&gt;"",IF($D9="",INDEX(primary_jama_2018_18020_disposition,MATCH($A9,primary_jama_2018_18020_key,0)),$D9)&lt;&gt;"retain"),NOT(OR(IF($E9="",INDEX(primary_jama_2018_18020_domain,MATCH($A9,primary_jama_2018_18020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2018::jama.2018.18020::C009</t>
        </is>
      </c>
      <c r="B10" s="2" t="inlineStr">
        <is>
          <t>SF-36 mental-component P value conflicts with the dependent-t 95% CI</t>
        </is>
      </c>
      <c r="C10" s="2" t="inlineStr">
        <is>
          <t>jama_stunnenberg_2018_oi_180136.pdf — PDF p. 7, Table 2; jama_stunnenberg_2018_oi_180136.pdf — PDF p. 3, dependent-t method; jama_stunnenberg_2018_oi_180136.pdf — PDF p. 4, two-sided P-value convention.</t>
        </is>
      </c>
      <c r="D10" s="8" t="inlineStr"/>
      <c r="E10" s="8" t="inlineStr"/>
      <c r="F10" s="8" t="inlineStr">
        <is>
          <t>no</t>
        </is>
      </c>
      <c r="G10" s="2">
        <f>IF(OR(AND(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H10&lt;&gt;"",H10&lt;&gt;"not_applicable"),AND(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I10&lt;&gt;"",I10&lt;&gt;"not_applicable"),AND(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J10&lt;&gt;"",J10&lt;&gt;"not_applicable"),AND(OR(AND(IF($D10="",INDEX(primary_jama_2018_18020_disposition,MATCH($A10,primary_jama_2018_18020_key,0)),$D10)&lt;&gt;"",IF($D10="",INDEX(primary_jama_2018_18020_disposition,MATCH($A10,primary_jama_2018_18020_key,0)),$D10)&lt;&gt;"retain"),NOT(OR(IF($E10="",INDEX(primary_jama_2018_18020_domain,MATCH($A10,primary_jama_2018_18020_key,0)),$E10)="internal_nonstatistical",IF($E10="",INDEX(primary_jama_2018_18020_domain,MATCH($A10,primary_jama_2018_18020_key,0)),$E10)="plan_material"))),K10&lt;&gt;"",K10&lt;&gt;"not_applicable"),AND(OR(AND(IF($D10="",INDEX(primary_jama_2018_18020_disposition,MATCH($A10,primary_jama_2018_18020_key,0)),$D10)&lt;&gt;"",IF($D10="",INDEX(primary_jama_2018_18020_disposition,MATCH($A10,primary_jama_2018_18020_key,0)),$D10)&lt;&gt;"retain"),NOT(OR(IF($E10="",INDEX(primary_jama_2018_18020_domain,MATCH($A10,primary_jama_2018_18020_key,0)),$E10)="protocol_report"))),L10&lt;&gt;"",L10&lt;&gt;"not_applicable")),"CLEAR INACTIVE VALUES",IF(O10="","PENDING",IF(AND(O10&lt;&gt;"agree",LEN(TRIM(P10))=0),"COMMENT NEEDED",IF(F10="yes","CHECKED - see resolution","DRAFT"))))</f>
        <v/>
      </c>
      <c r="H10" s="8">
        <f>IF(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not_applicable","")</f>
        <v/>
      </c>
      <c r="I10" s="8">
        <f>IF(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not_applicable","")</f>
        <v/>
      </c>
      <c r="J10" s="9">
        <f>IF(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not_applicable","")</f>
        <v/>
      </c>
      <c r="K10" s="8">
        <f>IF(OR(AND(IF($D10="",INDEX(primary_jama_2018_18020_disposition,MATCH($A10,primary_jama_2018_18020_key,0)),$D10)&lt;&gt;"",IF($D10="",INDEX(primary_jama_2018_18020_disposition,MATCH($A10,primary_jama_2018_18020_key,0)),$D10)&lt;&gt;"retain"),NOT(OR(IF($E10="",INDEX(primary_jama_2018_18020_domain,MATCH($A10,primary_jama_2018_18020_key,0)),$E10)="internal_nonstatistical",IF($E10="",INDEX(primary_jama_2018_18020_domain,MATCH($A10,primary_jama_2018_18020_key,0)),$E10)="plan_material"))),"not_applicable","")</f>
        <v/>
      </c>
      <c r="L10" s="9">
        <f>IF(OR(AND(IF($D10="",INDEX(primary_jama_2018_18020_disposition,MATCH($A10,primary_jama_2018_18020_key,0)),$D10)&lt;&gt;"",IF($D10="",INDEX(primary_jama_2018_18020_disposition,MATCH($A10,primary_jama_2018_18020_key,0)),$D10)&lt;&gt;"retain"),NOT(OR(IF($E10="",INDEX(primary_jama_2018_18020_domain,MATCH($A10,primary_jama_2018_18020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2018::jama.2018.18020::C010</t>
        </is>
      </c>
      <c r="B11" s="3" t="inlineStr">
        <is>
          <t>SCN4A fifth handgrip-action-myotonia P value conflicts with its 95% CI</t>
        </is>
      </c>
      <c r="C11" s="3" t="inlineStr">
        <is>
          <t>jama_stunnenberg_2018_oi_180136.pdf — PDF p. 7, Table 2 row; jama_stunnenberg_2018_oi_180136.pdf — PDF p. 8, Table 2 footnotes; jama_stunnenberg_2018_oi_180136.pdf — PDF p. 3, method; jama_stunnenberg_2018_oi_180136.pdf — PDF p. 4, sidedness.</t>
        </is>
      </c>
      <c r="D11" s="8" t="inlineStr"/>
      <c r="E11" s="8" t="inlineStr"/>
      <c r="F11" s="8" t="inlineStr">
        <is>
          <t>no</t>
        </is>
      </c>
      <c r="G11" s="3">
        <f>IF(OR(AND(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H11&lt;&gt;"",H11&lt;&gt;"not_applicable"),AND(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I11&lt;&gt;"",I11&lt;&gt;"not_applicable"),AND(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J11&lt;&gt;"",J11&lt;&gt;"not_applicable"),AND(OR(AND(IF($D11="",INDEX(primary_jama_2018_18020_disposition,MATCH($A11,primary_jama_2018_18020_key,0)),$D11)&lt;&gt;"",IF($D11="",INDEX(primary_jama_2018_18020_disposition,MATCH($A11,primary_jama_2018_18020_key,0)),$D11)&lt;&gt;"retain"),NOT(OR(IF($E11="",INDEX(primary_jama_2018_18020_domain,MATCH($A11,primary_jama_2018_18020_key,0)),$E11)="internal_nonstatistical",IF($E11="",INDEX(primary_jama_2018_18020_domain,MATCH($A11,primary_jama_2018_18020_key,0)),$E11)="plan_material"))),K11&lt;&gt;"",K11&lt;&gt;"not_applicable"),AND(OR(AND(IF($D11="",INDEX(primary_jama_2018_18020_disposition,MATCH($A11,primary_jama_2018_18020_key,0)),$D11)&lt;&gt;"",IF($D11="",INDEX(primary_jama_2018_18020_disposition,MATCH($A11,primary_jama_2018_18020_key,0)),$D11)&lt;&gt;"retain"),NOT(OR(IF($E11="",INDEX(primary_jama_2018_18020_domain,MATCH($A11,primary_jama_2018_18020_key,0)),$E11)="protocol_report"))),L11&lt;&gt;"",L11&lt;&gt;"not_applicable")),"CLEAR INACTIVE VALUES",IF(O11="","PENDING",IF(AND(O11&lt;&gt;"agree",LEN(TRIM(P11))=0),"COMMENT NEEDED",IF(F11="yes","CHECKED - see resolution","DRAFT"))))</f>
        <v/>
      </c>
      <c r="H11" s="8">
        <f>IF(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not_applicable","")</f>
        <v/>
      </c>
      <c r="I11" s="8">
        <f>IF(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not_applicable","")</f>
        <v/>
      </c>
      <c r="J11" s="9">
        <f>IF(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not_applicable","")</f>
        <v/>
      </c>
      <c r="K11" s="8">
        <f>IF(OR(AND(IF($D11="",INDEX(primary_jama_2018_18020_disposition,MATCH($A11,primary_jama_2018_18020_key,0)),$D11)&lt;&gt;"",IF($D11="",INDEX(primary_jama_2018_18020_disposition,MATCH($A11,primary_jama_2018_18020_key,0)),$D11)&lt;&gt;"retain"),NOT(OR(IF($E11="",INDEX(primary_jama_2018_18020_domain,MATCH($A11,primary_jama_2018_18020_key,0)),$E11)="internal_nonstatistical",IF($E11="",INDEX(primary_jama_2018_18020_domain,MATCH($A11,primary_jama_2018_18020_key,0)),$E11)="plan_material"))),"not_applicable","")</f>
        <v/>
      </c>
      <c r="L11" s="9">
        <f>IF(OR(AND(IF($D11="",INDEX(primary_jama_2018_18020_disposition,MATCH($A11,primary_jama_2018_18020_key,0)),$D11)&lt;&gt;"",IF($D11="",INDEX(primary_jama_2018_18020_disposition,MATCH($A11,primary_jama_2018_18020_key,0)),$D11)&lt;&gt;"retain"),NOT(OR(IF($E11="",INDEX(primary_jama_2018_18020_domain,MATCH($A11,primary_jama_2018_18020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2018::jama.2018.18020::C011</t>
        </is>
      </c>
      <c r="B12" s="2" t="inlineStr">
        <is>
          <t>SCN4A fifth transient-paresis estimate, interval, and P value do not form a compatible dependent-t result</t>
        </is>
      </c>
      <c r="C1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8" t="inlineStr"/>
      <c r="E12" s="8" t="inlineStr"/>
      <c r="F12" s="8" t="inlineStr">
        <is>
          <t>no</t>
        </is>
      </c>
      <c r="G12" s="2">
        <f>IF(OR(AND(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H12&lt;&gt;"",H12&lt;&gt;"not_applicable"),AND(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I12&lt;&gt;"",I12&lt;&gt;"not_applicable"),AND(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J12&lt;&gt;"",J12&lt;&gt;"not_applicable"),AND(OR(AND(IF($D12="",INDEX(primary_jama_2018_18020_disposition,MATCH($A12,primary_jama_2018_18020_key,0)),$D12)&lt;&gt;"",IF($D12="",INDEX(primary_jama_2018_18020_disposition,MATCH($A12,primary_jama_2018_18020_key,0)),$D12)&lt;&gt;"retain"),NOT(OR(IF($E12="",INDEX(primary_jama_2018_18020_domain,MATCH($A12,primary_jama_2018_18020_key,0)),$E12)="internal_nonstatistical",IF($E12="",INDEX(primary_jama_2018_18020_domain,MATCH($A12,primary_jama_2018_18020_key,0)),$E12)="plan_material"))),K12&lt;&gt;"",K12&lt;&gt;"not_applicable"),AND(OR(AND(IF($D12="",INDEX(primary_jama_2018_18020_disposition,MATCH($A12,primary_jama_2018_18020_key,0)),$D12)&lt;&gt;"",IF($D12="",INDEX(primary_jama_2018_18020_disposition,MATCH($A12,primary_jama_2018_18020_key,0)),$D12)&lt;&gt;"retain"),NOT(OR(IF($E12="",INDEX(primary_jama_2018_18020_domain,MATCH($A12,primary_jama_2018_18020_key,0)),$E12)="protocol_report"))),L12&lt;&gt;"",L12&lt;&gt;"not_applicable")),"CLEAR INACTIVE VALUES",IF(O12="","PENDING",IF(AND(O12&lt;&gt;"agree",LEN(TRIM(P12))=0),"COMMENT NEEDED",IF(F12="yes","CHECKED - see resolution","DRAFT"))))</f>
        <v/>
      </c>
      <c r="H12" s="8">
        <f>IF(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not_applicable","")</f>
        <v/>
      </c>
      <c r="I12" s="8">
        <f>IF(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not_applicable","")</f>
        <v/>
      </c>
      <c r="J12" s="9">
        <f>IF(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not_applicable","")</f>
        <v/>
      </c>
      <c r="K12" s="8">
        <f>IF(OR(AND(IF($D12="",INDEX(primary_jama_2018_18020_disposition,MATCH($A12,primary_jama_2018_18020_key,0)),$D12)&lt;&gt;"",IF($D12="",INDEX(primary_jama_2018_18020_disposition,MATCH($A12,primary_jama_2018_18020_key,0)),$D12)&lt;&gt;"retain"),NOT(OR(IF($E12="",INDEX(primary_jama_2018_18020_domain,MATCH($A12,primary_jama_2018_18020_key,0)),$E12)="internal_nonstatistical",IF($E12="",INDEX(primary_jama_2018_18020_domain,MATCH($A12,primary_jama_2018_18020_key,0)),$E12)="plan_material"))),"not_applicable","")</f>
        <v/>
      </c>
      <c r="L12" s="9">
        <f>IF(OR(AND(IF($D12="",INDEX(primary_jama_2018_18020_disposition,MATCH($A12,primary_jama_2018_18020_key,0)),$D12)&lt;&gt;"",IF($D12="",INDEX(primary_jama_2018_18020_disposition,MATCH($A12,primary_jama_2018_18020_key,0)),$D12)&lt;&gt;"retain"),NOT(OR(IF($E12="",INDEX(primary_jama_2018_18020_domain,MATCH($A12,primary_jama_2018_18020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row r="13" ht="76" customHeight="1">
      <c r="A13" s="3" t="inlineStr">
        <is>
          <t>2018::jama.2018.18020::C012</t>
        </is>
      </c>
      <c r="B13" s="3" t="inlineStr">
        <is>
          <t>Myotonic-discharge P value conflicts with the dependent-t 95% CI</t>
        </is>
      </c>
      <c r="C13" s="3" t="inlineStr">
        <is>
          <t>jama_stunnenberg_2018_oi_180136.pdf — PDF p. 8, Table 2 continuation and footnotes; jama_stunnenberg_2018_oi_180136.pdf — PDF p. 3, dependent-t method; jama_stunnenberg_2018_oi_180136.pdf — PDF p. 4, two-sided convention.</t>
        </is>
      </c>
      <c r="D13" s="8" t="inlineStr"/>
      <c r="E13" s="8" t="inlineStr"/>
      <c r="F13" s="8" t="inlineStr">
        <is>
          <t>no</t>
        </is>
      </c>
      <c r="G13" s="3">
        <f>IF(OR(AND(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H13&lt;&gt;"",H13&lt;&gt;"not_applicable"),AND(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I13&lt;&gt;"",I13&lt;&gt;"not_applicable"),AND(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J13&lt;&gt;"",J13&lt;&gt;"not_applicable"),AND(OR(AND(IF($D13="",INDEX(primary_jama_2018_18020_disposition,MATCH($A13,primary_jama_2018_18020_key,0)),$D13)&lt;&gt;"",IF($D13="",INDEX(primary_jama_2018_18020_disposition,MATCH($A13,primary_jama_2018_18020_key,0)),$D13)&lt;&gt;"retain"),NOT(OR(IF($E13="",INDEX(primary_jama_2018_18020_domain,MATCH($A13,primary_jama_2018_18020_key,0)),$E13)="internal_nonstatistical",IF($E13="",INDEX(primary_jama_2018_18020_domain,MATCH($A13,primary_jama_2018_18020_key,0)),$E13)="plan_material"))),K13&lt;&gt;"",K13&lt;&gt;"not_applicable"),AND(OR(AND(IF($D13="",INDEX(primary_jama_2018_18020_disposition,MATCH($A13,primary_jama_2018_18020_key,0)),$D13)&lt;&gt;"",IF($D13="",INDEX(primary_jama_2018_18020_disposition,MATCH($A13,primary_jama_2018_18020_key,0)),$D13)&lt;&gt;"retain"),NOT(OR(IF($E13="",INDEX(primary_jama_2018_18020_domain,MATCH($A13,primary_jama_2018_18020_key,0)),$E13)="protocol_report"))),L13&lt;&gt;"",L13&lt;&gt;"not_applicable")),"CLEAR INACTIVE VALUES",IF(O13="","PENDING",IF(AND(O13&lt;&gt;"agree",LEN(TRIM(P13))=0),"COMMENT NEEDED",IF(F13="yes","CHECKED - see resolution","DRAFT"))))</f>
        <v/>
      </c>
      <c r="H13" s="8">
        <f>IF(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not_applicable","")</f>
        <v/>
      </c>
      <c r="I13" s="8">
        <f>IF(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not_applicable","")</f>
        <v/>
      </c>
      <c r="J13" s="9">
        <f>IF(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not_applicable","")</f>
        <v/>
      </c>
      <c r="K13" s="8">
        <f>IF(OR(AND(IF($D13="",INDEX(primary_jama_2018_18020_disposition,MATCH($A13,primary_jama_2018_18020_key,0)),$D13)&lt;&gt;"",IF($D13="",INDEX(primary_jama_2018_18020_disposition,MATCH($A13,primary_jama_2018_18020_key,0)),$D13)&lt;&gt;"retain"),NOT(OR(IF($E13="",INDEX(primary_jama_2018_18020_domain,MATCH($A13,primary_jama_2018_18020_key,0)),$E13)="internal_nonstatistical",IF($E13="",INDEX(primary_jama_2018_18020_domain,MATCH($A13,primary_jama_2018_18020_key,0)),$E13)="plan_material"))),"not_applicable","")</f>
        <v/>
      </c>
      <c r="L13" s="9">
        <f>IF(OR(AND(IF($D13="",INDEX(primary_jama_2018_18020_disposition,MATCH($A13,primary_jama_2018_18020_key,0)),$D13)&lt;&gt;"",IF($D13="",INDEX(primary_jama_2018_18020_disposition,MATCH($A13,primary_jama_2018_18020_key,0)),$D13)&lt;&gt;"retain"),NOT(OR(IF($E13="",INDEX(primary_jama_2018_18020_domain,MATCH($A13,primary_jama_2018_18020_key,0)),$E13)="protocol_report"))),"not_applicable","")</f>
        <v/>
      </c>
      <c r="M13" s="10" t="inlineStr"/>
      <c r="N13" s="10" t="inlineStr"/>
      <c r="O13" s="8" t="inlineStr"/>
      <c r="P13" s="11" t="inlineStr"/>
      <c r="Q13" s="8" t="inlineStr">
        <is>
          <t>pending</t>
        </is>
      </c>
      <c r="R13" s="11" t="inlineStr"/>
      <c r="S13" s="3" t="inlineStr">
        <is>
          <t>AWAITING PRIMARY HANDOFF - do not start checking this template.</t>
        </is>
      </c>
    </row>
    <row r="14" ht="76" customHeight="1">
      <c r="A14" s="2" t="inlineStr">
        <is>
          <t>2018::jama.2018.18020::C013</t>
        </is>
      </c>
      <c r="B14" s="2" t="inlineStr">
        <is>
          <t>First handgrip placebo-period interval is reversed and excludes its estimate</t>
        </is>
      </c>
      <c r="C14" s="2" t="inlineStr">
        <is>
          <t>jama_stunnenberg_2018_oi_180136.pdf — PDF p. 7, Table 2 first-attempt handgrip action-myotonia placebo-period change.</t>
        </is>
      </c>
      <c r="D14" s="8" t="inlineStr"/>
      <c r="E14" s="8" t="inlineStr"/>
      <c r="F14" s="8" t="inlineStr">
        <is>
          <t>no</t>
        </is>
      </c>
      <c r="G14" s="2">
        <f>IF(OR(AND(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H14&lt;&gt;"",H14&lt;&gt;"not_applicable"),AND(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I14&lt;&gt;"",I14&lt;&gt;"not_applicable"),AND(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J14&lt;&gt;"",J14&lt;&gt;"not_applicable"),AND(OR(AND(IF($D14="",INDEX(primary_jama_2018_18020_disposition,MATCH($A14,primary_jama_2018_18020_key,0)),$D14)&lt;&gt;"",IF($D14="",INDEX(primary_jama_2018_18020_disposition,MATCH($A14,primary_jama_2018_18020_key,0)),$D14)&lt;&gt;"retain"),NOT(OR(IF($E14="",INDEX(primary_jama_2018_18020_domain,MATCH($A14,primary_jama_2018_18020_key,0)),$E14)="internal_nonstatistical",IF($E14="",INDEX(primary_jama_2018_18020_domain,MATCH($A14,primary_jama_2018_18020_key,0)),$E14)="plan_material"))),K14&lt;&gt;"",K14&lt;&gt;"not_applicable"),AND(OR(AND(IF($D14="",INDEX(primary_jama_2018_18020_disposition,MATCH($A14,primary_jama_2018_18020_key,0)),$D14)&lt;&gt;"",IF($D14="",INDEX(primary_jama_2018_18020_disposition,MATCH($A14,primary_jama_2018_18020_key,0)),$D14)&lt;&gt;"retain"),NOT(OR(IF($E14="",INDEX(primary_jama_2018_18020_domain,MATCH($A14,primary_jama_2018_18020_key,0)),$E14)="protocol_report"))),L14&lt;&gt;"",L14&lt;&gt;"not_applicable")),"CLEAR INACTIVE VALUES",IF(O14="","PENDING",IF(AND(O14&lt;&gt;"agree",LEN(TRIM(P14))=0),"COMMENT NEEDED",IF(F14="yes","CHECKED - see resolution","DRAFT"))))</f>
        <v/>
      </c>
      <c r="H14" s="8">
        <f>IF(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not_applicable","")</f>
        <v/>
      </c>
      <c r="I14" s="8">
        <f>IF(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not_applicable","")</f>
        <v/>
      </c>
      <c r="J14" s="9">
        <f>IF(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not_applicable","")</f>
        <v/>
      </c>
      <c r="K14" s="8">
        <f>IF(OR(AND(IF($D14="",INDEX(primary_jama_2018_18020_disposition,MATCH($A14,primary_jama_2018_18020_key,0)),$D14)&lt;&gt;"",IF($D14="",INDEX(primary_jama_2018_18020_disposition,MATCH($A14,primary_jama_2018_18020_key,0)),$D14)&lt;&gt;"retain"),NOT(OR(IF($E14="",INDEX(primary_jama_2018_18020_domain,MATCH($A14,primary_jama_2018_18020_key,0)),$E14)="internal_nonstatistical",IF($E14="",INDEX(primary_jama_2018_18020_domain,MATCH($A14,primary_jama_2018_18020_key,0)),$E14)="plan_material"))),"not_applicable","")</f>
        <v/>
      </c>
      <c r="L14" s="9">
        <f>IF(OR(AND(IF($D14="",INDEX(primary_jama_2018_18020_disposition,MATCH($A14,primary_jama_2018_18020_key,0)),$D14)&lt;&gt;"",IF($D14="",INDEX(primary_jama_2018_18020_disposition,MATCH($A14,primary_jama_2018_18020_key,0)),$D14)&lt;&gt;"retain"),NOT(OR(IF($E14="",INDEX(primary_jama_2018_18020_domain,MATCH($A14,primary_jama_2018_18020_key,0)),$E14)="protocol_report"))),"not_applicable","")</f>
        <v/>
      </c>
      <c r="M14" s="10" t="inlineStr"/>
      <c r="N14" s="10" t="inlineStr"/>
      <c r="O14" s="8" t="inlineStr"/>
      <c r="P14" s="11" t="inlineStr"/>
      <c r="Q14" s="8" t="inlineStr">
        <is>
          <t>pending</t>
        </is>
      </c>
      <c r="R14" s="11" t="inlineStr"/>
      <c r="S14" s="2" t="inlineStr">
        <is>
          <t>AWAITING PRIMARY HANDOFF - do not start checking this template.</t>
        </is>
      </c>
    </row>
    <row r="15" ht="76" customHeight="1">
      <c r="A15" s="3" t="inlineStr">
        <is>
          <t>2018::jama.2018.18020::C014</t>
        </is>
      </c>
      <c r="B15" s="3" t="inlineStr">
        <is>
          <t>Mean Timed Up&amp;Go placebo-period estimate lies outside its interval</t>
        </is>
      </c>
      <c r="C15" s="3" t="inlineStr">
        <is>
          <t>jama_stunnenberg_2018_oi_180136.pdf — PDF p. 7, Table 2 mean Timed Up&amp;Go placebo-period change.</t>
        </is>
      </c>
      <c r="D15" s="8" t="inlineStr"/>
      <c r="E15" s="8" t="inlineStr"/>
      <c r="F15" s="8" t="inlineStr">
        <is>
          <t>no</t>
        </is>
      </c>
      <c r="G15" s="3">
        <f>IF(OR(AND(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H15&lt;&gt;"",H15&lt;&gt;"not_applicable"),AND(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I15&lt;&gt;"",I15&lt;&gt;"not_applicable"),AND(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J15&lt;&gt;"",J15&lt;&gt;"not_applicable"),AND(OR(AND(IF($D15="",INDEX(primary_jama_2018_18020_disposition,MATCH($A15,primary_jama_2018_18020_key,0)),$D15)&lt;&gt;"",IF($D15="",INDEX(primary_jama_2018_18020_disposition,MATCH($A15,primary_jama_2018_18020_key,0)),$D15)&lt;&gt;"retain"),NOT(OR(IF($E15="",INDEX(primary_jama_2018_18020_domain,MATCH($A15,primary_jama_2018_18020_key,0)),$E15)="internal_nonstatistical",IF($E15="",INDEX(primary_jama_2018_18020_domain,MATCH($A15,primary_jama_2018_18020_key,0)),$E15)="plan_material"))),K15&lt;&gt;"",K15&lt;&gt;"not_applicable"),AND(OR(AND(IF($D15="",INDEX(primary_jama_2018_18020_disposition,MATCH($A15,primary_jama_2018_18020_key,0)),$D15)&lt;&gt;"",IF($D15="",INDEX(primary_jama_2018_18020_disposition,MATCH($A15,primary_jama_2018_18020_key,0)),$D15)&lt;&gt;"retain"),NOT(OR(IF($E15="",INDEX(primary_jama_2018_18020_domain,MATCH($A15,primary_jama_2018_18020_key,0)),$E15)="protocol_report"))),L15&lt;&gt;"",L15&lt;&gt;"not_applicable")),"CLEAR INACTIVE VALUES",IF(O15="","PENDING",IF(AND(O15&lt;&gt;"agree",LEN(TRIM(P15))=0),"COMMENT NEEDED",IF(F15="yes","CHECKED - see resolution","DRAFT"))))</f>
        <v/>
      </c>
      <c r="H15" s="8">
        <f>IF(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not_applicable","")</f>
        <v/>
      </c>
      <c r="I15" s="8">
        <f>IF(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not_applicable","")</f>
        <v/>
      </c>
      <c r="J15" s="9">
        <f>IF(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not_applicable","")</f>
        <v/>
      </c>
      <c r="K15" s="8">
        <f>IF(OR(AND(IF($D15="",INDEX(primary_jama_2018_18020_disposition,MATCH($A15,primary_jama_2018_18020_key,0)),$D15)&lt;&gt;"",IF($D15="",INDEX(primary_jama_2018_18020_disposition,MATCH($A15,primary_jama_2018_18020_key,0)),$D15)&lt;&gt;"retain"),NOT(OR(IF($E15="",INDEX(primary_jama_2018_18020_domain,MATCH($A15,primary_jama_2018_18020_key,0)),$E15)="internal_nonstatistical",IF($E15="",INDEX(primary_jama_2018_18020_domain,MATCH($A15,primary_jama_2018_18020_key,0)),$E15)="plan_material"))),"not_applicable","")</f>
        <v/>
      </c>
      <c r="L15" s="9">
        <f>IF(OR(AND(IF($D15="",INDEX(primary_jama_2018_18020_disposition,MATCH($A15,primary_jama_2018_18020_key,0)),$D15)&lt;&gt;"",IF($D15="",INDEX(primary_jama_2018_18020_disposition,MATCH($A15,primary_jama_2018_18020_key,0)),$D15)&lt;&gt;"retain"),NOT(OR(IF($E15="",INDEX(primary_jama_2018_18020_domain,MATCH($A15,primary_jama_2018_18020_key,0)),$E15)="protocol_report"))),"not_applicable","")</f>
        <v/>
      </c>
      <c r="M15" s="10" t="inlineStr"/>
      <c r="N15" s="10" t="inlineStr"/>
      <c r="O15" s="8" t="inlineStr"/>
      <c r="P15" s="11" t="inlineStr"/>
      <c r="Q15" s="8" t="inlineStr">
        <is>
          <t>pending</t>
        </is>
      </c>
      <c r="R15" s="11" t="inlineStr"/>
      <c r="S15"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5"/>
  <conditionalFormatting sqref="H2">
    <cfRule type="expression" priority="1" dxfId="0" stopIfTrue="1">
      <formula>AND(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H2&lt;&gt;"",H2&lt;&gt;"not_applicable")</formula>
    </cfRule>
    <cfRule type="expression" priority="2" dxfId="1">
      <formula>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formula>
    </cfRule>
  </conditionalFormatting>
  <conditionalFormatting sqref="H3">
    <cfRule type="expression" priority="3" dxfId="0" stopIfTrue="1">
      <formula>AND(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H3&lt;&gt;"",H3&lt;&gt;"not_applicable")</formula>
    </cfRule>
    <cfRule type="expression" priority="4" dxfId="1">
      <formula>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formula>
    </cfRule>
  </conditionalFormatting>
  <conditionalFormatting sqref="H4">
    <cfRule type="expression" priority="5" dxfId="0" stopIfTrue="1">
      <formula>AND(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H4&lt;&gt;"",H4&lt;&gt;"not_applicable")</formula>
    </cfRule>
    <cfRule type="expression" priority="6" dxfId="1">
      <formula>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formula>
    </cfRule>
  </conditionalFormatting>
  <conditionalFormatting sqref="H5">
    <cfRule type="expression" priority="7" dxfId="0" stopIfTrue="1">
      <formula>AND(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H5&lt;&gt;"",H5&lt;&gt;"not_applicable")</formula>
    </cfRule>
    <cfRule type="expression" priority="8" dxfId="1">
      <formula>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formula>
    </cfRule>
  </conditionalFormatting>
  <conditionalFormatting sqref="H6">
    <cfRule type="expression" priority="9" dxfId="0" stopIfTrue="1">
      <formula>AND(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H6&lt;&gt;"",H6&lt;&gt;"not_applicable")</formula>
    </cfRule>
    <cfRule type="expression" priority="10" dxfId="1">
      <formula>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formula>
    </cfRule>
  </conditionalFormatting>
  <conditionalFormatting sqref="H7">
    <cfRule type="expression" priority="11" dxfId="0" stopIfTrue="1">
      <formula>AND(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H7&lt;&gt;"",H7&lt;&gt;"not_applicable")</formula>
    </cfRule>
    <cfRule type="expression" priority="12" dxfId="1">
      <formula>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formula>
    </cfRule>
  </conditionalFormatting>
  <conditionalFormatting sqref="H8">
    <cfRule type="expression" priority="13" dxfId="0" stopIfTrue="1">
      <formula>AND(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H8&lt;&gt;"",H8&lt;&gt;"not_applicable")</formula>
    </cfRule>
    <cfRule type="expression" priority="14" dxfId="1">
      <formula>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formula>
    </cfRule>
  </conditionalFormatting>
  <conditionalFormatting sqref="H9">
    <cfRule type="expression" priority="15" dxfId="0" stopIfTrue="1">
      <formula>AND(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H9&lt;&gt;"",H9&lt;&gt;"not_applicable")</formula>
    </cfRule>
    <cfRule type="expression" priority="16" dxfId="1">
      <formula>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formula>
    </cfRule>
  </conditionalFormatting>
  <conditionalFormatting sqref="H10">
    <cfRule type="expression" priority="17" dxfId="0" stopIfTrue="1">
      <formula>AND(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H10&lt;&gt;"",H10&lt;&gt;"not_applicable")</formula>
    </cfRule>
    <cfRule type="expression" priority="18" dxfId="1">
      <formula>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formula>
    </cfRule>
  </conditionalFormatting>
  <conditionalFormatting sqref="H11">
    <cfRule type="expression" priority="19" dxfId="0" stopIfTrue="1">
      <formula>AND(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H11&lt;&gt;"",H11&lt;&gt;"not_applicable")</formula>
    </cfRule>
    <cfRule type="expression" priority="20" dxfId="1">
      <formula>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formula>
    </cfRule>
  </conditionalFormatting>
  <conditionalFormatting sqref="H12">
    <cfRule type="expression" priority="21" dxfId="0" stopIfTrue="1">
      <formula>AND(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H12&lt;&gt;"",H12&lt;&gt;"not_applicable")</formula>
    </cfRule>
    <cfRule type="expression" priority="22" dxfId="1">
      <formula>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formula>
    </cfRule>
  </conditionalFormatting>
  <conditionalFormatting sqref="H13">
    <cfRule type="expression" priority="23" dxfId="0" stopIfTrue="1">
      <formula>AND(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H13&lt;&gt;"",H13&lt;&gt;"not_applicable")</formula>
    </cfRule>
    <cfRule type="expression" priority="24" dxfId="1">
      <formula>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formula>
    </cfRule>
  </conditionalFormatting>
  <conditionalFormatting sqref="H14">
    <cfRule type="expression" priority="25" dxfId="0" stopIfTrue="1">
      <formula>AND(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H14&lt;&gt;"",H14&lt;&gt;"not_applicable")</formula>
    </cfRule>
    <cfRule type="expression" priority="26" dxfId="1">
      <formula>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formula>
    </cfRule>
  </conditionalFormatting>
  <conditionalFormatting sqref="H15">
    <cfRule type="expression" priority="27" dxfId="0" stopIfTrue="1">
      <formula>AND(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H15&lt;&gt;"",H15&lt;&gt;"not_applicable")</formula>
    </cfRule>
    <cfRule type="expression" priority="28" dxfId="1">
      <formula>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formula>
    </cfRule>
  </conditionalFormatting>
  <conditionalFormatting sqref="I2">
    <cfRule type="expression" priority="29" dxfId="0" stopIfTrue="1">
      <formula>AND(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I2&lt;&gt;"",I2&lt;&gt;"not_applicable")</formula>
    </cfRule>
    <cfRule type="expression" priority="30" dxfId="1">
      <formula>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formula>
    </cfRule>
  </conditionalFormatting>
  <conditionalFormatting sqref="I3">
    <cfRule type="expression" priority="31" dxfId="0" stopIfTrue="1">
      <formula>AND(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I3&lt;&gt;"",I3&lt;&gt;"not_applicable")</formula>
    </cfRule>
    <cfRule type="expression" priority="32" dxfId="1">
      <formula>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formula>
    </cfRule>
  </conditionalFormatting>
  <conditionalFormatting sqref="I4">
    <cfRule type="expression" priority="33" dxfId="0" stopIfTrue="1">
      <formula>AND(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I4&lt;&gt;"",I4&lt;&gt;"not_applicable")</formula>
    </cfRule>
    <cfRule type="expression" priority="34" dxfId="1">
      <formula>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formula>
    </cfRule>
  </conditionalFormatting>
  <conditionalFormatting sqref="I5">
    <cfRule type="expression" priority="35" dxfId="0" stopIfTrue="1">
      <formula>AND(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I5&lt;&gt;"",I5&lt;&gt;"not_applicable")</formula>
    </cfRule>
    <cfRule type="expression" priority="36" dxfId="1">
      <formula>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formula>
    </cfRule>
  </conditionalFormatting>
  <conditionalFormatting sqref="I6">
    <cfRule type="expression" priority="37" dxfId="0" stopIfTrue="1">
      <formula>AND(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I6&lt;&gt;"",I6&lt;&gt;"not_applicable")</formula>
    </cfRule>
    <cfRule type="expression" priority="38" dxfId="1">
      <formula>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formula>
    </cfRule>
  </conditionalFormatting>
  <conditionalFormatting sqref="I7">
    <cfRule type="expression" priority="39" dxfId="0" stopIfTrue="1">
      <formula>AND(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I7&lt;&gt;"",I7&lt;&gt;"not_applicable")</formula>
    </cfRule>
    <cfRule type="expression" priority="40" dxfId="1">
      <formula>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formula>
    </cfRule>
  </conditionalFormatting>
  <conditionalFormatting sqref="I8">
    <cfRule type="expression" priority="41" dxfId="0" stopIfTrue="1">
      <formula>AND(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I8&lt;&gt;"",I8&lt;&gt;"not_applicable")</formula>
    </cfRule>
    <cfRule type="expression" priority="42" dxfId="1">
      <formula>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formula>
    </cfRule>
  </conditionalFormatting>
  <conditionalFormatting sqref="I9">
    <cfRule type="expression" priority="43" dxfId="0" stopIfTrue="1">
      <formula>AND(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I9&lt;&gt;"",I9&lt;&gt;"not_applicable")</formula>
    </cfRule>
    <cfRule type="expression" priority="44" dxfId="1">
      <formula>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formula>
    </cfRule>
  </conditionalFormatting>
  <conditionalFormatting sqref="I10">
    <cfRule type="expression" priority="45" dxfId="0" stopIfTrue="1">
      <formula>AND(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I10&lt;&gt;"",I10&lt;&gt;"not_applicable")</formula>
    </cfRule>
    <cfRule type="expression" priority="46" dxfId="1">
      <formula>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formula>
    </cfRule>
  </conditionalFormatting>
  <conditionalFormatting sqref="I11">
    <cfRule type="expression" priority="47" dxfId="0" stopIfTrue="1">
      <formula>AND(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I11&lt;&gt;"",I11&lt;&gt;"not_applicable")</formula>
    </cfRule>
    <cfRule type="expression" priority="48" dxfId="1">
      <formula>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formula>
    </cfRule>
  </conditionalFormatting>
  <conditionalFormatting sqref="I12">
    <cfRule type="expression" priority="49" dxfId="0" stopIfTrue="1">
      <formula>AND(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I12&lt;&gt;"",I12&lt;&gt;"not_applicable")</formula>
    </cfRule>
    <cfRule type="expression" priority="50" dxfId="1">
      <formula>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formula>
    </cfRule>
  </conditionalFormatting>
  <conditionalFormatting sqref="I13">
    <cfRule type="expression" priority="51" dxfId="0" stopIfTrue="1">
      <formula>AND(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I13&lt;&gt;"",I13&lt;&gt;"not_applicable")</formula>
    </cfRule>
    <cfRule type="expression" priority="52" dxfId="1">
      <formula>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formula>
    </cfRule>
  </conditionalFormatting>
  <conditionalFormatting sqref="I14">
    <cfRule type="expression" priority="53" dxfId="0" stopIfTrue="1">
      <formula>AND(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I14&lt;&gt;"",I14&lt;&gt;"not_applicable")</formula>
    </cfRule>
    <cfRule type="expression" priority="54" dxfId="1">
      <formula>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formula>
    </cfRule>
  </conditionalFormatting>
  <conditionalFormatting sqref="I15">
    <cfRule type="expression" priority="55" dxfId="0" stopIfTrue="1">
      <formula>AND(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I15&lt;&gt;"",I15&lt;&gt;"not_applicable")</formula>
    </cfRule>
    <cfRule type="expression" priority="56" dxfId="1">
      <formula>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formula>
    </cfRule>
  </conditionalFormatting>
  <conditionalFormatting sqref="J2">
    <cfRule type="expression" priority="57" dxfId="0" stopIfTrue="1">
      <formula>AND(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J2&lt;&gt;"",J2&lt;&gt;"not_applicable")</formula>
    </cfRule>
    <cfRule type="expression" priority="58" dxfId="1">
      <formula>OR(AND(IF($D2="",INDEX(primary_jama_2018_18020_disposition,MATCH($A2,primary_jama_2018_18020_key,0)),$D2)&lt;&gt;"",IF($D2="",INDEX(primary_jama_2018_18020_disposition,MATCH($A2,primary_jama_2018_18020_key,0)),$D2)&lt;&gt;"retain"),NOT(OR(IF($E2="",INDEX(primary_jama_2018_18020_domain,MATCH($A2,primary_jama_2018_18020_key,0)),$E2)="statistical_results")))</formula>
    </cfRule>
  </conditionalFormatting>
  <conditionalFormatting sqref="J3">
    <cfRule type="expression" priority="59" dxfId="0" stopIfTrue="1">
      <formula>AND(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J3&lt;&gt;"",J3&lt;&gt;"not_applicable")</formula>
    </cfRule>
    <cfRule type="expression" priority="60" dxfId="1">
      <formula>OR(AND(IF($D3="",INDEX(primary_jama_2018_18020_disposition,MATCH($A3,primary_jama_2018_18020_key,0)),$D3)&lt;&gt;"",IF($D3="",INDEX(primary_jama_2018_18020_disposition,MATCH($A3,primary_jama_2018_18020_key,0)),$D3)&lt;&gt;"retain"),NOT(OR(IF($E3="",INDEX(primary_jama_2018_18020_domain,MATCH($A3,primary_jama_2018_18020_key,0)),$E3)="statistical_results")))</formula>
    </cfRule>
  </conditionalFormatting>
  <conditionalFormatting sqref="J4">
    <cfRule type="expression" priority="61" dxfId="0" stopIfTrue="1">
      <formula>AND(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J4&lt;&gt;"",J4&lt;&gt;"not_applicable")</formula>
    </cfRule>
    <cfRule type="expression" priority="62" dxfId="1">
      <formula>OR(AND(IF($D4="",INDEX(primary_jama_2018_18020_disposition,MATCH($A4,primary_jama_2018_18020_key,0)),$D4)&lt;&gt;"",IF($D4="",INDEX(primary_jama_2018_18020_disposition,MATCH($A4,primary_jama_2018_18020_key,0)),$D4)&lt;&gt;"retain"),NOT(OR(IF($E4="",INDEX(primary_jama_2018_18020_domain,MATCH($A4,primary_jama_2018_18020_key,0)),$E4)="statistical_results")))</formula>
    </cfRule>
  </conditionalFormatting>
  <conditionalFormatting sqref="J5">
    <cfRule type="expression" priority="63" dxfId="0" stopIfTrue="1">
      <formula>AND(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J5&lt;&gt;"",J5&lt;&gt;"not_applicable")</formula>
    </cfRule>
    <cfRule type="expression" priority="64" dxfId="1">
      <formula>OR(AND(IF($D5="",INDEX(primary_jama_2018_18020_disposition,MATCH($A5,primary_jama_2018_18020_key,0)),$D5)&lt;&gt;"",IF($D5="",INDEX(primary_jama_2018_18020_disposition,MATCH($A5,primary_jama_2018_18020_key,0)),$D5)&lt;&gt;"retain"),NOT(OR(IF($E5="",INDEX(primary_jama_2018_18020_domain,MATCH($A5,primary_jama_2018_18020_key,0)),$E5)="statistical_results")))</formula>
    </cfRule>
  </conditionalFormatting>
  <conditionalFormatting sqref="J6">
    <cfRule type="expression" priority="65" dxfId="0" stopIfTrue="1">
      <formula>AND(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J6&lt;&gt;"",J6&lt;&gt;"not_applicable")</formula>
    </cfRule>
    <cfRule type="expression" priority="66" dxfId="1">
      <formula>OR(AND(IF($D6="",INDEX(primary_jama_2018_18020_disposition,MATCH($A6,primary_jama_2018_18020_key,0)),$D6)&lt;&gt;"",IF($D6="",INDEX(primary_jama_2018_18020_disposition,MATCH($A6,primary_jama_2018_18020_key,0)),$D6)&lt;&gt;"retain"),NOT(OR(IF($E6="",INDEX(primary_jama_2018_18020_domain,MATCH($A6,primary_jama_2018_18020_key,0)),$E6)="statistical_results")))</formula>
    </cfRule>
  </conditionalFormatting>
  <conditionalFormatting sqref="J7">
    <cfRule type="expression" priority="67" dxfId="0" stopIfTrue="1">
      <formula>AND(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J7&lt;&gt;"",J7&lt;&gt;"not_applicable")</formula>
    </cfRule>
    <cfRule type="expression" priority="68" dxfId="1">
      <formula>OR(AND(IF($D7="",INDEX(primary_jama_2018_18020_disposition,MATCH($A7,primary_jama_2018_18020_key,0)),$D7)&lt;&gt;"",IF($D7="",INDEX(primary_jama_2018_18020_disposition,MATCH($A7,primary_jama_2018_18020_key,0)),$D7)&lt;&gt;"retain"),NOT(OR(IF($E7="",INDEX(primary_jama_2018_18020_domain,MATCH($A7,primary_jama_2018_18020_key,0)),$E7)="statistical_results")))</formula>
    </cfRule>
  </conditionalFormatting>
  <conditionalFormatting sqref="J8">
    <cfRule type="expression" priority="69" dxfId="0" stopIfTrue="1">
      <formula>AND(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J8&lt;&gt;"",J8&lt;&gt;"not_applicable")</formula>
    </cfRule>
    <cfRule type="expression" priority="70" dxfId="1">
      <formula>OR(AND(IF($D8="",INDEX(primary_jama_2018_18020_disposition,MATCH($A8,primary_jama_2018_18020_key,0)),$D8)&lt;&gt;"",IF($D8="",INDEX(primary_jama_2018_18020_disposition,MATCH($A8,primary_jama_2018_18020_key,0)),$D8)&lt;&gt;"retain"),NOT(OR(IF($E8="",INDEX(primary_jama_2018_18020_domain,MATCH($A8,primary_jama_2018_18020_key,0)),$E8)="statistical_results")))</formula>
    </cfRule>
  </conditionalFormatting>
  <conditionalFormatting sqref="J9">
    <cfRule type="expression" priority="71" dxfId="0" stopIfTrue="1">
      <formula>AND(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J9&lt;&gt;"",J9&lt;&gt;"not_applicable")</formula>
    </cfRule>
    <cfRule type="expression" priority="72" dxfId="1">
      <formula>OR(AND(IF($D9="",INDEX(primary_jama_2018_18020_disposition,MATCH($A9,primary_jama_2018_18020_key,0)),$D9)&lt;&gt;"",IF($D9="",INDEX(primary_jama_2018_18020_disposition,MATCH($A9,primary_jama_2018_18020_key,0)),$D9)&lt;&gt;"retain"),NOT(OR(IF($E9="",INDEX(primary_jama_2018_18020_domain,MATCH($A9,primary_jama_2018_18020_key,0)),$E9)="statistical_results")))</formula>
    </cfRule>
  </conditionalFormatting>
  <conditionalFormatting sqref="J10">
    <cfRule type="expression" priority="73" dxfId="0" stopIfTrue="1">
      <formula>AND(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J10&lt;&gt;"",J10&lt;&gt;"not_applicable")</formula>
    </cfRule>
    <cfRule type="expression" priority="74" dxfId="1">
      <formula>OR(AND(IF($D10="",INDEX(primary_jama_2018_18020_disposition,MATCH($A10,primary_jama_2018_18020_key,0)),$D10)&lt;&gt;"",IF($D10="",INDEX(primary_jama_2018_18020_disposition,MATCH($A10,primary_jama_2018_18020_key,0)),$D10)&lt;&gt;"retain"),NOT(OR(IF($E10="",INDEX(primary_jama_2018_18020_domain,MATCH($A10,primary_jama_2018_18020_key,0)),$E10)="statistical_results")))</formula>
    </cfRule>
  </conditionalFormatting>
  <conditionalFormatting sqref="J11">
    <cfRule type="expression" priority="75" dxfId="0" stopIfTrue="1">
      <formula>AND(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J11&lt;&gt;"",J11&lt;&gt;"not_applicable")</formula>
    </cfRule>
    <cfRule type="expression" priority="76" dxfId="1">
      <formula>OR(AND(IF($D11="",INDEX(primary_jama_2018_18020_disposition,MATCH($A11,primary_jama_2018_18020_key,0)),$D11)&lt;&gt;"",IF($D11="",INDEX(primary_jama_2018_18020_disposition,MATCH($A11,primary_jama_2018_18020_key,0)),$D11)&lt;&gt;"retain"),NOT(OR(IF($E11="",INDEX(primary_jama_2018_18020_domain,MATCH($A11,primary_jama_2018_18020_key,0)),$E11)="statistical_results")))</formula>
    </cfRule>
  </conditionalFormatting>
  <conditionalFormatting sqref="J12">
    <cfRule type="expression" priority="77" dxfId="0" stopIfTrue="1">
      <formula>AND(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J12&lt;&gt;"",J12&lt;&gt;"not_applicable")</formula>
    </cfRule>
    <cfRule type="expression" priority="78" dxfId="1">
      <formula>OR(AND(IF($D12="",INDEX(primary_jama_2018_18020_disposition,MATCH($A12,primary_jama_2018_18020_key,0)),$D12)&lt;&gt;"",IF($D12="",INDEX(primary_jama_2018_18020_disposition,MATCH($A12,primary_jama_2018_18020_key,0)),$D12)&lt;&gt;"retain"),NOT(OR(IF($E12="",INDEX(primary_jama_2018_18020_domain,MATCH($A12,primary_jama_2018_18020_key,0)),$E12)="statistical_results")))</formula>
    </cfRule>
  </conditionalFormatting>
  <conditionalFormatting sqref="J13">
    <cfRule type="expression" priority="79" dxfId="0" stopIfTrue="1">
      <formula>AND(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J13&lt;&gt;"",J13&lt;&gt;"not_applicable")</formula>
    </cfRule>
    <cfRule type="expression" priority="80" dxfId="1">
      <formula>OR(AND(IF($D13="",INDEX(primary_jama_2018_18020_disposition,MATCH($A13,primary_jama_2018_18020_key,0)),$D13)&lt;&gt;"",IF($D13="",INDEX(primary_jama_2018_18020_disposition,MATCH($A13,primary_jama_2018_18020_key,0)),$D13)&lt;&gt;"retain"),NOT(OR(IF($E13="",INDEX(primary_jama_2018_18020_domain,MATCH($A13,primary_jama_2018_18020_key,0)),$E13)="statistical_results")))</formula>
    </cfRule>
  </conditionalFormatting>
  <conditionalFormatting sqref="J14">
    <cfRule type="expression" priority="81" dxfId="0" stopIfTrue="1">
      <formula>AND(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J14&lt;&gt;"",J14&lt;&gt;"not_applicable")</formula>
    </cfRule>
    <cfRule type="expression" priority="82" dxfId="1">
      <formula>OR(AND(IF($D14="",INDEX(primary_jama_2018_18020_disposition,MATCH($A14,primary_jama_2018_18020_key,0)),$D14)&lt;&gt;"",IF($D14="",INDEX(primary_jama_2018_18020_disposition,MATCH($A14,primary_jama_2018_18020_key,0)),$D14)&lt;&gt;"retain"),NOT(OR(IF($E14="",INDEX(primary_jama_2018_18020_domain,MATCH($A14,primary_jama_2018_18020_key,0)),$E14)="statistical_results")))</formula>
    </cfRule>
  </conditionalFormatting>
  <conditionalFormatting sqref="J15">
    <cfRule type="expression" priority="83" dxfId="0" stopIfTrue="1">
      <formula>AND(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J15&lt;&gt;"",J15&lt;&gt;"not_applicable")</formula>
    </cfRule>
    <cfRule type="expression" priority="84" dxfId="1">
      <formula>OR(AND(IF($D15="",INDEX(primary_jama_2018_18020_disposition,MATCH($A15,primary_jama_2018_18020_key,0)),$D15)&lt;&gt;"",IF($D15="",INDEX(primary_jama_2018_18020_disposition,MATCH($A15,primary_jama_2018_18020_key,0)),$D15)&lt;&gt;"retain"),NOT(OR(IF($E15="",INDEX(primary_jama_2018_18020_domain,MATCH($A15,primary_jama_2018_18020_key,0)),$E15)="statistical_results")))</formula>
    </cfRule>
  </conditionalFormatting>
  <conditionalFormatting sqref="K2">
    <cfRule type="expression" priority="85" dxfId="0" stopIfTrue="1">
      <formula>AND(OR(AND(IF($D2="",INDEX(primary_jama_2018_18020_disposition,MATCH($A2,primary_jama_2018_18020_key,0)),$D2)&lt;&gt;"",IF($D2="",INDEX(primary_jama_2018_18020_disposition,MATCH($A2,primary_jama_2018_18020_key,0)),$D2)&lt;&gt;"retain"),NOT(OR(IF($E2="",INDEX(primary_jama_2018_18020_domain,MATCH($A2,primary_jama_2018_18020_key,0)),$E2)="internal_nonstatistical",IF($E2="",INDEX(primary_jama_2018_18020_domain,MATCH($A2,primary_jama_2018_18020_key,0)),$E2)="plan_material"))),K2&lt;&gt;"",K2&lt;&gt;"not_applicable")</formula>
    </cfRule>
    <cfRule type="expression" priority="86" dxfId="1">
      <formula>OR(AND(IF($D2="",INDEX(primary_jama_2018_18020_disposition,MATCH($A2,primary_jama_2018_18020_key,0)),$D2)&lt;&gt;"",IF($D2="",INDEX(primary_jama_2018_18020_disposition,MATCH($A2,primary_jama_2018_18020_key,0)),$D2)&lt;&gt;"retain"),NOT(OR(IF($E2="",INDEX(primary_jama_2018_18020_domain,MATCH($A2,primary_jama_2018_18020_key,0)),$E2)="internal_nonstatistical",IF($E2="",INDEX(primary_jama_2018_18020_domain,MATCH($A2,primary_jama_2018_18020_key,0)),$E2)="plan_material")))</formula>
    </cfRule>
  </conditionalFormatting>
  <conditionalFormatting sqref="K3">
    <cfRule type="expression" priority="87" dxfId="0" stopIfTrue="1">
      <formula>AND(OR(AND(IF($D3="",INDEX(primary_jama_2018_18020_disposition,MATCH($A3,primary_jama_2018_18020_key,0)),$D3)&lt;&gt;"",IF($D3="",INDEX(primary_jama_2018_18020_disposition,MATCH($A3,primary_jama_2018_18020_key,0)),$D3)&lt;&gt;"retain"),NOT(OR(IF($E3="",INDEX(primary_jama_2018_18020_domain,MATCH($A3,primary_jama_2018_18020_key,0)),$E3)="internal_nonstatistical",IF($E3="",INDEX(primary_jama_2018_18020_domain,MATCH($A3,primary_jama_2018_18020_key,0)),$E3)="plan_material"))),K3&lt;&gt;"",K3&lt;&gt;"not_applicable")</formula>
    </cfRule>
    <cfRule type="expression" priority="88" dxfId="1">
      <formula>OR(AND(IF($D3="",INDEX(primary_jama_2018_18020_disposition,MATCH($A3,primary_jama_2018_18020_key,0)),$D3)&lt;&gt;"",IF($D3="",INDEX(primary_jama_2018_18020_disposition,MATCH($A3,primary_jama_2018_18020_key,0)),$D3)&lt;&gt;"retain"),NOT(OR(IF($E3="",INDEX(primary_jama_2018_18020_domain,MATCH($A3,primary_jama_2018_18020_key,0)),$E3)="internal_nonstatistical",IF($E3="",INDEX(primary_jama_2018_18020_domain,MATCH($A3,primary_jama_2018_18020_key,0)),$E3)="plan_material")))</formula>
    </cfRule>
  </conditionalFormatting>
  <conditionalFormatting sqref="K4">
    <cfRule type="expression" priority="89" dxfId="0" stopIfTrue="1">
      <formula>AND(OR(AND(IF($D4="",INDEX(primary_jama_2018_18020_disposition,MATCH($A4,primary_jama_2018_18020_key,0)),$D4)&lt;&gt;"",IF($D4="",INDEX(primary_jama_2018_18020_disposition,MATCH($A4,primary_jama_2018_18020_key,0)),$D4)&lt;&gt;"retain"),NOT(OR(IF($E4="",INDEX(primary_jama_2018_18020_domain,MATCH($A4,primary_jama_2018_18020_key,0)),$E4)="internal_nonstatistical",IF($E4="",INDEX(primary_jama_2018_18020_domain,MATCH($A4,primary_jama_2018_18020_key,0)),$E4)="plan_material"))),K4&lt;&gt;"",K4&lt;&gt;"not_applicable")</formula>
    </cfRule>
    <cfRule type="expression" priority="90" dxfId="1">
      <formula>OR(AND(IF($D4="",INDEX(primary_jama_2018_18020_disposition,MATCH($A4,primary_jama_2018_18020_key,0)),$D4)&lt;&gt;"",IF($D4="",INDEX(primary_jama_2018_18020_disposition,MATCH($A4,primary_jama_2018_18020_key,0)),$D4)&lt;&gt;"retain"),NOT(OR(IF($E4="",INDEX(primary_jama_2018_18020_domain,MATCH($A4,primary_jama_2018_18020_key,0)),$E4)="internal_nonstatistical",IF($E4="",INDEX(primary_jama_2018_18020_domain,MATCH($A4,primary_jama_2018_18020_key,0)),$E4)="plan_material")))</formula>
    </cfRule>
  </conditionalFormatting>
  <conditionalFormatting sqref="K5">
    <cfRule type="expression" priority="91" dxfId="0" stopIfTrue="1">
      <formula>AND(OR(AND(IF($D5="",INDEX(primary_jama_2018_18020_disposition,MATCH($A5,primary_jama_2018_18020_key,0)),$D5)&lt;&gt;"",IF($D5="",INDEX(primary_jama_2018_18020_disposition,MATCH($A5,primary_jama_2018_18020_key,0)),$D5)&lt;&gt;"retain"),NOT(OR(IF($E5="",INDEX(primary_jama_2018_18020_domain,MATCH($A5,primary_jama_2018_18020_key,0)),$E5)="internal_nonstatistical",IF($E5="",INDEX(primary_jama_2018_18020_domain,MATCH($A5,primary_jama_2018_18020_key,0)),$E5)="plan_material"))),K5&lt;&gt;"",K5&lt;&gt;"not_applicable")</formula>
    </cfRule>
    <cfRule type="expression" priority="92" dxfId="1">
      <formula>OR(AND(IF($D5="",INDEX(primary_jama_2018_18020_disposition,MATCH($A5,primary_jama_2018_18020_key,0)),$D5)&lt;&gt;"",IF($D5="",INDEX(primary_jama_2018_18020_disposition,MATCH($A5,primary_jama_2018_18020_key,0)),$D5)&lt;&gt;"retain"),NOT(OR(IF($E5="",INDEX(primary_jama_2018_18020_domain,MATCH($A5,primary_jama_2018_18020_key,0)),$E5)="internal_nonstatistical",IF($E5="",INDEX(primary_jama_2018_18020_domain,MATCH($A5,primary_jama_2018_18020_key,0)),$E5)="plan_material")))</formula>
    </cfRule>
  </conditionalFormatting>
  <conditionalFormatting sqref="K6">
    <cfRule type="expression" priority="93" dxfId="0" stopIfTrue="1">
      <formula>AND(OR(AND(IF($D6="",INDEX(primary_jama_2018_18020_disposition,MATCH($A6,primary_jama_2018_18020_key,0)),$D6)&lt;&gt;"",IF($D6="",INDEX(primary_jama_2018_18020_disposition,MATCH($A6,primary_jama_2018_18020_key,0)),$D6)&lt;&gt;"retain"),NOT(OR(IF($E6="",INDEX(primary_jama_2018_18020_domain,MATCH($A6,primary_jama_2018_18020_key,0)),$E6)="internal_nonstatistical",IF($E6="",INDEX(primary_jama_2018_18020_domain,MATCH($A6,primary_jama_2018_18020_key,0)),$E6)="plan_material"))),K6&lt;&gt;"",K6&lt;&gt;"not_applicable")</formula>
    </cfRule>
    <cfRule type="expression" priority="94" dxfId="1">
      <formula>OR(AND(IF($D6="",INDEX(primary_jama_2018_18020_disposition,MATCH($A6,primary_jama_2018_18020_key,0)),$D6)&lt;&gt;"",IF($D6="",INDEX(primary_jama_2018_18020_disposition,MATCH($A6,primary_jama_2018_18020_key,0)),$D6)&lt;&gt;"retain"),NOT(OR(IF($E6="",INDEX(primary_jama_2018_18020_domain,MATCH($A6,primary_jama_2018_18020_key,0)),$E6)="internal_nonstatistical",IF($E6="",INDEX(primary_jama_2018_18020_domain,MATCH($A6,primary_jama_2018_18020_key,0)),$E6)="plan_material")))</formula>
    </cfRule>
  </conditionalFormatting>
  <conditionalFormatting sqref="K7">
    <cfRule type="expression" priority="95" dxfId="0" stopIfTrue="1">
      <formula>AND(OR(AND(IF($D7="",INDEX(primary_jama_2018_18020_disposition,MATCH($A7,primary_jama_2018_18020_key,0)),$D7)&lt;&gt;"",IF($D7="",INDEX(primary_jama_2018_18020_disposition,MATCH($A7,primary_jama_2018_18020_key,0)),$D7)&lt;&gt;"retain"),NOT(OR(IF($E7="",INDEX(primary_jama_2018_18020_domain,MATCH($A7,primary_jama_2018_18020_key,0)),$E7)="internal_nonstatistical",IF($E7="",INDEX(primary_jama_2018_18020_domain,MATCH($A7,primary_jama_2018_18020_key,0)),$E7)="plan_material"))),K7&lt;&gt;"",K7&lt;&gt;"not_applicable")</formula>
    </cfRule>
    <cfRule type="expression" priority="96" dxfId="1">
      <formula>OR(AND(IF($D7="",INDEX(primary_jama_2018_18020_disposition,MATCH($A7,primary_jama_2018_18020_key,0)),$D7)&lt;&gt;"",IF($D7="",INDEX(primary_jama_2018_18020_disposition,MATCH($A7,primary_jama_2018_18020_key,0)),$D7)&lt;&gt;"retain"),NOT(OR(IF($E7="",INDEX(primary_jama_2018_18020_domain,MATCH($A7,primary_jama_2018_18020_key,0)),$E7)="internal_nonstatistical",IF($E7="",INDEX(primary_jama_2018_18020_domain,MATCH($A7,primary_jama_2018_18020_key,0)),$E7)="plan_material")))</formula>
    </cfRule>
  </conditionalFormatting>
  <conditionalFormatting sqref="K8">
    <cfRule type="expression" priority="97" dxfId="0" stopIfTrue="1">
      <formula>AND(OR(AND(IF($D8="",INDEX(primary_jama_2018_18020_disposition,MATCH($A8,primary_jama_2018_18020_key,0)),$D8)&lt;&gt;"",IF($D8="",INDEX(primary_jama_2018_18020_disposition,MATCH($A8,primary_jama_2018_18020_key,0)),$D8)&lt;&gt;"retain"),NOT(OR(IF($E8="",INDEX(primary_jama_2018_18020_domain,MATCH($A8,primary_jama_2018_18020_key,0)),$E8)="internal_nonstatistical",IF($E8="",INDEX(primary_jama_2018_18020_domain,MATCH($A8,primary_jama_2018_18020_key,0)),$E8)="plan_material"))),K8&lt;&gt;"",K8&lt;&gt;"not_applicable")</formula>
    </cfRule>
    <cfRule type="expression" priority="98" dxfId="1">
      <formula>OR(AND(IF($D8="",INDEX(primary_jama_2018_18020_disposition,MATCH($A8,primary_jama_2018_18020_key,0)),$D8)&lt;&gt;"",IF($D8="",INDEX(primary_jama_2018_18020_disposition,MATCH($A8,primary_jama_2018_18020_key,0)),$D8)&lt;&gt;"retain"),NOT(OR(IF($E8="",INDEX(primary_jama_2018_18020_domain,MATCH($A8,primary_jama_2018_18020_key,0)),$E8)="internal_nonstatistical",IF($E8="",INDEX(primary_jama_2018_18020_domain,MATCH($A8,primary_jama_2018_18020_key,0)),$E8)="plan_material")))</formula>
    </cfRule>
  </conditionalFormatting>
  <conditionalFormatting sqref="K9">
    <cfRule type="expression" priority="99" dxfId="0" stopIfTrue="1">
      <formula>AND(OR(AND(IF($D9="",INDEX(primary_jama_2018_18020_disposition,MATCH($A9,primary_jama_2018_18020_key,0)),$D9)&lt;&gt;"",IF($D9="",INDEX(primary_jama_2018_18020_disposition,MATCH($A9,primary_jama_2018_18020_key,0)),$D9)&lt;&gt;"retain"),NOT(OR(IF($E9="",INDEX(primary_jama_2018_18020_domain,MATCH($A9,primary_jama_2018_18020_key,0)),$E9)="internal_nonstatistical",IF($E9="",INDEX(primary_jama_2018_18020_domain,MATCH($A9,primary_jama_2018_18020_key,0)),$E9)="plan_material"))),K9&lt;&gt;"",K9&lt;&gt;"not_applicable")</formula>
    </cfRule>
    <cfRule type="expression" priority="100" dxfId="1">
      <formula>OR(AND(IF($D9="",INDEX(primary_jama_2018_18020_disposition,MATCH($A9,primary_jama_2018_18020_key,0)),$D9)&lt;&gt;"",IF($D9="",INDEX(primary_jama_2018_18020_disposition,MATCH($A9,primary_jama_2018_18020_key,0)),$D9)&lt;&gt;"retain"),NOT(OR(IF($E9="",INDEX(primary_jama_2018_18020_domain,MATCH($A9,primary_jama_2018_18020_key,0)),$E9)="internal_nonstatistical",IF($E9="",INDEX(primary_jama_2018_18020_domain,MATCH($A9,primary_jama_2018_18020_key,0)),$E9)="plan_material")))</formula>
    </cfRule>
  </conditionalFormatting>
  <conditionalFormatting sqref="K10">
    <cfRule type="expression" priority="101" dxfId="0" stopIfTrue="1">
      <formula>AND(OR(AND(IF($D10="",INDEX(primary_jama_2018_18020_disposition,MATCH($A10,primary_jama_2018_18020_key,0)),$D10)&lt;&gt;"",IF($D10="",INDEX(primary_jama_2018_18020_disposition,MATCH($A10,primary_jama_2018_18020_key,0)),$D10)&lt;&gt;"retain"),NOT(OR(IF($E10="",INDEX(primary_jama_2018_18020_domain,MATCH($A10,primary_jama_2018_18020_key,0)),$E10)="internal_nonstatistical",IF($E10="",INDEX(primary_jama_2018_18020_domain,MATCH($A10,primary_jama_2018_18020_key,0)),$E10)="plan_material"))),K10&lt;&gt;"",K10&lt;&gt;"not_applicable")</formula>
    </cfRule>
    <cfRule type="expression" priority="102" dxfId="1">
      <formula>OR(AND(IF($D10="",INDEX(primary_jama_2018_18020_disposition,MATCH($A10,primary_jama_2018_18020_key,0)),$D10)&lt;&gt;"",IF($D10="",INDEX(primary_jama_2018_18020_disposition,MATCH($A10,primary_jama_2018_18020_key,0)),$D10)&lt;&gt;"retain"),NOT(OR(IF($E10="",INDEX(primary_jama_2018_18020_domain,MATCH($A10,primary_jama_2018_18020_key,0)),$E10)="internal_nonstatistical",IF($E10="",INDEX(primary_jama_2018_18020_domain,MATCH($A10,primary_jama_2018_18020_key,0)),$E10)="plan_material")))</formula>
    </cfRule>
  </conditionalFormatting>
  <conditionalFormatting sqref="K11">
    <cfRule type="expression" priority="103" dxfId="0" stopIfTrue="1">
      <formula>AND(OR(AND(IF($D11="",INDEX(primary_jama_2018_18020_disposition,MATCH($A11,primary_jama_2018_18020_key,0)),$D11)&lt;&gt;"",IF($D11="",INDEX(primary_jama_2018_18020_disposition,MATCH($A11,primary_jama_2018_18020_key,0)),$D11)&lt;&gt;"retain"),NOT(OR(IF($E11="",INDEX(primary_jama_2018_18020_domain,MATCH($A11,primary_jama_2018_18020_key,0)),$E11)="internal_nonstatistical",IF($E11="",INDEX(primary_jama_2018_18020_domain,MATCH($A11,primary_jama_2018_18020_key,0)),$E11)="plan_material"))),K11&lt;&gt;"",K11&lt;&gt;"not_applicable")</formula>
    </cfRule>
    <cfRule type="expression" priority="104" dxfId="1">
      <formula>OR(AND(IF($D11="",INDEX(primary_jama_2018_18020_disposition,MATCH($A11,primary_jama_2018_18020_key,0)),$D11)&lt;&gt;"",IF($D11="",INDEX(primary_jama_2018_18020_disposition,MATCH($A11,primary_jama_2018_18020_key,0)),$D11)&lt;&gt;"retain"),NOT(OR(IF($E11="",INDEX(primary_jama_2018_18020_domain,MATCH($A11,primary_jama_2018_18020_key,0)),$E11)="internal_nonstatistical",IF($E11="",INDEX(primary_jama_2018_18020_domain,MATCH($A11,primary_jama_2018_18020_key,0)),$E11)="plan_material")))</formula>
    </cfRule>
  </conditionalFormatting>
  <conditionalFormatting sqref="K12">
    <cfRule type="expression" priority="105" dxfId="0" stopIfTrue="1">
      <formula>AND(OR(AND(IF($D12="",INDEX(primary_jama_2018_18020_disposition,MATCH($A12,primary_jama_2018_18020_key,0)),$D12)&lt;&gt;"",IF($D12="",INDEX(primary_jama_2018_18020_disposition,MATCH($A12,primary_jama_2018_18020_key,0)),$D12)&lt;&gt;"retain"),NOT(OR(IF($E12="",INDEX(primary_jama_2018_18020_domain,MATCH($A12,primary_jama_2018_18020_key,0)),$E12)="internal_nonstatistical",IF($E12="",INDEX(primary_jama_2018_18020_domain,MATCH($A12,primary_jama_2018_18020_key,0)),$E12)="plan_material"))),K12&lt;&gt;"",K12&lt;&gt;"not_applicable")</formula>
    </cfRule>
    <cfRule type="expression" priority="106" dxfId="1">
      <formula>OR(AND(IF($D12="",INDEX(primary_jama_2018_18020_disposition,MATCH($A12,primary_jama_2018_18020_key,0)),$D12)&lt;&gt;"",IF($D12="",INDEX(primary_jama_2018_18020_disposition,MATCH($A12,primary_jama_2018_18020_key,0)),$D12)&lt;&gt;"retain"),NOT(OR(IF($E12="",INDEX(primary_jama_2018_18020_domain,MATCH($A12,primary_jama_2018_18020_key,0)),$E12)="internal_nonstatistical",IF($E12="",INDEX(primary_jama_2018_18020_domain,MATCH($A12,primary_jama_2018_18020_key,0)),$E12)="plan_material")))</formula>
    </cfRule>
  </conditionalFormatting>
  <conditionalFormatting sqref="K13">
    <cfRule type="expression" priority="107" dxfId="0" stopIfTrue="1">
      <formula>AND(OR(AND(IF($D13="",INDEX(primary_jama_2018_18020_disposition,MATCH($A13,primary_jama_2018_18020_key,0)),$D13)&lt;&gt;"",IF($D13="",INDEX(primary_jama_2018_18020_disposition,MATCH($A13,primary_jama_2018_18020_key,0)),$D13)&lt;&gt;"retain"),NOT(OR(IF($E13="",INDEX(primary_jama_2018_18020_domain,MATCH($A13,primary_jama_2018_18020_key,0)),$E13)="internal_nonstatistical",IF($E13="",INDEX(primary_jama_2018_18020_domain,MATCH($A13,primary_jama_2018_18020_key,0)),$E13)="plan_material"))),K13&lt;&gt;"",K13&lt;&gt;"not_applicable")</formula>
    </cfRule>
    <cfRule type="expression" priority="108" dxfId="1">
      <formula>OR(AND(IF($D13="",INDEX(primary_jama_2018_18020_disposition,MATCH($A13,primary_jama_2018_18020_key,0)),$D13)&lt;&gt;"",IF($D13="",INDEX(primary_jama_2018_18020_disposition,MATCH($A13,primary_jama_2018_18020_key,0)),$D13)&lt;&gt;"retain"),NOT(OR(IF($E13="",INDEX(primary_jama_2018_18020_domain,MATCH($A13,primary_jama_2018_18020_key,0)),$E13)="internal_nonstatistical",IF($E13="",INDEX(primary_jama_2018_18020_domain,MATCH($A13,primary_jama_2018_18020_key,0)),$E13)="plan_material")))</formula>
    </cfRule>
  </conditionalFormatting>
  <conditionalFormatting sqref="K14">
    <cfRule type="expression" priority="109" dxfId="0" stopIfTrue="1">
      <formula>AND(OR(AND(IF($D14="",INDEX(primary_jama_2018_18020_disposition,MATCH($A14,primary_jama_2018_18020_key,0)),$D14)&lt;&gt;"",IF($D14="",INDEX(primary_jama_2018_18020_disposition,MATCH($A14,primary_jama_2018_18020_key,0)),$D14)&lt;&gt;"retain"),NOT(OR(IF($E14="",INDEX(primary_jama_2018_18020_domain,MATCH($A14,primary_jama_2018_18020_key,0)),$E14)="internal_nonstatistical",IF($E14="",INDEX(primary_jama_2018_18020_domain,MATCH($A14,primary_jama_2018_18020_key,0)),$E14)="plan_material"))),K14&lt;&gt;"",K14&lt;&gt;"not_applicable")</formula>
    </cfRule>
    <cfRule type="expression" priority="110" dxfId="1">
      <formula>OR(AND(IF($D14="",INDEX(primary_jama_2018_18020_disposition,MATCH($A14,primary_jama_2018_18020_key,0)),$D14)&lt;&gt;"",IF($D14="",INDEX(primary_jama_2018_18020_disposition,MATCH($A14,primary_jama_2018_18020_key,0)),$D14)&lt;&gt;"retain"),NOT(OR(IF($E14="",INDEX(primary_jama_2018_18020_domain,MATCH($A14,primary_jama_2018_18020_key,0)),$E14)="internal_nonstatistical",IF($E14="",INDEX(primary_jama_2018_18020_domain,MATCH($A14,primary_jama_2018_18020_key,0)),$E14)="plan_material")))</formula>
    </cfRule>
  </conditionalFormatting>
  <conditionalFormatting sqref="K15">
    <cfRule type="expression" priority="111" dxfId="0" stopIfTrue="1">
      <formula>AND(OR(AND(IF($D15="",INDEX(primary_jama_2018_18020_disposition,MATCH($A15,primary_jama_2018_18020_key,0)),$D15)&lt;&gt;"",IF($D15="",INDEX(primary_jama_2018_18020_disposition,MATCH($A15,primary_jama_2018_18020_key,0)),$D15)&lt;&gt;"retain"),NOT(OR(IF($E15="",INDEX(primary_jama_2018_18020_domain,MATCH($A15,primary_jama_2018_18020_key,0)),$E15)="internal_nonstatistical",IF($E15="",INDEX(primary_jama_2018_18020_domain,MATCH($A15,primary_jama_2018_18020_key,0)),$E15)="plan_material"))),K15&lt;&gt;"",K15&lt;&gt;"not_applicable")</formula>
    </cfRule>
    <cfRule type="expression" priority="112" dxfId="1">
      <formula>OR(AND(IF($D15="",INDEX(primary_jama_2018_18020_disposition,MATCH($A15,primary_jama_2018_18020_key,0)),$D15)&lt;&gt;"",IF($D15="",INDEX(primary_jama_2018_18020_disposition,MATCH($A15,primary_jama_2018_18020_key,0)),$D15)&lt;&gt;"retain"),NOT(OR(IF($E15="",INDEX(primary_jama_2018_18020_domain,MATCH($A15,primary_jama_2018_18020_key,0)),$E15)="internal_nonstatistical",IF($E15="",INDEX(primary_jama_2018_18020_domain,MATCH($A15,primary_jama_2018_18020_key,0)),$E15)="plan_material")))</formula>
    </cfRule>
  </conditionalFormatting>
  <conditionalFormatting sqref="L2">
    <cfRule type="expression" priority="113" dxfId="0" stopIfTrue="1">
      <formula>AND(OR(AND(IF($D2="",INDEX(primary_jama_2018_18020_disposition,MATCH($A2,primary_jama_2018_18020_key,0)),$D2)&lt;&gt;"",IF($D2="",INDEX(primary_jama_2018_18020_disposition,MATCH($A2,primary_jama_2018_18020_key,0)),$D2)&lt;&gt;"retain"),NOT(OR(IF($E2="",INDEX(primary_jama_2018_18020_domain,MATCH($A2,primary_jama_2018_18020_key,0)),$E2)="protocol_report"))),L2&lt;&gt;"",L2&lt;&gt;"not_applicable")</formula>
    </cfRule>
    <cfRule type="expression" priority="114" dxfId="1">
      <formula>OR(AND(IF($D2="",INDEX(primary_jama_2018_18020_disposition,MATCH($A2,primary_jama_2018_18020_key,0)),$D2)&lt;&gt;"",IF($D2="",INDEX(primary_jama_2018_18020_disposition,MATCH($A2,primary_jama_2018_18020_key,0)),$D2)&lt;&gt;"retain"),NOT(OR(IF($E2="",INDEX(primary_jama_2018_18020_domain,MATCH($A2,primary_jama_2018_18020_key,0)),$E2)="protocol_report")))</formula>
    </cfRule>
  </conditionalFormatting>
  <conditionalFormatting sqref="L3">
    <cfRule type="expression" priority="115" dxfId="0" stopIfTrue="1">
      <formula>AND(OR(AND(IF($D3="",INDEX(primary_jama_2018_18020_disposition,MATCH($A3,primary_jama_2018_18020_key,0)),$D3)&lt;&gt;"",IF($D3="",INDEX(primary_jama_2018_18020_disposition,MATCH($A3,primary_jama_2018_18020_key,0)),$D3)&lt;&gt;"retain"),NOT(OR(IF($E3="",INDEX(primary_jama_2018_18020_domain,MATCH($A3,primary_jama_2018_18020_key,0)),$E3)="protocol_report"))),L3&lt;&gt;"",L3&lt;&gt;"not_applicable")</formula>
    </cfRule>
    <cfRule type="expression" priority="116" dxfId="1">
      <formula>OR(AND(IF($D3="",INDEX(primary_jama_2018_18020_disposition,MATCH($A3,primary_jama_2018_18020_key,0)),$D3)&lt;&gt;"",IF($D3="",INDEX(primary_jama_2018_18020_disposition,MATCH($A3,primary_jama_2018_18020_key,0)),$D3)&lt;&gt;"retain"),NOT(OR(IF($E3="",INDEX(primary_jama_2018_18020_domain,MATCH($A3,primary_jama_2018_18020_key,0)),$E3)="protocol_report")))</formula>
    </cfRule>
  </conditionalFormatting>
  <conditionalFormatting sqref="L4">
    <cfRule type="expression" priority="117" dxfId="0" stopIfTrue="1">
      <formula>AND(OR(AND(IF($D4="",INDEX(primary_jama_2018_18020_disposition,MATCH($A4,primary_jama_2018_18020_key,0)),$D4)&lt;&gt;"",IF($D4="",INDEX(primary_jama_2018_18020_disposition,MATCH($A4,primary_jama_2018_18020_key,0)),$D4)&lt;&gt;"retain"),NOT(OR(IF($E4="",INDEX(primary_jama_2018_18020_domain,MATCH($A4,primary_jama_2018_18020_key,0)),$E4)="protocol_report"))),L4&lt;&gt;"",L4&lt;&gt;"not_applicable")</formula>
    </cfRule>
    <cfRule type="expression" priority="118" dxfId="1">
      <formula>OR(AND(IF($D4="",INDEX(primary_jama_2018_18020_disposition,MATCH($A4,primary_jama_2018_18020_key,0)),$D4)&lt;&gt;"",IF($D4="",INDEX(primary_jama_2018_18020_disposition,MATCH($A4,primary_jama_2018_18020_key,0)),$D4)&lt;&gt;"retain"),NOT(OR(IF($E4="",INDEX(primary_jama_2018_18020_domain,MATCH($A4,primary_jama_2018_18020_key,0)),$E4)="protocol_report")))</formula>
    </cfRule>
  </conditionalFormatting>
  <conditionalFormatting sqref="L5">
    <cfRule type="expression" priority="119" dxfId="0" stopIfTrue="1">
      <formula>AND(OR(AND(IF($D5="",INDEX(primary_jama_2018_18020_disposition,MATCH($A5,primary_jama_2018_18020_key,0)),$D5)&lt;&gt;"",IF($D5="",INDEX(primary_jama_2018_18020_disposition,MATCH($A5,primary_jama_2018_18020_key,0)),$D5)&lt;&gt;"retain"),NOT(OR(IF($E5="",INDEX(primary_jama_2018_18020_domain,MATCH($A5,primary_jama_2018_18020_key,0)),$E5)="protocol_report"))),L5&lt;&gt;"",L5&lt;&gt;"not_applicable")</formula>
    </cfRule>
    <cfRule type="expression" priority="120" dxfId="1">
      <formula>OR(AND(IF($D5="",INDEX(primary_jama_2018_18020_disposition,MATCH($A5,primary_jama_2018_18020_key,0)),$D5)&lt;&gt;"",IF($D5="",INDEX(primary_jama_2018_18020_disposition,MATCH($A5,primary_jama_2018_18020_key,0)),$D5)&lt;&gt;"retain"),NOT(OR(IF($E5="",INDEX(primary_jama_2018_18020_domain,MATCH($A5,primary_jama_2018_18020_key,0)),$E5)="protocol_report")))</formula>
    </cfRule>
  </conditionalFormatting>
  <conditionalFormatting sqref="L6">
    <cfRule type="expression" priority="121" dxfId="0" stopIfTrue="1">
      <formula>AND(OR(AND(IF($D6="",INDEX(primary_jama_2018_18020_disposition,MATCH($A6,primary_jama_2018_18020_key,0)),$D6)&lt;&gt;"",IF($D6="",INDEX(primary_jama_2018_18020_disposition,MATCH($A6,primary_jama_2018_18020_key,0)),$D6)&lt;&gt;"retain"),NOT(OR(IF($E6="",INDEX(primary_jama_2018_18020_domain,MATCH($A6,primary_jama_2018_18020_key,0)),$E6)="protocol_report"))),L6&lt;&gt;"",L6&lt;&gt;"not_applicable")</formula>
    </cfRule>
    <cfRule type="expression" priority="122" dxfId="1">
      <formula>OR(AND(IF($D6="",INDEX(primary_jama_2018_18020_disposition,MATCH($A6,primary_jama_2018_18020_key,0)),$D6)&lt;&gt;"",IF($D6="",INDEX(primary_jama_2018_18020_disposition,MATCH($A6,primary_jama_2018_18020_key,0)),$D6)&lt;&gt;"retain"),NOT(OR(IF($E6="",INDEX(primary_jama_2018_18020_domain,MATCH($A6,primary_jama_2018_18020_key,0)),$E6)="protocol_report")))</formula>
    </cfRule>
  </conditionalFormatting>
  <conditionalFormatting sqref="L7">
    <cfRule type="expression" priority="123" dxfId="0" stopIfTrue="1">
      <formula>AND(OR(AND(IF($D7="",INDEX(primary_jama_2018_18020_disposition,MATCH($A7,primary_jama_2018_18020_key,0)),$D7)&lt;&gt;"",IF($D7="",INDEX(primary_jama_2018_18020_disposition,MATCH($A7,primary_jama_2018_18020_key,0)),$D7)&lt;&gt;"retain"),NOT(OR(IF($E7="",INDEX(primary_jama_2018_18020_domain,MATCH($A7,primary_jama_2018_18020_key,0)),$E7)="protocol_report"))),L7&lt;&gt;"",L7&lt;&gt;"not_applicable")</formula>
    </cfRule>
    <cfRule type="expression" priority="124" dxfId="1">
      <formula>OR(AND(IF($D7="",INDEX(primary_jama_2018_18020_disposition,MATCH($A7,primary_jama_2018_18020_key,0)),$D7)&lt;&gt;"",IF($D7="",INDEX(primary_jama_2018_18020_disposition,MATCH($A7,primary_jama_2018_18020_key,0)),$D7)&lt;&gt;"retain"),NOT(OR(IF($E7="",INDEX(primary_jama_2018_18020_domain,MATCH($A7,primary_jama_2018_18020_key,0)),$E7)="protocol_report")))</formula>
    </cfRule>
  </conditionalFormatting>
  <conditionalFormatting sqref="L8">
    <cfRule type="expression" priority="125" dxfId="0" stopIfTrue="1">
      <formula>AND(OR(AND(IF($D8="",INDEX(primary_jama_2018_18020_disposition,MATCH($A8,primary_jama_2018_18020_key,0)),$D8)&lt;&gt;"",IF($D8="",INDEX(primary_jama_2018_18020_disposition,MATCH($A8,primary_jama_2018_18020_key,0)),$D8)&lt;&gt;"retain"),NOT(OR(IF($E8="",INDEX(primary_jama_2018_18020_domain,MATCH($A8,primary_jama_2018_18020_key,0)),$E8)="protocol_report"))),L8&lt;&gt;"",L8&lt;&gt;"not_applicable")</formula>
    </cfRule>
    <cfRule type="expression" priority="126" dxfId="1">
      <formula>OR(AND(IF($D8="",INDEX(primary_jama_2018_18020_disposition,MATCH($A8,primary_jama_2018_18020_key,0)),$D8)&lt;&gt;"",IF($D8="",INDEX(primary_jama_2018_18020_disposition,MATCH($A8,primary_jama_2018_18020_key,0)),$D8)&lt;&gt;"retain"),NOT(OR(IF($E8="",INDEX(primary_jama_2018_18020_domain,MATCH($A8,primary_jama_2018_18020_key,0)),$E8)="protocol_report")))</formula>
    </cfRule>
  </conditionalFormatting>
  <conditionalFormatting sqref="L9">
    <cfRule type="expression" priority="127" dxfId="0" stopIfTrue="1">
      <formula>AND(OR(AND(IF($D9="",INDEX(primary_jama_2018_18020_disposition,MATCH($A9,primary_jama_2018_18020_key,0)),$D9)&lt;&gt;"",IF($D9="",INDEX(primary_jama_2018_18020_disposition,MATCH($A9,primary_jama_2018_18020_key,0)),$D9)&lt;&gt;"retain"),NOT(OR(IF($E9="",INDEX(primary_jama_2018_18020_domain,MATCH($A9,primary_jama_2018_18020_key,0)),$E9)="protocol_report"))),L9&lt;&gt;"",L9&lt;&gt;"not_applicable")</formula>
    </cfRule>
    <cfRule type="expression" priority="128" dxfId="1">
      <formula>OR(AND(IF($D9="",INDEX(primary_jama_2018_18020_disposition,MATCH($A9,primary_jama_2018_18020_key,0)),$D9)&lt;&gt;"",IF($D9="",INDEX(primary_jama_2018_18020_disposition,MATCH($A9,primary_jama_2018_18020_key,0)),$D9)&lt;&gt;"retain"),NOT(OR(IF($E9="",INDEX(primary_jama_2018_18020_domain,MATCH($A9,primary_jama_2018_18020_key,0)),$E9)="protocol_report")))</formula>
    </cfRule>
  </conditionalFormatting>
  <conditionalFormatting sqref="L10">
    <cfRule type="expression" priority="129" dxfId="0" stopIfTrue="1">
      <formula>AND(OR(AND(IF($D10="",INDEX(primary_jama_2018_18020_disposition,MATCH($A10,primary_jama_2018_18020_key,0)),$D10)&lt;&gt;"",IF($D10="",INDEX(primary_jama_2018_18020_disposition,MATCH($A10,primary_jama_2018_18020_key,0)),$D10)&lt;&gt;"retain"),NOT(OR(IF($E10="",INDEX(primary_jama_2018_18020_domain,MATCH($A10,primary_jama_2018_18020_key,0)),$E10)="protocol_report"))),L10&lt;&gt;"",L10&lt;&gt;"not_applicable")</formula>
    </cfRule>
    <cfRule type="expression" priority="130" dxfId="1">
      <formula>OR(AND(IF($D10="",INDEX(primary_jama_2018_18020_disposition,MATCH($A10,primary_jama_2018_18020_key,0)),$D10)&lt;&gt;"",IF($D10="",INDEX(primary_jama_2018_18020_disposition,MATCH($A10,primary_jama_2018_18020_key,0)),$D10)&lt;&gt;"retain"),NOT(OR(IF($E10="",INDEX(primary_jama_2018_18020_domain,MATCH($A10,primary_jama_2018_18020_key,0)),$E10)="protocol_report")))</formula>
    </cfRule>
  </conditionalFormatting>
  <conditionalFormatting sqref="L11">
    <cfRule type="expression" priority="131" dxfId="0" stopIfTrue="1">
      <formula>AND(OR(AND(IF($D11="",INDEX(primary_jama_2018_18020_disposition,MATCH($A11,primary_jama_2018_18020_key,0)),$D11)&lt;&gt;"",IF($D11="",INDEX(primary_jama_2018_18020_disposition,MATCH($A11,primary_jama_2018_18020_key,0)),$D11)&lt;&gt;"retain"),NOT(OR(IF($E11="",INDEX(primary_jama_2018_18020_domain,MATCH($A11,primary_jama_2018_18020_key,0)),$E11)="protocol_report"))),L11&lt;&gt;"",L11&lt;&gt;"not_applicable")</formula>
    </cfRule>
    <cfRule type="expression" priority="132" dxfId="1">
      <formula>OR(AND(IF($D11="",INDEX(primary_jama_2018_18020_disposition,MATCH($A11,primary_jama_2018_18020_key,0)),$D11)&lt;&gt;"",IF($D11="",INDEX(primary_jama_2018_18020_disposition,MATCH($A11,primary_jama_2018_18020_key,0)),$D11)&lt;&gt;"retain"),NOT(OR(IF($E11="",INDEX(primary_jama_2018_18020_domain,MATCH($A11,primary_jama_2018_18020_key,0)),$E11)="protocol_report")))</formula>
    </cfRule>
  </conditionalFormatting>
  <conditionalFormatting sqref="L12">
    <cfRule type="expression" priority="133" dxfId="0" stopIfTrue="1">
      <formula>AND(OR(AND(IF($D12="",INDEX(primary_jama_2018_18020_disposition,MATCH($A12,primary_jama_2018_18020_key,0)),$D12)&lt;&gt;"",IF($D12="",INDEX(primary_jama_2018_18020_disposition,MATCH($A12,primary_jama_2018_18020_key,0)),$D12)&lt;&gt;"retain"),NOT(OR(IF($E12="",INDEX(primary_jama_2018_18020_domain,MATCH($A12,primary_jama_2018_18020_key,0)),$E12)="protocol_report"))),L12&lt;&gt;"",L12&lt;&gt;"not_applicable")</formula>
    </cfRule>
    <cfRule type="expression" priority="134" dxfId="1">
      <formula>OR(AND(IF($D12="",INDEX(primary_jama_2018_18020_disposition,MATCH($A12,primary_jama_2018_18020_key,0)),$D12)&lt;&gt;"",IF($D12="",INDEX(primary_jama_2018_18020_disposition,MATCH($A12,primary_jama_2018_18020_key,0)),$D12)&lt;&gt;"retain"),NOT(OR(IF($E12="",INDEX(primary_jama_2018_18020_domain,MATCH($A12,primary_jama_2018_18020_key,0)),$E12)="protocol_report")))</formula>
    </cfRule>
  </conditionalFormatting>
  <conditionalFormatting sqref="L13">
    <cfRule type="expression" priority="135" dxfId="0" stopIfTrue="1">
      <formula>AND(OR(AND(IF($D13="",INDEX(primary_jama_2018_18020_disposition,MATCH($A13,primary_jama_2018_18020_key,0)),$D13)&lt;&gt;"",IF($D13="",INDEX(primary_jama_2018_18020_disposition,MATCH($A13,primary_jama_2018_18020_key,0)),$D13)&lt;&gt;"retain"),NOT(OR(IF($E13="",INDEX(primary_jama_2018_18020_domain,MATCH($A13,primary_jama_2018_18020_key,0)),$E13)="protocol_report"))),L13&lt;&gt;"",L13&lt;&gt;"not_applicable")</formula>
    </cfRule>
    <cfRule type="expression" priority="136" dxfId="1">
      <formula>OR(AND(IF($D13="",INDEX(primary_jama_2018_18020_disposition,MATCH($A13,primary_jama_2018_18020_key,0)),$D13)&lt;&gt;"",IF($D13="",INDEX(primary_jama_2018_18020_disposition,MATCH($A13,primary_jama_2018_18020_key,0)),$D13)&lt;&gt;"retain"),NOT(OR(IF($E13="",INDEX(primary_jama_2018_18020_domain,MATCH($A13,primary_jama_2018_18020_key,0)),$E13)="protocol_report")))</formula>
    </cfRule>
  </conditionalFormatting>
  <conditionalFormatting sqref="L14">
    <cfRule type="expression" priority="137" dxfId="0" stopIfTrue="1">
      <formula>AND(OR(AND(IF($D14="",INDEX(primary_jama_2018_18020_disposition,MATCH($A14,primary_jama_2018_18020_key,0)),$D14)&lt;&gt;"",IF($D14="",INDEX(primary_jama_2018_18020_disposition,MATCH($A14,primary_jama_2018_18020_key,0)),$D14)&lt;&gt;"retain"),NOT(OR(IF($E14="",INDEX(primary_jama_2018_18020_domain,MATCH($A14,primary_jama_2018_18020_key,0)),$E14)="protocol_report"))),L14&lt;&gt;"",L14&lt;&gt;"not_applicable")</formula>
    </cfRule>
    <cfRule type="expression" priority="138" dxfId="1">
      <formula>OR(AND(IF($D14="",INDEX(primary_jama_2018_18020_disposition,MATCH($A14,primary_jama_2018_18020_key,0)),$D14)&lt;&gt;"",IF($D14="",INDEX(primary_jama_2018_18020_disposition,MATCH($A14,primary_jama_2018_18020_key,0)),$D14)&lt;&gt;"retain"),NOT(OR(IF($E14="",INDEX(primary_jama_2018_18020_domain,MATCH($A14,primary_jama_2018_18020_key,0)),$E14)="protocol_report")))</formula>
    </cfRule>
  </conditionalFormatting>
  <conditionalFormatting sqref="L15">
    <cfRule type="expression" priority="139" dxfId="0" stopIfTrue="1">
      <formula>AND(OR(AND(IF($D15="",INDEX(primary_jama_2018_18020_disposition,MATCH($A15,primary_jama_2018_18020_key,0)),$D15)&lt;&gt;"",IF($D15="",INDEX(primary_jama_2018_18020_disposition,MATCH($A15,primary_jama_2018_18020_key,0)),$D15)&lt;&gt;"retain"),NOT(OR(IF($E15="",INDEX(primary_jama_2018_18020_domain,MATCH($A15,primary_jama_2018_18020_key,0)),$E15)="protocol_report"))),L15&lt;&gt;"",L15&lt;&gt;"not_applicable")</formula>
    </cfRule>
    <cfRule type="expression" priority="140" dxfId="1">
      <formula>OR(AND(IF($D15="",INDEX(primary_jama_2018_18020_disposition,MATCH($A15,primary_jama_2018_18020_key,0)),$D15)&lt;&gt;"",IF($D15="",INDEX(primary_jama_2018_18020_disposition,MATCH($A15,primary_jama_2018_18020_key,0)),$D15)&lt;&gt;"retain"),NOT(OR(IF($E15="",INDEX(primary_jama_2018_18020_domain,MATCH($A15,primary_jama_2018_18020_key,0)),$E15)="protocol_report")))</formula>
    </cfRule>
  </conditionalFormatting>
  <dataValidations count="10">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5" showDropDown="0" showInputMessage="1" showErrorMessage="1" allowBlank="1" errorTitle="Invalid option" error="Choose a listed value." promptTitle="Checker result" prompt="See Codebook for meanings." type="list" errorStyle="stop">
      <formula1>opt_checkStatus</formula1>
    </dataValidation>
    <dataValidation sqref="Q2:Q15"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2018::jama.2018.6496::C001</t>
        </is>
      </c>
      <c r="B2" s="2" t="inlineStr">
        <is>
          <t>Reverse-ordered confidence-interval endpoints for all-patient first-attempt duration</t>
        </is>
      </c>
      <c r="C2" s="2" t="inlineStr">
        <is>
          <t>DOC-001 Table 3 — PDF p. 7; DOC-003 eTable 1 — PDF p. 2; DOC-003 eTable 1 note — PDF p. 3; DOC-001 statistical-analysis methods — PDF p. 4.</t>
        </is>
      </c>
      <c r="D2" s="8" t="inlineStr"/>
      <c r="E2" s="8" t="inlineStr"/>
      <c r="F2" s="8" t="inlineStr">
        <is>
          <t>no</t>
        </is>
      </c>
      <c r="G2" s="2">
        <f>IF(OR(AND(OR(AND(IF($D2="",INDEX(primary_jama_2018_6496_disposition,MATCH($A2,primary_jama_2018_6496_key,0)),$D2)&lt;&gt;"",IF($D2="",INDEX(primary_jama_2018_6496_disposition,MATCH($A2,primary_jama_2018_6496_key,0)),$D2)&lt;&gt;"retain"),NOT(OR(IF($E2="",INDEX(primary_jama_2018_6496_domain,MATCH($A2,primary_jama_2018_6496_key,0)),$E2)="statistical_results"))),H2&lt;&gt;"",H2&lt;&gt;"not_applicable"),AND(OR(AND(IF($D2="",INDEX(primary_jama_2018_6496_disposition,MATCH($A2,primary_jama_2018_6496_key,0)),$D2)&lt;&gt;"",IF($D2="",INDEX(primary_jama_2018_6496_disposition,MATCH($A2,primary_jama_2018_6496_key,0)),$D2)&lt;&gt;"retain"),NOT(OR(IF($E2="",INDEX(primary_jama_2018_6496_domain,MATCH($A2,primary_jama_2018_6496_key,0)),$E2)="statistical_results"))),I2&lt;&gt;"",I2&lt;&gt;"not_applicable"),AND(OR(AND(IF($D2="",INDEX(primary_jama_2018_6496_disposition,MATCH($A2,primary_jama_2018_6496_key,0)),$D2)&lt;&gt;"",IF($D2="",INDEX(primary_jama_2018_6496_disposition,MATCH($A2,primary_jama_2018_6496_key,0)),$D2)&lt;&gt;"retain"),NOT(OR(IF($E2="",INDEX(primary_jama_2018_6496_domain,MATCH($A2,primary_jama_2018_6496_key,0)),$E2)="statistical_results"))),J2&lt;&gt;"",J2&lt;&gt;"not_applicable"),AND(OR(AND(IF($D2="",INDEX(primary_jama_2018_6496_disposition,MATCH($A2,primary_jama_2018_6496_key,0)),$D2)&lt;&gt;"",IF($D2="",INDEX(primary_jama_2018_6496_disposition,MATCH($A2,primary_jama_2018_6496_key,0)),$D2)&lt;&gt;"retain"),NOT(OR(IF($E2="",INDEX(primary_jama_2018_6496_domain,MATCH($A2,primary_jama_2018_6496_key,0)),$E2)="internal_nonstatistical",IF($E2="",INDEX(primary_jama_2018_6496_domain,MATCH($A2,primary_jama_2018_6496_key,0)),$E2)="plan_material"))),K2&lt;&gt;"",K2&lt;&gt;"not_applicable"),AND(OR(AND(IF($D2="",INDEX(primary_jama_2018_6496_disposition,MATCH($A2,primary_jama_2018_6496_key,0)),$D2)&lt;&gt;"",IF($D2="",INDEX(primary_jama_2018_6496_disposition,MATCH($A2,primary_jama_2018_6496_key,0)),$D2)&lt;&gt;"retain"),NOT(OR(IF($E2="",INDEX(primary_jama_2018_6496_domain,MATCH($A2,primary_jama_2018_6496_key,0)),$E2)="protocol_report"))),L2&lt;&gt;"",L2&lt;&gt;"not_applicable")),"CLEAR INACTIVE VALUES",IF(O2="","PENDING",IF(AND(O2&lt;&gt;"agree",LEN(TRIM(P2))=0),"COMMENT NEEDED",IF(F2="yes","CHECKED - see resolution","DRAFT"))))</f>
        <v/>
      </c>
      <c r="H2" s="8">
        <f>IF(OR(AND(IF($D2="",INDEX(primary_jama_2018_6496_disposition,MATCH($A2,primary_jama_2018_6496_key,0)),$D2)&lt;&gt;"",IF($D2="",INDEX(primary_jama_2018_6496_disposition,MATCH($A2,primary_jama_2018_6496_key,0)),$D2)&lt;&gt;"retain"),NOT(OR(IF($E2="",INDEX(primary_jama_2018_6496_domain,MATCH($A2,primary_jama_2018_6496_key,0)),$E2)="statistical_results"))),"not_applicable","")</f>
        <v/>
      </c>
      <c r="I2" s="8">
        <f>IF(OR(AND(IF($D2="",INDEX(primary_jama_2018_6496_disposition,MATCH($A2,primary_jama_2018_6496_key,0)),$D2)&lt;&gt;"",IF($D2="",INDEX(primary_jama_2018_6496_disposition,MATCH($A2,primary_jama_2018_6496_key,0)),$D2)&lt;&gt;"retain"),NOT(OR(IF($E2="",INDEX(primary_jama_2018_6496_domain,MATCH($A2,primary_jama_2018_6496_key,0)),$E2)="statistical_results"))),"not_applicable","")</f>
        <v/>
      </c>
      <c r="J2" s="9">
        <f>IF(OR(AND(IF($D2="",INDEX(primary_jama_2018_6496_disposition,MATCH($A2,primary_jama_2018_6496_key,0)),$D2)&lt;&gt;"",IF($D2="",INDEX(primary_jama_2018_6496_disposition,MATCH($A2,primary_jama_2018_6496_key,0)),$D2)&lt;&gt;"retain"),NOT(OR(IF($E2="",INDEX(primary_jama_2018_6496_domain,MATCH($A2,primary_jama_2018_6496_key,0)),$E2)="statistical_results"))),"not_applicable","")</f>
        <v/>
      </c>
      <c r="K2" s="8">
        <f>IF(OR(AND(IF($D2="",INDEX(primary_jama_2018_6496_disposition,MATCH($A2,primary_jama_2018_6496_key,0)),$D2)&lt;&gt;"",IF($D2="",INDEX(primary_jama_2018_6496_disposition,MATCH($A2,primary_jama_2018_6496_key,0)),$D2)&lt;&gt;"retain"),NOT(OR(IF($E2="",INDEX(primary_jama_2018_6496_domain,MATCH($A2,primary_jama_2018_6496_key,0)),$E2)="internal_nonstatistical",IF($E2="",INDEX(primary_jama_2018_6496_domain,MATCH($A2,primary_jama_2018_6496_key,0)),$E2)="plan_material"))),"not_applicable","")</f>
        <v/>
      </c>
      <c r="L2" s="9">
        <f>IF(OR(AND(IF($D2="",INDEX(primary_jama_2018_6496_disposition,MATCH($A2,primary_jama_2018_6496_key,0)),$D2)&lt;&gt;"",IF($D2="",INDEX(primary_jama_2018_6496_disposition,MATCH($A2,primary_jama_2018_6496_key,0)),$D2)&lt;&gt;"retain"),NOT(OR(IF($E2="",INDEX(primary_jama_2018_6496_domain,MATCH($A2,primary_jama_2018_6496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2018::jama.2018.6496::C002</t>
        </is>
      </c>
      <c r="B3" s="3" t="inlineStr">
        <is>
          <t>Two-patient ETT+stylet denominator difference across linked hypoxemia outcomes</t>
        </is>
      </c>
      <c r="C3" s="3" t="inlineStr">
        <is>
          <t>DOC-001 Table 3 — PDF p. 7; DOC-001 Table 5 — PDF p. 9; DOC-002 protocol secondary outcomes — PDF p. 9; DOC-002 analytic issues — PDF p. 21.</t>
        </is>
      </c>
      <c r="D3" s="8" t="inlineStr"/>
      <c r="E3" s="8" t="inlineStr"/>
      <c r="F3" s="8" t="inlineStr">
        <is>
          <t>no</t>
        </is>
      </c>
      <c r="G3" s="3">
        <f>IF(OR(AND(OR(AND(IF($D3="",INDEX(primary_jama_2018_6496_disposition,MATCH($A3,primary_jama_2018_6496_key,0)),$D3)&lt;&gt;"",IF($D3="",INDEX(primary_jama_2018_6496_disposition,MATCH($A3,primary_jama_2018_6496_key,0)),$D3)&lt;&gt;"retain"),NOT(OR(IF($E3="",INDEX(primary_jama_2018_6496_domain,MATCH($A3,primary_jama_2018_6496_key,0)),$E3)="statistical_results"))),H3&lt;&gt;"",H3&lt;&gt;"not_applicable"),AND(OR(AND(IF($D3="",INDEX(primary_jama_2018_6496_disposition,MATCH($A3,primary_jama_2018_6496_key,0)),$D3)&lt;&gt;"",IF($D3="",INDEX(primary_jama_2018_6496_disposition,MATCH($A3,primary_jama_2018_6496_key,0)),$D3)&lt;&gt;"retain"),NOT(OR(IF($E3="",INDEX(primary_jama_2018_6496_domain,MATCH($A3,primary_jama_2018_6496_key,0)),$E3)="statistical_results"))),I3&lt;&gt;"",I3&lt;&gt;"not_applicable"),AND(OR(AND(IF($D3="",INDEX(primary_jama_2018_6496_disposition,MATCH($A3,primary_jama_2018_6496_key,0)),$D3)&lt;&gt;"",IF($D3="",INDEX(primary_jama_2018_6496_disposition,MATCH($A3,primary_jama_2018_6496_key,0)),$D3)&lt;&gt;"retain"),NOT(OR(IF($E3="",INDEX(primary_jama_2018_6496_domain,MATCH($A3,primary_jama_2018_6496_key,0)),$E3)="statistical_results"))),J3&lt;&gt;"",J3&lt;&gt;"not_applicable"),AND(OR(AND(IF($D3="",INDEX(primary_jama_2018_6496_disposition,MATCH($A3,primary_jama_2018_6496_key,0)),$D3)&lt;&gt;"",IF($D3="",INDEX(primary_jama_2018_6496_disposition,MATCH($A3,primary_jama_2018_6496_key,0)),$D3)&lt;&gt;"retain"),NOT(OR(IF($E3="",INDEX(primary_jama_2018_6496_domain,MATCH($A3,primary_jama_2018_6496_key,0)),$E3)="internal_nonstatistical",IF($E3="",INDEX(primary_jama_2018_6496_domain,MATCH($A3,primary_jama_2018_6496_key,0)),$E3)="plan_material"))),K3&lt;&gt;"",K3&lt;&gt;"not_applicable"),AND(OR(AND(IF($D3="",INDEX(primary_jama_2018_6496_disposition,MATCH($A3,primary_jama_2018_6496_key,0)),$D3)&lt;&gt;"",IF($D3="",INDEX(primary_jama_2018_6496_disposition,MATCH($A3,primary_jama_2018_6496_key,0)),$D3)&lt;&gt;"retain"),NOT(OR(IF($E3="",INDEX(primary_jama_2018_6496_domain,MATCH($A3,primary_jama_2018_6496_key,0)),$E3)="protocol_report"))),L3&lt;&gt;"",L3&lt;&gt;"not_applicable")),"CLEAR INACTIVE VALUES",IF(O3="","PENDING",IF(AND(O3&lt;&gt;"agree",LEN(TRIM(P3))=0),"COMMENT NEEDED",IF(F3="yes","CHECKED - see resolution","DRAFT"))))</f>
        <v/>
      </c>
      <c r="H3" s="8">
        <f>IF(OR(AND(IF($D3="",INDEX(primary_jama_2018_6496_disposition,MATCH($A3,primary_jama_2018_6496_key,0)),$D3)&lt;&gt;"",IF($D3="",INDEX(primary_jama_2018_6496_disposition,MATCH($A3,primary_jama_2018_6496_key,0)),$D3)&lt;&gt;"retain"),NOT(OR(IF($E3="",INDEX(primary_jama_2018_6496_domain,MATCH($A3,primary_jama_2018_6496_key,0)),$E3)="statistical_results"))),"not_applicable","")</f>
        <v/>
      </c>
      <c r="I3" s="8">
        <f>IF(OR(AND(IF($D3="",INDEX(primary_jama_2018_6496_disposition,MATCH($A3,primary_jama_2018_6496_key,0)),$D3)&lt;&gt;"",IF($D3="",INDEX(primary_jama_2018_6496_disposition,MATCH($A3,primary_jama_2018_6496_key,0)),$D3)&lt;&gt;"retain"),NOT(OR(IF($E3="",INDEX(primary_jama_2018_6496_domain,MATCH($A3,primary_jama_2018_6496_key,0)),$E3)="statistical_results"))),"not_applicable","")</f>
        <v/>
      </c>
      <c r="J3" s="9">
        <f>IF(OR(AND(IF($D3="",INDEX(primary_jama_2018_6496_disposition,MATCH($A3,primary_jama_2018_6496_key,0)),$D3)&lt;&gt;"",IF($D3="",INDEX(primary_jama_2018_6496_disposition,MATCH($A3,primary_jama_2018_6496_key,0)),$D3)&lt;&gt;"retain"),NOT(OR(IF($E3="",INDEX(primary_jama_2018_6496_domain,MATCH($A3,primary_jama_2018_6496_key,0)),$E3)="statistical_results"))),"not_applicable","")</f>
        <v/>
      </c>
      <c r="K3" s="8">
        <f>IF(OR(AND(IF($D3="",INDEX(primary_jama_2018_6496_disposition,MATCH($A3,primary_jama_2018_6496_key,0)),$D3)&lt;&gt;"",IF($D3="",INDEX(primary_jama_2018_6496_disposition,MATCH($A3,primary_jama_2018_6496_key,0)),$D3)&lt;&gt;"retain"),NOT(OR(IF($E3="",INDEX(primary_jama_2018_6496_domain,MATCH($A3,primary_jama_2018_6496_key,0)),$E3)="internal_nonstatistical",IF($E3="",INDEX(primary_jama_2018_6496_domain,MATCH($A3,primary_jama_2018_6496_key,0)),$E3)="plan_material"))),"not_applicable","")</f>
        <v/>
      </c>
      <c r="L3" s="9">
        <f>IF(OR(AND(IF($D3="",INDEX(primary_jama_2018_6496_disposition,MATCH($A3,primary_jama_2018_6496_key,0)),$D3)&lt;&gt;"",IF($D3="",INDEX(primary_jama_2018_6496_disposition,MATCH($A3,primary_jama_2018_6496_key,0)),$D3)&lt;&gt;"retain"),NOT(OR(IF($E3="",INDEX(primary_jama_2018_6496_domain,MATCH($A3,primary_jama_2018_6496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2018::jama.2018.6496::C003</t>
        </is>
      </c>
      <c r="B4" s="2" t="inlineStr">
        <is>
          <t>Protocol and published hypoxemia observation windows use different endpoint events</t>
        </is>
      </c>
      <c r="C4" s="2" t="inlineStr">
        <is>
          <t>DOC-002 protocol secondary outcomes — PDF p. 9; DOC-002 protocol measurement procedure — PDF p. 10; DOC-001 Table 3 — PDF p. 7; DOC-001 Table 5 — PDF p. 9; DOC-003 eTable 1 note — PDF p. 3; DOC-003 postintubation form — PDF p. 10.</t>
        </is>
      </c>
      <c r="D4" s="8" t="inlineStr"/>
      <c r="E4" s="8" t="inlineStr"/>
      <c r="F4" s="8" t="inlineStr">
        <is>
          <t>no</t>
        </is>
      </c>
      <c r="G4" s="2">
        <f>IF(OR(AND(OR(AND(IF($D4="",INDEX(primary_jama_2018_6496_disposition,MATCH($A4,primary_jama_2018_6496_key,0)),$D4)&lt;&gt;"",IF($D4="",INDEX(primary_jama_2018_6496_disposition,MATCH($A4,primary_jama_2018_6496_key,0)),$D4)&lt;&gt;"retain"),NOT(OR(IF($E4="",INDEX(primary_jama_2018_6496_domain,MATCH($A4,primary_jama_2018_6496_key,0)),$E4)="statistical_results"))),H4&lt;&gt;"",H4&lt;&gt;"not_applicable"),AND(OR(AND(IF($D4="",INDEX(primary_jama_2018_6496_disposition,MATCH($A4,primary_jama_2018_6496_key,0)),$D4)&lt;&gt;"",IF($D4="",INDEX(primary_jama_2018_6496_disposition,MATCH($A4,primary_jama_2018_6496_key,0)),$D4)&lt;&gt;"retain"),NOT(OR(IF($E4="",INDEX(primary_jama_2018_6496_domain,MATCH($A4,primary_jama_2018_6496_key,0)),$E4)="statistical_results"))),I4&lt;&gt;"",I4&lt;&gt;"not_applicable"),AND(OR(AND(IF($D4="",INDEX(primary_jama_2018_6496_disposition,MATCH($A4,primary_jama_2018_6496_key,0)),$D4)&lt;&gt;"",IF($D4="",INDEX(primary_jama_2018_6496_disposition,MATCH($A4,primary_jama_2018_6496_key,0)),$D4)&lt;&gt;"retain"),NOT(OR(IF($E4="",INDEX(primary_jama_2018_6496_domain,MATCH($A4,primary_jama_2018_6496_key,0)),$E4)="statistical_results"))),J4&lt;&gt;"",J4&lt;&gt;"not_applicable"),AND(OR(AND(IF($D4="",INDEX(primary_jama_2018_6496_disposition,MATCH($A4,primary_jama_2018_6496_key,0)),$D4)&lt;&gt;"",IF($D4="",INDEX(primary_jama_2018_6496_disposition,MATCH($A4,primary_jama_2018_6496_key,0)),$D4)&lt;&gt;"retain"),NOT(OR(IF($E4="",INDEX(primary_jama_2018_6496_domain,MATCH($A4,primary_jama_2018_6496_key,0)),$E4)="internal_nonstatistical",IF($E4="",INDEX(primary_jama_2018_6496_domain,MATCH($A4,primary_jama_2018_6496_key,0)),$E4)="plan_material"))),K4&lt;&gt;"",K4&lt;&gt;"not_applicable"),AND(OR(AND(IF($D4="",INDEX(primary_jama_2018_6496_disposition,MATCH($A4,primary_jama_2018_6496_key,0)),$D4)&lt;&gt;"",IF($D4="",INDEX(primary_jama_2018_6496_disposition,MATCH($A4,primary_jama_2018_6496_key,0)),$D4)&lt;&gt;"retain"),NOT(OR(IF($E4="",INDEX(primary_jama_2018_6496_domain,MATCH($A4,primary_jama_2018_6496_key,0)),$E4)="protocol_report"))),L4&lt;&gt;"",L4&lt;&gt;"not_applicable")),"CLEAR INACTIVE VALUES",IF(O4="","PENDING",IF(AND(O4&lt;&gt;"agree",LEN(TRIM(P4))=0),"COMMENT NEEDED",IF(F4="yes","CHECKED - see resolution","DRAFT"))))</f>
        <v/>
      </c>
      <c r="H4" s="8">
        <f>IF(OR(AND(IF($D4="",INDEX(primary_jama_2018_6496_disposition,MATCH($A4,primary_jama_2018_6496_key,0)),$D4)&lt;&gt;"",IF($D4="",INDEX(primary_jama_2018_6496_disposition,MATCH($A4,primary_jama_2018_6496_key,0)),$D4)&lt;&gt;"retain"),NOT(OR(IF($E4="",INDEX(primary_jama_2018_6496_domain,MATCH($A4,primary_jama_2018_6496_key,0)),$E4)="statistical_results"))),"not_applicable","")</f>
        <v/>
      </c>
      <c r="I4" s="8">
        <f>IF(OR(AND(IF($D4="",INDEX(primary_jama_2018_6496_disposition,MATCH($A4,primary_jama_2018_6496_key,0)),$D4)&lt;&gt;"",IF($D4="",INDEX(primary_jama_2018_6496_disposition,MATCH($A4,primary_jama_2018_6496_key,0)),$D4)&lt;&gt;"retain"),NOT(OR(IF($E4="",INDEX(primary_jama_2018_6496_domain,MATCH($A4,primary_jama_2018_6496_key,0)),$E4)="statistical_results"))),"not_applicable","")</f>
        <v/>
      </c>
      <c r="J4" s="9">
        <f>IF(OR(AND(IF($D4="",INDEX(primary_jama_2018_6496_disposition,MATCH($A4,primary_jama_2018_6496_key,0)),$D4)&lt;&gt;"",IF($D4="",INDEX(primary_jama_2018_6496_disposition,MATCH($A4,primary_jama_2018_6496_key,0)),$D4)&lt;&gt;"retain"),NOT(OR(IF($E4="",INDEX(primary_jama_2018_6496_domain,MATCH($A4,primary_jama_2018_6496_key,0)),$E4)="statistical_results"))),"not_applicable","")</f>
        <v/>
      </c>
      <c r="K4" s="8">
        <f>IF(OR(AND(IF($D4="",INDEX(primary_jama_2018_6496_disposition,MATCH($A4,primary_jama_2018_6496_key,0)),$D4)&lt;&gt;"",IF($D4="",INDEX(primary_jama_2018_6496_disposition,MATCH($A4,primary_jama_2018_6496_key,0)),$D4)&lt;&gt;"retain"),NOT(OR(IF($E4="",INDEX(primary_jama_2018_6496_domain,MATCH($A4,primary_jama_2018_6496_key,0)),$E4)="internal_nonstatistical",IF($E4="",INDEX(primary_jama_2018_6496_domain,MATCH($A4,primary_jama_2018_6496_key,0)),$E4)="plan_material"))),"not_applicable","")</f>
        <v/>
      </c>
      <c r="L4" s="9">
        <f>IF(OR(AND(IF($D4="",INDEX(primary_jama_2018_6496_disposition,MATCH($A4,primary_jama_2018_6496_key,0)),$D4)&lt;&gt;"",IF($D4="",INDEX(primary_jama_2018_6496_disposition,MATCH($A4,primary_jama_2018_6496_key,0)),$D4)&lt;&gt;"retain"),NOT(OR(IF($E4="",INDEX(primary_jama_2018_6496_domain,MATCH($A4,primary_jama_2018_6496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2018::jama.2018.6496::C004</t>
        </is>
      </c>
      <c r="B5" s="3" t="inlineStr">
        <is>
          <t>Protocol and published first-attempt-duration measures use different endpoint events</t>
        </is>
      </c>
      <c r="C5" s="3" t="inlineStr">
        <is>
          <t>DOC-002 protocol — PDF p. 9; DOC-001 outcome methods — PDF p. 3; DOC-001 Table 3 — PDF p. 7; DOC-003 eTable 1 note — PDF p. 3; DOC-003 data form — PDF p. 10.</t>
        </is>
      </c>
      <c r="D5" s="8" t="inlineStr"/>
      <c r="E5" s="8" t="inlineStr"/>
      <c r="F5" s="8" t="inlineStr">
        <is>
          <t>no</t>
        </is>
      </c>
      <c r="G5" s="3">
        <f>IF(OR(AND(OR(AND(IF($D5="",INDEX(primary_jama_2018_6496_disposition,MATCH($A5,primary_jama_2018_6496_key,0)),$D5)&lt;&gt;"",IF($D5="",INDEX(primary_jama_2018_6496_disposition,MATCH($A5,primary_jama_2018_6496_key,0)),$D5)&lt;&gt;"retain"),NOT(OR(IF($E5="",INDEX(primary_jama_2018_6496_domain,MATCH($A5,primary_jama_2018_6496_key,0)),$E5)="statistical_results"))),H5&lt;&gt;"",H5&lt;&gt;"not_applicable"),AND(OR(AND(IF($D5="",INDEX(primary_jama_2018_6496_disposition,MATCH($A5,primary_jama_2018_6496_key,0)),$D5)&lt;&gt;"",IF($D5="",INDEX(primary_jama_2018_6496_disposition,MATCH($A5,primary_jama_2018_6496_key,0)),$D5)&lt;&gt;"retain"),NOT(OR(IF($E5="",INDEX(primary_jama_2018_6496_domain,MATCH($A5,primary_jama_2018_6496_key,0)),$E5)="statistical_results"))),I5&lt;&gt;"",I5&lt;&gt;"not_applicable"),AND(OR(AND(IF($D5="",INDEX(primary_jama_2018_6496_disposition,MATCH($A5,primary_jama_2018_6496_key,0)),$D5)&lt;&gt;"",IF($D5="",INDEX(primary_jama_2018_6496_disposition,MATCH($A5,primary_jama_2018_6496_key,0)),$D5)&lt;&gt;"retain"),NOT(OR(IF($E5="",INDEX(primary_jama_2018_6496_domain,MATCH($A5,primary_jama_2018_6496_key,0)),$E5)="statistical_results"))),J5&lt;&gt;"",J5&lt;&gt;"not_applicable"),AND(OR(AND(IF($D5="",INDEX(primary_jama_2018_6496_disposition,MATCH($A5,primary_jama_2018_6496_key,0)),$D5)&lt;&gt;"",IF($D5="",INDEX(primary_jama_2018_6496_disposition,MATCH($A5,primary_jama_2018_6496_key,0)),$D5)&lt;&gt;"retain"),NOT(OR(IF($E5="",INDEX(primary_jama_2018_6496_domain,MATCH($A5,primary_jama_2018_6496_key,0)),$E5)="internal_nonstatistical",IF($E5="",INDEX(primary_jama_2018_6496_domain,MATCH($A5,primary_jama_2018_6496_key,0)),$E5)="plan_material"))),K5&lt;&gt;"",K5&lt;&gt;"not_applicable"),AND(OR(AND(IF($D5="",INDEX(primary_jama_2018_6496_disposition,MATCH($A5,primary_jama_2018_6496_key,0)),$D5)&lt;&gt;"",IF($D5="",INDEX(primary_jama_2018_6496_disposition,MATCH($A5,primary_jama_2018_6496_key,0)),$D5)&lt;&gt;"retain"),NOT(OR(IF($E5="",INDEX(primary_jama_2018_6496_domain,MATCH($A5,primary_jama_2018_6496_key,0)),$E5)="protocol_report"))),L5&lt;&gt;"",L5&lt;&gt;"not_applicable")),"CLEAR INACTIVE VALUES",IF(O5="","PENDING",IF(AND(O5&lt;&gt;"agree",LEN(TRIM(P5))=0),"COMMENT NEEDED",IF(F5="yes","CHECKED - see resolution","DRAFT"))))</f>
        <v/>
      </c>
      <c r="H5" s="8">
        <f>IF(OR(AND(IF($D5="",INDEX(primary_jama_2018_6496_disposition,MATCH($A5,primary_jama_2018_6496_key,0)),$D5)&lt;&gt;"",IF($D5="",INDEX(primary_jama_2018_6496_disposition,MATCH($A5,primary_jama_2018_6496_key,0)),$D5)&lt;&gt;"retain"),NOT(OR(IF($E5="",INDEX(primary_jama_2018_6496_domain,MATCH($A5,primary_jama_2018_6496_key,0)),$E5)="statistical_results"))),"not_applicable","")</f>
        <v/>
      </c>
      <c r="I5" s="8">
        <f>IF(OR(AND(IF($D5="",INDEX(primary_jama_2018_6496_disposition,MATCH($A5,primary_jama_2018_6496_key,0)),$D5)&lt;&gt;"",IF($D5="",INDEX(primary_jama_2018_6496_disposition,MATCH($A5,primary_jama_2018_6496_key,0)),$D5)&lt;&gt;"retain"),NOT(OR(IF($E5="",INDEX(primary_jama_2018_6496_domain,MATCH($A5,primary_jama_2018_6496_key,0)),$E5)="statistical_results"))),"not_applicable","")</f>
        <v/>
      </c>
      <c r="J5" s="9">
        <f>IF(OR(AND(IF($D5="",INDEX(primary_jama_2018_6496_disposition,MATCH($A5,primary_jama_2018_6496_key,0)),$D5)&lt;&gt;"",IF($D5="",INDEX(primary_jama_2018_6496_disposition,MATCH($A5,primary_jama_2018_6496_key,0)),$D5)&lt;&gt;"retain"),NOT(OR(IF($E5="",INDEX(primary_jama_2018_6496_domain,MATCH($A5,primary_jama_2018_6496_key,0)),$E5)="statistical_results"))),"not_applicable","")</f>
        <v/>
      </c>
      <c r="K5" s="8">
        <f>IF(OR(AND(IF($D5="",INDEX(primary_jama_2018_6496_disposition,MATCH($A5,primary_jama_2018_6496_key,0)),$D5)&lt;&gt;"",IF($D5="",INDEX(primary_jama_2018_6496_disposition,MATCH($A5,primary_jama_2018_6496_key,0)),$D5)&lt;&gt;"retain"),NOT(OR(IF($E5="",INDEX(primary_jama_2018_6496_domain,MATCH($A5,primary_jama_2018_6496_key,0)),$E5)="internal_nonstatistical",IF($E5="",INDEX(primary_jama_2018_6496_domain,MATCH($A5,primary_jama_2018_6496_key,0)),$E5)="plan_material"))),"not_applicable","")</f>
        <v/>
      </c>
      <c r="L5" s="9">
        <f>IF(OR(AND(IF($D5="",INDEX(primary_jama_2018_6496_disposition,MATCH($A5,primary_jama_2018_6496_key,0)),$D5)&lt;&gt;"",IF($D5="",INDEX(primary_jama_2018_6496_disposition,MATCH($A5,primary_jama_2018_6496_key,0)),$D5)&lt;&gt;"retain"),NOT(OR(IF($E5="",INDEX(primary_jama_2018_6496_domain,MATCH($A5,primary_jama_2018_6496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
    <cfRule type="expression" priority="1" dxfId="0" stopIfTrue="1">
      <formula>AND(OR(AND(IF($D2="",INDEX(primary_jama_2018_6496_disposition,MATCH($A2,primary_jama_2018_6496_key,0)),$D2)&lt;&gt;"",IF($D2="",INDEX(primary_jama_2018_6496_disposition,MATCH($A2,primary_jama_2018_6496_key,0)),$D2)&lt;&gt;"retain"),NOT(OR(IF($E2="",INDEX(primary_jama_2018_6496_domain,MATCH($A2,primary_jama_2018_6496_key,0)),$E2)="statistical_results"))),H2&lt;&gt;"",H2&lt;&gt;"not_applicable")</formula>
    </cfRule>
    <cfRule type="expression" priority="2" dxfId="1">
      <formula>OR(AND(IF($D2="",INDEX(primary_jama_2018_6496_disposition,MATCH($A2,primary_jama_2018_6496_key,0)),$D2)&lt;&gt;"",IF($D2="",INDEX(primary_jama_2018_6496_disposition,MATCH($A2,primary_jama_2018_6496_key,0)),$D2)&lt;&gt;"retain"),NOT(OR(IF($E2="",INDEX(primary_jama_2018_6496_domain,MATCH($A2,primary_jama_2018_6496_key,0)),$E2)="statistical_results")))</formula>
    </cfRule>
  </conditionalFormatting>
  <conditionalFormatting sqref="H3">
    <cfRule type="expression" priority="3" dxfId="0" stopIfTrue="1">
      <formula>AND(OR(AND(IF($D3="",INDEX(primary_jama_2018_6496_disposition,MATCH($A3,primary_jama_2018_6496_key,0)),$D3)&lt;&gt;"",IF($D3="",INDEX(primary_jama_2018_6496_disposition,MATCH($A3,primary_jama_2018_6496_key,0)),$D3)&lt;&gt;"retain"),NOT(OR(IF($E3="",INDEX(primary_jama_2018_6496_domain,MATCH($A3,primary_jama_2018_6496_key,0)),$E3)="statistical_results"))),H3&lt;&gt;"",H3&lt;&gt;"not_applicable")</formula>
    </cfRule>
    <cfRule type="expression" priority="4" dxfId="1">
      <formula>OR(AND(IF($D3="",INDEX(primary_jama_2018_6496_disposition,MATCH($A3,primary_jama_2018_6496_key,0)),$D3)&lt;&gt;"",IF($D3="",INDEX(primary_jama_2018_6496_disposition,MATCH($A3,primary_jama_2018_6496_key,0)),$D3)&lt;&gt;"retain"),NOT(OR(IF($E3="",INDEX(primary_jama_2018_6496_domain,MATCH($A3,primary_jama_2018_6496_key,0)),$E3)="statistical_results")))</formula>
    </cfRule>
  </conditionalFormatting>
  <conditionalFormatting sqref="H4">
    <cfRule type="expression" priority="5" dxfId="0" stopIfTrue="1">
      <formula>AND(OR(AND(IF($D4="",INDEX(primary_jama_2018_6496_disposition,MATCH($A4,primary_jama_2018_6496_key,0)),$D4)&lt;&gt;"",IF($D4="",INDEX(primary_jama_2018_6496_disposition,MATCH($A4,primary_jama_2018_6496_key,0)),$D4)&lt;&gt;"retain"),NOT(OR(IF($E4="",INDEX(primary_jama_2018_6496_domain,MATCH($A4,primary_jama_2018_6496_key,0)),$E4)="statistical_results"))),H4&lt;&gt;"",H4&lt;&gt;"not_applicable")</formula>
    </cfRule>
    <cfRule type="expression" priority="6" dxfId="1">
      <formula>OR(AND(IF($D4="",INDEX(primary_jama_2018_6496_disposition,MATCH($A4,primary_jama_2018_6496_key,0)),$D4)&lt;&gt;"",IF($D4="",INDEX(primary_jama_2018_6496_disposition,MATCH($A4,primary_jama_2018_6496_key,0)),$D4)&lt;&gt;"retain"),NOT(OR(IF($E4="",INDEX(primary_jama_2018_6496_domain,MATCH($A4,primary_jama_2018_6496_key,0)),$E4)="statistical_results")))</formula>
    </cfRule>
  </conditionalFormatting>
  <conditionalFormatting sqref="H5">
    <cfRule type="expression" priority="7" dxfId="0" stopIfTrue="1">
      <formula>AND(OR(AND(IF($D5="",INDEX(primary_jama_2018_6496_disposition,MATCH($A5,primary_jama_2018_6496_key,0)),$D5)&lt;&gt;"",IF($D5="",INDEX(primary_jama_2018_6496_disposition,MATCH($A5,primary_jama_2018_6496_key,0)),$D5)&lt;&gt;"retain"),NOT(OR(IF($E5="",INDEX(primary_jama_2018_6496_domain,MATCH($A5,primary_jama_2018_6496_key,0)),$E5)="statistical_results"))),H5&lt;&gt;"",H5&lt;&gt;"not_applicable")</formula>
    </cfRule>
    <cfRule type="expression" priority="8" dxfId="1">
      <formula>OR(AND(IF($D5="",INDEX(primary_jama_2018_6496_disposition,MATCH($A5,primary_jama_2018_6496_key,0)),$D5)&lt;&gt;"",IF($D5="",INDEX(primary_jama_2018_6496_disposition,MATCH($A5,primary_jama_2018_6496_key,0)),$D5)&lt;&gt;"retain"),NOT(OR(IF($E5="",INDEX(primary_jama_2018_6496_domain,MATCH($A5,primary_jama_2018_6496_key,0)),$E5)="statistical_results")))</formula>
    </cfRule>
  </conditionalFormatting>
  <conditionalFormatting sqref="I2">
    <cfRule type="expression" priority="9" dxfId="0" stopIfTrue="1">
      <formula>AND(OR(AND(IF($D2="",INDEX(primary_jama_2018_6496_disposition,MATCH($A2,primary_jama_2018_6496_key,0)),$D2)&lt;&gt;"",IF($D2="",INDEX(primary_jama_2018_6496_disposition,MATCH($A2,primary_jama_2018_6496_key,0)),$D2)&lt;&gt;"retain"),NOT(OR(IF($E2="",INDEX(primary_jama_2018_6496_domain,MATCH($A2,primary_jama_2018_6496_key,0)),$E2)="statistical_results"))),I2&lt;&gt;"",I2&lt;&gt;"not_applicable")</formula>
    </cfRule>
    <cfRule type="expression" priority="10" dxfId="1">
      <formula>OR(AND(IF($D2="",INDEX(primary_jama_2018_6496_disposition,MATCH($A2,primary_jama_2018_6496_key,0)),$D2)&lt;&gt;"",IF($D2="",INDEX(primary_jama_2018_6496_disposition,MATCH($A2,primary_jama_2018_6496_key,0)),$D2)&lt;&gt;"retain"),NOT(OR(IF($E2="",INDEX(primary_jama_2018_6496_domain,MATCH($A2,primary_jama_2018_6496_key,0)),$E2)="statistical_results")))</formula>
    </cfRule>
  </conditionalFormatting>
  <conditionalFormatting sqref="I3">
    <cfRule type="expression" priority="11" dxfId="0" stopIfTrue="1">
      <formula>AND(OR(AND(IF($D3="",INDEX(primary_jama_2018_6496_disposition,MATCH($A3,primary_jama_2018_6496_key,0)),$D3)&lt;&gt;"",IF($D3="",INDEX(primary_jama_2018_6496_disposition,MATCH($A3,primary_jama_2018_6496_key,0)),$D3)&lt;&gt;"retain"),NOT(OR(IF($E3="",INDEX(primary_jama_2018_6496_domain,MATCH($A3,primary_jama_2018_6496_key,0)),$E3)="statistical_results"))),I3&lt;&gt;"",I3&lt;&gt;"not_applicable")</formula>
    </cfRule>
    <cfRule type="expression" priority="12" dxfId="1">
      <formula>OR(AND(IF($D3="",INDEX(primary_jama_2018_6496_disposition,MATCH($A3,primary_jama_2018_6496_key,0)),$D3)&lt;&gt;"",IF($D3="",INDEX(primary_jama_2018_6496_disposition,MATCH($A3,primary_jama_2018_6496_key,0)),$D3)&lt;&gt;"retain"),NOT(OR(IF($E3="",INDEX(primary_jama_2018_6496_domain,MATCH($A3,primary_jama_2018_6496_key,0)),$E3)="statistical_results")))</formula>
    </cfRule>
  </conditionalFormatting>
  <conditionalFormatting sqref="I4">
    <cfRule type="expression" priority="13" dxfId="0" stopIfTrue="1">
      <formula>AND(OR(AND(IF($D4="",INDEX(primary_jama_2018_6496_disposition,MATCH($A4,primary_jama_2018_6496_key,0)),$D4)&lt;&gt;"",IF($D4="",INDEX(primary_jama_2018_6496_disposition,MATCH($A4,primary_jama_2018_6496_key,0)),$D4)&lt;&gt;"retain"),NOT(OR(IF($E4="",INDEX(primary_jama_2018_6496_domain,MATCH($A4,primary_jama_2018_6496_key,0)),$E4)="statistical_results"))),I4&lt;&gt;"",I4&lt;&gt;"not_applicable")</formula>
    </cfRule>
    <cfRule type="expression" priority="14" dxfId="1">
      <formula>OR(AND(IF($D4="",INDEX(primary_jama_2018_6496_disposition,MATCH($A4,primary_jama_2018_6496_key,0)),$D4)&lt;&gt;"",IF($D4="",INDEX(primary_jama_2018_6496_disposition,MATCH($A4,primary_jama_2018_6496_key,0)),$D4)&lt;&gt;"retain"),NOT(OR(IF($E4="",INDEX(primary_jama_2018_6496_domain,MATCH($A4,primary_jama_2018_6496_key,0)),$E4)="statistical_results")))</formula>
    </cfRule>
  </conditionalFormatting>
  <conditionalFormatting sqref="I5">
    <cfRule type="expression" priority="15" dxfId="0" stopIfTrue="1">
      <formula>AND(OR(AND(IF($D5="",INDEX(primary_jama_2018_6496_disposition,MATCH($A5,primary_jama_2018_6496_key,0)),$D5)&lt;&gt;"",IF($D5="",INDEX(primary_jama_2018_6496_disposition,MATCH($A5,primary_jama_2018_6496_key,0)),$D5)&lt;&gt;"retain"),NOT(OR(IF($E5="",INDEX(primary_jama_2018_6496_domain,MATCH($A5,primary_jama_2018_6496_key,0)),$E5)="statistical_results"))),I5&lt;&gt;"",I5&lt;&gt;"not_applicable")</formula>
    </cfRule>
    <cfRule type="expression" priority="16" dxfId="1">
      <formula>OR(AND(IF($D5="",INDEX(primary_jama_2018_6496_disposition,MATCH($A5,primary_jama_2018_6496_key,0)),$D5)&lt;&gt;"",IF($D5="",INDEX(primary_jama_2018_6496_disposition,MATCH($A5,primary_jama_2018_6496_key,0)),$D5)&lt;&gt;"retain"),NOT(OR(IF($E5="",INDEX(primary_jama_2018_6496_domain,MATCH($A5,primary_jama_2018_6496_key,0)),$E5)="statistical_results")))</formula>
    </cfRule>
  </conditionalFormatting>
  <conditionalFormatting sqref="J2">
    <cfRule type="expression" priority="17" dxfId="0" stopIfTrue="1">
      <formula>AND(OR(AND(IF($D2="",INDEX(primary_jama_2018_6496_disposition,MATCH($A2,primary_jama_2018_6496_key,0)),$D2)&lt;&gt;"",IF($D2="",INDEX(primary_jama_2018_6496_disposition,MATCH($A2,primary_jama_2018_6496_key,0)),$D2)&lt;&gt;"retain"),NOT(OR(IF($E2="",INDEX(primary_jama_2018_6496_domain,MATCH($A2,primary_jama_2018_6496_key,0)),$E2)="statistical_results"))),J2&lt;&gt;"",J2&lt;&gt;"not_applicable")</formula>
    </cfRule>
    <cfRule type="expression" priority="18" dxfId="1">
      <formula>OR(AND(IF($D2="",INDEX(primary_jama_2018_6496_disposition,MATCH($A2,primary_jama_2018_6496_key,0)),$D2)&lt;&gt;"",IF($D2="",INDEX(primary_jama_2018_6496_disposition,MATCH($A2,primary_jama_2018_6496_key,0)),$D2)&lt;&gt;"retain"),NOT(OR(IF($E2="",INDEX(primary_jama_2018_6496_domain,MATCH($A2,primary_jama_2018_6496_key,0)),$E2)="statistical_results")))</formula>
    </cfRule>
  </conditionalFormatting>
  <conditionalFormatting sqref="J3">
    <cfRule type="expression" priority="19" dxfId="0" stopIfTrue="1">
      <formula>AND(OR(AND(IF($D3="",INDEX(primary_jama_2018_6496_disposition,MATCH($A3,primary_jama_2018_6496_key,0)),$D3)&lt;&gt;"",IF($D3="",INDEX(primary_jama_2018_6496_disposition,MATCH($A3,primary_jama_2018_6496_key,0)),$D3)&lt;&gt;"retain"),NOT(OR(IF($E3="",INDEX(primary_jama_2018_6496_domain,MATCH($A3,primary_jama_2018_6496_key,0)),$E3)="statistical_results"))),J3&lt;&gt;"",J3&lt;&gt;"not_applicable")</formula>
    </cfRule>
    <cfRule type="expression" priority="20" dxfId="1">
      <formula>OR(AND(IF($D3="",INDEX(primary_jama_2018_6496_disposition,MATCH($A3,primary_jama_2018_6496_key,0)),$D3)&lt;&gt;"",IF($D3="",INDEX(primary_jama_2018_6496_disposition,MATCH($A3,primary_jama_2018_6496_key,0)),$D3)&lt;&gt;"retain"),NOT(OR(IF($E3="",INDEX(primary_jama_2018_6496_domain,MATCH($A3,primary_jama_2018_6496_key,0)),$E3)="statistical_results")))</formula>
    </cfRule>
  </conditionalFormatting>
  <conditionalFormatting sqref="J4">
    <cfRule type="expression" priority="21" dxfId="0" stopIfTrue="1">
      <formula>AND(OR(AND(IF($D4="",INDEX(primary_jama_2018_6496_disposition,MATCH($A4,primary_jama_2018_6496_key,0)),$D4)&lt;&gt;"",IF($D4="",INDEX(primary_jama_2018_6496_disposition,MATCH($A4,primary_jama_2018_6496_key,0)),$D4)&lt;&gt;"retain"),NOT(OR(IF($E4="",INDEX(primary_jama_2018_6496_domain,MATCH($A4,primary_jama_2018_6496_key,0)),$E4)="statistical_results"))),J4&lt;&gt;"",J4&lt;&gt;"not_applicable")</formula>
    </cfRule>
    <cfRule type="expression" priority="22" dxfId="1">
      <formula>OR(AND(IF($D4="",INDEX(primary_jama_2018_6496_disposition,MATCH($A4,primary_jama_2018_6496_key,0)),$D4)&lt;&gt;"",IF($D4="",INDEX(primary_jama_2018_6496_disposition,MATCH($A4,primary_jama_2018_6496_key,0)),$D4)&lt;&gt;"retain"),NOT(OR(IF($E4="",INDEX(primary_jama_2018_6496_domain,MATCH($A4,primary_jama_2018_6496_key,0)),$E4)="statistical_results")))</formula>
    </cfRule>
  </conditionalFormatting>
  <conditionalFormatting sqref="J5">
    <cfRule type="expression" priority="23" dxfId="0" stopIfTrue="1">
      <formula>AND(OR(AND(IF($D5="",INDEX(primary_jama_2018_6496_disposition,MATCH($A5,primary_jama_2018_6496_key,0)),$D5)&lt;&gt;"",IF($D5="",INDEX(primary_jama_2018_6496_disposition,MATCH($A5,primary_jama_2018_6496_key,0)),$D5)&lt;&gt;"retain"),NOT(OR(IF($E5="",INDEX(primary_jama_2018_6496_domain,MATCH($A5,primary_jama_2018_6496_key,0)),$E5)="statistical_results"))),J5&lt;&gt;"",J5&lt;&gt;"not_applicable")</formula>
    </cfRule>
    <cfRule type="expression" priority="24" dxfId="1">
      <formula>OR(AND(IF($D5="",INDEX(primary_jama_2018_6496_disposition,MATCH($A5,primary_jama_2018_6496_key,0)),$D5)&lt;&gt;"",IF($D5="",INDEX(primary_jama_2018_6496_disposition,MATCH($A5,primary_jama_2018_6496_key,0)),$D5)&lt;&gt;"retain"),NOT(OR(IF($E5="",INDEX(primary_jama_2018_6496_domain,MATCH($A5,primary_jama_2018_6496_key,0)),$E5)="statistical_results")))</formula>
    </cfRule>
  </conditionalFormatting>
  <conditionalFormatting sqref="K2">
    <cfRule type="expression" priority="25" dxfId="0" stopIfTrue="1">
      <formula>AND(OR(AND(IF($D2="",INDEX(primary_jama_2018_6496_disposition,MATCH($A2,primary_jama_2018_6496_key,0)),$D2)&lt;&gt;"",IF($D2="",INDEX(primary_jama_2018_6496_disposition,MATCH($A2,primary_jama_2018_6496_key,0)),$D2)&lt;&gt;"retain"),NOT(OR(IF($E2="",INDEX(primary_jama_2018_6496_domain,MATCH($A2,primary_jama_2018_6496_key,0)),$E2)="internal_nonstatistical",IF($E2="",INDEX(primary_jama_2018_6496_domain,MATCH($A2,primary_jama_2018_6496_key,0)),$E2)="plan_material"))),K2&lt;&gt;"",K2&lt;&gt;"not_applicable")</formula>
    </cfRule>
    <cfRule type="expression" priority="26" dxfId="1">
      <formula>OR(AND(IF($D2="",INDEX(primary_jama_2018_6496_disposition,MATCH($A2,primary_jama_2018_6496_key,0)),$D2)&lt;&gt;"",IF($D2="",INDEX(primary_jama_2018_6496_disposition,MATCH($A2,primary_jama_2018_6496_key,0)),$D2)&lt;&gt;"retain"),NOT(OR(IF($E2="",INDEX(primary_jama_2018_6496_domain,MATCH($A2,primary_jama_2018_6496_key,0)),$E2)="internal_nonstatistical",IF($E2="",INDEX(primary_jama_2018_6496_domain,MATCH($A2,primary_jama_2018_6496_key,0)),$E2)="plan_material")))</formula>
    </cfRule>
  </conditionalFormatting>
  <conditionalFormatting sqref="K3">
    <cfRule type="expression" priority="27" dxfId="0" stopIfTrue="1">
      <formula>AND(OR(AND(IF($D3="",INDEX(primary_jama_2018_6496_disposition,MATCH($A3,primary_jama_2018_6496_key,0)),$D3)&lt;&gt;"",IF($D3="",INDEX(primary_jama_2018_6496_disposition,MATCH($A3,primary_jama_2018_6496_key,0)),$D3)&lt;&gt;"retain"),NOT(OR(IF($E3="",INDEX(primary_jama_2018_6496_domain,MATCH($A3,primary_jama_2018_6496_key,0)),$E3)="internal_nonstatistical",IF($E3="",INDEX(primary_jama_2018_6496_domain,MATCH($A3,primary_jama_2018_6496_key,0)),$E3)="plan_material"))),K3&lt;&gt;"",K3&lt;&gt;"not_applicable")</formula>
    </cfRule>
    <cfRule type="expression" priority="28" dxfId="1">
      <formula>OR(AND(IF($D3="",INDEX(primary_jama_2018_6496_disposition,MATCH($A3,primary_jama_2018_6496_key,0)),$D3)&lt;&gt;"",IF($D3="",INDEX(primary_jama_2018_6496_disposition,MATCH($A3,primary_jama_2018_6496_key,0)),$D3)&lt;&gt;"retain"),NOT(OR(IF($E3="",INDEX(primary_jama_2018_6496_domain,MATCH($A3,primary_jama_2018_6496_key,0)),$E3)="internal_nonstatistical",IF($E3="",INDEX(primary_jama_2018_6496_domain,MATCH($A3,primary_jama_2018_6496_key,0)),$E3)="plan_material")))</formula>
    </cfRule>
  </conditionalFormatting>
  <conditionalFormatting sqref="K4">
    <cfRule type="expression" priority="29" dxfId="0" stopIfTrue="1">
      <formula>AND(OR(AND(IF($D4="",INDEX(primary_jama_2018_6496_disposition,MATCH($A4,primary_jama_2018_6496_key,0)),$D4)&lt;&gt;"",IF($D4="",INDEX(primary_jama_2018_6496_disposition,MATCH($A4,primary_jama_2018_6496_key,0)),$D4)&lt;&gt;"retain"),NOT(OR(IF($E4="",INDEX(primary_jama_2018_6496_domain,MATCH($A4,primary_jama_2018_6496_key,0)),$E4)="internal_nonstatistical",IF($E4="",INDEX(primary_jama_2018_6496_domain,MATCH($A4,primary_jama_2018_6496_key,0)),$E4)="plan_material"))),K4&lt;&gt;"",K4&lt;&gt;"not_applicable")</formula>
    </cfRule>
    <cfRule type="expression" priority="30" dxfId="1">
      <formula>OR(AND(IF($D4="",INDEX(primary_jama_2018_6496_disposition,MATCH($A4,primary_jama_2018_6496_key,0)),$D4)&lt;&gt;"",IF($D4="",INDEX(primary_jama_2018_6496_disposition,MATCH($A4,primary_jama_2018_6496_key,0)),$D4)&lt;&gt;"retain"),NOT(OR(IF($E4="",INDEX(primary_jama_2018_6496_domain,MATCH($A4,primary_jama_2018_6496_key,0)),$E4)="internal_nonstatistical",IF($E4="",INDEX(primary_jama_2018_6496_domain,MATCH($A4,primary_jama_2018_6496_key,0)),$E4)="plan_material")))</formula>
    </cfRule>
  </conditionalFormatting>
  <conditionalFormatting sqref="K5">
    <cfRule type="expression" priority="31" dxfId="0" stopIfTrue="1">
      <formula>AND(OR(AND(IF($D5="",INDEX(primary_jama_2018_6496_disposition,MATCH($A5,primary_jama_2018_6496_key,0)),$D5)&lt;&gt;"",IF($D5="",INDEX(primary_jama_2018_6496_disposition,MATCH($A5,primary_jama_2018_6496_key,0)),$D5)&lt;&gt;"retain"),NOT(OR(IF($E5="",INDEX(primary_jama_2018_6496_domain,MATCH($A5,primary_jama_2018_6496_key,0)),$E5)="internal_nonstatistical",IF($E5="",INDEX(primary_jama_2018_6496_domain,MATCH($A5,primary_jama_2018_6496_key,0)),$E5)="plan_material"))),K5&lt;&gt;"",K5&lt;&gt;"not_applicable")</formula>
    </cfRule>
    <cfRule type="expression" priority="32" dxfId="1">
      <formula>OR(AND(IF($D5="",INDEX(primary_jama_2018_6496_disposition,MATCH($A5,primary_jama_2018_6496_key,0)),$D5)&lt;&gt;"",IF($D5="",INDEX(primary_jama_2018_6496_disposition,MATCH($A5,primary_jama_2018_6496_key,0)),$D5)&lt;&gt;"retain"),NOT(OR(IF($E5="",INDEX(primary_jama_2018_6496_domain,MATCH($A5,primary_jama_2018_6496_key,0)),$E5)="internal_nonstatistical",IF($E5="",INDEX(primary_jama_2018_6496_domain,MATCH($A5,primary_jama_2018_6496_key,0)),$E5)="plan_material")))</formula>
    </cfRule>
  </conditionalFormatting>
  <conditionalFormatting sqref="L2">
    <cfRule type="expression" priority="33" dxfId="0" stopIfTrue="1">
      <formula>AND(OR(AND(IF($D2="",INDEX(primary_jama_2018_6496_disposition,MATCH($A2,primary_jama_2018_6496_key,0)),$D2)&lt;&gt;"",IF($D2="",INDEX(primary_jama_2018_6496_disposition,MATCH($A2,primary_jama_2018_6496_key,0)),$D2)&lt;&gt;"retain"),NOT(OR(IF($E2="",INDEX(primary_jama_2018_6496_domain,MATCH($A2,primary_jama_2018_6496_key,0)),$E2)="protocol_report"))),L2&lt;&gt;"",L2&lt;&gt;"not_applicable")</formula>
    </cfRule>
    <cfRule type="expression" priority="34" dxfId="1">
      <formula>OR(AND(IF($D2="",INDEX(primary_jama_2018_6496_disposition,MATCH($A2,primary_jama_2018_6496_key,0)),$D2)&lt;&gt;"",IF($D2="",INDEX(primary_jama_2018_6496_disposition,MATCH($A2,primary_jama_2018_6496_key,0)),$D2)&lt;&gt;"retain"),NOT(OR(IF($E2="",INDEX(primary_jama_2018_6496_domain,MATCH($A2,primary_jama_2018_6496_key,0)),$E2)="protocol_report")))</formula>
    </cfRule>
  </conditionalFormatting>
  <conditionalFormatting sqref="L3">
    <cfRule type="expression" priority="35" dxfId="0" stopIfTrue="1">
      <formula>AND(OR(AND(IF($D3="",INDEX(primary_jama_2018_6496_disposition,MATCH($A3,primary_jama_2018_6496_key,0)),$D3)&lt;&gt;"",IF($D3="",INDEX(primary_jama_2018_6496_disposition,MATCH($A3,primary_jama_2018_6496_key,0)),$D3)&lt;&gt;"retain"),NOT(OR(IF($E3="",INDEX(primary_jama_2018_6496_domain,MATCH($A3,primary_jama_2018_6496_key,0)),$E3)="protocol_report"))),L3&lt;&gt;"",L3&lt;&gt;"not_applicable")</formula>
    </cfRule>
    <cfRule type="expression" priority="36" dxfId="1">
      <formula>OR(AND(IF($D3="",INDEX(primary_jama_2018_6496_disposition,MATCH($A3,primary_jama_2018_6496_key,0)),$D3)&lt;&gt;"",IF($D3="",INDEX(primary_jama_2018_6496_disposition,MATCH($A3,primary_jama_2018_6496_key,0)),$D3)&lt;&gt;"retain"),NOT(OR(IF($E3="",INDEX(primary_jama_2018_6496_domain,MATCH($A3,primary_jama_2018_6496_key,0)),$E3)="protocol_report")))</formula>
    </cfRule>
  </conditionalFormatting>
  <conditionalFormatting sqref="L4">
    <cfRule type="expression" priority="37" dxfId="0" stopIfTrue="1">
      <formula>AND(OR(AND(IF($D4="",INDEX(primary_jama_2018_6496_disposition,MATCH($A4,primary_jama_2018_6496_key,0)),$D4)&lt;&gt;"",IF($D4="",INDEX(primary_jama_2018_6496_disposition,MATCH($A4,primary_jama_2018_6496_key,0)),$D4)&lt;&gt;"retain"),NOT(OR(IF($E4="",INDEX(primary_jama_2018_6496_domain,MATCH($A4,primary_jama_2018_6496_key,0)),$E4)="protocol_report"))),L4&lt;&gt;"",L4&lt;&gt;"not_applicable")</formula>
    </cfRule>
    <cfRule type="expression" priority="38" dxfId="1">
      <formula>OR(AND(IF($D4="",INDEX(primary_jama_2018_6496_disposition,MATCH($A4,primary_jama_2018_6496_key,0)),$D4)&lt;&gt;"",IF($D4="",INDEX(primary_jama_2018_6496_disposition,MATCH($A4,primary_jama_2018_6496_key,0)),$D4)&lt;&gt;"retain"),NOT(OR(IF($E4="",INDEX(primary_jama_2018_6496_domain,MATCH($A4,primary_jama_2018_6496_key,0)),$E4)="protocol_report")))</formula>
    </cfRule>
  </conditionalFormatting>
  <conditionalFormatting sqref="L5">
    <cfRule type="expression" priority="39" dxfId="0" stopIfTrue="1">
      <formula>AND(OR(AND(IF($D5="",INDEX(primary_jama_2018_6496_disposition,MATCH($A5,primary_jama_2018_6496_key,0)),$D5)&lt;&gt;"",IF($D5="",INDEX(primary_jama_2018_6496_disposition,MATCH($A5,primary_jama_2018_6496_key,0)),$D5)&lt;&gt;"retain"),NOT(OR(IF($E5="",INDEX(primary_jama_2018_6496_domain,MATCH($A5,primary_jama_2018_6496_key,0)),$E5)="protocol_report"))),L5&lt;&gt;"",L5&lt;&gt;"not_applicable")</formula>
    </cfRule>
    <cfRule type="expression" priority="40" dxfId="1">
      <formula>OR(AND(IF($D5="",INDEX(primary_jama_2018_6496_disposition,MATCH($A5,primary_jama_2018_6496_key,0)),$D5)&lt;&gt;"",IF($D5="",INDEX(primary_jama_2018_6496_disposition,MATCH($A5,primary_jama_2018_6496_key,0)),$D5)&lt;&gt;"retain"),NOT(OR(IF($E5="",INDEX(primary_jama_2018_6496_domain,MATCH($A5,primary_jama_2018_6496_key,0)),$E5)="protocol_report")))</formula>
    </cfRule>
  </conditionalFormatting>
  <dataValidations count="10">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5" showDropDown="0" showInputMessage="1" showErrorMessage="1" allowBlank="1" errorTitle="Invalid option" error="Choose a listed value." promptTitle="Checker result" prompt="See Codebook for meanings." type="list" errorStyle="stop">
      <formula1>opt_checkStatus</formula1>
    </dataValidation>
    <dataValidation sqref="Q2:Q5"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2018::jama.2018.8802::C001</t>
        </is>
      </c>
      <c r="B2" s="2" t="inlineStr">
        <is>
          <t>Table 1 CAD/previous-myocardial-infarction percentage does not reproduce</t>
        </is>
      </c>
      <c r="C2" s="2" t="inlineStr">
        <is>
          <t>jama_wang_2018_oi_180070.pdf — PDF p. 6, Table 1, CAD/previous myocardial infarction, intervention column and Patients, No. header.</t>
        </is>
      </c>
      <c r="D2" s="8" t="inlineStr"/>
      <c r="E2" s="8" t="inlineStr"/>
      <c r="F2" s="8" t="inlineStr">
        <is>
          <t>no</t>
        </is>
      </c>
      <c r="G2" s="2">
        <f>IF(OR(AND(OR(AND(IF($D2="",INDEX(primary_jama_2018_8802_disposition,MATCH($A2,primary_jama_2018_8802_key,0)),$D2)&lt;&gt;"",IF($D2="",INDEX(primary_jama_2018_8802_disposition,MATCH($A2,primary_jama_2018_8802_key,0)),$D2)&lt;&gt;"retain"),NOT(OR(IF($E2="",INDEX(primary_jama_2018_8802_domain,MATCH($A2,primary_jama_2018_8802_key,0)),$E2)="statistical_results"))),H2&lt;&gt;"",H2&lt;&gt;"not_applicable"),AND(OR(AND(IF($D2="",INDEX(primary_jama_2018_8802_disposition,MATCH($A2,primary_jama_2018_8802_key,0)),$D2)&lt;&gt;"",IF($D2="",INDEX(primary_jama_2018_8802_disposition,MATCH($A2,primary_jama_2018_8802_key,0)),$D2)&lt;&gt;"retain"),NOT(OR(IF($E2="",INDEX(primary_jama_2018_8802_domain,MATCH($A2,primary_jama_2018_8802_key,0)),$E2)="statistical_results"))),I2&lt;&gt;"",I2&lt;&gt;"not_applicable"),AND(OR(AND(IF($D2="",INDEX(primary_jama_2018_8802_disposition,MATCH($A2,primary_jama_2018_8802_key,0)),$D2)&lt;&gt;"",IF($D2="",INDEX(primary_jama_2018_8802_disposition,MATCH($A2,primary_jama_2018_8802_key,0)),$D2)&lt;&gt;"retain"),NOT(OR(IF($E2="",INDEX(primary_jama_2018_8802_domain,MATCH($A2,primary_jama_2018_8802_key,0)),$E2)="statistical_results"))),J2&lt;&gt;"",J2&lt;&gt;"not_applicable"),AND(OR(AND(IF($D2="",INDEX(primary_jama_2018_8802_disposition,MATCH($A2,primary_jama_2018_8802_key,0)),$D2)&lt;&gt;"",IF($D2="",INDEX(primary_jama_2018_8802_disposition,MATCH($A2,primary_jama_2018_8802_key,0)),$D2)&lt;&gt;"retain"),NOT(OR(IF($E2="",INDEX(primary_jama_2018_8802_domain,MATCH($A2,primary_jama_2018_8802_key,0)),$E2)="internal_nonstatistical",IF($E2="",INDEX(primary_jama_2018_8802_domain,MATCH($A2,primary_jama_2018_8802_key,0)),$E2)="plan_material"))),K2&lt;&gt;"",K2&lt;&gt;"not_applicable"),AND(OR(AND(IF($D2="",INDEX(primary_jama_2018_8802_disposition,MATCH($A2,primary_jama_2018_8802_key,0)),$D2)&lt;&gt;"",IF($D2="",INDEX(primary_jama_2018_8802_disposition,MATCH($A2,primary_jama_2018_8802_key,0)),$D2)&lt;&gt;"retain"),NOT(OR(IF($E2="",INDEX(primary_jama_2018_8802_domain,MATCH($A2,primary_jama_2018_8802_key,0)),$E2)="protocol_report"))),L2&lt;&gt;"",L2&lt;&gt;"not_applicable")),"CLEAR INACTIVE VALUES",IF(O2="","PENDING",IF(AND(O2&lt;&gt;"agree",LEN(TRIM(P2))=0),"COMMENT NEEDED",IF(F2="yes","CHECKED - see resolution","DRAFT"))))</f>
        <v/>
      </c>
      <c r="H2" s="8">
        <f>IF(OR(AND(IF($D2="",INDEX(primary_jama_2018_8802_disposition,MATCH($A2,primary_jama_2018_8802_key,0)),$D2)&lt;&gt;"",IF($D2="",INDEX(primary_jama_2018_8802_disposition,MATCH($A2,primary_jama_2018_8802_key,0)),$D2)&lt;&gt;"retain"),NOT(OR(IF($E2="",INDEX(primary_jama_2018_8802_domain,MATCH($A2,primary_jama_2018_8802_key,0)),$E2)="statistical_results"))),"not_applicable","")</f>
        <v/>
      </c>
      <c r="I2" s="8">
        <f>IF(OR(AND(IF($D2="",INDEX(primary_jama_2018_8802_disposition,MATCH($A2,primary_jama_2018_8802_key,0)),$D2)&lt;&gt;"",IF($D2="",INDEX(primary_jama_2018_8802_disposition,MATCH($A2,primary_jama_2018_8802_key,0)),$D2)&lt;&gt;"retain"),NOT(OR(IF($E2="",INDEX(primary_jama_2018_8802_domain,MATCH($A2,primary_jama_2018_8802_key,0)),$E2)="statistical_results"))),"not_applicable","")</f>
        <v/>
      </c>
      <c r="J2" s="9">
        <f>IF(OR(AND(IF($D2="",INDEX(primary_jama_2018_8802_disposition,MATCH($A2,primary_jama_2018_8802_key,0)),$D2)&lt;&gt;"",IF($D2="",INDEX(primary_jama_2018_8802_disposition,MATCH($A2,primary_jama_2018_8802_key,0)),$D2)&lt;&gt;"retain"),NOT(OR(IF($E2="",INDEX(primary_jama_2018_8802_domain,MATCH($A2,primary_jama_2018_8802_key,0)),$E2)="statistical_results"))),"not_applicable","")</f>
        <v/>
      </c>
      <c r="K2" s="8">
        <f>IF(OR(AND(IF($D2="",INDEX(primary_jama_2018_8802_disposition,MATCH($A2,primary_jama_2018_8802_key,0)),$D2)&lt;&gt;"",IF($D2="",INDEX(primary_jama_2018_8802_disposition,MATCH($A2,primary_jama_2018_8802_key,0)),$D2)&lt;&gt;"retain"),NOT(OR(IF($E2="",INDEX(primary_jama_2018_8802_domain,MATCH($A2,primary_jama_2018_8802_key,0)),$E2)="internal_nonstatistical",IF($E2="",INDEX(primary_jama_2018_8802_domain,MATCH($A2,primary_jama_2018_8802_key,0)),$E2)="plan_material"))),"not_applicable","")</f>
        <v/>
      </c>
      <c r="L2" s="9">
        <f>IF(OR(AND(IF($D2="",INDEX(primary_jama_2018_8802_disposition,MATCH($A2,primary_jama_2018_8802_key,0)),$D2)&lt;&gt;"",IF($D2="",INDEX(primary_jama_2018_8802_disposition,MATCH($A2,primary_jama_2018_8802_key,0)),$D2)&lt;&gt;"retain"),NOT(OR(IF($E2="",INDEX(primary_jama_2018_8802_domain,MATCH($A2,primary_jama_2018_8802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2018::jama.2018.8802::C002</t>
        </is>
      </c>
      <c r="B3" s="3" t="inlineStr">
        <is>
          <t>LDL eligibility boundary differs between result labels and supplied measure definition</t>
        </is>
      </c>
      <c r="C3" s="3" t="inlineStr">
        <is>
          <t>jama_wang_2018_oi_180070.pdf — PDF p. 7, Table 2 lipid-lowering row; joi180070supp1_prod.pdf — PDF p. 15, definition; joi180070supp2_prod.pdf — PDF p. 3, eTable 1 definition; and joi180070supp2_prod.pdf — PDF p. 8, eTable 4 label.</t>
        </is>
      </c>
      <c r="D3" s="8" t="inlineStr"/>
      <c r="E3" s="8" t="inlineStr"/>
      <c r="F3" s="8" t="inlineStr">
        <is>
          <t>no</t>
        </is>
      </c>
      <c r="G3" s="3">
        <f>IF(OR(AND(OR(AND(IF($D3="",INDEX(primary_jama_2018_8802_disposition,MATCH($A3,primary_jama_2018_8802_key,0)),$D3)&lt;&gt;"",IF($D3="",INDEX(primary_jama_2018_8802_disposition,MATCH($A3,primary_jama_2018_8802_key,0)),$D3)&lt;&gt;"retain"),NOT(OR(IF($E3="",INDEX(primary_jama_2018_8802_domain,MATCH($A3,primary_jama_2018_8802_key,0)),$E3)="statistical_results"))),H3&lt;&gt;"",H3&lt;&gt;"not_applicable"),AND(OR(AND(IF($D3="",INDEX(primary_jama_2018_8802_disposition,MATCH($A3,primary_jama_2018_8802_key,0)),$D3)&lt;&gt;"",IF($D3="",INDEX(primary_jama_2018_8802_disposition,MATCH($A3,primary_jama_2018_8802_key,0)),$D3)&lt;&gt;"retain"),NOT(OR(IF($E3="",INDEX(primary_jama_2018_8802_domain,MATCH($A3,primary_jama_2018_8802_key,0)),$E3)="statistical_results"))),I3&lt;&gt;"",I3&lt;&gt;"not_applicable"),AND(OR(AND(IF($D3="",INDEX(primary_jama_2018_8802_disposition,MATCH($A3,primary_jama_2018_8802_key,0)),$D3)&lt;&gt;"",IF($D3="",INDEX(primary_jama_2018_8802_disposition,MATCH($A3,primary_jama_2018_8802_key,0)),$D3)&lt;&gt;"retain"),NOT(OR(IF($E3="",INDEX(primary_jama_2018_8802_domain,MATCH($A3,primary_jama_2018_8802_key,0)),$E3)="statistical_results"))),J3&lt;&gt;"",J3&lt;&gt;"not_applicable"),AND(OR(AND(IF($D3="",INDEX(primary_jama_2018_8802_disposition,MATCH($A3,primary_jama_2018_8802_key,0)),$D3)&lt;&gt;"",IF($D3="",INDEX(primary_jama_2018_8802_disposition,MATCH($A3,primary_jama_2018_8802_key,0)),$D3)&lt;&gt;"retain"),NOT(OR(IF($E3="",INDEX(primary_jama_2018_8802_domain,MATCH($A3,primary_jama_2018_8802_key,0)),$E3)="internal_nonstatistical",IF($E3="",INDEX(primary_jama_2018_8802_domain,MATCH($A3,primary_jama_2018_8802_key,0)),$E3)="plan_material"))),K3&lt;&gt;"",K3&lt;&gt;"not_applicable"),AND(OR(AND(IF($D3="",INDEX(primary_jama_2018_8802_disposition,MATCH($A3,primary_jama_2018_8802_key,0)),$D3)&lt;&gt;"",IF($D3="",INDEX(primary_jama_2018_8802_disposition,MATCH($A3,primary_jama_2018_8802_key,0)),$D3)&lt;&gt;"retain"),NOT(OR(IF($E3="",INDEX(primary_jama_2018_8802_domain,MATCH($A3,primary_jama_2018_8802_key,0)),$E3)="protocol_report"))),L3&lt;&gt;"",L3&lt;&gt;"not_applicable")),"CLEAR INACTIVE VALUES",IF(O3="","PENDING",IF(AND(O3&lt;&gt;"agree",LEN(TRIM(P3))=0),"COMMENT NEEDED",IF(F3="yes","CHECKED - see resolution","DRAFT"))))</f>
        <v/>
      </c>
      <c r="H3" s="8">
        <f>IF(OR(AND(IF($D3="",INDEX(primary_jama_2018_8802_disposition,MATCH($A3,primary_jama_2018_8802_key,0)),$D3)&lt;&gt;"",IF($D3="",INDEX(primary_jama_2018_8802_disposition,MATCH($A3,primary_jama_2018_8802_key,0)),$D3)&lt;&gt;"retain"),NOT(OR(IF($E3="",INDEX(primary_jama_2018_8802_domain,MATCH($A3,primary_jama_2018_8802_key,0)),$E3)="statistical_results"))),"not_applicable","")</f>
        <v/>
      </c>
      <c r="I3" s="8">
        <f>IF(OR(AND(IF($D3="",INDEX(primary_jama_2018_8802_disposition,MATCH($A3,primary_jama_2018_8802_key,0)),$D3)&lt;&gt;"",IF($D3="",INDEX(primary_jama_2018_8802_disposition,MATCH($A3,primary_jama_2018_8802_key,0)),$D3)&lt;&gt;"retain"),NOT(OR(IF($E3="",INDEX(primary_jama_2018_8802_domain,MATCH($A3,primary_jama_2018_8802_key,0)),$E3)="statistical_results"))),"not_applicable","")</f>
        <v/>
      </c>
      <c r="J3" s="9">
        <f>IF(OR(AND(IF($D3="",INDEX(primary_jama_2018_8802_disposition,MATCH($A3,primary_jama_2018_8802_key,0)),$D3)&lt;&gt;"",IF($D3="",INDEX(primary_jama_2018_8802_disposition,MATCH($A3,primary_jama_2018_8802_key,0)),$D3)&lt;&gt;"retain"),NOT(OR(IF($E3="",INDEX(primary_jama_2018_8802_domain,MATCH($A3,primary_jama_2018_8802_key,0)),$E3)="statistical_results"))),"not_applicable","")</f>
        <v/>
      </c>
      <c r="K3" s="8">
        <f>IF(OR(AND(IF($D3="",INDEX(primary_jama_2018_8802_disposition,MATCH($A3,primary_jama_2018_8802_key,0)),$D3)&lt;&gt;"",IF($D3="",INDEX(primary_jama_2018_8802_disposition,MATCH($A3,primary_jama_2018_8802_key,0)),$D3)&lt;&gt;"retain"),NOT(OR(IF($E3="",INDEX(primary_jama_2018_8802_domain,MATCH($A3,primary_jama_2018_8802_key,0)),$E3)="internal_nonstatistical",IF($E3="",INDEX(primary_jama_2018_8802_domain,MATCH($A3,primary_jama_2018_8802_key,0)),$E3)="plan_material"))),"not_applicable","")</f>
        <v/>
      </c>
      <c r="L3" s="9">
        <f>IF(OR(AND(IF($D3="",INDEX(primary_jama_2018_8802_disposition,MATCH($A3,primary_jama_2018_8802_key,0)),$D3)&lt;&gt;"",IF($D3="",INDEX(primary_jama_2018_8802_disposition,MATCH($A3,primary_jama_2018_8802_key,0)),$D3)&lt;&gt;"retain"),NOT(OR(IF($E3="",INDEX(primary_jama_2018_8802_domain,MATCH($A3,primary_jama_2018_8802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2018::jama.2018.8802::C003</t>
        </is>
      </c>
      <c r="B4" s="2" t="inlineStr">
        <is>
          <t>eTable 4 discharge-antithrombotics control percentage does not reproduce</t>
        </is>
      </c>
      <c r="C4" s="2" t="inlineStr">
        <is>
          <t>joi180070supp2_prod.pdf — PDF p. 8, eTable 4, Antithrombotics, control cell.</t>
        </is>
      </c>
      <c r="D4" s="8" t="inlineStr"/>
      <c r="E4" s="8" t="inlineStr"/>
      <c r="F4" s="8" t="inlineStr">
        <is>
          <t>no</t>
        </is>
      </c>
      <c r="G4" s="2">
        <f>IF(OR(AND(OR(AND(IF($D4="",INDEX(primary_jama_2018_8802_disposition,MATCH($A4,primary_jama_2018_8802_key,0)),$D4)&lt;&gt;"",IF($D4="",INDEX(primary_jama_2018_8802_disposition,MATCH($A4,primary_jama_2018_8802_key,0)),$D4)&lt;&gt;"retain"),NOT(OR(IF($E4="",INDEX(primary_jama_2018_8802_domain,MATCH($A4,primary_jama_2018_8802_key,0)),$E4)="statistical_results"))),H4&lt;&gt;"",H4&lt;&gt;"not_applicable"),AND(OR(AND(IF($D4="",INDEX(primary_jama_2018_8802_disposition,MATCH($A4,primary_jama_2018_8802_key,0)),$D4)&lt;&gt;"",IF($D4="",INDEX(primary_jama_2018_8802_disposition,MATCH($A4,primary_jama_2018_8802_key,0)),$D4)&lt;&gt;"retain"),NOT(OR(IF($E4="",INDEX(primary_jama_2018_8802_domain,MATCH($A4,primary_jama_2018_8802_key,0)),$E4)="statistical_results"))),I4&lt;&gt;"",I4&lt;&gt;"not_applicable"),AND(OR(AND(IF($D4="",INDEX(primary_jama_2018_8802_disposition,MATCH($A4,primary_jama_2018_8802_key,0)),$D4)&lt;&gt;"",IF($D4="",INDEX(primary_jama_2018_8802_disposition,MATCH($A4,primary_jama_2018_8802_key,0)),$D4)&lt;&gt;"retain"),NOT(OR(IF($E4="",INDEX(primary_jama_2018_8802_domain,MATCH($A4,primary_jama_2018_8802_key,0)),$E4)="statistical_results"))),J4&lt;&gt;"",J4&lt;&gt;"not_applicable"),AND(OR(AND(IF($D4="",INDEX(primary_jama_2018_8802_disposition,MATCH($A4,primary_jama_2018_8802_key,0)),$D4)&lt;&gt;"",IF($D4="",INDEX(primary_jama_2018_8802_disposition,MATCH($A4,primary_jama_2018_8802_key,0)),$D4)&lt;&gt;"retain"),NOT(OR(IF($E4="",INDEX(primary_jama_2018_8802_domain,MATCH($A4,primary_jama_2018_8802_key,0)),$E4)="internal_nonstatistical",IF($E4="",INDEX(primary_jama_2018_8802_domain,MATCH($A4,primary_jama_2018_8802_key,0)),$E4)="plan_material"))),K4&lt;&gt;"",K4&lt;&gt;"not_applicable"),AND(OR(AND(IF($D4="",INDEX(primary_jama_2018_8802_disposition,MATCH($A4,primary_jama_2018_8802_key,0)),$D4)&lt;&gt;"",IF($D4="",INDEX(primary_jama_2018_8802_disposition,MATCH($A4,primary_jama_2018_8802_key,0)),$D4)&lt;&gt;"retain"),NOT(OR(IF($E4="",INDEX(primary_jama_2018_8802_domain,MATCH($A4,primary_jama_2018_8802_key,0)),$E4)="protocol_report"))),L4&lt;&gt;"",L4&lt;&gt;"not_applicable")),"CLEAR INACTIVE VALUES",IF(O4="","PENDING",IF(AND(O4&lt;&gt;"agree",LEN(TRIM(P4))=0),"COMMENT NEEDED",IF(F4="yes","CHECKED - see resolution","DRAFT"))))</f>
        <v/>
      </c>
      <c r="H4" s="8">
        <f>IF(OR(AND(IF($D4="",INDEX(primary_jama_2018_8802_disposition,MATCH($A4,primary_jama_2018_8802_key,0)),$D4)&lt;&gt;"",IF($D4="",INDEX(primary_jama_2018_8802_disposition,MATCH($A4,primary_jama_2018_8802_key,0)),$D4)&lt;&gt;"retain"),NOT(OR(IF($E4="",INDEX(primary_jama_2018_8802_domain,MATCH($A4,primary_jama_2018_8802_key,0)),$E4)="statistical_results"))),"not_applicable","")</f>
        <v/>
      </c>
      <c r="I4" s="8">
        <f>IF(OR(AND(IF($D4="",INDEX(primary_jama_2018_8802_disposition,MATCH($A4,primary_jama_2018_8802_key,0)),$D4)&lt;&gt;"",IF($D4="",INDEX(primary_jama_2018_8802_disposition,MATCH($A4,primary_jama_2018_8802_key,0)),$D4)&lt;&gt;"retain"),NOT(OR(IF($E4="",INDEX(primary_jama_2018_8802_domain,MATCH($A4,primary_jama_2018_8802_key,0)),$E4)="statistical_results"))),"not_applicable","")</f>
        <v/>
      </c>
      <c r="J4" s="9">
        <f>IF(OR(AND(IF($D4="",INDEX(primary_jama_2018_8802_disposition,MATCH($A4,primary_jama_2018_8802_key,0)),$D4)&lt;&gt;"",IF($D4="",INDEX(primary_jama_2018_8802_disposition,MATCH($A4,primary_jama_2018_8802_key,0)),$D4)&lt;&gt;"retain"),NOT(OR(IF($E4="",INDEX(primary_jama_2018_8802_domain,MATCH($A4,primary_jama_2018_8802_key,0)),$E4)="statistical_results"))),"not_applicable","")</f>
        <v/>
      </c>
      <c r="K4" s="8">
        <f>IF(OR(AND(IF($D4="",INDEX(primary_jama_2018_8802_disposition,MATCH($A4,primary_jama_2018_8802_key,0)),$D4)&lt;&gt;"",IF($D4="",INDEX(primary_jama_2018_8802_disposition,MATCH($A4,primary_jama_2018_8802_key,0)),$D4)&lt;&gt;"retain"),NOT(OR(IF($E4="",INDEX(primary_jama_2018_8802_domain,MATCH($A4,primary_jama_2018_8802_key,0)),$E4)="internal_nonstatistical",IF($E4="",INDEX(primary_jama_2018_8802_domain,MATCH($A4,primary_jama_2018_8802_key,0)),$E4)="plan_material"))),"not_applicable","")</f>
        <v/>
      </c>
      <c r="L4" s="9">
        <f>IF(OR(AND(IF($D4="",INDEX(primary_jama_2018_8802_disposition,MATCH($A4,primary_jama_2018_8802_key,0)),$D4)&lt;&gt;"",IF($D4="",INDEX(primary_jama_2018_8802_disposition,MATCH($A4,primary_jama_2018_8802_key,0)),$D4)&lt;&gt;"retain"),NOT(OR(IF($E4="",INDEX(primary_jama_2018_8802_domain,MATCH($A4,primary_jama_2018_8802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2018::jama.2018.8802::C004</t>
        </is>
      </c>
      <c r="B5" s="3" t="inlineStr">
        <is>
          <t>eTable 4 AF-anticoagulation control percentage does not reproduce</t>
        </is>
      </c>
      <c r="C5" s="3" t="inlineStr">
        <is>
          <t>joi180070supp2_prod.pdf — PDF p. 8, eTable 4, Anticoagulation for Atrial Fibrillation, control cell.</t>
        </is>
      </c>
      <c r="D5" s="8" t="inlineStr"/>
      <c r="E5" s="8" t="inlineStr"/>
      <c r="F5" s="8" t="inlineStr">
        <is>
          <t>no</t>
        </is>
      </c>
      <c r="G5" s="3">
        <f>IF(OR(AND(OR(AND(IF($D5="",INDEX(primary_jama_2018_8802_disposition,MATCH($A5,primary_jama_2018_8802_key,0)),$D5)&lt;&gt;"",IF($D5="",INDEX(primary_jama_2018_8802_disposition,MATCH($A5,primary_jama_2018_8802_key,0)),$D5)&lt;&gt;"retain"),NOT(OR(IF($E5="",INDEX(primary_jama_2018_8802_domain,MATCH($A5,primary_jama_2018_8802_key,0)),$E5)="statistical_results"))),H5&lt;&gt;"",H5&lt;&gt;"not_applicable"),AND(OR(AND(IF($D5="",INDEX(primary_jama_2018_8802_disposition,MATCH($A5,primary_jama_2018_8802_key,0)),$D5)&lt;&gt;"",IF($D5="",INDEX(primary_jama_2018_8802_disposition,MATCH($A5,primary_jama_2018_8802_key,0)),$D5)&lt;&gt;"retain"),NOT(OR(IF($E5="",INDEX(primary_jama_2018_8802_domain,MATCH($A5,primary_jama_2018_8802_key,0)),$E5)="statistical_results"))),I5&lt;&gt;"",I5&lt;&gt;"not_applicable"),AND(OR(AND(IF($D5="",INDEX(primary_jama_2018_8802_disposition,MATCH($A5,primary_jama_2018_8802_key,0)),$D5)&lt;&gt;"",IF($D5="",INDEX(primary_jama_2018_8802_disposition,MATCH($A5,primary_jama_2018_8802_key,0)),$D5)&lt;&gt;"retain"),NOT(OR(IF($E5="",INDEX(primary_jama_2018_8802_domain,MATCH($A5,primary_jama_2018_8802_key,0)),$E5)="statistical_results"))),J5&lt;&gt;"",J5&lt;&gt;"not_applicable"),AND(OR(AND(IF($D5="",INDEX(primary_jama_2018_8802_disposition,MATCH($A5,primary_jama_2018_8802_key,0)),$D5)&lt;&gt;"",IF($D5="",INDEX(primary_jama_2018_8802_disposition,MATCH($A5,primary_jama_2018_8802_key,0)),$D5)&lt;&gt;"retain"),NOT(OR(IF($E5="",INDEX(primary_jama_2018_8802_domain,MATCH($A5,primary_jama_2018_8802_key,0)),$E5)="internal_nonstatistical",IF($E5="",INDEX(primary_jama_2018_8802_domain,MATCH($A5,primary_jama_2018_8802_key,0)),$E5)="plan_material"))),K5&lt;&gt;"",K5&lt;&gt;"not_applicable"),AND(OR(AND(IF($D5="",INDEX(primary_jama_2018_8802_disposition,MATCH($A5,primary_jama_2018_8802_key,0)),$D5)&lt;&gt;"",IF($D5="",INDEX(primary_jama_2018_8802_disposition,MATCH($A5,primary_jama_2018_8802_key,0)),$D5)&lt;&gt;"retain"),NOT(OR(IF($E5="",INDEX(primary_jama_2018_8802_domain,MATCH($A5,primary_jama_2018_8802_key,0)),$E5)="protocol_report"))),L5&lt;&gt;"",L5&lt;&gt;"not_applicable")),"CLEAR INACTIVE VALUES",IF(O5="","PENDING",IF(AND(O5&lt;&gt;"agree",LEN(TRIM(P5))=0),"COMMENT NEEDED",IF(F5="yes","CHECKED - see resolution","DRAFT"))))</f>
        <v/>
      </c>
      <c r="H5" s="8">
        <f>IF(OR(AND(IF($D5="",INDEX(primary_jama_2018_8802_disposition,MATCH($A5,primary_jama_2018_8802_key,0)),$D5)&lt;&gt;"",IF($D5="",INDEX(primary_jama_2018_8802_disposition,MATCH($A5,primary_jama_2018_8802_key,0)),$D5)&lt;&gt;"retain"),NOT(OR(IF($E5="",INDEX(primary_jama_2018_8802_domain,MATCH($A5,primary_jama_2018_8802_key,0)),$E5)="statistical_results"))),"not_applicable","")</f>
        <v/>
      </c>
      <c r="I5" s="8">
        <f>IF(OR(AND(IF($D5="",INDEX(primary_jama_2018_8802_disposition,MATCH($A5,primary_jama_2018_8802_key,0)),$D5)&lt;&gt;"",IF($D5="",INDEX(primary_jama_2018_8802_disposition,MATCH($A5,primary_jama_2018_8802_key,0)),$D5)&lt;&gt;"retain"),NOT(OR(IF($E5="",INDEX(primary_jama_2018_8802_domain,MATCH($A5,primary_jama_2018_8802_key,0)),$E5)="statistical_results"))),"not_applicable","")</f>
        <v/>
      </c>
      <c r="J5" s="9">
        <f>IF(OR(AND(IF($D5="",INDEX(primary_jama_2018_8802_disposition,MATCH($A5,primary_jama_2018_8802_key,0)),$D5)&lt;&gt;"",IF($D5="",INDEX(primary_jama_2018_8802_disposition,MATCH($A5,primary_jama_2018_8802_key,0)),$D5)&lt;&gt;"retain"),NOT(OR(IF($E5="",INDEX(primary_jama_2018_8802_domain,MATCH($A5,primary_jama_2018_8802_key,0)),$E5)="statistical_results"))),"not_applicable","")</f>
        <v/>
      </c>
      <c r="K5" s="8">
        <f>IF(OR(AND(IF($D5="",INDEX(primary_jama_2018_8802_disposition,MATCH($A5,primary_jama_2018_8802_key,0)),$D5)&lt;&gt;"",IF($D5="",INDEX(primary_jama_2018_8802_disposition,MATCH($A5,primary_jama_2018_8802_key,0)),$D5)&lt;&gt;"retain"),NOT(OR(IF($E5="",INDEX(primary_jama_2018_8802_domain,MATCH($A5,primary_jama_2018_8802_key,0)),$E5)="internal_nonstatistical",IF($E5="",INDEX(primary_jama_2018_8802_domain,MATCH($A5,primary_jama_2018_8802_key,0)),$E5)="plan_material"))),"not_applicable","")</f>
        <v/>
      </c>
      <c r="L5" s="9">
        <f>IF(OR(AND(IF($D5="",INDEX(primary_jama_2018_8802_disposition,MATCH($A5,primary_jama_2018_8802_key,0)),$D5)&lt;&gt;"",IF($D5="",INDEX(primary_jama_2018_8802_disposition,MATCH($A5,primary_jama_2018_8802_key,0)),$D5)&lt;&gt;"retain"),NOT(OR(IF($E5="",INDEX(primary_jama_2018_8802_domain,MATCH($A5,primary_jama_2018_8802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2018::jama.2018.8802::C005</t>
        </is>
      </c>
      <c r="B6" s="2" t="inlineStr">
        <is>
          <t>eTable 4 lipid-lowering control percentage does not reproduce</t>
        </is>
      </c>
      <c r="C6" s="2" t="inlineStr">
        <is>
          <t>joi180070supp2_prod.pdf — PDF p. 8, eTable 4, Lipid-lowering for LDL &gt;100 mg/dL, control cell.</t>
        </is>
      </c>
      <c r="D6" s="8" t="inlineStr"/>
      <c r="E6" s="8" t="inlineStr"/>
      <c r="F6" s="8" t="inlineStr">
        <is>
          <t>no</t>
        </is>
      </c>
      <c r="G6" s="2">
        <f>IF(OR(AND(OR(AND(IF($D6="",INDEX(primary_jama_2018_8802_disposition,MATCH($A6,primary_jama_2018_8802_key,0)),$D6)&lt;&gt;"",IF($D6="",INDEX(primary_jama_2018_8802_disposition,MATCH($A6,primary_jama_2018_8802_key,0)),$D6)&lt;&gt;"retain"),NOT(OR(IF($E6="",INDEX(primary_jama_2018_8802_domain,MATCH($A6,primary_jama_2018_8802_key,0)),$E6)="statistical_results"))),H6&lt;&gt;"",H6&lt;&gt;"not_applicable"),AND(OR(AND(IF($D6="",INDEX(primary_jama_2018_8802_disposition,MATCH($A6,primary_jama_2018_8802_key,0)),$D6)&lt;&gt;"",IF($D6="",INDEX(primary_jama_2018_8802_disposition,MATCH($A6,primary_jama_2018_8802_key,0)),$D6)&lt;&gt;"retain"),NOT(OR(IF($E6="",INDEX(primary_jama_2018_8802_domain,MATCH($A6,primary_jama_2018_8802_key,0)),$E6)="statistical_results"))),I6&lt;&gt;"",I6&lt;&gt;"not_applicable"),AND(OR(AND(IF($D6="",INDEX(primary_jama_2018_8802_disposition,MATCH($A6,primary_jama_2018_8802_key,0)),$D6)&lt;&gt;"",IF($D6="",INDEX(primary_jama_2018_8802_disposition,MATCH($A6,primary_jama_2018_8802_key,0)),$D6)&lt;&gt;"retain"),NOT(OR(IF($E6="",INDEX(primary_jama_2018_8802_domain,MATCH($A6,primary_jama_2018_8802_key,0)),$E6)="statistical_results"))),J6&lt;&gt;"",J6&lt;&gt;"not_applicable"),AND(OR(AND(IF($D6="",INDEX(primary_jama_2018_8802_disposition,MATCH($A6,primary_jama_2018_8802_key,0)),$D6)&lt;&gt;"",IF($D6="",INDEX(primary_jama_2018_8802_disposition,MATCH($A6,primary_jama_2018_8802_key,0)),$D6)&lt;&gt;"retain"),NOT(OR(IF($E6="",INDEX(primary_jama_2018_8802_domain,MATCH($A6,primary_jama_2018_8802_key,0)),$E6)="internal_nonstatistical",IF($E6="",INDEX(primary_jama_2018_8802_domain,MATCH($A6,primary_jama_2018_8802_key,0)),$E6)="plan_material"))),K6&lt;&gt;"",K6&lt;&gt;"not_applicable"),AND(OR(AND(IF($D6="",INDEX(primary_jama_2018_8802_disposition,MATCH($A6,primary_jama_2018_8802_key,0)),$D6)&lt;&gt;"",IF($D6="",INDEX(primary_jama_2018_8802_disposition,MATCH($A6,primary_jama_2018_8802_key,0)),$D6)&lt;&gt;"retain"),NOT(OR(IF($E6="",INDEX(primary_jama_2018_8802_domain,MATCH($A6,primary_jama_2018_8802_key,0)),$E6)="protocol_report"))),L6&lt;&gt;"",L6&lt;&gt;"not_applicable")),"CLEAR INACTIVE VALUES",IF(O6="","PENDING",IF(AND(O6&lt;&gt;"agree",LEN(TRIM(P6))=0),"COMMENT NEEDED",IF(F6="yes","CHECKED - see resolution","DRAFT"))))</f>
        <v/>
      </c>
      <c r="H6" s="8">
        <f>IF(OR(AND(IF($D6="",INDEX(primary_jama_2018_8802_disposition,MATCH($A6,primary_jama_2018_8802_key,0)),$D6)&lt;&gt;"",IF($D6="",INDEX(primary_jama_2018_8802_disposition,MATCH($A6,primary_jama_2018_8802_key,0)),$D6)&lt;&gt;"retain"),NOT(OR(IF($E6="",INDEX(primary_jama_2018_8802_domain,MATCH($A6,primary_jama_2018_8802_key,0)),$E6)="statistical_results"))),"not_applicable","")</f>
        <v/>
      </c>
      <c r="I6" s="8">
        <f>IF(OR(AND(IF($D6="",INDEX(primary_jama_2018_8802_disposition,MATCH($A6,primary_jama_2018_8802_key,0)),$D6)&lt;&gt;"",IF($D6="",INDEX(primary_jama_2018_8802_disposition,MATCH($A6,primary_jama_2018_8802_key,0)),$D6)&lt;&gt;"retain"),NOT(OR(IF($E6="",INDEX(primary_jama_2018_8802_domain,MATCH($A6,primary_jama_2018_8802_key,0)),$E6)="statistical_results"))),"not_applicable","")</f>
        <v/>
      </c>
      <c r="J6" s="9">
        <f>IF(OR(AND(IF($D6="",INDEX(primary_jama_2018_8802_disposition,MATCH($A6,primary_jama_2018_8802_key,0)),$D6)&lt;&gt;"",IF($D6="",INDEX(primary_jama_2018_8802_disposition,MATCH($A6,primary_jama_2018_8802_key,0)),$D6)&lt;&gt;"retain"),NOT(OR(IF($E6="",INDEX(primary_jama_2018_8802_domain,MATCH($A6,primary_jama_2018_8802_key,0)),$E6)="statistical_results"))),"not_applicable","")</f>
        <v/>
      </c>
      <c r="K6" s="8">
        <f>IF(OR(AND(IF($D6="",INDEX(primary_jama_2018_8802_disposition,MATCH($A6,primary_jama_2018_8802_key,0)),$D6)&lt;&gt;"",IF($D6="",INDEX(primary_jama_2018_8802_disposition,MATCH($A6,primary_jama_2018_8802_key,0)),$D6)&lt;&gt;"retain"),NOT(OR(IF($E6="",INDEX(primary_jama_2018_8802_domain,MATCH($A6,primary_jama_2018_8802_key,0)),$E6)="internal_nonstatistical",IF($E6="",INDEX(primary_jama_2018_8802_domain,MATCH($A6,primary_jama_2018_8802_key,0)),$E6)="plan_material"))),"not_applicable","")</f>
        <v/>
      </c>
      <c r="L6" s="9">
        <f>IF(OR(AND(IF($D6="",INDEX(primary_jama_2018_8802_disposition,MATCH($A6,primary_jama_2018_8802_key,0)),$D6)&lt;&gt;"",IF($D6="",INDEX(primary_jama_2018_8802_disposition,MATCH($A6,primary_jama_2018_8802_key,0)),$D6)&lt;&gt;"retain"),NOT(OR(IF($E6="",INDEX(primary_jama_2018_8802_domain,MATCH($A6,primary_jama_2018_8802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2018::jama.2018.8802::C006</t>
        </is>
      </c>
      <c r="B7" s="3" t="inlineStr">
        <is>
          <t>eTable 4 antidiabetic-medication control percentage does not reproduce</t>
        </is>
      </c>
      <c r="C7" s="3" t="inlineStr">
        <is>
          <t>joi180070supp2_prod.pdf — PDF p. 8, eTable 4, Antidiabetic Medication, control cell.</t>
        </is>
      </c>
      <c r="D7" s="8" t="inlineStr"/>
      <c r="E7" s="8" t="inlineStr"/>
      <c r="F7" s="8" t="inlineStr">
        <is>
          <t>no</t>
        </is>
      </c>
      <c r="G7" s="3">
        <f>IF(OR(AND(OR(AND(IF($D7="",INDEX(primary_jama_2018_8802_disposition,MATCH($A7,primary_jama_2018_8802_key,0)),$D7)&lt;&gt;"",IF($D7="",INDEX(primary_jama_2018_8802_disposition,MATCH($A7,primary_jama_2018_8802_key,0)),$D7)&lt;&gt;"retain"),NOT(OR(IF($E7="",INDEX(primary_jama_2018_8802_domain,MATCH($A7,primary_jama_2018_8802_key,0)),$E7)="statistical_results"))),H7&lt;&gt;"",H7&lt;&gt;"not_applicable"),AND(OR(AND(IF($D7="",INDEX(primary_jama_2018_8802_disposition,MATCH($A7,primary_jama_2018_8802_key,0)),$D7)&lt;&gt;"",IF($D7="",INDEX(primary_jama_2018_8802_disposition,MATCH($A7,primary_jama_2018_8802_key,0)),$D7)&lt;&gt;"retain"),NOT(OR(IF($E7="",INDEX(primary_jama_2018_8802_domain,MATCH($A7,primary_jama_2018_8802_key,0)),$E7)="statistical_results"))),I7&lt;&gt;"",I7&lt;&gt;"not_applicable"),AND(OR(AND(IF($D7="",INDEX(primary_jama_2018_8802_disposition,MATCH($A7,primary_jama_2018_8802_key,0)),$D7)&lt;&gt;"",IF($D7="",INDEX(primary_jama_2018_8802_disposition,MATCH($A7,primary_jama_2018_8802_key,0)),$D7)&lt;&gt;"retain"),NOT(OR(IF($E7="",INDEX(primary_jama_2018_8802_domain,MATCH($A7,primary_jama_2018_8802_key,0)),$E7)="statistical_results"))),J7&lt;&gt;"",J7&lt;&gt;"not_applicable"),AND(OR(AND(IF($D7="",INDEX(primary_jama_2018_8802_disposition,MATCH($A7,primary_jama_2018_8802_key,0)),$D7)&lt;&gt;"",IF($D7="",INDEX(primary_jama_2018_8802_disposition,MATCH($A7,primary_jama_2018_8802_key,0)),$D7)&lt;&gt;"retain"),NOT(OR(IF($E7="",INDEX(primary_jama_2018_8802_domain,MATCH($A7,primary_jama_2018_8802_key,0)),$E7)="internal_nonstatistical",IF($E7="",INDEX(primary_jama_2018_8802_domain,MATCH($A7,primary_jama_2018_8802_key,0)),$E7)="plan_material"))),K7&lt;&gt;"",K7&lt;&gt;"not_applicable"),AND(OR(AND(IF($D7="",INDEX(primary_jama_2018_8802_disposition,MATCH($A7,primary_jama_2018_8802_key,0)),$D7)&lt;&gt;"",IF($D7="",INDEX(primary_jama_2018_8802_disposition,MATCH($A7,primary_jama_2018_8802_key,0)),$D7)&lt;&gt;"retain"),NOT(OR(IF($E7="",INDEX(primary_jama_2018_8802_domain,MATCH($A7,primary_jama_2018_8802_key,0)),$E7)="protocol_report"))),L7&lt;&gt;"",L7&lt;&gt;"not_applicable")),"CLEAR INACTIVE VALUES",IF(O7="","PENDING",IF(AND(O7&lt;&gt;"agree",LEN(TRIM(P7))=0),"COMMENT NEEDED",IF(F7="yes","CHECKED - see resolution","DRAFT"))))</f>
        <v/>
      </c>
      <c r="H7" s="8">
        <f>IF(OR(AND(IF($D7="",INDEX(primary_jama_2018_8802_disposition,MATCH($A7,primary_jama_2018_8802_key,0)),$D7)&lt;&gt;"",IF($D7="",INDEX(primary_jama_2018_8802_disposition,MATCH($A7,primary_jama_2018_8802_key,0)),$D7)&lt;&gt;"retain"),NOT(OR(IF($E7="",INDEX(primary_jama_2018_8802_domain,MATCH($A7,primary_jama_2018_8802_key,0)),$E7)="statistical_results"))),"not_applicable","")</f>
        <v/>
      </c>
      <c r="I7" s="8">
        <f>IF(OR(AND(IF($D7="",INDEX(primary_jama_2018_8802_disposition,MATCH($A7,primary_jama_2018_8802_key,0)),$D7)&lt;&gt;"",IF($D7="",INDEX(primary_jama_2018_8802_disposition,MATCH($A7,primary_jama_2018_8802_key,0)),$D7)&lt;&gt;"retain"),NOT(OR(IF($E7="",INDEX(primary_jama_2018_8802_domain,MATCH($A7,primary_jama_2018_8802_key,0)),$E7)="statistical_results"))),"not_applicable","")</f>
        <v/>
      </c>
      <c r="J7" s="9">
        <f>IF(OR(AND(IF($D7="",INDEX(primary_jama_2018_8802_disposition,MATCH($A7,primary_jama_2018_8802_key,0)),$D7)&lt;&gt;"",IF($D7="",INDEX(primary_jama_2018_8802_disposition,MATCH($A7,primary_jama_2018_8802_key,0)),$D7)&lt;&gt;"retain"),NOT(OR(IF($E7="",INDEX(primary_jama_2018_8802_domain,MATCH($A7,primary_jama_2018_8802_key,0)),$E7)="statistical_results"))),"not_applicable","")</f>
        <v/>
      </c>
      <c r="K7" s="8">
        <f>IF(OR(AND(IF($D7="",INDEX(primary_jama_2018_8802_disposition,MATCH($A7,primary_jama_2018_8802_key,0)),$D7)&lt;&gt;"",IF($D7="",INDEX(primary_jama_2018_8802_disposition,MATCH($A7,primary_jama_2018_8802_key,0)),$D7)&lt;&gt;"retain"),NOT(OR(IF($E7="",INDEX(primary_jama_2018_8802_domain,MATCH($A7,primary_jama_2018_8802_key,0)),$E7)="internal_nonstatistical",IF($E7="",INDEX(primary_jama_2018_8802_domain,MATCH($A7,primary_jama_2018_8802_key,0)),$E7)="plan_material"))),"not_applicable","")</f>
        <v/>
      </c>
      <c r="L7" s="9">
        <f>IF(OR(AND(IF($D7="",INDEX(primary_jama_2018_8802_disposition,MATCH($A7,primary_jama_2018_8802_key,0)),$D7)&lt;&gt;"",IF($D7="",INDEX(primary_jama_2018_8802_disposition,MATCH($A7,primary_jama_2018_8802_key,0)),$D7)&lt;&gt;"retain"),NOT(OR(IF($E7="",INDEX(primary_jama_2018_8802_domain,MATCH($A7,primary_jama_2018_8802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2018::jama.2018.8802::C007</t>
        </is>
      </c>
      <c r="B8" s="2" t="inlineStr">
        <is>
          <t>baseline-survey patient total does not reconcile with stated per-cluster inclusion</t>
        </is>
      </c>
      <c r="C8"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8" t="inlineStr"/>
      <c r="E8" s="8" t="inlineStr"/>
      <c r="F8" s="8" t="inlineStr">
        <is>
          <t>no</t>
        </is>
      </c>
      <c r="G8" s="2">
        <f>IF(OR(AND(OR(AND(IF($D8="",INDEX(primary_jama_2018_8802_disposition,MATCH($A8,primary_jama_2018_8802_key,0)),$D8)&lt;&gt;"",IF($D8="",INDEX(primary_jama_2018_8802_disposition,MATCH($A8,primary_jama_2018_8802_key,0)),$D8)&lt;&gt;"retain"),NOT(OR(IF($E8="",INDEX(primary_jama_2018_8802_domain,MATCH($A8,primary_jama_2018_8802_key,0)),$E8)="statistical_results"))),H8&lt;&gt;"",H8&lt;&gt;"not_applicable"),AND(OR(AND(IF($D8="",INDEX(primary_jama_2018_8802_disposition,MATCH($A8,primary_jama_2018_8802_key,0)),$D8)&lt;&gt;"",IF($D8="",INDEX(primary_jama_2018_8802_disposition,MATCH($A8,primary_jama_2018_8802_key,0)),$D8)&lt;&gt;"retain"),NOT(OR(IF($E8="",INDEX(primary_jama_2018_8802_domain,MATCH($A8,primary_jama_2018_8802_key,0)),$E8)="statistical_results"))),I8&lt;&gt;"",I8&lt;&gt;"not_applicable"),AND(OR(AND(IF($D8="",INDEX(primary_jama_2018_8802_disposition,MATCH($A8,primary_jama_2018_8802_key,0)),$D8)&lt;&gt;"",IF($D8="",INDEX(primary_jama_2018_8802_disposition,MATCH($A8,primary_jama_2018_8802_key,0)),$D8)&lt;&gt;"retain"),NOT(OR(IF($E8="",INDEX(primary_jama_2018_8802_domain,MATCH($A8,primary_jama_2018_8802_key,0)),$E8)="statistical_results"))),J8&lt;&gt;"",J8&lt;&gt;"not_applicable"),AND(OR(AND(IF($D8="",INDEX(primary_jama_2018_8802_disposition,MATCH($A8,primary_jama_2018_8802_key,0)),$D8)&lt;&gt;"",IF($D8="",INDEX(primary_jama_2018_8802_disposition,MATCH($A8,primary_jama_2018_8802_key,0)),$D8)&lt;&gt;"retain"),NOT(OR(IF($E8="",INDEX(primary_jama_2018_8802_domain,MATCH($A8,primary_jama_2018_8802_key,0)),$E8)="internal_nonstatistical",IF($E8="",INDEX(primary_jama_2018_8802_domain,MATCH($A8,primary_jama_2018_8802_key,0)),$E8)="plan_material"))),K8&lt;&gt;"",K8&lt;&gt;"not_applicable"),AND(OR(AND(IF($D8="",INDEX(primary_jama_2018_8802_disposition,MATCH($A8,primary_jama_2018_8802_key,0)),$D8)&lt;&gt;"",IF($D8="",INDEX(primary_jama_2018_8802_disposition,MATCH($A8,primary_jama_2018_8802_key,0)),$D8)&lt;&gt;"retain"),NOT(OR(IF($E8="",INDEX(primary_jama_2018_8802_domain,MATCH($A8,primary_jama_2018_8802_key,0)),$E8)="protocol_report"))),L8&lt;&gt;"",L8&lt;&gt;"not_applicable")),"CLEAR INACTIVE VALUES",IF(O8="","PENDING",IF(AND(O8&lt;&gt;"agree",LEN(TRIM(P8))=0),"COMMENT NEEDED",IF(F8="yes","CHECKED - see resolution","DRAFT"))))</f>
        <v/>
      </c>
      <c r="H8" s="8">
        <f>IF(OR(AND(IF($D8="",INDEX(primary_jama_2018_8802_disposition,MATCH($A8,primary_jama_2018_8802_key,0)),$D8)&lt;&gt;"",IF($D8="",INDEX(primary_jama_2018_8802_disposition,MATCH($A8,primary_jama_2018_8802_key,0)),$D8)&lt;&gt;"retain"),NOT(OR(IF($E8="",INDEX(primary_jama_2018_8802_domain,MATCH($A8,primary_jama_2018_8802_key,0)),$E8)="statistical_results"))),"not_applicable","")</f>
        <v/>
      </c>
      <c r="I8" s="8">
        <f>IF(OR(AND(IF($D8="",INDEX(primary_jama_2018_8802_disposition,MATCH($A8,primary_jama_2018_8802_key,0)),$D8)&lt;&gt;"",IF($D8="",INDEX(primary_jama_2018_8802_disposition,MATCH($A8,primary_jama_2018_8802_key,0)),$D8)&lt;&gt;"retain"),NOT(OR(IF($E8="",INDEX(primary_jama_2018_8802_domain,MATCH($A8,primary_jama_2018_8802_key,0)),$E8)="statistical_results"))),"not_applicable","")</f>
        <v/>
      </c>
      <c r="J8" s="9">
        <f>IF(OR(AND(IF($D8="",INDEX(primary_jama_2018_8802_disposition,MATCH($A8,primary_jama_2018_8802_key,0)),$D8)&lt;&gt;"",IF($D8="",INDEX(primary_jama_2018_8802_disposition,MATCH($A8,primary_jama_2018_8802_key,0)),$D8)&lt;&gt;"retain"),NOT(OR(IF($E8="",INDEX(primary_jama_2018_8802_domain,MATCH($A8,primary_jama_2018_8802_key,0)),$E8)="statistical_results"))),"not_applicable","")</f>
        <v/>
      </c>
      <c r="K8" s="8">
        <f>IF(OR(AND(IF($D8="",INDEX(primary_jama_2018_8802_disposition,MATCH($A8,primary_jama_2018_8802_key,0)),$D8)&lt;&gt;"",IF($D8="",INDEX(primary_jama_2018_8802_disposition,MATCH($A8,primary_jama_2018_8802_key,0)),$D8)&lt;&gt;"retain"),NOT(OR(IF($E8="",INDEX(primary_jama_2018_8802_domain,MATCH($A8,primary_jama_2018_8802_key,0)),$E8)="internal_nonstatistical",IF($E8="",INDEX(primary_jama_2018_8802_domain,MATCH($A8,primary_jama_2018_8802_key,0)),$E8)="plan_material"))),"not_applicable","")</f>
        <v/>
      </c>
      <c r="L8" s="9">
        <f>IF(OR(AND(IF($D8="",INDEX(primary_jama_2018_8802_disposition,MATCH($A8,primary_jama_2018_8802_key,0)),$D8)&lt;&gt;"",IF($D8="",INDEX(primary_jama_2018_8802_disposition,MATCH($A8,primary_jama_2018_8802_key,0)),$D8)&lt;&gt;"retain"),NOT(OR(IF($E8="",INDEX(primary_jama_2018_8802_domain,MATCH($A8,primary_jama_2018_8802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2018::jama.2018.8802::C008</t>
        </is>
      </c>
      <c r="B9" s="3" t="inlineStr">
        <is>
          <t>in-hospital death absolute-difference CI and P value do not reconcile</t>
        </is>
      </c>
      <c r="C9" s="3" t="inlineStr">
        <is>
          <t>jama_wang_2018_oi_180070.pdf — PDF p. 8, Table 3 Death / In hospital row, absolute-difference and adjacent P-value columns; jama_wang_2018_oi_180070.pdf — PDF p. 4, data-analysis statements.</t>
        </is>
      </c>
      <c r="D9" s="8" t="inlineStr"/>
      <c r="E9" s="8" t="inlineStr"/>
      <c r="F9" s="8" t="inlineStr">
        <is>
          <t>no</t>
        </is>
      </c>
      <c r="G9" s="3">
        <f>IF(OR(AND(OR(AND(IF($D9="",INDEX(primary_jama_2018_8802_disposition,MATCH($A9,primary_jama_2018_8802_key,0)),$D9)&lt;&gt;"",IF($D9="",INDEX(primary_jama_2018_8802_disposition,MATCH($A9,primary_jama_2018_8802_key,0)),$D9)&lt;&gt;"retain"),NOT(OR(IF($E9="",INDEX(primary_jama_2018_8802_domain,MATCH($A9,primary_jama_2018_8802_key,0)),$E9)="statistical_results"))),H9&lt;&gt;"",H9&lt;&gt;"not_applicable"),AND(OR(AND(IF($D9="",INDEX(primary_jama_2018_8802_disposition,MATCH($A9,primary_jama_2018_8802_key,0)),$D9)&lt;&gt;"",IF($D9="",INDEX(primary_jama_2018_8802_disposition,MATCH($A9,primary_jama_2018_8802_key,0)),$D9)&lt;&gt;"retain"),NOT(OR(IF($E9="",INDEX(primary_jama_2018_8802_domain,MATCH($A9,primary_jama_2018_8802_key,0)),$E9)="statistical_results"))),I9&lt;&gt;"",I9&lt;&gt;"not_applicable"),AND(OR(AND(IF($D9="",INDEX(primary_jama_2018_8802_disposition,MATCH($A9,primary_jama_2018_8802_key,0)),$D9)&lt;&gt;"",IF($D9="",INDEX(primary_jama_2018_8802_disposition,MATCH($A9,primary_jama_2018_8802_key,0)),$D9)&lt;&gt;"retain"),NOT(OR(IF($E9="",INDEX(primary_jama_2018_8802_domain,MATCH($A9,primary_jama_2018_8802_key,0)),$E9)="statistical_results"))),J9&lt;&gt;"",J9&lt;&gt;"not_applicable"),AND(OR(AND(IF($D9="",INDEX(primary_jama_2018_8802_disposition,MATCH($A9,primary_jama_2018_8802_key,0)),$D9)&lt;&gt;"",IF($D9="",INDEX(primary_jama_2018_8802_disposition,MATCH($A9,primary_jama_2018_8802_key,0)),$D9)&lt;&gt;"retain"),NOT(OR(IF($E9="",INDEX(primary_jama_2018_8802_domain,MATCH($A9,primary_jama_2018_8802_key,0)),$E9)="internal_nonstatistical",IF($E9="",INDEX(primary_jama_2018_8802_domain,MATCH($A9,primary_jama_2018_8802_key,0)),$E9)="plan_material"))),K9&lt;&gt;"",K9&lt;&gt;"not_applicable"),AND(OR(AND(IF($D9="",INDEX(primary_jama_2018_8802_disposition,MATCH($A9,primary_jama_2018_8802_key,0)),$D9)&lt;&gt;"",IF($D9="",INDEX(primary_jama_2018_8802_disposition,MATCH($A9,primary_jama_2018_8802_key,0)),$D9)&lt;&gt;"retain"),NOT(OR(IF($E9="",INDEX(primary_jama_2018_8802_domain,MATCH($A9,primary_jama_2018_8802_key,0)),$E9)="protocol_report"))),L9&lt;&gt;"",L9&lt;&gt;"not_applicable")),"CLEAR INACTIVE VALUES",IF(O9="","PENDING",IF(AND(O9&lt;&gt;"agree",LEN(TRIM(P9))=0),"COMMENT NEEDED",IF(F9="yes","CHECKED - see resolution","DRAFT"))))</f>
        <v/>
      </c>
      <c r="H9" s="8">
        <f>IF(OR(AND(IF($D9="",INDEX(primary_jama_2018_8802_disposition,MATCH($A9,primary_jama_2018_8802_key,0)),$D9)&lt;&gt;"",IF($D9="",INDEX(primary_jama_2018_8802_disposition,MATCH($A9,primary_jama_2018_8802_key,0)),$D9)&lt;&gt;"retain"),NOT(OR(IF($E9="",INDEX(primary_jama_2018_8802_domain,MATCH($A9,primary_jama_2018_8802_key,0)),$E9)="statistical_results"))),"not_applicable","")</f>
        <v/>
      </c>
      <c r="I9" s="8">
        <f>IF(OR(AND(IF($D9="",INDEX(primary_jama_2018_8802_disposition,MATCH($A9,primary_jama_2018_8802_key,0)),$D9)&lt;&gt;"",IF($D9="",INDEX(primary_jama_2018_8802_disposition,MATCH($A9,primary_jama_2018_8802_key,0)),$D9)&lt;&gt;"retain"),NOT(OR(IF($E9="",INDEX(primary_jama_2018_8802_domain,MATCH($A9,primary_jama_2018_8802_key,0)),$E9)="statistical_results"))),"not_applicable","")</f>
        <v/>
      </c>
      <c r="J9" s="9">
        <f>IF(OR(AND(IF($D9="",INDEX(primary_jama_2018_8802_disposition,MATCH($A9,primary_jama_2018_8802_key,0)),$D9)&lt;&gt;"",IF($D9="",INDEX(primary_jama_2018_8802_disposition,MATCH($A9,primary_jama_2018_8802_key,0)),$D9)&lt;&gt;"retain"),NOT(OR(IF($E9="",INDEX(primary_jama_2018_8802_domain,MATCH($A9,primary_jama_2018_8802_key,0)),$E9)="statistical_results"))),"not_applicable","")</f>
        <v/>
      </c>
      <c r="K9" s="8">
        <f>IF(OR(AND(IF($D9="",INDEX(primary_jama_2018_8802_disposition,MATCH($A9,primary_jama_2018_8802_key,0)),$D9)&lt;&gt;"",IF($D9="",INDEX(primary_jama_2018_8802_disposition,MATCH($A9,primary_jama_2018_8802_key,0)),$D9)&lt;&gt;"retain"),NOT(OR(IF($E9="",INDEX(primary_jama_2018_8802_domain,MATCH($A9,primary_jama_2018_8802_key,0)),$E9)="internal_nonstatistical",IF($E9="",INDEX(primary_jama_2018_8802_domain,MATCH($A9,primary_jama_2018_8802_key,0)),$E9)="plan_material"))),"not_applicable","")</f>
        <v/>
      </c>
      <c r="L9" s="9">
        <f>IF(OR(AND(IF($D9="",INDEX(primary_jama_2018_8802_disposition,MATCH($A9,primary_jama_2018_8802_key,0)),$D9)&lt;&gt;"",IF($D9="",INDEX(primary_jama_2018_8802_disposition,MATCH($A9,primary_jama_2018_8802_key,0)),$D9)&lt;&gt;"retain"),NOT(OR(IF($E9="",INDEX(primary_jama_2018_8802_domain,MATCH($A9,primary_jama_2018_8802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
    <cfRule type="expression" priority="1" dxfId="0" stopIfTrue="1">
      <formula>AND(OR(AND(IF($D2="",INDEX(primary_jama_2018_8802_disposition,MATCH($A2,primary_jama_2018_8802_key,0)),$D2)&lt;&gt;"",IF($D2="",INDEX(primary_jama_2018_8802_disposition,MATCH($A2,primary_jama_2018_8802_key,0)),$D2)&lt;&gt;"retain"),NOT(OR(IF($E2="",INDEX(primary_jama_2018_8802_domain,MATCH($A2,primary_jama_2018_8802_key,0)),$E2)="statistical_results"))),H2&lt;&gt;"",H2&lt;&gt;"not_applicable")</formula>
    </cfRule>
    <cfRule type="expression" priority="2" dxfId="1">
      <formula>OR(AND(IF($D2="",INDEX(primary_jama_2018_8802_disposition,MATCH($A2,primary_jama_2018_8802_key,0)),$D2)&lt;&gt;"",IF($D2="",INDEX(primary_jama_2018_8802_disposition,MATCH($A2,primary_jama_2018_8802_key,0)),$D2)&lt;&gt;"retain"),NOT(OR(IF($E2="",INDEX(primary_jama_2018_8802_domain,MATCH($A2,primary_jama_2018_8802_key,0)),$E2)="statistical_results")))</formula>
    </cfRule>
  </conditionalFormatting>
  <conditionalFormatting sqref="H3">
    <cfRule type="expression" priority="3" dxfId="0" stopIfTrue="1">
      <formula>AND(OR(AND(IF($D3="",INDEX(primary_jama_2018_8802_disposition,MATCH($A3,primary_jama_2018_8802_key,0)),$D3)&lt;&gt;"",IF($D3="",INDEX(primary_jama_2018_8802_disposition,MATCH($A3,primary_jama_2018_8802_key,0)),$D3)&lt;&gt;"retain"),NOT(OR(IF($E3="",INDEX(primary_jama_2018_8802_domain,MATCH($A3,primary_jama_2018_8802_key,0)),$E3)="statistical_results"))),H3&lt;&gt;"",H3&lt;&gt;"not_applicable")</formula>
    </cfRule>
    <cfRule type="expression" priority="4" dxfId="1">
      <formula>OR(AND(IF($D3="",INDEX(primary_jama_2018_8802_disposition,MATCH($A3,primary_jama_2018_8802_key,0)),$D3)&lt;&gt;"",IF($D3="",INDEX(primary_jama_2018_8802_disposition,MATCH($A3,primary_jama_2018_8802_key,0)),$D3)&lt;&gt;"retain"),NOT(OR(IF($E3="",INDEX(primary_jama_2018_8802_domain,MATCH($A3,primary_jama_2018_8802_key,0)),$E3)="statistical_results")))</formula>
    </cfRule>
  </conditionalFormatting>
  <conditionalFormatting sqref="H4">
    <cfRule type="expression" priority="5" dxfId="0" stopIfTrue="1">
      <formula>AND(OR(AND(IF($D4="",INDEX(primary_jama_2018_8802_disposition,MATCH($A4,primary_jama_2018_8802_key,0)),$D4)&lt;&gt;"",IF($D4="",INDEX(primary_jama_2018_8802_disposition,MATCH($A4,primary_jama_2018_8802_key,0)),$D4)&lt;&gt;"retain"),NOT(OR(IF($E4="",INDEX(primary_jama_2018_8802_domain,MATCH($A4,primary_jama_2018_8802_key,0)),$E4)="statistical_results"))),H4&lt;&gt;"",H4&lt;&gt;"not_applicable")</formula>
    </cfRule>
    <cfRule type="expression" priority="6" dxfId="1">
      <formula>OR(AND(IF($D4="",INDEX(primary_jama_2018_8802_disposition,MATCH($A4,primary_jama_2018_8802_key,0)),$D4)&lt;&gt;"",IF($D4="",INDEX(primary_jama_2018_8802_disposition,MATCH($A4,primary_jama_2018_8802_key,0)),$D4)&lt;&gt;"retain"),NOT(OR(IF($E4="",INDEX(primary_jama_2018_8802_domain,MATCH($A4,primary_jama_2018_8802_key,0)),$E4)="statistical_results")))</formula>
    </cfRule>
  </conditionalFormatting>
  <conditionalFormatting sqref="H5">
    <cfRule type="expression" priority="7" dxfId="0" stopIfTrue="1">
      <formula>AND(OR(AND(IF($D5="",INDEX(primary_jama_2018_8802_disposition,MATCH($A5,primary_jama_2018_8802_key,0)),$D5)&lt;&gt;"",IF($D5="",INDEX(primary_jama_2018_8802_disposition,MATCH($A5,primary_jama_2018_8802_key,0)),$D5)&lt;&gt;"retain"),NOT(OR(IF($E5="",INDEX(primary_jama_2018_8802_domain,MATCH($A5,primary_jama_2018_8802_key,0)),$E5)="statistical_results"))),H5&lt;&gt;"",H5&lt;&gt;"not_applicable")</formula>
    </cfRule>
    <cfRule type="expression" priority="8" dxfId="1">
      <formula>OR(AND(IF($D5="",INDEX(primary_jama_2018_8802_disposition,MATCH($A5,primary_jama_2018_8802_key,0)),$D5)&lt;&gt;"",IF($D5="",INDEX(primary_jama_2018_8802_disposition,MATCH($A5,primary_jama_2018_8802_key,0)),$D5)&lt;&gt;"retain"),NOT(OR(IF($E5="",INDEX(primary_jama_2018_8802_domain,MATCH($A5,primary_jama_2018_8802_key,0)),$E5)="statistical_results")))</formula>
    </cfRule>
  </conditionalFormatting>
  <conditionalFormatting sqref="H6">
    <cfRule type="expression" priority="9" dxfId="0" stopIfTrue="1">
      <formula>AND(OR(AND(IF($D6="",INDEX(primary_jama_2018_8802_disposition,MATCH($A6,primary_jama_2018_8802_key,0)),$D6)&lt;&gt;"",IF($D6="",INDEX(primary_jama_2018_8802_disposition,MATCH($A6,primary_jama_2018_8802_key,0)),$D6)&lt;&gt;"retain"),NOT(OR(IF($E6="",INDEX(primary_jama_2018_8802_domain,MATCH($A6,primary_jama_2018_8802_key,0)),$E6)="statistical_results"))),H6&lt;&gt;"",H6&lt;&gt;"not_applicable")</formula>
    </cfRule>
    <cfRule type="expression" priority="10" dxfId="1">
      <formula>OR(AND(IF($D6="",INDEX(primary_jama_2018_8802_disposition,MATCH($A6,primary_jama_2018_8802_key,0)),$D6)&lt;&gt;"",IF($D6="",INDEX(primary_jama_2018_8802_disposition,MATCH($A6,primary_jama_2018_8802_key,0)),$D6)&lt;&gt;"retain"),NOT(OR(IF($E6="",INDEX(primary_jama_2018_8802_domain,MATCH($A6,primary_jama_2018_8802_key,0)),$E6)="statistical_results")))</formula>
    </cfRule>
  </conditionalFormatting>
  <conditionalFormatting sqref="H7">
    <cfRule type="expression" priority="11" dxfId="0" stopIfTrue="1">
      <formula>AND(OR(AND(IF($D7="",INDEX(primary_jama_2018_8802_disposition,MATCH($A7,primary_jama_2018_8802_key,0)),$D7)&lt;&gt;"",IF($D7="",INDEX(primary_jama_2018_8802_disposition,MATCH($A7,primary_jama_2018_8802_key,0)),$D7)&lt;&gt;"retain"),NOT(OR(IF($E7="",INDEX(primary_jama_2018_8802_domain,MATCH($A7,primary_jama_2018_8802_key,0)),$E7)="statistical_results"))),H7&lt;&gt;"",H7&lt;&gt;"not_applicable")</formula>
    </cfRule>
    <cfRule type="expression" priority="12" dxfId="1">
      <formula>OR(AND(IF($D7="",INDEX(primary_jama_2018_8802_disposition,MATCH($A7,primary_jama_2018_8802_key,0)),$D7)&lt;&gt;"",IF($D7="",INDEX(primary_jama_2018_8802_disposition,MATCH($A7,primary_jama_2018_8802_key,0)),$D7)&lt;&gt;"retain"),NOT(OR(IF($E7="",INDEX(primary_jama_2018_8802_domain,MATCH($A7,primary_jama_2018_8802_key,0)),$E7)="statistical_results")))</formula>
    </cfRule>
  </conditionalFormatting>
  <conditionalFormatting sqref="H8">
    <cfRule type="expression" priority="13" dxfId="0" stopIfTrue="1">
      <formula>AND(OR(AND(IF($D8="",INDEX(primary_jama_2018_8802_disposition,MATCH($A8,primary_jama_2018_8802_key,0)),$D8)&lt;&gt;"",IF($D8="",INDEX(primary_jama_2018_8802_disposition,MATCH($A8,primary_jama_2018_8802_key,0)),$D8)&lt;&gt;"retain"),NOT(OR(IF($E8="",INDEX(primary_jama_2018_8802_domain,MATCH($A8,primary_jama_2018_8802_key,0)),$E8)="statistical_results"))),H8&lt;&gt;"",H8&lt;&gt;"not_applicable")</formula>
    </cfRule>
    <cfRule type="expression" priority="14" dxfId="1">
      <formula>OR(AND(IF($D8="",INDEX(primary_jama_2018_8802_disposition,MATCH($A8,primary_jama_2018_8802_key,0)),$D8)&lt;&gt;"",IF($D8="",INDEX(primary_jama_2018_8802_disposition,MATCH($A8,primary_jama_2018_8802_key,0)),$D8)&lt;&gt;"retain"),NOT(OR(IF($E8="",INDEX(primary_jama_2018_8802_domain,MATCH($A8,primary_jama_2018_8802_key,0)),$E8)="statistical_results")))</formula>
    </cfRule>
  </conditionalFormatting>
  <conditionalFormatting sqref="H9">
    <cfRule type="expression" priority="15" dxfId="0" stopIfTrue="1">
      <formula>AND(OR(AND(IF($D9="",INDEX(primary_jama_2018_8802_disposition,MATCH($A9,primary_jama_2018_8802_key,0)),$D9)&lt;&gt;"",IF($D9="",INDEX(primary_jama_2018_8802_disposition,MATCH($A9,primary_jama_2018_8802_key,0)),$D9)&lt;&gt;"retain"),NOT(OR(IF($E9="",INDEX(primary_jama_2018_8802_domain,MATCH($A9,primary_jama_2018_8802_key,0)),$E9)="statistical_results"))),H9&lt;&gt;"",H9&lt;&gt;"not_applicable")</formula>
    </cfRule>
    <cfRule type="expression" priority="16" dxfId="1">
      <formula>OR(AND(IF($D9="",INDEX(primary_jama_2018_8802_disposition,MATCH($A9,primary_jama_2018_8802_key,0)),$D9)&lt;&gt;"",IF($D9="",INDEX(primary_jama_2018_8802_disposition,MATCH($A9,primary_jama_2018_8802_key,0)),$D9)&lt;&gt;"retain"),NOT(OR(IF($E9="",INDEX(primary_jama_2018_8802_domain,MATCH($A9,primary_jama_2018_8802_key,0)),$E9)="statistical_results")))</formula>
    </cfRule>
  </conditionalFormatting>
  <conditionalFormatting sqref="I2">
    <cfRule type="expression" priority="17" dxfId="0" stopIfTrue="1">
      <formula>AND(OR(AND(IF($D2="",INDEX(primary_jama_2018_8802_disposition,MATCH($A2,primary_jama_2018_8802_key,0)),$D2)&lt;&gt;"",IF($D2="",INDEX(primary_jama_2018_8802_disposition,MATCH($A2,primary_jama_2018_8802_key,0)),$D2)&lt;&gt;"retain"),NOT(OR(IF($E2="",INDEX(primary_jama_2018_8802_domain,MATCH($A2,primary_jama_2018_8802_key,0)),$E2)="statistical_results"))),I2&lt;&gt;"",I2&lt;&gt;"not_applicable")</formula>
    </cfRule>
    <cfRule type="expression" priority="18" dxfId="1">
      <formula>OR(AND(IF($D2="",INDEX(primary_jama_2018_8802_disposition,MATCH($A2,primary_jama_2018_8802_key,0)),$D2)&lt;&gt;"",IF($D2="",INDEX(primary_jama_2018_8802_disposition,MATCH($A2,primary_jama_2018_8802_key,0)),$D2)&lt;&gt;"retain"),NOT(OR(IF($E2="",INDEX(primary_jama_2018_8802_domain,MATCH($A2,primary_jama_2018_8802_key,0)),$E2)="statistical_results")))</formula>
    </cfRule>
  </conditionalFormatting>
  <conditionalFormatting sqref="I3">
    <cfRule type="expression" priority="19" dxfId="0" stopIfTrue="1">
      <formula>AND(OR(AND(IF($D3="",INDEX(primary_jama_2018_8802_disposition,MATCH($A3,primary_jama_2018_8802_key,0)),$D3)&lt;&gt;"",IF($D3="",INDEX(primary_jama_2018_8802_disposition,MATCH($A3,primary_jama_2018_8802_key,0)),$D3)&lt;&gt;"retain"),NOT(OR(IF($E3="",INDEX(primary_jama_2018_8802_domain,MATCH($A3,primary_jama_2018_8802_key,0)),$E3)="statistical_results"))),I3&lt;&gt;"",I3&lt;&gt;"not_applicable")</formula>
    </cfRule>
    <cfRule type="expression" priority="20" dxfId="1">
      <formula>OR(AND(IF($D3="",INDEX(primary_jama_2018_8802_disposition,MATCH($A3,primary_jama_2018_8802_key,0)),$D3)&lt;&gt;"",IF($D3="",INDEX(primary_jama_2018_8802_disposition,MATCH($A3,primary_jama_2018_8802_key,0)),$D3)&lt;&gt;"retain"),NOT(OR(IF($E3="",INDEX(primary_jama_2018_8802_domain,MATCH($A3,primary_jama_2018_8802_key,0)),$E3)="statistical_results")))</formula>
    </cfRule>
  </conditionalFormatting>
  <conditionalFormatting sqref="I4">
    <cfRule type="expression" priority="21" dxfId="0" stopIfTrue="1">
      <formula>AND(OR(AND(IF($D4="",INDEX(primary_jama_2018_8802_disposition,MATCH($A4,primary_jama_2018_8802_key,0)),$D4)&lt;&gt;"",IF($D4="",INDEX(primary_jama_2018_8802_disposition,MATCH($A4,primary_jama_2018_8802_key,0)),$D4)&lt;&gt;"retain"),NOT(OR(IF($E4="",INDEX(primary_jama_2018_8802_domain,MATCH($A4,primary_jama_2018_8802_key,0)),$E4)="statistical_results"))),I4&lt;&gt;"",I4&lt;&gt;"not_applicable")</formula>
    </cfRule>
    <cfRule type="expression" priority="22" dxfId="1">
      <formula>OR(AND(IF($D4="",INDEX(primary_jama_2018_8802_disposition,MATCH($A4,primary_jama_2018_8802_key,0)),$D4)&lt;&gt;"",IF($D4="",INDEX(primary_jama_2018_8802_disposition,MATCH($A4,primary_jama_2018_8802_key,0)),$D4)&lt;&gt;"retain"),NOT(OR(IF($E4="",INDEX(primary_jama_2018_8802_domain,MATCH($A4,primary_jama_2018_8802_key,0)),$E4)="statistical_results")))</formula>
    </cfRule>
  </conditionalFormatting>
  <conditionalFormatting sqref="I5">
    <cfRule type="expression" priority="23" dxfId="0" stopIfTrue="1">
      <formula>AND(OR(AND(IF($D5="",INDEX(primary_jama_2018_8802_disposition,MATCH($A5,primary_jama_2018_8802_key,0)),$D5)&lt;&gt;"",IF($D5="",INDEX(primary_jama_2018_8802_disposition,MATCH($A5,primary_jama_2018_8802_key,0)),$D5)&lt;&gt;"retain"),NOT(OR(IF($E5="",INDEX(primary_jama_2018_8802_domain,MATCH($A5,primary_jama_2018_8802_key,0)),$E5)="statistical_results"))),I5&lt;&gt;"",I5&lt;&gt;"not_applicable")</formula>
    </cfRule>
    <cfRule type="expression" priority="24" dxfId="1">
      <formula>OR(AND(IF($D5="",INDEX(primary_jama_2018_8802_disposition,MATCH($A5,primary_jama_2018_8802_key,0)),$D5)&lt;&gt;"",IF($D5="",INDEX(primary_jama_2018_8802_disposition,MATCH($A5,primary_jama_2018_8802_key,0)),$D5)&lt;&gt;"retain"),NOT(OR(IF($E5="",INDEX(primary_jama_2018_8802_domain,MATCH($A5,primary_jama_2018_8802_key,0)),$E5)="statistical_results")))</formula>
    </cfRule>
  </conditionalFormatting>
  <conditionalFormatting sqref="I6">
    <cfRule type="expression" priority="25" dxfId="0" stopIfTrue="1">
      <formula>AND(OR(AND(IF($D6="",INDEX(primary_jama_2018_8802_disposition,MATCH($A6,primary_jama_2018_8802_key,0)),$D6)&lt;&gt;"",IF($D6="",INDEX(primary_jama_2018_8802_disposition,MATCH($A6,primary_jama_2018_8802_key,0)),$D6)&lt;&gt;"retain"),NOT(OR(IF($E6="",INDEX(primary_jama_2018_8802_domain,MATCH($A6,primary_jama_2018_8802_key,0)),$E6)="statistical_results"))),I6&lt;&gt;"",I6&lt;&gt;"not_applicable")</formula>
    </cfRule>
    <cfRule type="expression" priority="26" dxfId="1">
      <formula>OR(AND(IF($D6="",INDEX(primary_jama_2018_8802_disposition,MATCH($A6,primary_jama_2018_8802_key,0)),$D6)&lt;&gt;"",IF($D6="",INDEX(primary_jama_2018_8802_disposition,MATCH($A6,primary_jama_2018_8802_key,0)),$D6)&lt;&gt;"retain"),NOT(OR(IF($E6="",INDEX(primary_jama_2018_8802_domain,MATCH($A6,primary_jama_2018_8802_key,0)),$E6)="statistical_results")))</formula>
    </cfRule>
  </conditionalFormatting>
  <conditionalFormatting sqref="I7">
    <cfRule type="expression" priority="27" dxfId="0" stopIfTrue="1">
      <formula>AND(OR(AND(IF($D7="",INDEX(primary_jama_2018_8802_disposition,MATCH($A7,primary_jama_2018_8802_key,0)),$D7)&lt;&gt;"",IF($D7="",INDEX(primary_jama_2018_8802_disposition,MATCH($A7,primary_jama_2018_8802_key,0)),$D7)&lt;&gt;"retain"),NOT(OR(IF($E7="",INDEX(primary_jama_2018_8802_domain,MATCH($A7,primary_jama_2018_8802_key,0)),$E7)="statistical_results"))),I7&lt;&gt;"",I7&lt;&gt;"not_applicable")</formula>
    </cfRule>
    <cfRule type="expression" priority="28" dxfId="1">
      <formula>OR(AND(IF($D7="",INDEX(primary_jama_2018_8802_disposition,MATCH($A7,primary_jama_2018_8802_key,0)),$D7)&lt;&gt;"",IF($D7="",INDEX(primary_jama_2018_8802_disposition,MATCH($A7,primary_jama_2018_8802_key,0)),$D7)&lt;&gt;"retain"),NOT(OR(IF($E7="",INDEX(primary_jama_2018_8802_domain,MATCH($A7,primary_jama_2018_8802_key,0)),$E7)="statistical_results")))</formula>
    </cfRule>
  </conditionalFormatting>
  <conditionalFormatting sqref="I8">
    <cfRule type="expression" priority="29" dxfId="0" stopIfTrue="1">
      <formula>AND(OR(AND(IF($D8="",INDEX(primary_jama_2018_8802_disposition,MATCH($A8,primary_jama_2018_8802_key,0)),$D8)&lt;&gt;"",IF($D8="",INDEX(primary_jama_2018_8802_disposition,MATCH($A8,primary_jama_2018_8802_key,0)),$D8)&lt;&gt;"retain"),NOT(OR(IF($E8="",INDEX(primary_jama_2018_8802_domain,MATCH($A8,primary_jama_2018_8802_key,0)),$E8)="statistical_results"))),I8&lt;&gt;"",I8&lt;&gt;"not_applicable")</formula>
    </cfRule>
    <cfRule type="expression" priority="30" dxfId="1">
      <formula>OR(AND(IF($D8="",INDEX(primary_jama_2018_8802_disposition,MATCH($A8,primary_jama_2018_8802_key,0)),$D8)&lt;&gt;"",IF($D8="",INDEX(primary_jama_2018_8802_disposition,MATCH($A8,primary_jama_2018_8802_key,0)),$D8)&lt;&gt;"retain"),NOT(OR(IF($E8="",INDEX(primary_jama_2018_8802_domain,MATCH($A8,primary_jama_2018_8802_key,0)),$E8)="statistical_results")))</formula>
    </cfRule>
  </conditionalFormatting>
  <conditionalFormatting sqref="I9">
    <cfRule type="expression" priority="31" dxfId="0" stopIfTrue="1">
      <formula>AND(OR(AND(IF($D9="",INDEX(primary_jama_2018_8802_disposition,MATCH($A9,primary_jama_2018_8802_key,0)),$D9)&lt;&gt;"",IF($D9="",INDEX(primary_jama_2018_8802_disposition,MATCH($A9,primary_jama_2018_8802_key,0)),$D9)&lt;&gt;"retain"),NOT(OR(IF($E9="",INDEX(primary_jama_2018_8802_domain,MATCH($A9,primary_jama_2018_8802_key,0)),$E9)="statistical_results"))),I9&lt;&gt;"",I9&lt;&gt;"not_applicable")</formula>
    </cfRule>
    <cfRule type="expression" priority="32" dxfId="1">
      <formula>OR(AND(IF($D9="",INDEX(primary_jama_2018_8802_disposition,MATCH($A9,primary_jama_2018_8802_key,0)),$D9)&lt;&gt;"",IF($D9="",INDEX(primary_jama_2018_8802_disposition,MATCH($A9,primary_jama_2018_8802_key,0)),$D9)&lt;&gt;"retain"),NOT(OR(IF($E9="",INDEX(primary_jama_2018_8802_domain,MATCH($A9,primary_jama_2018_8802_key,0)),$E9)="statistical_results")))</formula>
    </cfRule>
  </conditionalFormatting>
  <conditionalFormatting sqref="J2">
    <cfRule type="expression" priority="33" dxfId="0" stopIfTrue="1">
      <formula>AND(OR(AND(IF($D2="",INDEX(primary_jama_2018_8802_disposition,MATCH($A2,primary_jama_2018_8802_key,0)),$D2)&lt;&gt;"",IF($D2="",INDEX(primary_jama_2018_8802_disposition,MATCH($A2,primary_jama_2018_8802_key,0)),$D2)&lt;&gt;"retain"),NOT(OR(IF($E2="",INDEX(primary_jama_2018_8802_domain,MATCH($A2,primary_jama_2018_8802_key,0)),$E2)="statistical_results"))),J2&lt;&gt;"",J2&lt;&gt;"not_applicable")</formula>
    </cfRule>
    <cfRule type="expression" priority="34" dxfId="1">
      <formula>OR(AND(IF($D2="",INDEX(primary_jama_2018_8802_disposition,MATCH($A2,primary_jama_2018_8802_key,0)),$D2)&lt;&gt;"",IF($D2="",INDEX(primary_jama_2018_8802_disposition,MATCH($A2,primary_jama_2018_8802_key,0)),$D2)&lt;&gt;"retain"),NOT(OR(IF($E2="",INDEX(primary_jama_2018_8802_domain,MATCH($A2,primary_jama_2018_8802_key,0)),$E2)="statistical_results")))</formula>
    </cfRule>
  </conditionalFormatting>
  <conditionalFormatting sqref="J3">
    <cfRule type="expression" priority="35" dxfId="0" stopIfTrue="1">
      <formula>AND(OR(AND(IF($D3="",INDEX(primary_jama_2018_8802_disposition,MATCH($A3,primary_jama_2018_8802_key,0)),$D3)&lt;&gt;"",IF($D3="",INDEX(primary_jama_2018_8802_disposition,MATCH($A3,primary_jama_2018_8802_key,0)),$D3)&lt;&gt;"retain"),NOT(OR(IF($E3="",INDEX(primary_jama_2018_8802_domain,MATCH($A3,primary_jama_2018_8802_key,0)),$E3)="statistical_results"))),J3&lt;&gt;"",J3&lt;&gt;"not_applicable")</formula>
    </cfRule>
    <cfRule type="expression" priority="36" dxfId="1">
      <formula>OR(AND(IF($D3="",INDEX(primary_jama_2018_8802_disposition,MATCH($A3,primary_jama_2018_8802_key,0)),$D3)&lt;&gt;"",IF($D3="",INDEX(primary_jama_2018_8802_disposition,MATCH($A3,primary_jama_2018_8802_key,0)),$D3)&lt;&gt;"retain"),NOT(OR(IF($E3="",INDEX(primary_jama_2018_8802_domain,MATCH($A3,primary_jama_2018_8802_key,0)),$E3)="statistical_results")))</formula>
    </cfRule>
  </conditionalFormatting>
  <conditionalFormatting sqref="J4">
    <cfRule type="expression" priority="37" dxfId="0" stopIfTrue="1">
      <formula>AND(OR(AND(IF($D4="",INDEX(primary_jama_2018_8802_disposition,MATCH($A4,primary_jama_2018_8802_key,0)),$D4)&lt;&gt;"",IF($D4="",INDEX(primary_jama_2018_8802_disposition,MATCH($A4,primary_jama_2018_8802_key,0)),$D4)&lt;&gt;"retain"),NOT(OR(IF($E4="",INDEX(primary_jama_2018_8802_domain,MATCH($A4,primary_jama_2018_8802_key,0)),$E4)="statistical_results"))),J4&lt;&gt;"",J4&lt;&gt;"not_applicable")</formula>
    </cfRule>
    <cfRule type="expression" priority="38" dxfId="1">
      <formula>OR(AND(IF($D4="",INDEX(primary_jama_2018_8802_disposition,MATCH($A4,primary_jama_2018_8802_key,0)),$D4)&lt;&gt;"",IF($D4="",INDEX(primary_jama_2018_8802_disposition,MATCH($A4,primary_jama_2018_8802_key,0)),$D4)&lt;&gt;"retain"),NOT(OR(IF($E4="",INDEX(primary_jama_2018_8802_domain,MATCH($A4,primary_jama_2018_8802_key,0)),$E4)="statistical_results")))</formula>
    </cfRule>
  </conditionalFormatting>
  <conditionalFormatting sqref="J5">
    <cfRule type="expression" priority="39" dxfId="0" stopIfTrue="1">
      <formula>AND(OR(AND(IF($D5="",INDEX(primary_jama_2018_8802_disposition,MATCH($A5,primary_jama_2018_8802_key,0)),$D5)&lt;&gt;"",IF($D5="",INDEX(primary_jama_2018_8802_disposition,MATCH($A5,primary_jama_2018_8802_key,0)),$D5)&lt;&gt;"retain"),NOT(OR(IF($E5="",INDEX(primary_jama_2018_8802_domain,MATCH($A5,primary_jama_2018_8802_key,0)),$E5)="statistical_results"))),J5&lt;&gt;"",J5&lt;&gt;"not_applicable")</formula>
    </cfRule>
    <cfRule type="expression" priority="40" dxfId="1">
      <formula>OR(AND(IF($D5="",INDEX(primary_jama_2018_8802_disposition,MATCH($A5,primary_jama_2018_8802_key,0)),$D5)&lt;&gt;"",IF($D5="",INDEX(primary_jama_2018_8802_disposition,MATCH($A5,primary_jama_2018_8802_key,0)),$D5)&lt;&gt;"retain"),NOT(OR(IF($E5="",INDEX(primary_jama_2018_8802_domain,MATCH($A5,primary_jama_2018_8802_key,0)),$E5)="statistical_results")))</formula>
    </cfRule>
  </conditionalFormatting>
  <conditionalFormatting sqref="J6">
    <cfRule type="expression" priority="41" dxfId="0" stopIfTrue="1">
      <formula>AND(OR(AND(IF($D6="",INDEX(primary_jama_2018_8802_disposition,MATCH($A6,primary_jama_2018_8802_key,0)),$D6)&lt;&gt;"",IF($D6="",INDEX(primary_jama_2018_8802_disposition,MATCH($A6,primary_jama_2018_8802_key,0)),$D6)&lt;&gt;"retain"),NOT(OR(IF($E6="",INDEX(primary_jama_2018_8802_domain,MATCH($A6,primary_jama_2018_8802_key,0)),$E6)="statistical_results"))),J6&lt;&gt;"",J6&lt;&gt;"not_applicable")</formula>
    </cfRule>
    <cfRule type="expression" priority="42" dxfId="1">
      <formula>OR(AND(IF($D6="",INDEX(primary_jama_2018_8802_disposition,MATCH($A6,primary_jama_2018_8802_key,0)),$D6)&lt;&gt;"",IF($D6="",INDEX(primary_jama_2018_8802_disposition,MATCH($A6,primary_jama_2018_8802_key,0)),$D6)&lt;&gt;"retain"),NOT(OR(IF($E6="",INDEX(primary_jama_2018_8802_domain,MATCH($A6,primary_jama_2018_8802_key,0)),$E6)="statistical_results")))</formula>
    </cfRule>
  </conditionalFormatting>
  <conditionalFormatting sqref="J7">
    <cfRule type="expression" priority="43" dxfId="0" stopIfTrue="1">
      <formula>AND(OR(AND(IF($D7="",INDEX(primary_jama_2018_8802_disposition,MATCH($A7,primary_jama_2018_8802_key,0)),$D7)&lt;&gt;"",IF($D7="",INDEX(primary_jama_2018_8802_disposition,MATCH($A7,primary_jama_2018_8802_key,0)),$D7)&lt;&gt;"retain"),NOT(OR(IF($E7="",INDEX(primary_jama_2018_8802_domain,MATCH($A7,primary_jama_2018_8802_key,0)),$E7)="statistical_results"))),J7&lt;&gt;"",J7&lt;&gt;"not_applicable")</formula>
    </cfRule>
    <cfRule type="expression" priority="44" dxfId="1">
      <formula>OR(AND(IF($D7="",INDEX(primary_jama_2018_8802_disposition,MATCH($A7,primary_jama_2018_8802_key,0)),$D7)&lt;&gt;"",IF($D7="",INDEX(primary_jama_2018_8802_disposition,MATCH($A7,primary_jama_2018_8802_key,0)),$D7)&lt;&gt;"retain"),NOT(OR(IF($E7="",INDEX(primary_jama_2018_8802_domain,MATCH($A7,primary_jama_2018_8802_key,0)),$E7)="statistical_results")))</formula>
    </cfRule>
  </conditionalFormatting>
  <conditionalFormatting sqref="J8">
    <cfRule type="expression" priority="45" dxfId="0" stopIfTrue="1">
      <formula>AND(OR(AND(IF($D8="",INDEX(primary_jama_2018_8802_disposition,MATCH($A8,primary_jama_2018_8802_key,0)),$D8)&lt;&gt;"",IF($D8="",INDEX(primary_jama_2018_8802_disposition,MATCH($A8,primary_jama_2018_8802_key,0)),$D8)&lt;&gt;"retain"),NOT(OR(IF($E8="",INDEX(primary_jama_2018_8802_domain,MATCH($A8,primary_jama_2018_8802_key,0)),$E8)="statistical_results"))),J8&lt;&gt;"",J8&lt;&gt;"not_applicable")</formula>
    </cfRule>
    <cfRule type="expression" priority="46" dxfId="1">
      <formula>OR(AND(IF($D8="",INDEX(primary_jama_2018_8802_disposition,MATCH($A8,primary_jama_2018_8802_key,0)),$D8)&lt;&gt;"",IF($D8="",INDEX(primary_jama_2018_8802_disposition,MATCH($A8,primary_jama_2018_8802_key,0)),$D8)&lt;&gt;"retain"),NOT(OR(IF($E8="",INDEX(primary_jama_2018_8802_domain,MATCH($A8,primary_jama_2018_8802_key,0)),$E8)="statistical_results")))</formula>
    </cfRule>
  </conditionalFormatting>
  <conditionalFormatting sqref="J9">
    <cfRule type="expression" priority="47" dxfId="0" stopIfTrue="1">
      <formula>AND(OR(AND(IF($D9="",INDEX(primary_jama_2018_8802_disposition,MATCH($A9,primary_jama_2018_8802_key,0)),$D9)&lt;&gt;"",IF($D9="",INDEX(primary_jama_2018_8802_disposition,MATCH($A9,primary_jama_2018_8802_key,0)),$D9)&lt;&gt;"retain"),NOT(OR(IF($E9="",INDEX(primary_jama_2018_8802_domain,MATCH($A9,primary_jama_2018_8802_key,0)),$E9)="statistical_results"))),J9&lt;&gt;"",J9&lt;&gt;"not_applicable")</formula>
    </cfRule>
    <cfRule type="expression" priority="48" dxfId="1">
      <formula>OR(AND(IF($D9="",INDEX(primary_jama_2018_8802_disposition,MATCH($A9,primary_jama_2018_8802_key,0)),$D9)&lt;&gt;"",IF($D9="",INDEX(primary_jama_2018_8802_disposition,MATCH($A9,primary_jama_2018_8802_key,0)),$D9)&lt;&gt;"retain"),NOT(OR(IF($E9="",INDEX(primary_jama_2018_8802_domain,MATCH($A9,primary_jama_2018_8802_key,0)),$E9)="statistical_results")))</formula>
    </cfRule>
  </conditionalFormatting>
  <conditionalFormatting sqref="K2">
    <cfRule type="expression" priority="49" dxfId="0" stopIfTrue="1">
      <formula>AND(OR(AND(IF($D2="",INDEX(primary_jama_2018_8802_disposition,MATCH($A2,primary_jama_2018_8802_key,0)),$D2)&lt;&gt;"",IF($D2="",INDEX(primary_jama_2018_8802_disposition,MATCH($A2,primary_jama_2018_8802_key,0)),$D2)&lt;&gt;"retain"),NOT(OR(IF($E2="",INDEX(primary_jama_2018_8802_domain,MATCH($A2,primary_jama_2018_8802_key,0)),$E2)="internal_nonstatistical",IF($E2="",INDEX(primary_jama_2018_8802_domain,MATCH($A2,primary_jama_2018_8802_key,0)),$E2)="plan_material"))),K2&lt;&gt;"",K2&lt;&gt;"not_applicable")</formula>
    </cfRule>
    <cfRule type="expression" priority="50" dxfId="1">
      <formula>OR(AND(IF($D2="",INDEX(primary_jama_2018_8802_disposition,MATCH($A2,primary_jama_2018_8802_key,0)),$D2)&lt;&gt;"",IF($D2="",INDEX(primary_jama_2018_8802_disposition,MATCH($A2,primary_jama_2018_8802_key,0)),$D2)&lt;&gt;"retain"),NOT(OR(IF($E2="",INDEX(primary_jama_2018_8802_domain,MATCH($A2,primary_jama_2018_8802_key,0)),$E2)="internal_nonstatistical",IF($E2="",INDEX(primary_jama_2018_8802_domain,MATCH($A2,primary_jama_2018_8802_key,0)),$E2)="plan_material")))</formula>
    </cfRule>
  </conditionalFormatting>
  <conditionalFormatting sqref="K3">
    <cfRule type="expression" priority="51" dxfId="0" stopIfTrue="1">
      <formula>AND(OR(AND(IF($D3="",INDEX(primary_jama_2018_8802_disposition,MATCH($A3,primary_jama_2018_8802_key,0)),$D3)&lt;&gt;"",IF($D3="",INDEX(primary_jama_2018_8802_disposition,MATCH($A3,primary_jama_2018_8802_key,0)),$D3)&lt;&gt;"retain"),NOT(OR(IF($E3="",INDEX(primary_jama_2018_8802_domain,MATCH($A3,primary_jama_2018_8802_key,0)),$E3)="internal_nonstatistical",IF($E3="",INDEX(primary_jama_2018_8802_domain,MATCH($A3,primary_jama_2018_8802_key,0)),$E3)="plan_material"))),K3&lt;&gt;"",K3&lt;&gt;"not_applicable")</formula>
    </cfRule>
    <cfRule type="expression" priority="52" dxfId="1">
      <formula>OR(AND(IF($D3="",INDEX(primary_jama_2018_8802_disposition,MATCH($A3,primary_jama_2018_8802_key,0)),$D3)&lt;&gt;"",IF($D3="",INDEX(primary_jama_2018_8802_disposition,MATCH($A3,primary_jama_2018_8802_key,0)),$D3)&lt;&gt;"retain"),NOT(OR(IF($E3="",INDEX(primary_jama_2018_8802_domain,MATCH($A3,primary_jama_2018_8802_key,0)),$E3)="internal_nonstatistical",IF($E3="",INDEX(primary_jama_2018_8802_domain,MATCH($A3,primary_jama_2018_8802_key,0)),$E3)="plan_material")))</formula>
    </cfRule>
  </conditionalFormatting>
  <conditionalFormatting sqref="K4">
    <cfRule type="expression" priority="53" dxfId="0" stopIfTrue="1">
      <formula>AND(OR(AND(IF($D4="",INDEX(primary_jama_2018_8802_disposition,MATCH($A4,primary_jama_2018_8802_key,0)),$D4)&lt;&gt;"",IF($D4="",INDEX(primary_jama_2018_8802_disposition,MATCH($A4,primary_jama_2018_8802_key,0)),$D4)&lt;&gt;"retain"),NOT(OR(IF($E4="",INDEX(primary_jama_2018_8802_domain,MATCH($A4,primary_jama_2018_8802_key,0)),$E4)="internal_nonstatistical",IF($E4="",INDEX(primary_jama_2018_8802_domain,MATCH($A4,primary_jama_2018_8802_key,0)),$E4)="plan_material"))),K4&lt;&gt;"",K4&lt;&gt;"not_applicable")</formula>
    </cfRule>
    <cfRule type="expression" priority="54" dxfId="1">
      <formula>OR(AND(IF($D4="",INDEX(primary_jama_2018_8802_disposition,MATCH($A4,primary_jama_2018_8802_key,0)),$D4)&lt;&gt;"",IF($D4="",INDEX(primary_jama_2018_8802_disposition,MATCH($A4,primary_jama_2018_8802_key,0)),$D4)&lt;&gt;"retain"),NOT(OR(IF($E4="",INDEX(primary_jama_2018_8802_domain,MATCH($A4,primary_jama_2018_8802_key,0)),$E4)="internal_nonstatistical",IF($E4="",INDEX(primary_jama_2018_8802_domain,MATCH($A4,primary_jama_2018_8802_key,0)),$E4)="plan_material")))</formula>
    </cfRule>
  </conditionalFormatting>
  <conditionalFormatting sqref="K5">
    <cfRule type="expression" priority="55" dxfId="0" stopIfTrue="1">
      <formula>AND(OR(AND(IF($D5="",INDEX(primary_jama_2018_8802_disposition,MATCH($A5,primary_jama_2018_8802_key,0)),$D5)&lt;&gt;"",IF($D5="",INDEX(primary_jama_2018_8802_disposition,MATCH($A5,primary_jama_2018_8802_key,0)),$D5)&lt;&gt;"retain"),NOT(OR(IF($E5="",INDEX(primary_jama_2018_8802_domain,MATCH($A5,primary_jama_2018_8802_key,0)),$E5)="internal_nonstatistical",IF($E5="",INDEX(primary_jama_2018_8802_domain,MATCH($A5,primary_jama_2018_8802_key,0)),$E5)="plan_material"))),K5&lt;&gt;"",K5&lt;&gt;"not_applicable")</formula>
    </cfRule>
    <cfRule type="expression" priority="56" dxfId="1">
      <formula>OR(AND(IF($D5="",INDEX(primary_jama_2018_8802_disposition,MATCH($A5,primary_jama_2018_8802_key,0)),$D5)&lt;&gt;"",IF($D5="",INDEX(primary_jama_2018_8802_disposition,MATCH($A5,primary_jama_2018_8802_key,0)),$D5)&lt;&gt;"retain"),NOT(OR(IF($E5="",INDEX(primary_jama_2018_8802_domain,MATCH($A5,primary_jama_2018_8802_key,0)),$E5)="internal_nonstatistical",IF($E5="",INDEX(primary_jama_2018_8802_domain,MATCH($A5,primary_jama_2018_8802_key,0)),$E5)="plan_material")))</formula>
    </cfRule>
  </conditionalFormatting>
  <conditionalFormatting sqref="K6">
    <cfRule type="expression" priority="57" dxfId="0" stopIfTrue="1">
      <formula>AND(OR(AND(IF($D6="",INDEX(primary_jama_2018_8802_disposition,MATCH($A6,primary_jama_2018_8802_key,0)),$D6)&lt;&gt;"",IF($D6="",INDEX(primary_jama_2018_8802_disposition,MATCH($A6,primary_jama_2018_8802_key,0)),$D6)&lt;&gt;"retain"),NOT(OR(IF($E6="",INDEX(primary_jama_2018_8802_domain,MATCH($A6,primary_jama_2018_8802_key,0)),$E6)="internal_nonstatistical",IF($E6="",INDEX(primary_jama_2018_8802_domain,MATCH($A6,primary_jama_2018_8802_key,0)),$E6)="plan_material"))),K6&lt;&gt;"",K6&lt;&gt;"not_applicable")</formula>
    </cfRule>
    <cfRule type="expression" priority="58" dxfId="1">
      <formula>OR(AND(IF($D6="",INDEX(primary_jama_2018_8802_disposition,MATCH($A6,primary_jama_2018_8802_key,0)),$D6)&lt;&gt;"",IF($D6="",INDEX(primary_jama_2018_8802_disposition,MATCH($A6,primary_jama_2018_8802_key,0)),$D6)&lt;&gt;"retain"),NOT(OR(IF($E6="",INDEX(primary_jama_2018_8802_domain,MATCH($A6,primary_jama_2018_8802_key,0)),$E6)="internal_nonstatistical",IF($E6="",INDEX(primary_jama_2018_8802_domain,MATCH($A6,primary_jama_2018_8802_key,0)),$E6)="plan_material")))</formula>
    </cfRule>
  </conditionalFormatting>
  <conditionalFormatting sqref="K7">
    <cfRule type="expression" priority="59" dxfId="0" stopIfTrue="1">
      <formula>AND(OR(AND(IF($D7="",INDEX(primary_jama_2018_8802_disposition,MATCH($A7,primary_jama_2018_8802_key,0)),$D7)&lt;&gt;"",IF($D7="",INDEX(primary_jama_2018_8802_disposition,MATCH($A7,primary_jama_2018_8802_key,0)),$D7)&lt;&gt;"retain"),NOT(OR(IF($E7="",INDEX(primary_jama_2018_8802_domain,MATCH($A7,primary_jama_2018_8802_key,0)),$E7)="internal_nonstatistical",IF($E7="",INDEX(primary_jama_2018_8802_domain,MATCH($A7,primary_jama_2018_8802_key,0)),$E7)="plan_material"))),K7&lt;&gt;"",K7&lt;&gt;"not_applicable")</formula>
    </cfRule>
    <cfRule type="expression" priority="60" dxfId="1">
      <formula>OR(AND(IF($D7="",INDEX(primary_jama_2018_8802_disposition,MATCH($A7,primary_jama_2018_8802_key,0)),$D7)&lt;&gt;"",IF($D7="",INDEX(primary_jama_2018_8802_disposition,MATCH($A7,primary_jama_2018_8802_key,0)),$D7)&lt;&gt;"retain"),NOT(OR(IF($E7="",INDEX(primary_jama_2018_8802_domain,MATCH($A7,primary_jama_2018_8802_key,0)),$E7)="internal_nonstatistical",IF($E7="",INDEX(primary_jama_2018_8802_domain,MATCH($A7,primary_jama_2018_8802_key,0)),$E7)="plan_material")))</formula>
    </cfRule>
  </conditionalFormatting>
  <conditionalFormatting sqref="K8">
    <cfRule type="expression" priority="61" dxfId="0" stopIfTrue="1">
      <formula>AND(OR(AND(IF($D8="",INDEX(primary_jama_2018_8802_disposition,MATCH($A8,primary_jama_2018_8802_key,0)),$D8)&lt;&gt;"",IF($D8="",INDEX(primary_jama_2018_8802_disposition,MATCH($A8,primary_jama_2018_8802_key,0)),$D8)&lt;&gt;"retain"),NOT(OR(IF($E8="",INDEX(primary_jama_2018_8802_domain,MATCH($A8,primary_jama_2018_8802_key,0)),$E8)="internal_nonstatistical",IF($E8="",INDEX(primary_jama_2018_8802_domain,MATCH($A8,primary_jama_2018_8802_key,0)),$E8)="plan_material"))),K8&lt;&gt;"",K8&lt;&gt;"not_applicable")</formula>
    </cfRule>
    <cfRule type="expression" priority="62" dxfId="1">
      <formula>OR(AND(IF($D8="",INDEX(primary_jama_2018_8802_disposition,MATCH($A8,primary_jama_2018_8802_key,0)),$D8)&lt;&gt;"",IF($D8="",INDEX(primary_jama_2018_8802_disposition,MATCH($A8,primary_jama_2018_8802_key,0)),$D8)&lt;&gt;"retain"),NOT(OR(IF($E8="",INDEX(primary_jama_2018_8802_domain,MATCH($A8,primary_jama_2018_8802_key,0)),$E8)="internal_nonstatistical",IF($E8="",INDEX(primary_jama_2018_8802_domain,MATCH($A8,primary_jama_2018_8802_key,0)),$E8)="plan_material")))</formula>
    </cfRule>
  </conditionalFormatting>
  <conditionalFormatting sqref="K9">
    <cfRule type="expression" priority="63" dxfId="0" stopIfTrue="1">
      <formula>AND(OR(AND(IF($D9="",INDEX(primary_jama_2018_8802_disposition,MATCH($A9,primary_jama_2018_8802_key,0)),$D9)&lt;&gt;"",IF($D9="",INDEX(primary_jama_2018_8802_disposition,MATCH($A9,primary_jama_2018_8802_key,0)),$D9)&lt;&gt;"retain"),NOT(OR(IF($E9="",INDEX(primary_jama_2018_8802_domain,MATCH($A9,primary_jama_2018_8802_key,0)),$E9)="internal_nonstatistical",IF($E9="",INDEX(primary_jama_2018_8802_domain,MATCH($A9,primary_jama_2018_8802_key,0)),$E9)="plan_material"))),K9&lt;&gt;"",K9&lt;&gt;"not_applicable")</formula>
    </cfRule>
    <cfRule type="expression" priority="64" dxfId="1">
      <formula>OR(AND(IF($D9="",INDEX(primary_jama_2018_8802_disposition,MATCH($A9,primary_jama_2018_8802_key,0)),$D9)&lt;&gt;"",IF($D9="",INDEX(primary_jama_2018_8802_disposition,MATCH($A9,primary_jama_2018_8802_key,0)),$D9)&lt;&gt;"retain"),NOT(OR(IF($E9="",INDEX(primary_jama_2018_8802_domain,MATCH($A9,primary_jama_2018_8802_key,0)),$E9)="internal_nonstatistical",IF($E9="",INDEX(primary_jama_2018_8802_domain,MATCH($A9,primary_jama_2018_8802_key,0)),$E9)="plan_material")))</formula>
    </cfRule>
  </conditionalFormatting>
  <conditionalFormatting sqref="L2">
    <cfRule type="expression" priority="65" dxfId="0" stopIfTrue="1">
      <formula>AND(OR(AND(IF($D2="",INDEX(primary_jama_2018_8802_disposition,MATCH($A2,primary_jama_2018_8802_key,0)),$D2)&lt;&gt;"",IF($D2="",INDEX(primary_jama_2018_8802_disposition,MATCH($A2,primary_jama_2018_8802_key,0)),$D2)&lt;&gt;"retain"),NOT(OR(IF($E2="",INDEX(primary_jama_2018_8802_domain,MATCH($A2,primary_jama_2018_8802_key,0)),$E2)="protocol_report"))),L2&lt;&gt;"",L2&lt;&gt;"not_applicable")</formula>
    </cfRule>
    <cfRule type="expression" priority="66" dxfId="1">
      <formula>OR(AND(IF($D2="",INDEX(primary_jama_2018_8802_disposition,MATCH($A2,primary_jama_2018_8802_key,0)),$D2)&lt;&gt;"",IF($D2="",INDEX(primary_jama_2018_8802_disposition,MATCH($A2,primary_jama_2018_8802_key,0)),$D2)&lt;&gt;"retain"),NOT(OR(IF($E2="",INDEX(primary_jama_2018_8802_domain,MATCH($A2,primary_jama_2018_8802_key,0)),$E2)="protocol_report")))</formula>
    </cfRule>
  </conditionalFormatting>
  <conditionalFormatting sqref="L3">
    <cfRule type="expression" priority="67" dxfId="0" stopIfTrue="1">
      <formula>AND(OR(AND(IF($D3="",INDEX(primary_jama_2018_8802_disposition,MATCH($A3,primary_jama_2018_8802_key,0)),$D3)&lt;&gt;"",IF($D3="",INDEX(primary_jama_2018_8802_disposition,MATCH($A3,primary_jama_2018_8802_key,0)),$D3)&lt;&gt;"retain"),NOT(OR(IF($E3="",INDEX(primary_jama_2018_8802_domain,MATCH($A3,primary_jama_2018_8802_key,0)),$E3)="protocol_report"))),L3&lt;&gt;"",L3&lt;&gt;"not_applicable")</formula>
    </cfRule>
    <cfRule type="expression" priority="68" dxfId="1">
      <formula>OR(AND(IF($D3="",INDEX(primary_jama_2018_8802_disposition,MATCH($A3,primary_jama_2018_8802_key,0)),$D3)&lt;&gt;"",IF($D3="",INDEX(primary_jama_2018_8802_disposition,MATCH($A3,primary_jama_2018_8802_key,0)),$D3)&lt;&gt;"retain"),NOT(OR(IF($E3="",INDEX(primary_jama_2018_8802_domain,MATCH($A3,primary_jama_2018_8802_key,0)),$E3)="protocol_report")))</formula>
    </cfRule>
  </conditionalFormatting>
  <conditionalFormatting sqref="L4">
    <cfRule type="expression" priority="69" dxfId="0" stopIfTrue="1">
      <formula>AND(OR(AND(IF($D4="",INDEX(primary_jama_2018_8802_disposition,MATCH($A4,primary_jama_2018_8802_key,0)),$D4)&lt;&gt;"",IF($D4="",INDEX(primary_jama_2018_8802_disposition,MATCH($A4,primary_jama_2018_8802_key,0)),$D4)&lt;&gt;"retain"),NOT(OR(IF($E4="",INDEX(primary_jama_2018_8802_domain,MATCH($A4,primary_jama_2018_8802_key,0)),$E4)="protocol_report"))),L4&lt;&gt;"",L4&lt;&gt;"not_applicable")</formula>
    </cfRule>
    <cfRule type="expression" priority="70" dxfId="1">
      <formula>OR(AND(IF($D4="",INDEX(primary_jama_2018_8802_disposition,MATCH($A4,primary_jama_2018_8802_key,0)),$D4)&lt;&gt;"",IF($D4="",INDEX(primary_jama_2018_8802_disposition,MATCH($A4,primary_jama_2018_8802_key,0)),$D4)&lt;&gt;"retain"),NOT(OR(IF($E4="",INDEX(primary_jama_2018_8802_domain,MATCH($A4,primary_jama_2018_8802_key,0)),$E4)="protocol_report")))</formula>
    </cfRule>
  </conditionalFormatting>
  <conditionalFormatting sqref="L5">
    <cfRule type="expression" priority="71" dxfId="0" stopIfTrue="1">
      <formula>AND(OR(AND(IF($D5="",INDEX(primary_jama_2018_8802_disposition,MATCH($A5,primary_jama_2018_8802_key,0)),$D5)&lt;&gt;"",IF($D5="",INDEX(primary_jama_2018_8802_disposition,MATCH($A5,primary_jama_2018_8802_key,0)),$D5)&lt;&gt;"retain"),NOT(OR(IF($E5="",INDEX(primary_jama_2018_8802_domain,MATCH($A5,primary_jama_2018_8802_key,0)),$E5)="protocol_report"))),L5&lt;&gt;"",L5&lt;&gt;"not_applicable")</formula>
    </cfRule>
    <cfRule type="expression" priority="72" dxfId="1">
      <formula>OR(AND(IF($D5="",INDEX(primary_jama_2018_8802_disposition,MATCH($A5,primary_jama_2018_8802_key,0)),$D5)&lt;&gt;"",IF($D5="",INDEX(primary_jama_2018_8802_disposition,MATCH($A5,primary_jama_2018_8802_key,0)),$D5)&lt;&gt;"retain"),NOT(OR(IF($E5="",INDEX(primary_jama_2018_8802_domain,MATCH($A5,primary_jama_2018_8802_key,0)),$E5)="protocol_report")))</formula>
    </cfRule>
  </conditionalFormatting>
  <conditionalFormatting sqref="L6">
    <cfRule type="expression" priority="73" dxfId="0" stopIfTrue="1">
      <formula>AND(OR(AND(IF($D6="",INDEX(primary_jama_2018_8802_disposition,MATCH($A6,primary_jama_2018_8802_key,0)),$D6)&lt;&gt;"",IF($D6="",INDEX(primary_jama_2018_8802_disposition,MATCH($A6,primary_jama_2018_8802_key,0)),$D6)&lt;&gt;"retain"),NOT(OR(IF($E6="",INDEX(primary_jama_2018_8802_domain,MATCH($A6,primary_jama_2018_8802_key,0)),$E6)="protocol_report"))),L6&lt;&gt;"",L6&lt;&gt;"not_applicable")</formula>
    </cfRule>
    <cfRule type="expression" priority="74" dxfId="1">
      <formula>OR(AND(IF($D6="",INDEX(primary_jama_2018_8802_disposition,MATCH($A6,primary_jama_2018_8802_key,0)),$D6)&lt;&gt;"",IF($D6="",INDEX(primary_jama_2018_8802_disposition,MATCH($A6,primary_jama_2018_8802_key,0)),$D6)&lt;&gt;"retain"),NOT(OR(IF($E6="",INDEX(primary_jama_2018_8802_domain,MATCH($A6,primary_jama_2018_8802_key,0)),$E6)="protocol_report")))</formula>
    </cfRule>
  </conditionalFormatting>
  <conditionalFormatting sqref="L7">
    <cfRule type="expression" priority="75" dxfId="0" stopIfTrue="1">
      <formula>AND(OR(AND(IF($D7="",INDEX(primary_jama_2018_8802_disposition,MATCH($A7,primary_jama_2018_8802_key,0)),$D7)&lt;&gt;"",IF($D7="",INDEX(primary_jama_2018_8802_disposition,MATCH($A7,primary_jama_2018_8802_key,0)),$D7)&lt;&gt;"retain"),NOT(OR(IF($E7="",INDEX(primary_jama_2018_8802_domain,MATCH($A7,primary_jama_2018_8802_key,0)),$E7)="protocol_report"))),L7&lt;&gt;"",L7&lt;&gt;"not_applicable")</formula>
    </cfRule>
    <cfRule type="expression" priority="76" dxfId="1">
      <formula>OR(AND(IF($D7="",INDEX(primary_jama_2018_8802_disposition,MATCH($A7,primary_jama_2018_8802_key,0)),$D7)&lt;&gt;"",IF($D7="",INDEX(primary_jama_2018_8802_disposition,MATCH($A7,primary_jama_2018_8802_key,0)),$D7)&lt;&gt;"retain"),NOT(OR(IF($E7="",INDEX(primary_jama_2018_8802_domain,MATCH($A7,primary_jama_2018_8802_key,0)),$E7)="protocol_report")))</formula>
    </cfRule>
  </conditionalFormatting>
  <conditionalFormatting sqref="L8">
    <cfRule type="expression" priority="77" dxfId="0" stopIfTrue="1">
      <formula>AND(OR(AND(IF($D8="",INDEX(primary_jama_2018_8802_disposition,MATCH($A8,primary_jama_2018_8802_key,0)),$D8)&lt;&gt;"",IF($D8="",INDEX(primary_jama_2018_8802_disposition,MATCH($A8,primary_jama_2018_8802_key,0)),$D8)&lt;&gt;"retain"),NOT(OR(IF($E8="",INDEX(primary_jama_2018_8802_domain,MATCH($A8,primary_jama_2018_8802_key,0)),$E8)="protocol_report"))),L8&lt;&gt;"",L8&lt;&gt;"not_applicable")</formula>
    </cfRule>
    <cfRule type="expression" priority="78" dxfId="1">
      <formula>OR(AND(IF($D8="",INDEX(primary_jama_2018_8802_disposition,MATCH($A8,primary_jama_2018_8802_key,0)),$D8)&lt;&gt;"",IF($D8="",INDEX(primary_jama_2018_8802_disposition,MATCH($A8,primary_jama_2018_8802_key,0)),$D8)&lt;&gt;"retain"),NOT(OR(IF($E8="",INDEX(primary_jama_2018_8802_domain,MATCH($A8,primary_jama_2018_8802_key,0)),$E8)="protocol_report")))</formula>
    </cfRule>
  </conditionalFormatting>
  <conditionalFormatting sqref="L9">
    <cfRule type="expression" priority="79" dxfId="0" stopIfTrue="1">
      <formula>AND(OR(AND(IF($D9="",INDEX(primary_jama_2018_8802_disposition,MATCH($A9,primary_jama_2018_8802_key,0)),$D9)&lt;&gt;"",IF($D9="",INDEX(primary_jama_2018_8802_disposition,MATCH($A9,primary_jama_2018_8802_key,0)),$D9)&lt;&gt;"retain"),NOT(OR(IF($E9="",INDEX(primary_jama_2018_8802_domain,MATCH($A9,primary_jama_2018_8802_key,0)),$E9)="protocol_report"))),L9&lt;&gt;"",L9&lt;&gt;"not_applicable")</formula>
    </cfRule>
    <cfRule type="expression" priority="80" dxfId="1">
      <formula>OR(AND(IF($D9="",INDEX(primary_jama_2018_8802_disposition,MATCH($A9,primary_jama_2018_8802_key,0)),$D9)&lt;&gt;"",IF($D9="",INDEX(primary_jama_2018_8802_disposition,MATCH($A9,primary_jama_2018_8802_key,0)),$D9)&lt;&gt;"retain"),NOT(OR(IF($E9="",INDEX(primary_jama_2018_8802_domain,MATCH($A9,primary_jama_2018_8802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9" showDropDown="0" showInputMessage="1" showErrorMessage="1" allowBlank="1" errorTitle="Invalid option" error="Choose a listed value." promptTitle="Checker result" prompt="See Codebook for meanings." type="list" errorStyle="stop">
      <formula1>opt_checkStatus</formula1>
    </dataValidation>
    <dataValidation sqref="Q2:Q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2018::jama.2018.9128::C001</t>
        </is>
      </c>
      <c r="B2" s="2" t="inlineStr">
        <is>
          <t>Intervention 3-month BMI-observation count differs across result displays</t>
        </is>
      </c>
      <c r="C2" s="2" t="inlineStr">
        <is>
          <t>DOC-001 Figure 1 — PDF p. 3; DOC-001 Figure 2 — PDF p. 7; DOC-003 eTable 1 — PDF p. 2.</t>
        </is>
      </c>
      <c r="D2" s="8" t="inlineStr"/>
      <c r="E2" s="8" t="inlineStr"/>
      <c r="F2" s="8" t="inlineStr">
        <is>
          <t>no</t>
        </is>
      </c>
      <c r="G2" s="2">
        <f>IF(OR(AND(OR(AND(IF($D2="",INDEX(primary_jama_2018_9128_disposition,MATCH($A2,primary_jama_2018_9128_key,0)),$D2)&lt;&gt;"",IF($D2="",INDEX(primary_jama_2018_9128_disposition,MATCH($A2,primary_jama_2018_9128_key,0)),$D2)&lt;&gt;"retain"),NOT(OR(IF($E2="",INDEX(primary_jama_2018_9128_domain,MATCH($A2,primary_jama_2018_9128_key,0)),$E2)="statistical_results"))),H2&lt;&gt;"",H2&lt;&gt;"not_applicable"),AND(OR(AND(IF($D2="",INDEX(primary_jama_2018_9128_disposition,MATCH($A2,primary_jama_2018_9128_key,0)),$D2)&lt;&gt;"",IF($D2="",INDEX(primary_jama_2018_9128_disposition,MATCH($A2,primary_jama_2018_9128_key,0)),$D2)&lt;&gt;"retain"),NOT(OR(IF($E2="",INDEX(primary_jama_2018_9128_domain,MATCH($A2,primary_jama_2018_9128_key,0)),$E2)="statistical_results"))),I2&lt;&gt;"",I2&lt;&gt;"not_applicable"),AND(OR(AND(IF($D2="",INDEX(primary_jama_2018_9128_disposition,MATCH($A2,primary_jama_2018_9128_key,0)),$D2)&lt;&gt;"",IF($D2="",INDEX(primary_jama_2018_9128_disposition,MATCH($A2,primary_jama_2018_9128_key,0)),$D2)&lt;&gt;"retain"),NOT(OR(IF($E2="",INDEX(primary_jama_2018_9128_domain,MATCH($A2,primary_jama_2018_9128_key,0)),$E2)="statistical_results"))),J2&lt;&gt;"",J2&lt;&gt;"not_applicable"),AND(OR(AND(IF($D2="",INDEX(primary_jama_2018_9128_disposition,MATCH($A2,primary_jama_2018_9128_key,0)),$D2)&lt;&gt;"",IF($D2="",INDEX(primary_jama_2018_9128_disposition,MATCH($A2,primary_jama_2018_9128_key,0)),$D2)&lt;&gt;"retain"),NOT(OR(IF($E2="",INDEX(primary_jama_2018_9128_domain,MATCH($A2,primary_jama_2018_9128_key,0)),$E2)="internal_nonstatistical",IF($E2="",INDEX(primary_jama_2018_9128_domain,MATCH($A2,primary_jama_2018_9128_key,0)),$E2)="plan_material"))),K2&lt;&gt;"",K2&lt;&gt;"not_applicable"),AND(OR(AND(IF($D2="",INDEX(primary_jama_2018_9128_disposition,MATCH($A2,primary_jama_2018_9128_key,0)),$D2)&lt;&gt;"",IF($D2="",INDEX(primary_jama_2018_9128_disposition,MATCH($A2,primary_jama_2018_9128_key,0)),$D2)&lt;&gt;"retain"),NOT(OR(IF($E2="",INDEX(primary_jama_2018_9128_domain,MATCH($A2,primary_jama_2018_9128_key,0)),$E2)="protocol_report"))),L2&lt;&gt;"",L2&lt;&gt;"not_applicable")),"CLEAR INACTIVE VALUES",IF(O2="","PENDING",IF(AND(O2&lt;&gt;"agree",LEN(TRIM(P2))=0),"COMMENT NEEDED",IF(F2="yes","CHECKED - see resolution","DRAFT"))))</f>
        <v/>
      </c>
      <c r="H2" s="8">
        <f>IF(OR(AND(IF($D2="",INDEX(primary_jama_2018_9128_disposition,MATCH($A2,primary_jama_2018_9128_key,0)),$D2)&lt;&gt;"",IF($D2="",INDEX(primary_jama_2018_9128_disposition,MATCH($A2,primary_jama_2018_9128_key,0)),$D2)&lt;&gt;"retain"),NOT(OR(IF($E2="",INDEX(primary_jama_2018_9128_domain,MATCH($A2,primary_jama_2018_9128_key,0)),$E2)="statistical_results"))),"not_applicable","")</f>
        <v/>
      </c>
      <c r="I2" s="8">
        <f>IF(OR(AND(IF($D2="",INDEX(primary_jama_2018_9128_disposition,MATCH($A2,primary_jama_2018_9128_key,0)),$D2)&lt;&gt;"",IF($D2="",INDEX(primary_jama_2018_9128_disposition,MATCH($A2,primary_jama_2018_9128_key,0)),$D2)&lt;&gt;"retain"),NOT(OR(IF($E2="",INDEX(primary_jama_2018_9128_domain,MATCH($A2,primary_jama_2018_9128_key,0)),$E2)="statistical_results"))),"not_applicable","")</f>
        <v/>
      </c>
      <c r="J2" s="9">
        <f>IF(OR(AND(IF($D2="",INDEX(primary_jama_2018_9128_disposition,MATCH($A2,primary_jama_2018_9128_key,0)),$D2)&lt;&gt;"",IF($D2="",INDEX(primary_jama_2018_9128_disposition,MATCH($A2,primary_jama_2018_9128_key,0)),$D2)&lt;&gt;"retain"),NOT(OR(IF($E2="",INDEX(primary_jama_2018_9128_domain,MATCH($A2,primary_jama_2018_9128_key,0)),$E2)="statistical_results"))),"not_applicable","")</f>
        <v/>
      </c>
      <c r="K2" s="8">
        <f>IF(OR(AND(IF($D2="",INDEX(primary_jama_2018_9128_disposition,MATCH($A2,primary_jama_2018_9128_key,0)),$D2)&lt;&gt;"",IF($D2="",INDEX(primary_jama_2018_9128_disposition,MATCH($A2,primary_jama_2018_9128_key,0)),$D2)&lt;&gt;"retain"),NOT(OR(IF($E2="",INDEX(primary_jama_2018_9128_domain,MATCH($A2,primary_jama_2018_9128_key,0)),$E2)="internal_nonstatistical",IF($E2="",INDEX(primary_jama_2018_9128_domain,MATCH($A2,primary_jama_2018_9128_key,0)),$E2)="plan_material"))),"not_applicable","")</f>
        <v/>
      </c>
      <c r="L2" s="9">
        <f>IF(OR(AND(IF($D2="",INDEX(primary_jama_2018_9128_disposition,MATCH($A2,primary_jama_2018_9128_key,0)),$D2)&lt;&gt;"",IF($D2="",INDEX(primary_jama_2018_9128_disposition,MATCH($A2,primary_jama_2018_9128_key,0)),$D2)&lt;&gt;"retain"),NOT(OR(IF($E2="",INDEX(primary_jama_2018_9128_domain,MATCH($A2,primary_jama_2018_9128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2018::jama.2018.9128::C002</t>
        </is>
      </c>
      <c r="B3" s="3" t="inlineStr">
        <is>
          <t>Control 3-month BMI-observation count differs across result displays</t>
        </is>
      </c>
      <c r="C3" s="3" t="inlineStr">
        <is>
          <t>DOC-001 Figure 1 — PDF p. 3; DOC-001 Figure 2 — PDF p. 7; DOC-003 eTable 1 — PDF p. 2.</t>
        </is>
      </c>
      <c r="D3" s="8" t="inlineStr"/>
      <c r="E3" s="8" t="inlineStr"/>
      <c r="F3" s="8" t="inlineStr">
        <is>
          <t>no</t>
        </is>
      </c>
      <c r="G3" s="3">
        <f>IF(OR(AND(OR(AND(IF($D3="",INDEX(primary_jama_2018_9128_disposition,MATCH($A3,primary_jama_2018_9128_key,0)),$D3)&lt;&gt;"",IF($D3="",INDEX(primary_jama_2018_9128_disposition,MATCH($A3,primary_jama_2018_9128_key,0)),$D3)&lt;&gt;"retain"),NOT(OR(IF($E3="",INDEX(primary_jama_2018_9128_domain,MATCH($A3,primary_jama_2018_9128_key,0)),$E3)="statistical_results"))),H3&lt;&gt;"",H3&lt;&gt;"not_applicable"),AND(OR(AND(IF($D3="",INDEX(primary_jama_2018_9128_disposition,MATCH($A3,primary_jama_2018_9128_key,0)),$D3)&lt;&gt;"",IF($D3="",INDEX(primary_jama_2018_9128_disposition,MATCH($A3,primary_jama_2018_9128_key,0)),$D3)&lt;&gt;"retain"),NOT(OR(IF($E3="",INDEX(primary_jama_2018_9128_domain,MATCH($A3,primary_jama_2018_9128_key,0)),$E3)="statistical_results"))),I3&lt;&gt;"",I3&lt;&gt;"not_applicable"),AND(OR(AND(IF($D3="",INDEX(primary_jama_2018_9128_disposition,MATCH($A3,primary_jama_2018_9128_key,0)),$D3)&lt;&gt;"",IF($D3="",INDEX(primary_jama_2018_9128_disposition,MATCH($A3,primary_jama_2018_9128_key,0)),$D3)&lt;&gt;"retain"),NOT(OR(IF($E3="",INDEX(primary_jama_2018_9128_domain,MATCH($A3,primary_jama_2018_9128_key,0)),$E3)="statistical_results"))),J3&lt;&gt;"",J3&lt;&gt;"not_applicable"),AND(OR(AND(IF($D3="",INDEX(primary_jama_2018_9128_disposition,MATCH($A3,primary_jama_2018_9128_key,0)),$D3)&lt;&gt;"",IF($D3="",INDEX(primary_jama_2018_9128_disposition,MATCH($A3,primary_jama_2018_9128_key,0)),$D3)&lt;&gt;"retain"),NOT(OR(IF($E3="",INDEX(primary_jama_2018_9128_domain,MATCH($A3,primary_jama_2018_9128_key,0)),$E3)="internal_nonstatistical",IF($E3="",INDEX(primary_jama_2018_9128_domain,MATCH($A3,primary_jama_2018_9128_key,0)),$E3)="plan_material"))),K3&lt;&gt;"",K3&lt;&gt;"not_applicable"),AND(OR(AND(IF($D3="",INDEX(primary_jama_2018_9128_disposition,MATCH($A3,primary_jama_2018_9128_key,0)),$D3)&lt;&gt;"",IF($D3="",INDEX(primary_jama_2018_9128_disposition,MATCH($A3,primary_jama_2018_9128_key,0)),$D3)&lt;&gt;"retain"),NOT(OR(IF($E3="",INDEX(primary_jama_2018_9128_domain,MATCH($A3,primary_jama_2018_9128_key,0)),$E3)="protocol_report"))),L3&lt;&gt;"",L3&lt;&gt;"not_applicable")),"CLEAR INACTIVE VALUES",IF(O3="","PENDING",IF(AND(O3&lt;&gt;"agree",LEN(TRIM(P3))=0),"COMMENT NEEDED",IF(F3="yes","CHECKED - see resolution","DRAFT"))))</f>
        <v/>
      </c>
      <c r="H3" s="8">
        <f>IF(OR(AND(IF($D3="",INDEX(primary_jama_2018_9128_disposition,MATCH($A3,primary_jama_2018_9128_key,0)),$D3)&lt;&gt;"",IF($D3="",INDEX(primary_jama_2018_9128_disposition,MATCH($A3,primary_jama_2018_9128_key,0)),$D3)&lt;&gt;"retain"),NOT(OR(IF($E3="",INDEX(primary_jama_2018_9128_domain,MATCH($A3,primary_jama_2018_9128_key,0)),$E3)="statistical_results"))),"not_applicable","")</f>
        <v/>
      </c>
      <c r="I3" s="8">
        <f>IF(OR(AND(IF($D3="",INDEX(primary_jama_2018_9128_disposition,MATCH($A3,primary_jama_2018_9128_key,0)),$D3)&lt;&gt;"",IF($D3="",INDEX(primary_jama_2018_9128_disposition,MATCH($A3,primary_jama_2018_9128_key,0)),$D3)&lt;&gt;"retain"),NOT(OR(IF($E3="",INDEX(primary_jama_2018_9128_domain,MATCH($A3,primary_jama_2018_9128_key,0)),$E3)="statistical_results"))),"not_applicable","")</f>
        <v/>
      </c>
      <c r="J3" s="9">
        <f>IF(OR(AND(IF($D3="",INDEX(primary_jama_2018_9128_disposition,MATCH($A3,primary_jama_2018_9128_key,0)),$D3)&lt;&gt;"",IF($D3="",INDEX(primary_jama_2018_9128_disposition,MATCH($A3,primary_jama_2018_9128_key,0)),$D3)&lt;&gt;"retain"),NOT(OR(IF($E3="",INDEX(primary_jama_2018_9128_domain,MATCH($A3,primary_jama_2018_9128_key,0)),$E3)="statistical_results"))),"not_applicable","")</f>
        <v/>
      </c>
      <c r="K3" s="8">
        <f>IF(OR(AND(IF($D3="",INDEX(primary_jama_2018_9128_disposition,MATCH($A3,primary_jama_2018_9128_key,0)),$D3)&lt;&gt;"",IF($D3="",INDEX(primary_jama_2018_9128_disposition,MATCH($A3,primary_jama_2018_9128_key,0)),$D3)&lt;&gt;"retain"),NOT(OR(IF($E3="",INDEX(primary_jama_2018_9128_domain,MATCH($A3,primary_jama_2018_9128_key,0)),$E3)="internal_nonstatistical",IF($E3="",INDEX(primary_jama_2018_9128_domain,MATCH($A3,primary_jama_2018_9128_key,0)),$E3)="plan_material"))),"not_applicable","")</f>
        <v/>
      </c>
      <c r="L3" s="9">
        <f>IF(OR(AND(IF($D3="",INDEX(primary_jama_2018_9128_disposition,MATCH($A3,primary_jama_2018_9128_key,0)),$D3)&lt;&gt;"",IF($D3="",INDEX(primary_jama_2018_9128_disposition,MATCH($A3,primary_jama_2018_9128_key,0)),$D3)&lt;&gt;"retain"),NOT(OR(IF($E3="",INDEX(primary_jama_2018_9128_domain,MATCH($A3,primary_jama_2018_9128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2018::jama.2018.9128::C003</t>
        </is>
      </c>
      <c r="B4" s="2" t="inlineStr">
        <is>
          <t>Intervention 9-month BMI-observation count differs across result displays</t>
        </is>
      </c>
      <c r="C4" s="2" t="inlineStr">
        <is>
          <t>DOC-001 Figure 1 — PDF p. 3; DOC-001 Figure 2 — PDF p. 7; DOC-003 eTable 1 — PDF p. 2.</t>
        </is>
      </c>
      <c r="D4" s="8" t="inlineStr"/>
      <c r="E4" s="8" t="inlineStr"/>
      <c r="F4" s="8" t="inlineStr">
        <is>
          <t>no</t>
        </is>
      </c>
      <c r="G4" s="2">
        <f>IF(OR(AND(OR(AND(IF($D4="",INDEX(primary_jama_2018_9128_disposition,MATCH($A4,primary_jama_2018_9128_key,0)),$D4)&lt;&gt;"",IF($D4="",INDEX(primary_jama_2018_9128_disposition,MATCH($A4,primary_jama_2018_9128_key,0)),$D4)&lt;&gt;"retain"),NOT(OR(IF($E4="",INDEX(primary_jama_2018_9128_domain,MATCH($A4,primary_jama_2018_9128_key,0)),$E4)="statistical_results"))),H4&lt;&gt;"",H4&lt;&gt;"not_applicable"),AND(OR(AND(IF($D4="",INDEX(primary_jama_2018_9128_disposition,MATCH($A4,primary_jama_2018_9128_key,0)),$D4)&lt;&gt;"",IF($D4="",INDEX(primary_jama_2018_9128_disposition,MATCH($A4,primary_jama_2018_9128_key,0)),$D4)&lt;&gt;"retain"),NOT(OR(IF($E4="",INDEX(primary_jama_2018_9128_domain,MATCH($A4,primary_jama_2018_9128_key,0)),$E4)="statistical_results"))),I4&lt;&gt;"",I4&lt;&gt;"not_applicable"),AND(OR(AND(IF($D4="",INDEX(primary_jama_2018_9128_disposition,MATCH($A4,primary_jama_2018_9128_key,0)),$D4)&lt;&gt;"",IF($D4="",INDEX(primary_jama_2018_9128_disposition,MATCH($A4,primary_jama_2018_9128_key,0)),$D4)&lt;&gt;"retain"),NOT(OR(IF($E4="",INDEX(primary_jama_2018_9128_domain,MATCH($A4,primary_jama_2018_9128_key,0)),$E4)="statistical_results"))),J4&lt;&gt;"",J4&lt;&gt;"not_applicable"),AND(OR(AND(IF($D4="",INDEX(primary_jama_2018_9128_disposition,MATCH($A4,primary_jama_2018_9128_key,0)),$D4)&lt;&gt;"",IF($D4="",INDEX(primary_jama_2018_9128_disposition,MATCH($A4,primary_jama_2018_9128_key,0)),$D4)&lt;&gt;"retain"),NOT(OR(IF($E4="",INDEX(primary_jama_2018_9128_domain,MATCH($A4,primary_jama_2018_9128_key,0)),$E4)="internal_nonstatistical",IF($E4="",INDEX(primary_jama_2018_9128_domain,MATCH($A4,primary_jama_2018_9128_key,0)),$E4)="plan_material"))),K4&lt;&gt;"",K4&lt;&gt;"not_applicable"),AND(OR(AND(IF($D4="",INDEX(primary_jama_2018_9128_disposition,MATCH($A4,primary_jama_2018_9128_key,0)),$D4)&lt;&gt;"",IF($D4="",INDEX(primary_jama_2018_9128_disposition,MATCH($A4,primary_jama_2018_9128_key,0)),$D4)&lt;&gt;"retain"),NOT(OR(IF($E4="",INDEX(primary_jama_2018_9128_domain,MATCH($A4,primary_jama_2018_9128_key,0)),$E4)="protocol_report"))),L4&lt;&gt;"",L4&lt;&gt;"not_applicable")),"CLEAR INACTIVE VALUES",IF(O4="","PENDING",IF(AND(O4&lt;&gt;"agree",LEN(TRIM(P4))=0),"COMMENT NEEDED",IF(F4="yes","CHECKED - see resolution","DRAFT"))))</f>
        <v/>
      </c>
      <c r="H4" s="8">
        <f>IF(OR(AND(IF($D4="",INDEX(primary_jama_2018_9128_disposition,MATCH($A4,primary_jama_2018_9128_key,0)),$D4)&lt;&gt;"",IF($D4="",INDEX(primary_jama_2018_9128_disposition,MATCH($A4,primary_jama_2018_9128_key,0)),$D4)&lt;&gt;"retain"),NOT(OR(IF($E4="",INDEX(primary_jama_2018_9128_domain,MATCH($A4,primary_jama_2018_9128_key,0)),$E4)="statistical_results"))),"not_applicable","")</f>
        <v/>
      </c>
      <c r="I4" s="8">
        <f>IF(OR(AND(IF($D4="",INDEX(primary_jama_2018_9128_disposition,MATCH($A4,primary_jama_2018_9128_key,0)),$D4)&lt;&gt;"",IF($D4="",INDEX(primary_jama_2018_9128_disposition,MATCH($A4,primary_jama_2018_9128_key,0)),$D4)&lt;&gt;"retain"),NOT(OR(IF($E4="",INDEX(primary_jama_2018_9128_domain,MATCH($A4,primary_jama_2018_9128_key,0)),$E4)="statistical_results"))),"not_applicable","")</f>
        <v/>
      </c>
      <c r="J4" s="9">
        <f>IF(OR(AND(IF($D4="",INDEX(primary_jama_2018_9128_disposition,MATCH($A4,primary_jama_2018_9128_key,0)),$D4)&lt;&gt;"",IF($D4="",INDEX(primary_jama_2018_9128_disposition,MATCH($A4,primary_jama_2018_9128_key,0)),$D4)&lt;&gt;"retain"),NOT(OR(IF($E4="",INDEX(primary_jama_2018_9128_domain,MATCH($A4,primary_jama_2018_9128_key,0)),$E4)="statistical_results"))),"not_applicable","")</f>
        <v/>
      </c>
      <c r="K4" s="8">
        <f>IF(OR(AND(IF($D4="",INDEX(primary_jama_2018_9128_disposition,MATCH($A4,primary_jama_2018_9128_key,0)),$D4)&lt;&gt;"",IF($D4="",INDEX(primary_jama_2018_9128_disposition,MATCH($A4,primary_jama_2018_9128_key,0)),$D4)&lt;&gt;"retain"),NOT(OR(IF($E4="",INDEX(primary_jama_2018_9128_domain,MATCH($A4,primary_jama_2018_9128_key,0)),$E4)="internal_nonstatistical",IF($E4="",INDEX(primary_jama_2018_9128_domain,MATCH($A4,primary_jama_2018_9128_key,0)),$E4)="plan_material"))),"not_applicable","")</f>
        <v/>
      </c>
      <c r="L4" s="9">
        <f>IF(OR(AND(IF($D4="",INDEX(primary_jama_2018_9128_disposition,MATCH($A4,primary_jama_2018_9128_key,0)),$D4)&lt;&gt;"",IF($D4="",INDEX(primary_jama_2018_9128_disposition,MATCH($A4,primary_jama_2018_9128_key,0)),$D4)&lt;&gt;"retain"),NOT(OR(IF($E4="",INDEX(primary_jama_2018_9128_domain,MATCH($A4,primary_jama_2018_9128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2018::jama.2018.9128::C004</t>
        </is>
      </c>
      <c r="B5" s="3" t="inlineStr">
        <is>
          <t>Intervention 12-month BMI-observation count differs across result displays</t>
        </is>
      </c>
      <c r="C5" s="3" t="inlineStr">
        <is>
          <t>DOC-001 Figure 1 — PDF p. 3; DOC-001 Figure 2 — PDF p. 7; DOC-003 eTable 1 — PDF p. 2.</t>
        </is>
      </c>
      <c r="D5" s="8" t="inlineStr"/>
      <c r="E5" s="8" t="inlineStr"/>
      <c r="F5" s="8" t="inlineStr">
        <is>
          <t>no</t>
        </is>
      </c>
      <c r="G5" s="3">
        <f>IF(OR(AND(OR(AND(IF($D5="",INDEX(primary_jama_2018_9128_disposition,MATCH($A5,primary_jama_2018_9128_key,0)),$D5)&lt;&gt;"",IF($D5="",INDEX(primary_jama_2018_9128_disposition,MATCH($A5,primary_jama_2018_9128_key,0)),$D5)&lt;&gt;"retain"),NOT(OR(IF($E5="",INDEX(primary_jama_2018_9128_domain,MATCH($A5,primary_jama_2018_9128_key,0)),$E5)="statistical_results"))),H5&lt;&gt;"",H5&lt;&gt;"not_applicable"),AND(OR(AND(IF($D5="",INDEX(primary_jama_2018_9128_disposition,MATCH($A5,primary_jama_2018_9128_key,0)),$D5)&lt;&gt;"",IF($D5="",INDEX(primary_jama_2018_9128_disposition,MATCH($A5,primary_jama_2018_9128_key,0)),$D5)&lt;&gt;"retain"),NOT(OR(IF($E5="",INDEX(primary_jama_2018_9128_domain,MATCH($A5,primary_jama_2018_9128_key,0)),$E5)="statistical_results"))),I5&lt;&gt;"",I5&lt;&gt;"not_applicable"),AND(OR(AND(IF($D5="",INDEX(primary_jama_2018_9128_disposition,MATCH($A5,primary_jama_2018_9128_key,0)),$D5)&lt;&gt;"",IF($D5="",INDEX(primary_jama_2018_9128_disposition,MATCH($A5,primary_jama_2018_9128_key,0)),$D5)&lt;&gt;"retain"),NOT(OR(IF($E5="",INDEX(primary_jama_2018_9128_domain,MATCH($A5,primary_jama_2018_9128_key,0)),$E5)="statistical_results"))),J5&lt;&gt;"",J5&lt;&gt;"not_applicable"),AND(OR(AND(IF($D5="",INDEX(primary_jama_2018_9128_disposition,MATCH($A5,primary_jama_2018_9128_key,0)),$D5)&lt;&gt;"",IF($D5="",INDEX(primary_jama_2018_9128_disposition,MATCH($A5,primary_jama_2018_9128_key,0)),$D5)&lt;&gt;"retain"),NOT(OR(IF($E5="",INDEX(primary_jama_2018_9128_domain,MATCH($A5,primary_jama_2018_9128_key,0)),$E5)="internal_nonstatistical",IF($E5="",INDEX(primary_jama_2018_9128_domain,MATCH($A5,primary_jama_2018_9128_key,0)),$E5)="plan_material"))),K5&lt;&gt;"",K5&lt;&gt;"not_applicable"),AND(OR(AND(IF($D5="",INDEX(primary_jama_2018_9128_disposition,MATCH($A5,primary_jama_2018_9128_key,0)),$D5)&lt;&gt;"",IF($D5="",INDEX(primary_jama_2018_9128_disposition,MATCH($A5,primary_jama_2018_9128_key,0)),$D5)&lt;&gt;"retain"),NOT(OR(IF($E5="",INDEX(primary_jama_2018_9128_domain,MATCH($A5,primary_jama_2018_9128_key,0)),$E5)="protocol_report"))),L5&lt;&gt;"",L5&lt;&gt;"not_applicable")),"CLEAR INACTIVE VALUES",IF(O5="","PENDING",IF(AND(O5&lt;&gt;"agree",LEN(TRIM(P5))=0),"COMMENT NEEDED",IF(F5="yes","CHECKED - see resolution","DRAFT"))))</f>
        <v/>
      </c>
      <c r="H5" s="8">
        <f>IF(OR(AND(IF($D5="",INDEX(primary_jama_2018_9128_disposition,MATCH($A5,primary_jama_2018_9128_key,0)),$D5)&lt;&gt;"",IF($D5="",INDEX(primary_jama_2018_9128_disposition,MATCH($A5,primary_jama_2018_9128_key,0)),$D5)&lt;&gt;"retain"),NOT(OR(IF($E5="",INDEX(primary_jama_2018_9128_domain,MATCH($A5,primary_jama_2018_9128_key,0)),$E5)="statistical_results"))),"not_applicable","")</f>
        <v/>
      </c>
      <c r="I5" s="8">
        <f>IF(OR(AND(IF($D5="",INDEX(primary_jama_2018_9128_disposition,MATCH($A5,primary_jama_2018_9128_key,0)),$D5)&lt;&gt;"",IF($D5="",INDEX(primary_jama_2018_9128_disposition,MATCH($A5,primary_jama_2018_9128_key,0)),$D5)&lt;&gt;"retain"),NOT(OR(IF($E5="",INDEX(primary_jama_2018_9128_domain,MATCH($A5,primary_jama_2018_9128_key,0)),$E5)="statistical_results"))),"not_applicable","")</f>
        <v/>
      </c>
      <c r="J5" s="9">
        <f>IF(OR(AND(IF($D5="",INDEX(primary_jama_2018_9128_disposition,MATCH($A5,primary_jama_2018_9128_key,0)),$D5)&lt;&gt;"",IF($D5="",INDEX(primary_jama_2018_9128_disposition,MATCH($A5,primary_jama_2018_9128_key,0)),$D5)&lt;&gt;"retain"),NOT(OR(IF($E5="",INDEX(primary_jama_2018_9128_domain,MATCH($A5,primary_jama_2018_9128_key,0)),$E5)="statistical_results"))),"not_applicable","")</f>
        <v/>
      </c>
      <c r="K5" s="8">
        <f>IF(OR(AND(IF($D5="",INDEX(primary_jama_2018_9128_disposition,MATCH($A5,primary_jama_2018_9128_key,0)),$D5)&lt;&gt;"",IF($D5="",INDEX(primary_jama_2018_9128_disposition,MATCH($A5,primary_jama_2018_9128_key,0)),$D5)&lt;&gt;"retain"),NOT(OR(IF($E5="",INDEX(primary_jama_2018_9128_domain,MATCH($A5,primary_jama_2018_9128_key,0)),$E5)="internal_nonstatistical",IF($E5="",INDEX(primary_jama_2018_9128_domain,MATCH($A5,primary_jama_2018_9128_key,0)),$E5)="plan_material"))),"not_applicable","")</f>
        <v/>
      </c>
      <c r="L5" s="9">
        <f>IF(OR(AND(IF($D5="",INDEX(primary_jama_2018_9128_disposition,MATCH($A5,primary_jama_2018_9128_key,0)),$D5)&lt;&gt;"",IF($D5="",INDEX(primary_jama_2018_9128_disposition,MATCH($A5,primary_jama_2018_9128_key,0)),$D5)&lt;&gt;"retain"),NOT(OR(IF($E5="",INDEX(primary_jama_2018_9128_domain,MATCH($A5,primary_jama_2018_9128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2018::jama.2018.9128::C005</t>
        </is>
      </c>
      <c r="B6" s="2" t="inlineStr">
        <is>
          <t>Control 12-month BMI-observation count differs across result displays</t>
        </is>
      </c>
      <c r="C6" s="2" t="inlineStr">
        <is>
          <t>DOC-001 Figure 1 — PDF p. 3; DOC-001 Figure 2 — PDF p. 7; DOC-003 eTable 1 — PDF p. 2.</t>
        </is>
      </c>
      <c r="D6" s="8" t="inlineStr"/>
      <c r="E6" s="8" t="inlineStr"/>
      <c r="F6" s="8" t="inlineStr">
        <is>
          <t>no</t>
        </is>
      </c>
      <c r="G6" s="2">
        <f>IF(OR(AND(OR(AND(IF($D6="",INDEX(primary_jama_2018_9128_disposition,MATCH($A6,primary_jama_2018_9128_key,0)),$D6)&lt;&gt;"",IF($D6="",INDEX(primary_jama_2018_9128_disposition,MATCH($A6,primary_jama_2018_9128_key,0)),$D6)&lt;&gt;"retain"),NOT(OR(IF($E6="",INDEX(primary_jama_2018_9128_domain,MATCH($A6,primary_jama_2018_9128_key,0)),$E6)="statistical_results"))),H6&lt;&gt;"",H6&lt;&gt;"not_applicable"),AND(OR(AND(IF($D6="",INDEX(primary_jama_2018_9128_disposition,MATCH($A6,primary_jama_2018_9128_key,0)),$D6)&lt;&gt;"",IF($D6="",INDEX(primary_jama_2018_9128_disposition,MATCH($A6,primary_jama_2018_9128_key,0)),$D6)&lt;&gt;"retain"),NOT(OR(IF($E6="",INDEX(primary_jama_2018_9128_domain,MATCH($A6,primary_jama_2018_9128_key,0)),$E6)="statistical_results"))),I6&lt;&gt;"",I6&lt;&gt;"not_applicable"),AND(OR(AND(IF($D6="",INDEX(primary_jama_2018_9128_disposition,MATCH($A6,primary_jama_2018_9128_key,0)),$D6)&lt;&gt;"",IF($D6="",INDEX(primary_jama_2018_9128_disposition,MATCH($A6,primary_jama_2018_9128_key,0)),$D6)&lt;&gt;"retain"),NOT(OR(IF($E6="",INDEX(primary_jama_2018_9128_domain,MATCH($A6,primary_jama_2018_9128_key,0)),$E6)="statistical_results"))),J6&lt;&gt;"",J6&lt;&gt;"not_applicable"),AND(OR(AND(IF($D6="",INDEX(primary_jama_2018_9128_disposition,MATCH($A6,primary_jama_2018_9128_key,0)),$D6)&lt;&gt;"",IF($D6="",INDEX(primary_jama_2018_9128_disposition,MATCH($A6,primary_jama_2018_9128_key,0)),$D6)&lt;&gt;"retain"),NOT(OR(IF($E6="",INDEX(primary_jama_2018_9128_domain,MATCH($A6,primary_jama_2018_9128_key,0)),$E6)="internal_nonstatistical",IF($E6="",INDEX(primary_jama_2018_9128_domain,MATCH($A6,primary_jama_2018_9128_key,0)),$E6)="plan_material"))),K6&lt;&gt;"",K6&lt;&gt;"not_applicable"),AND(OR(AND(IF($D6="",INDEX(primary_jama_2018_9128_disposition,MATCH($A6,primary_jama_2018_9128_key,0)),$D6)&lt;&gt;"",IF($D6="",INDEX(primary_jama_2018_9128_disposition,MATCH($A6,primary_jama_2018_9128_key,0)),$D6)&lt;&gt;"retain"),NOT(OR(IF($E6="",INDEX(primary_jama_2018_9128_domain,MATCH($A6,primary_jama_2018_9128_key,0)),$E6)="protocol_report"))),L6&lt;&gt;"",L6&lt;&gt;"not_applicable")),"CLEAR INACTIVE VALUES",IF(O6="","PENDING",IF(AND(O6&lt;&gt;"agree",LEN(TRIM(P6))=0),"COMMENT NEEDED",IF(F6="yes","CHECKED - see resolution","DRAFT"))))</f>
        <v/>
      </c>
      <c r="H6" s="8">
        <f>IF(OR(AND(IF($D6="",INDEX(primary_jama_2018_9128_disposition,MATCH($A6,primary_jama_2018_9128_key,0)),$D6)&lt;&gt;"",IF($D6="",INDEX(primary_jama_2018_9128_disposition,MATCH($A6,primary_jama_2018_9128_key,0)),$D6)&lt;&gt;"retain"),NOT(OR(IF($E6="",INDEX(primary_jama_2018_9128_domain,MATCH($A6,primary_jama_2018_9128_key,0)),$E6)="statistical_results"))),"not_applicable","")</f>
        <v/>
      </c>
      <c r="I6" s="8">
        <f>IF(OR(AND(IF($D6="",INDEX(primary_jama_2018_9128_disposition,MATCH($A6,primary_jama_2018_9128_key,0)),$D6)&lt;&gt;"",IF($D6="",INDEX(primary_jama_2018_9128_disposition,MATCH($A6,primary_jama_2018_9128_key,0)),$D6)&lt;&gt;"retain"),NOT(OR(IF($E6="",INDEX(primary_jama_2018_9128_domain,MATCH($A6,primary_jama_2018_9128_key,0)),$E6)="statistical_results"))),"not_applicable","")</f>
        <v/>
      </c>
      <c r="J6" s="9">
        <f>IF(OR(AND(IF($D6="",INDEX(primary_jama_2018_9128_disposition,MATCH($A6,primary_jama_2018_9128_key,0)),$D6)&lt;&gt;"",IF($D6="",INDEX(primary_jama_2018_9128_disposition,MATCH($A6,primary_jama_2018_9128_key,0)),$D6)&lt;&gt;"retain"),NOT(OR(IF($E6="",INDEX(primary_jama_2018_9128_domain,MATCH($A6,primary_jama_2018_9128_key,0)),$E6)="statistical_results"))),"not_applicable","")</f>
        <v/>
      </c>
      <c r="K6" s="8">
        <f>IF(OR(AND(IF($D6="",INDEX(primary_jama_2018_9128_disposition,MATCH($A6,primary_jama_2018_9128_key,0)),$D6)&lt;&gt;"",IF($D6="",INDEX(primary_jama_2018_9128_disposition,MATCH($A6,primary_jama_2018_9128_key,0)),$D6)&lt;&gt;"retain"),NOT(OR(IF($E6="",INDEX(primary_jama_2018_9128_domain,MATCH($A6,primary_jama_2018_9128_key,0)),$E6)="internal_nonstatistical",IF($E6="",INDEX(primary_jama_2018_9128_domain,MATCH($A6,primary_jama_2018_9128_key,0)),$E6)="plan_material"))),"not_applicable","")</f>
        <v/>
      </c>
      <c r="L6" s="9">
        <f>IF(OR(AND(IF($D6="",INDEX(primary_jama_2018_9128_disposition,MATCH($A6,primary_jama_2018_9128_key,0)),$D6)&lt;&gt;"",IF($D6="",INDEX(primary_jama_2018_9128_disposition,MATCH($A6,primary_jama_2018_9128_key,0)),$D6)&lt;&gt;"retain"),NOT(OR(IF($E6="",INDEX(primary_jama_2018_9128_domain,MATCH($A6,primary_jama_2018_9128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2018::jama.2018.9128::C006</t>
        </is>
      </c>
      <c r="B7" s="3" t="inlineStr">
        <is>
          <t>Intervention 24-month BMI-observation count differs across result displays</t>
        </is>
      </c>
      <c r="C7" s="3" t="inlineStr">
        <is>
          <t>DOC-001 Figure 1 — PDF p. 3; DOC-001 Figure 2 — PDF p. 7; DOC-003 eTable 1 — PDF p. 2.</t>
        </is>
      </c>
      <c r="D7" s="8" t="inlineStr"/>
      <c r="E7" s="8" t="inlineStr"/>
      <c r="F7" s="8" t="inlineStr">
        <is>
          <t>no</t>
        </is>
      </c>
      <c r="G7" s="3">
        <f>IF(OR(AND(OR(AND(IF($D7="",INDEX(primary_jama_2018_9128_disposition,MATCH($A7,primary_jama_2018_9128_key,0)),$D7)&lt;&gt;"",IF($D7="",INDEX(primary_jama_2018_9128_disposition,MATCH($A7,primary_jama_2018_9128_key,0)),$D7)&lt;&gt;"retain"),NOT(OR(IF($E7="",INDEX(primary_jama_2018_9128_domain,MATCH($A7,primary_jama_2018_9128_key,0)),$E7)="statistical_results"))),H7&lt;&gt;"",H7&lt;&gt;"not_applicable"),AND(OR(AND(IF($D7="",INDEX(primary_jama_2018_9128_disposition,MATCH($A7,primary_jama_2018_9128_key,0)),$D7)&lt;&gt;"",IF($D7="",INDEX(primary_jama_2018_9128_disposition,MATCH($A7,primary_jama_2018_9128_key,0)),$D7)&lt;&gt;"retain"),NOT(OR(IF($E7="",INDEX(primary_jama_2018_9128_domain,MATCH($A7,primary_jama_2018_9128_key,0)),$E7)="statistical_results"))),I7&lt;&gt;"",I7&lt;&gt;"not_applicable"),AND(OR(AND(IF($D7="",INDEX(primary_jama_2018_9128_disposition,MATCH($A7,primary_jama_2018_9128_key,0)),$D7)&lt;&gt;"",IF($D7="",INDEX(primary_jama_2018_9128_disposition,MATCH($A7,primary_jama_2018_9128_key,0)),$D7)&lt;&gt;"retain"),NOT(OR(IF($E7="",INDEX(primary_jama_2018_9128_domain,MATCH($A7,primary_jama_2018_9128_key,0)),$E7)="statistical_results"))),J7&lt;&gt;"",J7&lt;&gt;"not_applicable"),AND(OR(AND(IF($D7="",INDEX(primary_jama_2018_9128_disposition,MATCH($A7,primary_jama_2018_9128_key,0)),$D7)&lt;&gt;"",IF($D7="",INDEX(primary_jama_2018_9128_disposition,MATCH($A7,primary_jama_2018_9128_key,0)),$D7)&lt;&gt;"retain"),NOT(OR(IF($E7="",INDEX(primary_jama_2018_9128_domain,MATCH($A7,primary_jama_2018_9128_key,0)),$E7)="internal_nonstatistical",IF($E7="",INDEX(primary_jama_2018_9128_domain,MATCH($A7,primary_jama_2018_9128_key,0)),$E7)="plan_material"))),K7&lt;&gt;"",K7&lt;&gt;"not_applicable"),AND(OR(AND(IF($D7="",INDEX(primary_jama_2018_9128_disposition,MATCH($A7,primary_jama_2018_9128_key,0)),$D7)&lt;&gt;"",IF($D7="",INDEX(primary_jama_2018_9128_disposition,MATCH($A7,primary_jama_2018_9128_key,0)),$D7)&lt;&gt;"retain"),NOT(OR(IF($E7="",INDEX(primary_jama_2018_9128_domain,MATCH($A7,primary_jama_2018_9128_key,0)),$E7)="protocol_report"))),L7&lt;&gt;"",L7&lt;&gt;"not_applicable")),"CLEAR INACTIVE VALUES",IF(O7="","PENDING",IF(AND(O7&lt;&gt;"agree",LEN(TRIM(P7))=0),"COMMENT NEEDED",IF(F7="yes","CHECKED - see resolution","DRAFT"))))</f>
        <v/>
      </c>
      <c r="H7" s="8">
        <f>IF(OR(AND(IF($D7="",INDEX(primary_jama_2018_9128_disposition,MATCH($A7,primary_jama_2018_9128_key,0)),$D7)&lt;&gt;"",IF($D7="",INDEX(primary_jama_2018_9128_disposition,MATCH($A7,primary_jama_2018_9128_key,0)),$D7)&lt;&gt;"retain"),NOT(OR(IF($E7="",INDEX(primary_jama_2018_9128_domain,MATCH($A7,primary_jama_2018_9128_key,0)),$E7)="statistical_results"))),"not_applicable","")</f>
        <v/>
      </c>
      <c r="I7" s="8">
        <f>IF(OR(AND(IF($D7="",INDEX(primary_jama_2018_9128_disposition,MATCH($A7,primary_jama_2018_9128_key,0)),$D7)&lt;&gt;"",IF($D7="",INDEX(primary_jama_2018_9128_disposition,MATCH($A7,primary_jama_2018_9128_key,0)),$D7)&lt;&gt;"retain"),NOT(OR(IF($E7="",INDEX(primary_jama_2018_9128_domain,MATCH($A7,primary_jama_2018_9128_key,0)),$E7)="statistical_results"))),"not_applicable","")</f>
        <v/>
      </c>
      <c r="J7" s="9">
        <f>IF(OR(AND(IF($D7="",INDEX(primary_jama_2018_9128_disposition,MATCH($A7,primary_jama_2018_9128_key,0)),$D7)&lt;&gt;"",IF($D7="",INDEX(primary_jama_2018_9128_disposition,MATCH($A7,primary_jama_2018_9128_key,0)),$D7)&lt;&gt;"retain"),NOT(OR(IF($E7="",INDEX(primary_jama_2018_9128_domain,MATCH($A7,primary_jama_2018_9128_key,0)),$E7)="statistical_results"))),"not_applicable","")</f>
        <v/>
      </c>
      <c r="K7" s="8">
        <f>IF(OR(AND(IF($D7="",INDEX(primary_jama_2018_9128_disposition,MATCH($A7,primary_jama_2018_9128_key,0)),$D7)&lt;&gt;"",IF($D7="",INDEX(primary_jama_2018_9128_disposition,MATCH($A7,primary_jama_2018_9128_key,0)),$D7)&lt;&gt;"retain"),NOT(OR(IF($E7="",INDEX(primary_jama_2018_9128_domain,MATCH($A7,primary_jama_2018_9128_key,0)),$E7)="internal_nonstatistical",IF($E7="",INDEX(primary_jama_2018_9128_domain,MATCH($A7,primary_jama_2018_9128_key,0)),$E7)="plan_material"))),"not_applicable","")</f>
        <v/>
      </c>
      <c r="L7" s="9">
        <f>IF(OR(AND(IF($D7="",INDEX(primary_jama_2018_9128_disposition,MATCH($A7,primary_jama_2018_9128_key,0)),$D7)&lt;&gt;"",IF($D7="",INDEX(primary_jama_2018_9128_disposition,MATCH($A7,primary_jama_2018_9128_key,0)),$D7)&lt;&gt;"retain"),NOT(OR(IF($E7="",INDEX(primary_jama_2018_9128_domain,MATCH($A7,primary_jama_2018_9128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2018::jama.2018.9128::C007</t>
        </is>
      </c>
      <c r="B8" s="2" t="inlineStr">
        <is>
          <t>Control 24-month BMI-observation count differs across result displays</t>
        </is>
      </c>
      <c r="C8" s="2" t="inlineStr">
        <is>
          <t>DOC-001 Figure 1 — PDF p. 3; DOC-001 Figure 2 — PDF p. 7; DOC-003 eTable 1 — PDF p. 2.</t>
        </is>
      </c>
      <c r="D8" s="8" t="inlineStr"/>
      <c r="E8" s="8" t="inlineStr"/>
      <c r="F8" s="8" t="inlineStr">
        <is>
          <t>no</t>
        </is>
      </c>
      <c r="G8" s="2">
        <f>IF(OR(AND(OR(AND(IF($D8="",INDEX(primary_jama_2018_9128_disposition,MATCH($A8,primary_jama_2018_9128_key,0)),$D8)&lt;&gt;"",IF($D8="",INDEX(primary_jama_2018_9128_disposition,MATCH($A8,primary_jama_2018_9128_key,0)),$D8)&lt;&gt;"retain"),NOT(OR(IF($E8="",INDEX(primary_jama_2018_9128_domain,MATCH($A8,primary_jama_2018_9128_key,0)),$E8)="statistical_results"))),H8&lt;&gt;"",H8&lt;&gt;"not_applicable"),AND(OR(AND(IF($D8="",INDEX(primary_jama_2018_9128_disposition,MATCH($A8,primary_jama_2018_9128_key,0)),$D8)&lt;&gt;"",IF($D8="",INDEX(primary_jama_2018_9128_disposition,MATCH($A8,primary_jama_2018_9128_key,0)),$D8)&lt;&gt;"retain"),NOT(OR(IF($E8="",INDEX(primary_jama_2018_9128_domain,MATCH($A8,primary_jama_2018_9128_key,0)),$E8)="statistical_results"))),I8&lt;&gt;"",I8&lt;&gt;"not_applicable"),AND(OR(AND(IF($D8="",INDEX(primary_jama_2018_9128_disposition,MATCH($A8,primary_jama_2018_9128_key,0)),$D8)&lt;&gt;"",IF($D8="",INDEX(primary_jama_2018_9128_disposition,MATCH($A8,primary_jama_2018_9128_key,0)),$D8)&lt;&gt;"retain"),NOT(OR(IF($E8="",INDEX(primary_jama_2018_9128_domain,MATCH($A8,primary_jama_2018_9128_key,0)),$E8)="statistical_results"))),J8&lt;&gt;"",J8&lt;&gt;"not_applicable"),AND(OR(AND(IF($D8="",INDEX(primary_jama_2018_9128_disposition,MATCH($A8,primary_jama_2018_9128_key,0)),$D8)&lt;&gt;"",IF($D8="",INDEX(primary_jama_2018_9128_disposition,MATCH($A8,primary_jama_2018_9128_key,0)),$D8)&lt;&gt;"retain"),NOT(OR(IF($E8="",INDEX(primary_jama_2018_9128_domain,MATCH($A8,primary_jama_2018_9128_key,0)),$E8)="internal_nonstatistical",IF($E8="",INDEX(primary_jama_2018_9128_domain,MATCH($A8,primary_jama_2018_9128_key,0)),$E8)="plan_material"))),K8&lt;&gt;"",K8&lt;&gt;"not_applicable"),AND(OR(AND(IF($D8="",INDEX(primary_jama_2018_9128_disposition,MATCH($A8,primary_jama_2018_9128_key,0)),$D8)&lt;&gt;"",IF($D8="",INDEX(primary_jama_2018_9128_disposition,MATCH($A8,primary_jama_2018_9128_key,0)),$D8)&lt;&gt;"retain"),NOT(OR(IF($E8="",INDEX(primary_jama_2018_9128_domain,MATCH($A8,primary_jama_2018_9128_key,0)),$E8)="protocol_report"))),L8&lt;&gt;"",L8&lt;&gt;"not_applicable")),"CLEAR INACTIVE VALUES",IF(O8="","PENDING",IF(AND(O8&lt;&gt;"agree",LEN(TRIM(P8))=0),"COMMENT NEEDED",IF(F8="yes","CHECKED - see resolution","DRAFT"))))</f>
        <v/>
      </c>
      <c r="H8" s="8">
        <f>IF(OR(AND(IF($D8="",INDEX(primary_jama_2018_9128_disposition,MATCH($A8,primary_jama_2018_9128_key,0)),$D8)&lt;&gt;"",IF($D8="",INDEX(primary_jama_2018_9128_disposition,MATCH($A8,primary_jama_2018_9128_key,0)),$D8)&lt;&gt;"retain"),NOT(OR(IF($E8="",INDEX(primary_jama_2018_9128_domain,MATCH($A8,primary_jama_2018_9128_key,0)),$E8)="statistical_results"))),"not_applicable","")</f>
        <v/>
      </c>
      <c r="I8" s="8">
        <f>IF(OR(AND(IF($D8="",INDEX(primary_jama_2018_9128_disposition,MATCH($A8,primary_jama_2018_9128_key,0)),$D8)&lt;&gt;"",IF($D8="",INDEX(primary_jama_2018_9128_disposition,MATCH($A8,primary_jama_2018_9128_key,0)),$D8)&lt;&gt;"retain"),NOT(OR(IF($E8="",INDEX(primary_jama_2018_9128_domain,MATCH($A8,primary_jama_2018_9128_key,0)),$E8)="statistical_results"))),"not_applicable","")</f>
        <v/>
      </c>
      <c r="J8" s="9">
        <f>IF(OR(AND(IF($D8="",INDEX(primary_jama_2018_9128_disposition,MATCH($A8,primary_jama_2018_9128_key,0)),$D8)&lt;&gt;"",IF($D8="",INDEX(primary_jama_2018_9128_disposition,MATCH($A8,primary_jama_2018_9128_key,0)),$D8)&lt;&gt;"retain"),NOT(OR(IF($E8="",INDEX(primary_jama_2018_9128_domain,MATCH($A8,primary_jama_2018_9128_key,0)),$E8)="statistical_results"))),"not_applicable","")</f>
        <v/>
      </c>
      <c r="K8" s="8">
        <f>IF(OR(AND(IF($D8="",INDEX(primary_jama_2018_9128_disposition,MATCH($A8,primary_jama_2018_9128_key,0)),$D8)&lt;&gt;"",IF($D8="",INDEX(primary_jama_2018_9128_disposition,MATCH($A8,primary_jama_2018_9128_key,0)),$D8)&lt;&gt;"retain"),NOT(OR(IF($E8="",INDEX(primary_jama_2018_9128_domain,MATCH($A8,primary_jama_2018_9128_key,0)),$E8)="internal_nonstatistical",IF($E8="",INDEX(primary_jama_2018_9128_domain,MATCH($A8,primary_jama_2018_9128_key,0)),$E8)="plan_material"))),"not_applicable","")</f>
        <v/>
      </c>
      <c r="L8" s="9">
        <f>IF(OR(AND(IF($D8="",INDEX(primary_jama_2018_9128_disposition,MATCH($A8,primary_jama_2018_9128_key,0)),$D8)&lt;&gt;"",IF($D8="",INDEX(primary_jama_2018_9128_disposition,MATCH($A8,primary_jama_2018_9128_key,0)),$D8)&lt;&gt;"retain"),NOT(OR(IF($E8="",INDEX(primary_jama_2018_9128_domain,MATCH($A8,primary_jama_2018_9128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2018::jama.2018.9128::C008</t>
        </is>
      </c>
      <c r="B9" s="3" t="inlineStr">
        <is>
          <t>Intervention 36-month BMI-observation count differs across result displays</t>
        </is>
      </c>
      <c r="C9" s="3" t="inlineStr">
        <is>
          <t>DOC-001 Figure 1 — PDF p. 3; DOC-001 Figure 2 — PDF p. 7; DOC-003 eTable 1 — PDF p. 2.</t>
        </is>
      </c>
      <c r="D9" s="8" t="inlineStr"/>
      <c r="E9" s="8" t="inlineStr"/>
      <c r="F9" s="8" t="inlineStr">
        <is>
          <t>no</t>
        </is>
      </c>
      <c r="G9" s="3">
        <f>IF(OR(AND(OR(AND(IF($D9="",INDEX(primary_jama_2018_9128_disposition,MATCH($A9,primary_jama_2018_9128_key,0)),$D9)&lt;&gt;"",IF($D9="",INDEX(primary_jama_2018_9128_disposition,MATCH($A9,primary_jama_2018_9128_key,0)),$D9)&lt;&gt;"retain"),NOT(OR(IF($E9="",INDEX(primary_jama_2018_9128_domain,MATCH($A9,primary_jama_2018_9128_key,0)),$E9)="statistical_results"))),H9&lt;&gt;"",H9&lt;&gt;"not_applicable"),AND(OR(AND(IF($D9="",INDEX(primary_jama_2018_9128_disposition,MATCH($A9,primary_jama_2018_9128_key,0)),$D9)&lt;&gt;"",IF($D9="",INDEX(primary_jama_2018_9128_disposition,MATCH($A9,primary_jama_2018_9128_key,0)),$D9)&lt;&gt;"retain"),NOT(OR(IF($E9="",INDEX(primary_jama_2018_9128_domain,MATCH($A9,primary_jama_2018_9128_key,0)),$E9)="statistical_results"))),I9&lt;&gt;"",I9&lt;&gt;"not_applicable"),AND(OR(AND(IF($D9="",INDEX(primary_jama_2018_9128_disposition,MATCH($A9,primary_jama_2018_9128_key,0)),$D9)&lt;&gt;"",IF($D9="",INDEX(primary_jama_2018_9128_disposition,MATCH($A9,primary_jama_2018_9128_key,0)),$D9)&lt;&gt;"retain"),NOT(OR(IF($E9="",INDEX(primary_jama_2018_9128_domain,MATCH($A9,primary_jama_2018_9128_key,0)),$E9)="statistical_results"))),J9&lt;&gt;"",J9&lt;&gt;"not_applicable"),AND(OR(AND(IF($D9="",INDEX(primary_jama_2018_9128_disposition,MATCH($A9,primary_jama_2018_9128_key,0)),$D9)&lt;&gt;"",IF($D9="",INDEX(primary_jama_2018_9128_disposition,MATCH($A9,primary_jama_2018_9128_key,0)),$D9)&lt;&gt;"retain"),NOT(OR(IF($E9="",INDEX(primary_jama_2018_9128_domain,MATCH($A9,primary_jama_2018_9128_key,0)),$E9)="internal_nonstatistical",IF($E9="",INDEX(primary_jama_2018_9128_domain,MATCH($A9,primary_jama_2018_9128_key,0)),$E9)="plan_material"))),K9&lt;&gt;"",K9&lt;&gt;"not_applicable"),AND(OR(AND(IF($D9="",INDEX(primary_jama_2018_9128_disposition,MATCH($A9,primary_jama_2018_9128_key,0)),$D9)&lt;&gt;"",IF($D9="",INDEX(primary_jama_2018_9128_disposition,MATCH($A9,primary_jama_2018_9128_key,0)),$D9)&lt;&gt;"retain"),NOT(OR(IF($E9="",INDEX(primary_jama_2018_9128_domain,MATCH($A9,primary_jama_2018_9128_key,0)),$E9)="protocol_report"))),L9&lt;&gt;"",L9&lt;&gt;"not_applicable")),"CLEAR INACTIVE VALUES",IF(O9="","PENDING",IF(AND(O9&lt;&gt;"agree",LEN(TRIM(P9))=0),"COMMENT NEEDED",IF(F9="yes","CHECKED - see resolution","DRAFT"))))</f>
        <v/>
      </c>
      <c r="H9" s="8">
        <f>IF(OR(AND(IF($D9="",INDEX(primary_jama_2018_9128_disposition,MATCH($A9,primary_jama_2018_9128_key,0)),$D9)&lt;&gt;"",IF($D9="",INDEX(primary_jama_2018_9128_disposition,MATCH($A9,primary_jama_2018_9128_key,0)),$D9)&lt;&gt;"retain"),NOT(OR(IF($E9="",INDEX(primary_jama_2018_9128_domain,MATCH($A9,primary_jama_2018_9128_key,0)),$E9)="statistical_results"))),"not_applicable","")</f>
        <v/>
      </c>
      <c r="I9" s="8">
        <f>IF(OR(AND(IF($D9="",INDEX(primary_jama_2018_9128_disposition,MATCH($A9,primary_jama_2018_9128_key,0)),$D9)&lt;&gt;"",IF($D9="",INDEX(primary_jama_2018_9128_disposition,MATCH($A9,primary_jama_2018_9128_key,0)),$D9)&lt;&gt;"retain"),NOT(OR(IF($E9="",INDEX(primary_jama_2018_9128_domain,MATCH($A9,primary_jama_2018_9128_key,0)),$E9)="statistical_results"))),"not_applicable","")</f>
        <v/>
      </c>
      <c r="J9" s="9">
        <f>IF(OR(AND(IF($D9="",INDEX(primary_jama_2018_9128_disposition,MATCH($A9,primary_jama_2018_9128_key,0)),$D9)&lt;&gt;"",IF($D9="",INDEX(primary_jama_2018_9128_disposition,MATCH($A9,primary_jama_2018_9128_key,0)),$D9)&lt;&gt;"retain"),NOT(OR(IF($E9="",INDEX(primary_jama_2018_9128_domain,MATCH($A9,primary_jama_2018_9128_key,0)),$E9)="statistical_results"))),"not_applicable","")</f>
        <v/>
      </c>
      <c r="K9" s="8">
        <f>IF(OR(AND(IF($D9="",INDEX(primary_jama_2018_9128_disposition,MATCH($A9,primary_jama_2018_9128_key,0)),$D9)&lt;&gt;"",IF($D9="",INDEX(primary_jama_2018_9128_disposition,MATCH($A9,primary_jama_2018_9128_key,0)),$D9)&lt;&gt;"retain"),NOT(OR(IF($E9="",INDEX(primary_jama_2018_9128_domain,MATCH($A9,primary_jama_2018_9128_key,0)),$E9)="internal_nonstatistical",IF($E9="",INDEX(primary_jama_2018_9128_domain,MATCH($A9,primary_jama_2018_9128_key,0)),$E9)="plan_material"))),"not_applicable","")</f>
        <v/>
      </c>
      <c r="L9" s="9">
        <f>IF(OR(AND(IF($D9="",INDEX(primary_jama_2018_9128_disposition,MATCH($A9,primary_jama_2018_9128_key,0)),$D9)&lt;&gt;"",IF($D9="",INDEX(primary_jama_2018_9128_disposition,MATCH($A9,primary_jama_2018_9128_key,0)),$D9)&lt;&gt;"retain"),NOT(OR(IF($E9="",INDEX(primary_jama_2018_9128_domain,MATCH($A9,primary_jama_2018_9128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2018::jama.2018.9128::C009</t>
        </is>
      </c>
      <c r="B10" s="2" t="inlineStr">
        <is>
          <t>Final SAP says six assessment points but enumerates five</t>
        </is>
      </c>
      <c r="C10" s="2" t="inlineStr">
        <is>
          <t>DOC-002 final SAP — PDF p. 110; DOC-002 protocol schedule — PDF p. 15; DOC-001 Methods — PDF p. 4; DOC-003 eTable 1 — PDF p. 2.</t>
        </is>
      </c>
      <c r="D10" s="8" t="inlineStr"/>
      <c r="E10" s="8" t="inlineStr"/>
      <c r="F10" s="8" t="inlineStr">
        <is>
          <t>no</t>
        </is>
      </c>
      <c r="G10" s="2">
        <f>IF(OR(AND(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H10&lt;&gt;"",H10&lt;&gt;"not_applicable"),AND(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I10&lt;&gt;"",I10&lt;&gt;"not_applicable"),AND(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J10&lt;&gt;"",J10&lt;&gt;"not_applicable"),AND(OR(AND(IF($D10="",INDEX(primary_jama_2018_9128_disposition,MATCH($A10,primary_jama_2018_9128_key,0)),$D10)&lt;&gt;"",IF($D10="",INDEX(primary_jama_2018_9128_disposition,MATCH($A10,primary_jama_2018_9128_key,0)),$D10)&lt;&gt;"retain"),NOT(OR(IF($E10="",INDEX(primary_jama_2018_9128_domain,MATCH($A10,primary_jama_2018_9128_key,0)),$E10)="internal_nonstatistical",IF($E10="",INDEX(primary_jama_2018_9128_domain,MATCH($A10,primary_jama_2018_9128_key,0)),$E10)="plan_material"))),K10&lt;&gt;"",K10&lt;&gt;"not_applicable"),AND(OR(AND(IF($D10="",INDEX(primary_jama_2018_9128_disposition,MATCH($A10,primary_jama_2018_9128_key,0)),$D10)&lt;&gt;"",IF($D10="",INDEX(primary_jama_2018_9128_disposition,MATCH($A10,primary_jama_2018_9128_key,0)),$D10)&lt;&gt;"retain"),NOT(OR(IF($E10="",INDEX(primary_jama_2018_9128_domain,MATCH($A10,primary_jama_2018_9128_key,0)),$E10)="protocol_report"))),L10&lt;&gt;"",L10&lt;&gt;"not_applicable")),"CLEAR INACTIVE VALUES",IF(O10="","PENDING",IF(AND(O10&lt;&gt;"agree",LEN(TRIM(P10))=0),"COMMENT NEEDED",IF(F10="yes","CHECKED - see resolution","DRAFT"))))</f>
        <v/>
      </c>
      <c r="H10" s="8">
        <f>IF(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not_applicable","")</f>
        <v/>
      </c>
      <c r="I10" s="8">
        <f>IF(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not_applicable","")</f>
        <v/>
      </c>
      <c r="J10" s="9">
        <f>IF(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not_applicable","")</f>
        <v/>
      </c>
      <c r="K10" s="8">
        <f>IF(OR(AND(IF($D10="",INDEX(primary_jama_2018_9128_disposition,MATCH($A10,primary_jama_2018_9128_key,0)),$D10)&lt;&gt;"",IF($D10="",INDEX(primary_jama_2018_9128_disposition,MATCH($A10,primary_jama_2018_9128_key,0)),$D10)&lt;&gt;"retain"),NOT(OR(IF($E10="",INDEX(primary_jama_2018_9128_domain,MATCH($A10,primary_jama_2018_9128_key,0)),$E10)="internal_nonstatistical",IF($E10="",INDEX(primary_jama_2018_9128_domain,MATCH($A10,primary_jama_2018_9128_key,0)),$E10)="plan_material"))),"not_applicable","")</f>
        <v/>
      </c>
      <c r="L10" s="9">
        <f>IF(OR(AND(IF($D10="",INDEX(primary_jama_2018_9128_disposition,MATCH($A10,primary_jama_2018_9128_key,0)),$D10)&lt;&gt;"",IF($D10="",INDEX(primary_jama_2018_9128_disposition,MATCH($A10,primary_jama_2018_9128_key,0)),$D10)&lt;&gt;"retain"),NOT(OR(IF($E10="",INDEX(primary_jama_2018_9128_domain,MATCH($A10,primary_jama_2018_9128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2018::jama.2018.9128::C010</t>
        </is>
      </c>
      <c r="B11" s="3" t="inlineStr">
        <is>
          <t>Revised protocol gives six points but lists seven including 48 months</t>
        </is>
      </c>
      <c r="C11" s="3" t="inlineStr">
        <is>
          <t>DOC-002 revised protocol — PDF p. 64; DOC-001 Methods — PDF p. 4; DOC-003 eTable 1 — PDF p. 2.</t>
        </is>
      </c>
      <c r="D11" s="8" t="inlineStr"/>
      <c r="E11" s="8" t="inlineStr"/>
      <c r="F11" s="8" t="inlineStr">
        <is>
          <t>no</t>
        </is>
      </c>
      <c r="G11" s="3">
        <f>IF(OR(AND(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H11&lt;&gt;"",H11&lt;&gt;"not_applicable"),AND(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I11&lt;&gt;"",I11&lt;&gt;"not_applicable"),AND(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J11&lt;&gt;"",J11&lt;&gt;"not_applicable"),AND(OR(AND(IF($D11="",INDEX(primary_jama_2018_9128_disposition,MATCH($A11,primary_jama_2018_9128_key,0)),$D11)&lt;&gt;"",IF($D11="",INDEX(primary_jama_2018_9128_disposition,MATCH($A11,primary_jama_2018_9128_key,0)),$D11)&lt;&gt;"retain"),NOT(OR(IF($E11="",INDEX(primary_jama_2018_9128_domain,MATCH($A11,primary_jama_2018_9128_key,0)),$E11)="internal_nonstatistical",IF($E11="",INDEX(primary_jama_2018_9128_domain,MATCH($A11,primary_jama_2018_9128_key,0)),$E11)="plan_material"))),K11&lt;&gt;"",K11&lt;&gt;"not_applicable"),AND(OR(AND(IF($D11="",INDEX(primary_jama_2018_9128_disposition,MATCH($A11,primary_jama_2018_9128_key,0)),$D11)&lt;&gt;"",IF($D11="",INDEX(primary_jama_2018_9128_disposition,MATCH($A11,primary_jama_2018_9128_key,0)),$D11)&lt;&gt;"retain"),NOT(OR(IF($E11="",INDEX(primary_jama_2018_9128_domain,MATCH($A11,primary_jama_2018_9128_key,0)),$E11)="protocol_report"))),L11&lt;&gt;"",L11&lt;&gt;"not_applicable")),"CLEAR INACTIVE VALUES",IF(O11="","PENDING",IF(AND(O11&lt;&gt;"agree",LEN(TRIM(P11))=0),"COMMENT NEEDED",IF(F11="yes","CHECKED - see resolution","DRAFT"))))</f>
        <v/>
      </c>
      <c r="H11" s="8">
        <f>IF(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not_applicable","")</f>
        <v/>
      </c>
      <c r="I11" s="8">
        <f>IF(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not_applicable","")</f>
        <v/>
      </c>
      <c r="J11" s="9">
        <f>IF(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not_applicable","")</f>
        <v/>
      </c>
      <c r="K11" s="8">
        <f>IF(OR(AND(IF($D11="",INDEX(primary_jama_2018_9128_disposition,MATCH($A11,primary_jama_2018_9128_key,0)),$D11)&lt;&gt;"",IF($D11="",INDEX(primary_jama_2018_9128_disposition,MATCH($A11,primary_jama_2018_9128_key,0)),$D11)&lt;&gt;"retain"),NOT(OR(IF($E11="",INDEX(primary_jama_2018_9128_domain,MATCH($A11,primary_jama_2018_9128_key,0)),$E11)="internal_nonstatistical",IF($E11="",INDEX(primary_jama_2018_9128_domain,MATCH($A11,primary_jama_2018_9128_key,0)),$E11)="plan_material"))),"not_applicable","")</f>
        <v/>
      </c>
      <c r="L11" s="9">
        <f>IF(OR(AND(IF($D11="",INDEX(primary_jama_2018_9128_disposition,MATCH($A11,primary_jama_2018_9128_key,0)),$D11)&lt;&gt;"",IF($D11="",INDEX(primary_jama_2018_9128_disposition,MATCH($A11,primary_jama_2018_9128_key,0)),$D11)&lt;&gt;"retain"),NOT(OR(IF($E11="",INDEX(primary_jama_2018_9128_domain,MATCH($A11,primary_jama_2018_9128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2018::jama.2018.9128::C011</t>
        </is>
      </c>
      <c r="B12" s="2" t="inlineStr">
        <is>
          <t>Original protocol labels primary outcome as BMI percentile/BMI% while results use BMI kg/m²</t>
        </is>
      </c>
      <c r="C12" s="2" t="inlineStr">
        <is>
          <t>DOC-002 original protocol — PDF p. 16; DOC-002 final SAP — PDF p. 110; DOC-001 Outcomes — PDF p. 3; DOC-003 eTable 1 — PDF p. 2.</t>
        </is>
      </c>
      <c r="D12" s="8" t="inlineStr"/>
      <c r="E12" s="8" t="inlineStr"/>
      <c r="F12" s="8" t="inlineStr">
        <is>
          <t>no</t>
        </is>
      </c>
      <c r="G12" s="2">
        <f>IF(OR(AND(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H12&lt;&gt;"",H12&lt;&gt;"not_applicable"),AND(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I12&lt;&gt;"",I12&lt;&gt;"not_applicable"),AND(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J12&lt;&gt;"",J12&lt;&gt;"not_applicable"),AND(OR(AND(IF($D12="",INDEX(primary_jama_2018_9128_disposition,MATCH($A12,primary_jama_2018_9128_key,0)),$D12)&lt;&gt;"",IF($D12="",INDEX(primary_jama_2018_9128_disposition,MATCH($A12,primary_jama_2018_9128_key,0)),$D12)&lt;&gt;"retain"),NOT(OR(IF($E12="",INDEX(primary_jama_2018_9128_domain,MATCH($A12,primary_jama_2018_9128_key,0)),$E12)="internal_nonstatistical",IF($E12="",INDEX(primary_jama_2018_9128_domain,MATCH($A12,primary_jama_2018_9128_key,0)),$E12)="plan_material"))),K12&lt;&gt;"",K12&lt;&gt;"not_applicable"),AND(OR(AND(IF($D12="",INDEX(primary_jama_2018_9128_disposition,MATCH($A12,primary_jama_2018_9128_key,0)),$D12)&lt;&gt;"",IF($D12="",INDEX(primary_jama_2018_9128_disposition,MATCH($A12,primary_jama_2018_9128_key,0)),$D12)&lt;&gt;"retain"),NOT(OR(IF($E12="",INDEX(primary_jama_2018_9128_domain,MATCH($A12,primary_jama_2018_9128_key,0)),$E12)="protocol_report"))),L12&lt;&gt;"",L12&lt;&gt;"not_applicable")),"CLEAR INACTIVE VALUES",IF(O12="","PENDING",IF(AND(O12&lt;&gt;"agree",LEN(TRIM(P12))=0),"COMMENT NEEDED",IF(F12="yes","CHECKED - see resolution","DRAFT"))))</f>
        <v/>
      </c>
      <c r="H12" s="8">
        <f>IF(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not_applicable","")</f>
        <v/>
      </c>
      <c r="I12" s="8">
        <f>IF(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not_applicable","")</f>
        <v/>
      </c>
      <c r="J12" s="9">
        <f>IF(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not_applicable","")</f>
        <v/>
      </c>
      <c r="K12" s="8">
        <f>IF(OR(AND(IF($D12="",INDEX(primary_jama_2018_9128_disposition,MATCH($A12,primary_jama_2018_9128_key,0)),$D12)&lt;&gt;"",IF($D12="",INDEX(primary_jama_2018_9128_disposition,MATCH($A12,primary_jama_2018_9128_key,0)),$D12)&lt;&gt;"retain"),NOT(OR(IF($E12="",INDEX(primary_jama_2018_9128_domain,MATCH($A12,primary_jama_2018_9128_key,0)),$E12)="internal_nonstatistical",IF($E12="",INDEX(primary_jama_2018_9128_domain,MATCH($A12,primary_jama_2018_9128_key,0)),$E12)="plan_material"))),"not_applicable","")</f>
        <v/>
      </c>
      <c r="L12" s="9">
        <f>IF(OR(AND(IF($D12="",INDEX(primary_jama_2018_9128_disposition,MATCH($A12,primary_jama_2018_9128_key,0)),$D12)&lt;&gt;"",IF($D12="",INDEX(primary_jama_2018_9128_disposition,MATCH($A12,primary_jama_2018_9128_key,0)),$D12)&lt;&gt;"retain"),NOT(OR(IF($E12="",INDEX(primary_jama_2018_9128_domain,MATCH($A12,primary_jama_2018_9128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row r="13" ht="76" customHeight="1">
      <c r="A13" s="3" t="inlineStr">
        <is>
          <t>2018::jama.2018.9128::C012</t>
        </is>
      </c>
      <c r="B13" s="3" t="inlineStr">
        <is>
          <t>Control-condition session count and duration differ across protocol versions and article</t>
        </is>
      </c>
      <c r="C13" s="3" t="inlineStr">
        <is>
          <t>DOC-002 original protocol — PDF p. 14; DOC-002 revised protocol — PDF p. 64; DOC-001 abstract — PDF p. 1; DOC-001 Methods — PDF p. 3.</t>
        </is>
      </c>
      <c r="D13" s="8" t="inlineStr"/>
      <c r="E13" s="8" t="inlineStr"/>
      <c r="F13" s="8" t="inlineStr">
        <is>
          <t>no</t>
        </is>
      </c>
      <c r="G13" s="3">
        <f>IF(OR(AND(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H13&lt;&gt;"",H13&lt;&gt;"not_applicable"),AND(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I13&lt;&gt;"",I13&lt;&gt;"not_applicable"),AND(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J13&lt;&gt;"",J13&lt;&gt;"not_applicable"),AND(OR(AND(IF($D13="",INDEX(primary_jama_2018_9128_disposition,MATCH($A13,primary_jama_2018_9128_key,0)),$D13)&lt;&gt;"",IF($D13="",INDEX(primary_jama_2018_9128_disposition,MATCH($A13,primary_jama_2018_9128_key,0)),$D13)&lt;&gt;"retain"),NOT(OR(IF($E13="",INDEX(primary_jama_2018_9128_domain,MATCH($A13,primary_jama_2018_9128_key,0)),$E13)="internal_nonstatistical",IF($E13="",INDEX(primary_jama_2018_9128_domain,MATCH($A13,primary_jama_2018_9128_key,0)),$E13)="plan_material"))),K13&lt;&gt;"",K13&lt;&gt;"not_applicable"),AND(OR(AND(IF($D13="",INDEX(primary_jama_2018_9128_disposition,MATCH($A13,primary_jama_2018_9128_key,0)),$D13)&lt;&gt;"",IF($D13="",INDEX(primary_jama_2018_9128_disposition,MATCH($A13,primary_jama_2018_9128_key,0)),$D13)&lt;&gt;"retain"),NOT(OR(IF($E13="",INDEX(primary_jama_2018_9128_domain,MATCH($A13,primary_jama_2018_9128_key,0)),$E13)="protocol_report"))),L13&lt;&gt;"",L13&lt;&gt;"not_applicable")),"CLEAR INACTIVE VALUES",IF(O13="","PENDING",IF(AND(O13&lt;&gt;"agree",LEN(TRIM(P13))=0),"COMMENT NEEDED",IF(F13="yes","CHECKED - see resolution","DRAFT"))))</f>
        <v/>
      </c>
      <c r="H13" s="8">
        <f>IF(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not_applicable","")</f>
        <v/>
      </c>
      <c r="I13" s="8">
        <f>IF(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not_applicable","")</f>
        <v/>
      </c>
      <c r="J13" s="9">
        <f>IF(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not_applicable","")</f>
        <v/>
      </c>
      <c r="K13" s="8">
        <f>IF(OR(AND(IF($D13="",INDEX(primary_jama_2018_9128_disposition,MATCH($A13,primary_jama_2018_9128_key,0)),$D13)&lt;&gt;"",IF($D13="",INDEX(primary_jama_2018_9128_disposition,MATCH($A13,primary_jama_2018_9128_key,0)),$D13)&lt;&gt;"retain"),NOT(OR(IF($E13="",INDEX(primary_jama_2018_9128_domain,MATCH($A13,primary_jama_2018_9128_key,0)),$E13)="internal_nonstatistical",IF($E13="",INDEX(primary_jama_2018_9128_domain,MATCH($A13,primary_jama_2018_9128_key,0)),$E13)="plan_material"))),"not_applicable","")</f>
        <v/>
      </c>
      <c r="L13" s="9">
        <f>IF(OR(AND(IF($D13="",INDEX(primary_jama_2018_9128_disposition,MATCH($A13,primary_jama_2018_9128_key,0)),$D13)&lt;&gt;"",IF($D13="",INDEX(primary_jama_2018_9128_disposition,MATCH($A13,primary_jama_2018_9128_key,0)),$D13)&lt;&gt;"retain"),NOT(OR(IF($E13="",INDEX(primary_jama_2018_9128_domain,MATCH($A13,primary_jama_2018_9128_key,0)),$E13)="protocol_report"))),"not_applicable","")</f>
        <v/>
      </c>
      <c r="M13" s="10" t="inlineStr"/>
      <c r="N13" s="10" t="inlineStr"/>
      <c r="O13" s="8" t="inlineStr"/>
      <c r="P13" s="11" t="inlineStr"/>
      <c r="Q13" s="8" t="inlineStr">
        <is>
          <t>pending</t>
        </is>
      </c>
      <c r="R13" s="11" t="inlineStr"/>
      <c r="S13" s="3" t="inlineStr">
        <is>
          <t>AWAITING PRIMARY HANDOFF - do not start checking this template.</t>
        </is>
      </c>
    </row>
    <row r="14" ht="76" customHeight="1">
      <c r="A14" s="2" t="inlineStr">
        <is>
          <t>2018::jama.2018.9128::C013</t>
        </is>
      </c>
      <c r="B14" s="2" t="inlineStr">
        <is>
          <t>Control 9-month BMI-observation count differs across result displays</t>
        </is>
      </c>
      <c r="C14" s="2" t="inlineStr">
        <is>
          <t>DOC-001 Figure 1 — PDF p. 3; DOC-001 Figure 2 — PDF p. 7; DOC-003 eTable 1 — PDF p. 2.</t>
        </is>
      </c>
      <c r="D14" s="8" t="inlineStr"/>
      <c r="E14" s="8" t="inlineStr"/>
      <c r="F14" s="8" t="inlineStr">
        <is>
          <t>no</t>
        </is>
      </c>
      <c r="G14" s="2">
        <f>IF(OR(AND(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H14&lt;&gt;"",H14&lt;&gt;"not_applicable"),AND(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I14&lt;&gt;"",I14&lt;&gt;"not_applicable"),AND(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J14&lt;&gt;"",J14&lt;&gt;"not_applicable"),AND(OR(AND(IF($D14="",INDEX(primary_jama_2018_9128_disposition,MATCH($A14,primary_jama_2018_9128_key,0)),$D14)&lt;&gt;"",IF($D14="",INDEX(primary_jama_2018_9128_disposition,MATCH($A14,primary_jama_2018_9128_key,0)),$D14)&lt;&gt;"retain"),NOT(OR(IF($E14="",INDEX(primary_jama_2018_9128_domain,MATCH($A14,primary_jama_2018_9128_key,0)),$E14)="internal_nonstatistical",IF($E14="",INDEX(primary_jama_2018_9128_domain,MATCH($A14,primary_jama_2018_9128_key,0)),$E14)="plan_material"))),K14&lt;&gt;"",K14&lt;&gt;"not_applicable"),AND(OR(AND(IF($D14="",INDEX(primary_jama_2018_9128_disposition,MATCH($A14,primary_jama_2018_9128_key,0)),$D14)&lt;&gt;"",IF($D14="",INDEX(primary_jama_2018_9128_disposition,MATCH($A14,primary_jama_2018_9128_key,0)),$D14)&lt;&gt;"retain"),NOT(OR(IF($E14="",INDEX(primary_jama_2018_9128_domain,MATCH($A14,primary_jama_2018_9128_key,0)),$E14)="protocol_report"))),L14&lt;&gt;"",L14&lt;&gt;"not_applicable")),"CLEAR INACTIVE VALUES",IF(O14="","PENDING",IF(AND(O14&lt;&gt;"agree",LEN(TRIM(P14))=0),"COMMENT NEEDED",IF(F14="yes","CHECKED - see resolution","DRAFT"))))</f>
        <v/>
      </c>
      <c r="H14" s="8">
        <f>IF(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not_applicable","")</f>
        <v/>
      </c>
      <c r="I14" s="8">
        <f>IF(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not_applicable","")</f>
        <v/>
      </c>
      <c r="J14" s="9">
        <f>IF(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not_applicable","")</f>
        <v/>
      </c>
      <c r="K14" s="8">
        <f>IF(OR(AND(IF($D14="",INDEX(primary_jama_2018_9128_disposition,MATCH($A14,primary_jama_2018_9128_key,0)),$D14)&lt;&gt;"",IF($D14="",INDEX(primary_jama_2018_9128_disposition,MATCH($A14,primary_jama_2018_9128_key,0)),$D14)&lt;&gt;"retain"),NOT(OR(IF($E14="",INDEX(primary_jama_2018_9128_domain,MATCH($A14,primary_jama_2018_9128_key,0)),$E14)="internal_nonstatistical",IF($E14="",INDEX(primary_jama_2018_9128_domain,MATCH($A14,primary_jama_2018_9128_key,0)),$E14)="plan_material"))),"not_applicable","")</f>
        <v/>
      </c>
      <c r="L14" s="9">
        <f>IF(OR(AND(IF($D14="",INDEX(primary_jama_2018_9128_disposition,MATCH($A14,primary_jama_2018_9128_key,0)),$D14)&lt;&gt;"",IF($D14="",INDEX(primary_jama_2018_9128_disposition,MATCH($A14,primary_jama_2018_9128_key,0)),$D14)&lt;&gt;"retain"),NOT(OR(IF($E14="",INDEX(primary_jama_2018_9128_domain,MATCH($A14,primary_jama_2018_9128_key,0)),$E14)="protocol_report"))),"not_applicable","")</f>
        <v/>
      </c>
      <c r="M14" s="10" t="inlineStr"/>
      <c r="N14" s="10" t="inlineStr"/>
      <c r="O14" s="8" t="inlineStr"/>
      <c r="P14" s="11" t="inlineStr"/>
      <c r="Q14" s="8" t="inlineStr">
        <is>
          <t>pending</t>
        </is>
      </c>
      <c r="R14" s="11" t="inlineStr"/>
      <c r="S14"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4"/>
  <conditionalFormatting sqref="H2">
    <cfRule type="expression" priority="1" dxfId="0" stopIfTrue="1">
      <formula>AND(OR(AND(IF($D2="",INDEX(primary_jama_2018_9128_disposition,MATCH($A2,primary_jama_2018_9128_key,0)),$D2)&lt;&gt;"",IF($D2="",INDEX(primary_jama_2018_9128_disposition,MATCH($A2,primary_jama_2018_9128_key,0)),$D2)&lt;&gt;"retain"),NOT(OR(IF($E2="",INDEX(primary_jama_2018_9128_domain,MATCH($A2,primary_jama_2018_9128_key,0)),$E2)="statistical_results"))),H2&lt;&gt;"",H2&lt;&gt;"not_applicable")</formula>
    </cfRule>
    <cfRule type="expression" priority="2" dxfId="1">
      <formula>OR(AND(IF($D2="",INDEX(primary_jama_2018_9128_disposition,MATCH($A2,primary_jama_2018_9128_key,0)),$D2)&lt;&gt;"",IF($D2="",INDEX(primary_jama_2018_9128_disposition,MATCH($A2,primary_jama_2018_9128_key,0)),$D2)&lt;&gt;"retain"),NOT(OR(IF($E2="",INDEX(primary_jama_2018_9128_domain,MATCH($A2,primary_jama_2018_9128_key,0)),$E2)="statistical_results")))</formula>
    </cfRule>
  </conditionalFormatting>
  <conditionalFormatting sqref="H3">
    <cfRule type="expression" priority="3" dxfId="0" stopIfTrue="1">
      <formula>AND(OR(AND(IF($D3="",INDEX(primary_jama_2018_9128_disposition,MATCH($A3,primary_jama_2018_9128_key,0)),$D3)&lt;&gt;"",IF($D3="",INDEX(primary_jama_2018_9128_disposition,MATCH($A3,primary_jama_2018_9128_key,0)),$D3)&lt;&gt;"retain"),NOT(OR(IF($E3="",INDEX(primary_jama_2018_9128_domain,MATCH($A3,primary_jama_2018_9128_key,0)),$E3)="statistical_results"))),H3&lt;&gt;"",H3&lt;&gt;"not_applicable")</formula>
    </cfRule>
    <cfRule type="expression" priority="4" dxfId="1">
      <formula>OR(AND(IF($D3="",INDEX(primary_jama_2018_9128_disposition,MATCH($A3,primary_jama_2018_9128_key,0)),$D3)&lt;&gt;"",IF($D3="",INDEX(primary_jama_2018_9128_disposition,MATCH($A3,primary_jama_2018_9128_key,0)),$D3)&lt;&gt;"retain"),NOT(OR(IF($E3="",INDEX(primary_jama_2018_9128_domain,MATCH($A3,primary_jama_2018_9128_key,0)),$E3)="statistical_results")))</formula>
    </cfRule>
  </conditionalFormatting>
  <conditionalFormatting sqref="H4">
    <cfRule type="expression" priority="5" dxfId="0" stopIfTrue="1">
      <formula>AND(OR(AND(IF($D4="",INDEX(primary_jama_2018_9128_disposition,MATCH($A4,primary_jama_2018_9128_key,0)),$D4)&lt;&gt;"",IF($D4="",INDEX(primary_jama_2018_9128_disposition,MATCH($A4,primary_jama_2018_9128_key,0)),$D4)&lt;&gt;"retain"),NOT(OR(IF($E4="",INDEX(primary_jama_2018_9128_domain,MATCH($A4,primary_jama_2018_9128_key,0)),$E4)="statistical_results"))),H4&lt;&gt;"",H4&lt;&gt;"not_applicable")</formula>
    </cfRule>
    <cfRule type="expression" priority="6" dxfId="1">
      <formula>OR(AND(IF($D4="",INDEX(primary_jama_2018_9128_disposition,MATCH($A4,primary_jama_2018_9128_key,0)),$D4)&lt;&gt;"",IF($D4="",INDEX(primary_jama_2018_9128_disposition,MATCH($A4,primary_jama_2018_9128_key,0)),$D4)&lt;&gt;"retain"),NOT(OR(IF($E4="",INDEX(primary_jama_2018_9128_domain,MATCH($A4,primary_jama_2018_9128_key,0)),$E4)="statistical_results")))</formula>
    </cfRule>
  </conditionalFormatting>
  <conditionalFormatting sqref="H5">
    <cfRule type="expression" priority="7" dxfId="0" stopIfTrue="1">
      <formula>AND(OR(AND(IF($D5="",INDEX(primary_jama_2018_9128_disposition,MATCH($A5,primary_jama_2018_9128_key,0)),$D5)&lt;&gt;"",IF($D5="",INDEX(primary_jama_2018_9128_disposition,MATCH($A5,primary_jama_2018_9128_key,0)),$D5)&lt;&gt;"retain"),NOT(OR(IF($E5="",INDEX(primary_jama_2018_9128_domain,MATCH($A5,primary_jama_2018_9128_key,0)),$E5)="statistical_results"))),H5&lt;&gt;"",H5&lt;&gt;"not_applicable")</formula>
    </cfRule>
    <cfRule type="expression" priority="8" dxfId="1">
      <formula>OR(AND(IF($D5="",INDEX(primary_jama_2018_9128_disposition,MATCH($A5,primary_jama_2018_9128_key,0)),$D5)&lt;&gt;"",IF($D5="",INDEX(primary_jama_2018_9128_disposition,MATCH($A5,primary_jama_2018_9128_key,0)),$D5)&lt;&gt;"retain"),NOT(OR(IF($E5="",INDEX(primary_jama_2018_9128_domain,MATCH($A5,primary_jama_2018_9128_key,0)),$E5)="statistical_results")))</formula>
    </cfRule>
  </conditionalFormatting>
  <conditionalFormatting sqref="H6">
    <cfRule type="expression" priority="9" dxfId="0" stopIfTrue="1">
      <formula>AND(OR(AND(IF($D6="",INDEX(primary_jama_2018_9128_disposition,MATCH($A6,primary_jama_2018_9128_key,0)),$D6)&lt;&gt;"",IF($D6="",INDEX(primary_jama_2018_9128_disposition,MATCH($A6,primary_jama_2018_9128_key,0)),$D6)&lt;&gt;"retain"),NOT(OR(IF($E6="",INDEX(primary_jama_2018_9128_domain,MATCH($A6,primary_jama_2018_9128_key,0)),$E6)="statistical_results"))),H6&lt;&gt;"",H6&lt;&gt;"not_applicable")</formula>
    </cfRule>
    <cfRule type="expression" priority="10" dxfId="1">
      <formula>OR(AND(IF($D6="",INDEX(primary_jama_2018_9128_disposition,MATCH($A6,primary_jama_2018_9128_key,0)),$D6)&lt;&gt;"",IF($D6="",INDEX(primary_jama_2018_9128_disposition,MATCH($A6,primary_jama_2018_9128_key,0)),$D6)&lt;&gt;"retain"),NOT(OR(IF($E6="",INDEX(primary_jama_2018_9128_domain,MATCH($A6,primary_jama_2018_9128_key,0)),$E6)="statistical_results")))</formula>
    </cfRule>
  </conditionalFormatting>
  <conditionalFormatting sqref="H7">
    <cfRule type="expression" priority="11" dxfId="0" stopIfTrue="1">
      <formula>AND(OR(AND(IF($D7="",INDEX(primary_jama_2018_9128_disposition,MATCH($A7,primary_jama_2018_9128_key,0)),$D7)&lt;&gt;"",IF($D7="",INDEX(primary_jama_2018_9128_disposition,MATCH($A7,primary_jama_2018_9128_key,0)),$D7)&lt;&gt;"retain"),NOT(OR(IF($E7="",INDEX(primary_jama_2018_9128_domain,MATCH($A7,primary_jama_2018_9128_key,0)),$E7)="statistical_results"))),H7&lt;&gt;"",H7&lt;&gt;"not_applicable")</formula>
    </cfRule>
    <cfRule type="expression" priority="12" dxfId="1">
      <formula>OR(AND(IF($D7="",INDEX(primary_jama_2018_9128_disposition,MATCH($A7,primary_jama_2018_9128_key,0)),$D7)&lt;&gt;"",IF($D7="",INDEX(primary_jama_2018_9128_disposition,MATCH($A7,primary_jama_2018_9128_key,0)),$D7)&lt;&gt;"retain"),NOT(OR(IF($E7="",INDEX(primary_jama_2018_9128_domain,MATCH($A7,primary_jama_2018_9128_key,0)),$E7)="statistical_results")))</formula>
    </cfRule>
  </conditionalFormatting>
  <conditionalFormatting sqref="H8">
    <cfRule type="expression" priority="13" dxfId="0" stopIfTrue="1">
      <formula>AND(OR(AND(IF($D8="",INDEX(primary_jama_2018_9128_disposition,MATCH($A8,primary_jama_2018_9128_key,0)),$D8)&lt;&gt;"",IF($D8="",INDEX(primary_jama_2018_9128_disposition,MATCH($A8,primary_jama_2018_9128_key,0)),$D8)&lt;&gt;"retain"),NOT(OR(IF($E8="",INDEX(primary_jama_2018_9128_domain,MATCH($A8,primary_jama_2018_9128_key,0)),$E8)="statistical_results"))),H8&lt;&gt;"",H8&lt;&gt;"not_applicable")</formula>
    </cfRule>
    <cfRule type="expression" priority="14" dxfId="1">
      <formula>OR(AND(IF($D8="",INDEX(primary_jama_2018_9128_disposition,MATCH($A8,primary_jama_2018_9128_key,0)),$D8)&lt;&gt;"",IF($D8="",INDEX(primary_jama_2018_9128_disposition,MATCH($A8,primary_jama_2018_9128_key,0)),$D8)&lt;&gt;"retain"),NOT(OR(IF($E8="",INDEX(primary_jama_2018_9128_domain,MATCH($A8,primary_jama_2018_9128_key,0)),$E8)="statistical_results")))</formula>
    </cfRule>
  </conditionalFormatting>
  <conditionalFormatting sqref="H9">
    <cfRule type="expression" priority="15" dxfId="0" stopIfTrue="1">
      <formula>AND(OR(AND(IF($D9="",INDEX(primary_jama_2018_9128_disposition,MATCH($A9,primary_jama_2018_9128_key,0)),$D9)&lt;&gt;"",IF($D9="",INDEX(primary_jama_2018_9128_disposition,MATCH($A9,primary_jama_2018_9128_key,0)),$D9)&lt;&gt;"retain"),NOT(OR(IF($E9="",INDEX(primary_jama_2018_9128_domain,MATCH($A9,primary_jama_2018_9128_key,0)),$E9)="statistical_results"))),H9&lt;&gt;"",H9&lt;&gt;"not_applicable")</formula>
    </cfRule>
    <cfRule type="expression" priority="16" dxfId="1">
      <formula>OR(AND(IF($D9="",INDEX(primary_jama_2018_9128_disposition,MATCH($A9,primary_jama_2018_9128_key,0)),$D9)&lt;&gt;"",IF($D9="",INDEX(primary_jama_2018_9128_disposition,MATCH($A9,primary_jama_2018_9128_key,0)),$D9)&lt;&gt;"retain"),NOT(OR(IF($E9="",INDEX(primary_jama_2018_9128_domain,MATCH($A9,primary_jama_2018_9128_key,0)),$E9)="statistical_results")))</formula>
    </cfRule>
  </conditionalFormatting>
  <conditionalFormatting sqref="H10">
    <cfRule type="expression" priority="17" dxfId="0" stopIfTrue="1">
      <formula>AND(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H10&lt;&gt;"",H10&lt;&gt;"not_applicable")</formula>
    </cfRule>
    <cfRule type="expression" priority="18" dxfId="1">
      <formula>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formula>
    </cfRule>
  </conditionalFormatting>
  <conditionalFormatting sqref="H11">
    <cfRule type="expression" priority="19" dxfId="0" stopIfTrue="1">
      <formula>AND(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H11&lt;&gt;"",H11&lt;&gt;"not_applicable")</formula>
    </cfRule>
    <cfRule type="expression" priority="20" dxfId="1">
      <formula>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formula>
    </cfRule>
  </conditionalFormatting>
  <conditionalFormatting sqref="H12">
    <cfRule type="expression" priority="21" dxfId="0" stopIfTrue="1">
      <formula>AND(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H12&lt;&gt;"",H12&lt;&gt;"not_applicable")</formula>
    </cfRule>
    <cfRule type="expression" priority="22" dxfId="1">
      <formula>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formula>
    </cfRule>
  </conditionalFormatting>
  <conditionalFormatting sqref="H13">
    <cfRule type="expression" priority="23" dxfId="0" stopIfTrue="1">
      <formula>AND(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H13&lt;&gt;"",H13&lt;&gt;"not_applicable")</formula>
    </cfRule>
    <cfRule type="expression" priority="24" dxfId="1">
      <formula>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formula>
    </cfRule>
  </conditionalFormatting>
  <conditionalFormatting sqref="H14">
    <cfRule type="expression" priority="25" dxfId="0" stopIfTrue="1">
      <formula>AND(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H14&lt;&gt;"",H14&lt;&gt;"not_applicable")</formula>
    </cfRule>
    <cfRule type="expression" priority="26" dxfId="1">
      <formula>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formula>
    </cfRule>
  </conditionalFormatting>
  <conditionalFormatting sqref="I2">
    <cfRule type="expression" priority="27" dxfId="0" stopIfTrue="1">
      <formula>AND(OR(AND(IF($D2="",INDEX(primary_jama_2018_9128_disposition,MATCH($A2,primary_jama_2018_9128_key,0)),$D2)&lt;&gt;"",IF($D2="",INDEX(primary_jama_2018_9128_disposition,MATCH($A2,primary_jama_2018_9128_key,0)),$D2)&lt;&gt;"retain"),NOT(OR(IF($E2="",INDEX(primary_jama_2018_9128_domain,MATCH($A2,primary_jama_2018_9128_key,0)),$E2)="statistical_results"))),I2&lt;&gt;"",I2&lt;&gt;"not_applicable")</formula>
    </cfRule>
    <cfRule type="expression" priority="28" dxfId="1">
      <formula>OR(AND(IF($D2="",INDEX(primary_jama_2018_9128_disposition,MATCH($A2,primary_jama_2018_9128_key,0)),$D2)&lt;&gt;"",IF($D2="",INDEX(primary_jama_2018_9128_disposition,MATCH($A2,primary_jama_2018_9128_key,0)),$D2)&lt;&gt;"retain"),NOT(OR(IF($E2="",INDEX(primary_jama_2018_9128_domain,MATCH($A2,primary_jama_2018_9128_key,0)),$E2)="statistical_results")))</formula>
    </cfRule>
  </conditionalFormatting>
  <conditionalFormatting sqref="I3">
    <cfRule type="expression" priority="29" dxfId="0" stopIfTrue="1">
      <formula>AND(OR(AND(IF($D3="",INDEX(primary_jama_2018_9128_disposition,MATCH($A3,primary_jama_2018_9128_key,0)),$D3)&lt;&gt;"",IF($D3="",INDEX(primary_jama_2018_9128_disposition,MATCH($A3,primary_jama_2018_9128_key,0)),$D3)&lt;&gt;"retain"),NOT(OR(IF($E3="",INDEX(primary_jama_2018_9128_domain,MATCH($A3,primary_jama_2018_9128_key,0)),$E3)="statistical_results"))),I3&lt;&gt;"",I3&lt;&gt;"not_applicable")</formula>
    </cfRule>
    <cfRule type="expression" priority="30" dxfId="1">
      <formula>OR(AND(IF($D3="",INDEX(primary_jama_2018_9128_disposition,MATCH($A3,primary_jama_2018_9128_key,0)),$D3)&lt;&gt;"",IF($D3="",INDEX(primary_jama_2018_9128_disposition,MATCH($A3,primary_jama_2018_9128_key,0)),$D3)&lt;&gt;"retain"),NOT(OR(IF($E3="",INDEX(primary_jama_2018_9128_domain,MATCH($A3,primary_jama_2018_9128_key,0)),$E3)="statistical_results")))</formula>
    </cfRule>
  </conditionalFormatting>
  <conditionalFormatting sqref="I4">
    <cfRule type="expression" priority="31" dxfId="0" stopIfTrue="1">
      <formula>AND(OR(AND(IF($D4="",INDEX(primary_jama_2018_9128_disposition,MATCH($A4,primary_jama_2018_9128_key,0)),$D4)&lt;&gt;"",IF($D4="",INDEX(primary_jama_2018_9128_disposition,MATCH($A4,primary_jama_2018_9128_key,0)),$D4)&lt;&gt;"retain"),NOT(OR(IF($E4="",INDEX(primary_jama_2018_9128_domain,MATCH($A4,primary_jama_2018_9128_key,0)),$E4)="statistical_results"))),I4&lt;&gt;"",I4&lt;&gt;"not_applicable")</formula>
    </cfRule>
    <cfRule type="expression" priority="32" dxfId="1">
      <formula>OR(AND(IF($D4="",INDEX(primary_jama_2018_9128_disposition,MATCH($A4,primary_jama_2018_9128_key,0)),$D4)&lt;&gt;"",IF($D4="",INDEX(primary_jama_2018_9128_disposition,MATCH($A4,primary_jama_2018_9128_key,0)),$D4)&lt;&gt;"retain"),NOT(OR(IF($E4="",INDEX(primary_jama_2018_9128_domain,MATCH($A4,primary_jama_2018_9128_key,0)),$E4)="statistical_results")))</formula>
    </cfRule>
  </conditionalFormatting>
  <conditionalFormatting sqref="I5">
    <cfRule type="expression" priority="33" dxfId="0" stopIfTrue="1">
      <formula>AND(OR(AND(IF($D5="",INDEX(primary_jama_2018_9128_disposition,MATCH($A5,primary_jama_2018_9128_key,0)),$D5)&lt;&gt;"",IF($D5="",INDEX(primary_jama_2018_9128_disposition,MATCH($A5,primary_jama_2018_9128_key,0)),$D5)&lt;&gt;"retain"),NOT(OR(IF($E5="",INDEX(primary_jama_2018_9128_domain,MATCH($A5,primary_jama_2018_9128_key,0)),$E5)="statistical_results"))),I5&lt;&gt;"",I5&lt;&gt;"not_applicable")</formula>
    </cfRule>
    <cfRule type="expression" priority="34" dxfId="1">
      <formula>OR(AND(IF($D5="",INDEX(primary_jama_2018_9128_disposition,MATCH($A5,primary_jama_2018_9128_key,0)),$D5)&lt;&gt;"",IF($D5="",INDEX(primary_jama_2018_9128_disposition,MATCH($A5,primary_jama_2018_9128_key,0)),$D5)&lt;&gt;"retain"),NOT(OR(IF($E5="",INDEX(primary_jama_2018_9128_domain,MATCH($A5,primary_jama_2018_9128_key,0)),$E5)="statistical_results")))</formula>
    </cfRule>
  </conditionalFormatting>
  <conditionalFormatting sqref="I6">
    <cfRule type="expression" priority="35" dxfId="0" stopIfTrue="1">
      <formula>AND(OR(AND(IF($D6="",INDEX(primary_jama_2018_9128_disposition,MATCH($A6,primary_jama_2018_9128_key,0)),$D6)&lt;&gt;"",IF($D6="",INDEX(primary_jama_2018_9128_disposition,MATCH($A6,primary_jama_2018_9128_key,0)),$D6)&lt;&gt;"retain"),NOT(OR(IF($E6="",INDEX(primary_jama_2018_9128_domain,MATCH($A6,primary_jama_2018_9128_key,0)),$E6)="statistical_results"))),I6&lt;&gt;"",I6&lt;&gt;"not_applicable")</formula>
    </cfRule>
    <cfRule type="expression" priority="36" dxfId="1">
      <formula>OR(AND(IF($D6="",INDEX(primary_jama_2018_9128_disposition,MATCH($A6,primary_jama_2018_9128_key,0)),$D6)&lt;&gt;"",IF($D6="",INDEX(primary_jama_2018_9128_disposition,MATCH($A6,primary_jama_2018_9128_key,0)),$D6)&lt;&gt;"retain"),NOT(OR(IF($E6="",INDEX(primary_jama_2018_9128_domain,MATCH($A6,primary_jama_2018_9128_key,0)),$E6)="statistical_results")))</formula>
    </cfRule>
  </conditionalFormatting>
  <conditionalFormatting sqref="I7">
    <cfRule type="expression" priority="37" dxfId="0" stopIfTrue="1">
      <formula>AND(OR(AND(IF($D7="",INDEX(primary_jama_2018_9128_disposition,MATCH($A7,primary_jama_2018_9128_key,0)),$D7)&lt;&gt;"",IF($D7="",INDEX(primary_jama_2018_9128_disposition,MATCH($A7,primary_jama_2018_9128_key,0)),$D7)&lt;&gt;"retain"),NOT(OR(IF($E7="",INDEX(primary_jama_2018_9128_domain,MATCH($A7,primary_jama_2018_9128_key,0)),$E7)="statistical_results"))),I7&lt;&gt;"",I7&lt;&gt;"not_applicable")</formula>
    </cfRule>
    <cfRule type="expression" priority="38" dxfId="1">
      <formula>OR(AND(IF($D7="",INDEX(primary_jama_2018_9128_disposition,MATCH($A7,primary_jama_2018_9128_key,0)),$D7)&lt;&gt;"",IF($D7="",INDEX(primary_jama_2018_9128_disposition,MATCH($A7,primary_jama_2018_9128_key,0)),$D7)&lt;&gt;"retain"),NOT(OR(IF($E7="",INDEX(primary_jama_2018_9128_domain,MATCH($A7,primary_jama_2018_9128_key,0)),$E7)="statistical_results")))</formula>
    </cfRule>
  </conditionalFormatting>
  <conditionalFormatting sqref="I8">
    <cfRule type="expression" priority="39" dxfId="0" stopIfTrue="1">
      <formula>AND(OR(AND(IF($D8="",INDEX(primary_jama_2018_9128_disposition,MATCH($A8,primary_jama_2018_9128_key,0)),$D8)&lt;&gt;"",IF($D8="",INDEX(primary_jama_2018_9128_disposition,MATCH($A8,primary_jama_2018_9128_key,0)),$D8)&lt;&gt;"retain"),NOT(OR(IF($E8="",INDEX(primary_jama_2018_9128_domain,MATCH($A8,primary_jama_2018_9128_key,0)),$E8)="statistical_results"))),I8&lt;&gt;"",I8&lt;&gt;"not_applicable")</formula>
    </cfRule>
    <cfRule type="expression" priority="40" dxfId="1">
      <formula>OR(AND(IF($D8="",INDEX(primary_jama_2018_9128_disposition,MATCH($A8,primary_jama_2018_9128_key,0)),$D8)&lt;&gt;"",IF($D8="",INDEX(primary_jama_2018_9128_disposition,MATCH($A8,primary_jama_2018_9128_key,0)),$D8)&lt;&gt;"retain"),NOT(OR(IF($E8="",INDEX(primary_jama_2018_9128_domain,MATCH($A8,primary_jama_2018_9128_key,0)),$E8)="statistical_results")))</formula>
    </cfRule>
  </conditionalFormatting>
  <conditionalFormatting sqref="I9">
    <cfRule type="expression" priority="41" dxfId="0" stopIfTrue="1">
      <formula>AND(OR(AND(IF($D9="",INDEX(primary_jama_2018_9128_disposition,MATCH($A9,primary_jama_2018_9128_key,0)),$D9)&lt;&gt;"",IF($D9="",INDEX(primary_jama_2018_9128_disposition,MATCH($A9,primary_jama_2018_9128_key,0)),$D9)&lt;&gt;"retain"),NOT(OR(IF($E9="",INDEX(primary_jama_2018_9128_domain,MATCH($A9,primary_jama_2018_9128_key,0)),$E9)="statistical_results"))),I9&lt;&gt;"",I9&lt;&gt;"not_applicable")</formula>
    </cfRule>
    <cfRule type="expression" priority="42" dxfId="1">
      <formula>OR(AND(IF($D9="",INDEX(primary_jama_2018_9128_disposition,MATCH($A9,primary_jama_2018_9128_key,0)),$D9)&lt;&gt;"",IF($D9="",INDEX(primary_jama_2018_9128_disposition,MATCH($A9,primary_jama_2018_9128_key,0)),$D9)&lt;&gt;"retain"),NOT(OR(IF($E9="",INDEX(primary_jama_2018_9128_domain,MATCH($A9,primary_jama_2018_9128_key,0)),$E9)="statistical_results")))</formula>
    </cfRule>
  </conditionalFormatting>
  <conditionalFormatting sqref="I10">
    <cfRule type="expression" priority="43" dxfId="0" stopIfTrue="1">
      <formula>AND(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I10&lt;&gt;"",I10&lt;&gt;"not_applicable")</formula>
    </cfRule>
    <cfRule type="expression" priority="44" dxfId="1">
      <formula>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formula>
    </cfRule>
  </conditionalFormatting>
  <conditionalFormatting sqref="I11">
    <cfRule type="expression" priority="45" dxfId="0" stopIfTrue="1">
      <formula>AND(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I11&lt;&gt;"",I11&lt;&gt;"not_applicable")</formula>
    </cfRule>
    <cfRule type="expression" priority="46" dxfId="1">
      <formula>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formula>
    </cfRule>
  </conditionalFormatting>
  <conditionalFormatting sqref="I12">
    <cfRule type="expression" priority="47" dxfId="0" stopIfTrue="1">
      <formula>AND(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I12&lt;&gt;"",I12&lt;&gt;"not_applicable")</formula>
    </cfRule>
    <cfRule type="expression" priority="48" dxfId="1">
      <formula>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formula>
    </cfRule>
  </conditionalFormatting>
  <conditionalFormatting sqref="I13">
    <cfRule type="expression" priority="49" dxfId="0" stopIfTrue="1">
      <formula>AND(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I13&lt;&gt;"",I13&lt;&gt;"not_applicable")</formula>
    </cfRule>
    <cfRule type="expression" priority="50" dxfId="1">
      <formula>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formula>
    </cfRule>
  </conditionalFormatting>
  <conditionalFormatting sqref="I14">
    <cfRule type="expression" priority="51" dxfId="0" stopIfTrue="1">
      <formula>AND(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I14&lt;&gt;"",I14&lt;&gt;"not_applicable")</formula>
    </cfRule>
    <cfRule type="expression" priority="52" dxfId="1">
      <formula>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formula>
    </cfRule>
  </conditionalFormatting>
  <conditionalFormatting sqref="J2">
    <cfRule type="expression" priority="53" dxfId="0" stopIfTrue="1">
      <formula>AND(OR(AND(IF($D2="",INDEX(primary_jama_2018_9128_disposition,MATCH($A2,primary_jama_2018_9128_key,0)),$D2)&lt;&gt;"",IF($D2="",INDEX(primary_jama_2018_9128_disposition,MATCH($A2,primary_jama_2018_9128_key,0)),$D2)&lt;&gt;"retain"),NOT(OR(IF($E2="",INDEX(primary_jama_2018_9128_domain,MATCH($A2,primary_jama_2018_9128_key,0)),$E2)="statistical_results"))),J2&lt;&gt;"",J2&lt;&gt;"not_applicable")</formula>
    </cfRule>
    <cfRule type="expression" priority="54" dxfId="1">
      <formula>OR(AND(IF($D2="",INDEX(primary_jama_2018_9128_disposition,MATCH($A2,primary_jama_2018_9128_key,0)),$D2)&lt;&gt;"",IF($D2="",INDEX(primary_jama_2018_9128_disposition,MATCH($A2,primary_jama_2018_9128_key,0)),$D2)&lt;&gt;"retain"),NOT(OR(IF($E2="",INDEX(primary_jama_2018_9128_domain,MATCH($A2,primary_jama_2018_9128_key,0)),$E2)="statistical_results")))</formula>
    </cfRule>
  </conditionalFormatting>
  <conditionalFormatting sqref="J3">
    <cfRule type="expression" priority="55" dxfId="0" stopIfTrue="1">
      <formula>AND(OR(AND(IF($D3="",INDEX(primary_jama_2018_9128_disposition,MATCH($A3,primary_jama_2018_9128_key,0)),$D3)&lt;&gt;"",IF($D3="",INDEX(primary_jama_2018_9128_disposition,MATCH($A3,primary_jama_2018_9128_key,0)),$D3)&lt;&gt;"retain"),NOT(OR(IF($E3="",INDEX(primary_jama_2018_9128_domain,MATCH($A3,primary_jama_2018_9128_key,0)),$E3)="statistical_results"))),J3&lt;&gt;"",J3&lt;&gt;"not_applicable")</formula>
    </cfRule>
    <cfRule type="expression" priority="56" dxfId="1">
      <formula>OR(AND(IF($D3="",INDEX(primary_jama_2018_9128_disposition,MATCH($A3,primary_jama_2018_9128_key,0)),$D3)&lt;&gt;"",IF($D3="",INDEX(primary_jama_2018_9128_disposition,MATCH($A3,primary_jama_2018_9128_key,0)),$D3)&lt;&gt;"retain"),NOT(OR(IF($E3="",INDEX(primary_jama_2018_9128_domain,MATCH($A3,primary_jama_2018_9128_key,0)),$E3)="statistical_results")))</formula>
    </cfRule>
  </conditionalFormatting>
  <conditionalFormatting sqref="J4">
    <cfRule type="expression" priority="57" dxfId="0" stopIfTrue="1">
      <formula>AND(OR(AND(IF($D4="",INDEX(primary_jama_2018_9128_disposition,MATCH($A4,primary_jama_2018_9128_key,0)),$D4)&lt;&gt;"",IF($D4="",INDEX(primary_jama_2018_9128_disposition,MATCH($A4,primary_jama_2018_9128_key,0)),$D4)&lt;&gt;"retain"),NOT(OR(IF($E4="",INDEX(primary_jama_2018_9128_domain,MATCH($A4,primary_jama_2018_9128_key,0)),$E4)="statistical_results"))),J4&lt;&gt;"",J4&lt;&gt;"not_applicable")</formula>
    </cfRule>
    <cfRule type="expression" priority="58" dxfId="1">
      <formula>OR(AND(IF($D4="",INDEX(primary_jama_2018_9128_disposition,MATCH($A4,primary_jama_2018_9128_key,0)),$D4)&lt;&gt;"",IF($D4="",INDEX(primary_jama_2018_9128_disposition,MATCH($A4,primary_jama_2018_9128_key,0)),$D4)&lt;&gt;"retain"),NOT(OR(IF($E4="",INDEX(primary_jama_2018_9128_domain,MATCH($A4,primary_jama_2018_9128_key,0)),$E4)="statistical_results")))</formula>
    </cfRule>
  </conditionalFormatting>
  <conditionalFormatting sqref="J5">
    <cfRule type="expression" priority="59" dxfId="0" stopIfTrue="1">
      <formula>AND(OR(AND(IF($D5="",INDEX(primary_jama_2018_9128_disposition,MATCH($A5,primary_jama_2018_9128_key,0)),$D5)&lt;&gt;"",IF($D5="",INDEX(primary_jama_2018_9128_disposition,MATCH($A5,primary_jama_2018_9128_key,0)),$D5)&lt;&gt;"retain"),NOT(OR(IF($E5="",INDEX(primary_jama_2018_9128_domain,MATCH($A5,primary_jama_2018_9128_key,0)),$E5)="statistical_results"))),J5&lt;&gt;"",J5&lt;&gt;"not_applicable")</formula>
    </cfRule>
    <cfRule type="expression" priority="60" dxfId="1">
      <formula>OR(AND(IF($D5="",INDEX(primary_jama_2018_9128_disposition,MATCH($A5,primary_jama_2018_9128_key,0)),$D5)&lt;&gt;"",IF($D5="",INDEX(primary_jama_2018_9128_disposition,MATCH($A5,primary_jama_2018_9128_key,0)),$D5)&lt;&gt;"retain"),NOT(OR(IF($E5="",INDEX(primary_jama_2018_9128_domain,MATCH($A5,primary_jama_2018_9128_key,0)),$E5)="statistical_results")))</formula>
    </cfRule>
  </conditionalFormatting>
  <conditionalFormatting sqref="J6">
    <cfRule type="expression" priority="61" dxfId="0" stopIfTrue="1">
      <formula>AND(OR(AND(IF($D6="",INDEX(primary_jama_2018_9128_disposition,MATCH($A6,primary_jama_2018_9128_key,0)),$D6)&lt;&gt;"",IF($D6="",INDEX(primary_jama_2018_9128_disposition,MATCH($A6,primary_jama_2018_9128_key,0)),$D6)&lt;&gt;"retain"),NOT(OR(IF($E6="",INDEX(primary_jama_2018_9128_domain,MATCH($A6,primary_jama_2018_9128_key,0)),$E6)="statistical_results"))),J6&lt;&gt;"",J6&lt;&gt;"not_applicable")</formula>
    </cfRule>
    <cfRule type="expression" priority="62" dxfId="1">
      <formula>OR(AND(IF($D6="",INDEX(primary_jama_2018_9128_disposition,MATCH($A6,primary_jama_2018_9128_key,0)),$D6)&lt;&gt;"",IF($D6="",INDEX(primary_jama_2018_9128_disposition,MATCH($A6,primary_jama_2018_9128_key,0)),$D6)&lt;&gt;"retain"),NOT(OR(IF($E6="",INDEX(primary_jama_2018_9128_domain,MATCH($A6,primary_jama_2018_9128_key,0)),$E6)="statistical_results")))</formula>
    </cfRule>
  </conditionalFormatting>
  <conditionalFormatting sqref="J7">
    <cfRule type="expression" priority="63" dxfId="0" stopIfTrue="1">
      <formula>AND(OR(AND(IF($D7="",INDEX(primary_jama_2018_9128_disposition,MATCH($A7,primary_jama_2018_9128_key,0)),$D7)&lt;&gt;"",IF($D7="",INDEX(primary_jama_2018_9128_disposition,MATCH($A7,primary_jama_2018_9128_key,0)),$D7)&lt;&gt;"retain"),NOT(OR(IF($E7="",INDEX(primary_jama_2018_9128_domain,MATCH($A7,primary_jama_2018_9128_key,0)),$E7)="statistical_results"))),J7&lt;&gt;"",J7&lt;&gt;"not_applicable")</formula>
    </cfRule>
    <cfRule type="expression" priority="64" dxfId="1">
      <formula>OR(AND(IF($D7="",INDEX(primary_jama_2018_9128_disposition,MATCH($A7,primary_jama_2018_9128_key,0)),$D7)&lt;&gt;"",IF($D7="",INDEX(primary_jama_2018_9128_disposition,MATCH($A7,primary_jama_2018_9128_key,0)),$D7)&lt;&gt;"retain"),NOT(OR(IF($E7="",INDEX(primary_jama_2018_9128_domain,MATCH($A7,primary_jama_2018_9128_key,0)),$E7)="statistical_results")))</formula>
    </cfRule>
  </conditionalFormatting>
  <conditionalFormatting sqref="J8">
    <cfRule type="expression" priority="65" dxfId="0" stopIfTrue="1">
      <formula>AND(OR(AND(IF($D8="",INDEX(primary_jama_2018_9128_disposition,MATCH($A8,primary_jama_2018_9128_key,0)),$D8)&lt;&gt;"",IF($D8="",INDEX(primary_jama_2018_9128_disposition,MATCH($A8,primary_jama_2018_9128_key,0)),$D8)&lt;&gt;"retain"),NOT(OR(IF($E8="",INDEX(primary_jama_2018_9128_domain,MATCH($A8,primary_jama_2018_9128_key,0)),$E8)="statistical_results"))),J8&lt;&gt;"",J8&lt;&gt;"not_applicable")</formula>
    </cfRule>
    <cfRule type="expression" priority="66" dxfId="1">
      <formula>OR(AND(IF($D8="",INDEX(primary_jama_2018_9128_disposition,MATCH($A8,primary_jama_2018_9128_key,0)),$D8)&lt;&gt;"",IF($D8="",INDEX(primary_jama_2018_9128_disposition,MATCH($A8,primary_jama_2018_9128_key,0)),$D8)&lt;&gt;"retain"),NOT(OR(IF($E8="",INDEX(primary_jama_2018_9128_domain,MATCH($A8,primary_jama_2018_9128_key,0)),$E8)="statistical_results")))</formula>
    </cfRule>
  </conditionalFormatting>
  <conditionalFormatting sqref="J9">
    <cfRule type="expression" priority="67" dxfId="0" stopIfTrue="1">
      <formula>AND(OR(AND(IF($D9="",INDEX(primary_jama_2018_9128_disposition,MATCH($A9,primary_jama_2018_9128_key,0)),$D9)&lt;&gt;"",IF($D9="",INDEX(primary_jama_2018_9128_disposition,MATCH($A9,primary_jama_2018_9128_key,0)),$D9)&lt;&gt;"retain"),NOT(OR(IF($E9="",INDEX(primary_jama_2018_9128_domain,MATCH($A9,primary_jama_2018_9128_key,0)),$E9)="statistical_results"))),J9&lt;&gt;"",J9&lt;&gt;"not_applicable")</formula>
    </cfRule>
    <cfRule type="expression" priority="68" dxfId="1">
      <formula>OR(AND(IF($D9="",INDEX(primary_jama_2018_9128_disposition,MATCH($A9,primary_jama_2018_9128_key,0)),$D9)&lt;&gt;"",IF($D9="",INDEX(primary_jama_2018_9128_disposition,MATCH($A9,primary_jama_2018_9128_key,0)),$D9)&lt;&gt;"retain"),NOT(OR(IF($E9="",INDEX(primary_jama_2018_9128_domain,MATCH($A9,primary_jama_2018_9128_key,0)),$E9)="statistical_results")))</formula>
    </cfRule>
  </conditionalFormatting>
  <conditionalFormatting sqref="J10">
    <cfRule type="expression" priority="69" dxfId="0" stopIfTrue="1">
      <formula>AND(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J10&lt;&gt;"",J10&lt;&gt;"not_applicable")</formula>
    </cfRule>
    <cfRule type="expression" priority="70" dxfId="1">
      <formula>OR(AND(IF($D10="",INDEX(primary_jama_2018_9128_disposition,MATCH($A10,primary_jama_2018_9128_key,0)),$D10)&lt;&gt;"",IF($D10="",INDEX(primary_jama_2018_9128_disposition,MATCH($A10,primary_jama_2018_9128_key,0)),$D10)&lt;&gt;"retain"),NOT(OR(IF($E10="",INDEX(primary_jama_2018_9128_domain,MATCH($A10,primary_jama_2018_9128_key,0)),$E10)="statistical_results")))</formula>
    </cfRule>
  </conditionalFormatting>
  <conditionalFormatting sqref="J11">
    <cfRule type="expression" priority="71" dxfId="0" stopIfTrue="1">
      <formula>AND(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J11&lt;&gt;"",J11&lt;&gt;"not_applicable")</formula>
    </cfRule>
    <cfRule type="expression" priority="72" dxfId="1">
      <formula>OR(AND(IF($D11="",INDEX(primary_jama_2018_9128_disposition,MATCH($A11,primary_jama_2018_9128_key,0)),$D11)&lt;&gt;"",IF($D11="",INDEX(primary_jama_2018_9128_disposition,MATCH($A11,primary_jama_2018_9128_key,0)),$D11)&lt;&gt;"retain"),NOT(OR(IF($E11="",INDEX(primary_jama_2018_9128_domain,MATCH($A11,primary_jama_2018_9128_key,0)),$E11)="statistical_results")))</formula>
    </cfRule>
  </conditionalFormatting>
  <conditionalFormatting sqref="J12">
    <cfRule type="expression" priority="73" dxfId="0" stopIfTrue="1">
      <formula>AND(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J12&lt;&gt;"",J12&lt;&gt;"not_applicable")</formula>
    </cfRule>
    <cfRule type="expression" priority="74" dxfId="1">
      <formula>OR(AND(IF($D12="",INDEX(primary_jama_2018_9128_disposition,MATCH($A12,primary_jama_2018_9128_key,0)),$D12)&lt;&gt;"",IF($D12="",INDEX(primary_jama_2018_9128_disposition,MATCH($A12,primary_jama_2018_9128_key,0)),$D12)&lt;&gt;"retain"),NOT(OR(IF($E12="",INDEX(primary_jama_2018_9128_domain,MATCH($A12,primary_jama_2018_9128_key,0)),$E12)="statistical_results")))</formula>
    </cfRule>
  </conditionalFormatting>
  <conditionalFormatting sqref="J13">
    <cfRule type="expression" priority="75" dxfId="0" stopIfTrue="1">
      <formula>AND(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J13&lt;&gt;"",J13&lt;&gt;"not_applicable")</formula>
    </cfRule>
    <cfRule type="expression" priority="76" dxfId="1">
      <formula>OR(AND(IF($D13="",INDEX(primary_jama_2018_9128_disposition,MATCH($A13,primary_jama_2018_9128_key,0)),$D13)&lt;&gt;"",IF($D13="",INDEX(primary_jama_2018_9128_disposition,MATCH($A13,primary_jama_2018_9128_key,0)),$D13)&lt;&gt;"retain"),NOT(OR(IF($E13="",INDEX(primary_jama_2018_9128_domain,MATCH($A13,primary_jama_2018_9128_key,0)),$E13)="statistical_results")))</formula>
    </cfRule>
  </conditionalFormatting>
  <conditionalFormatting sqref="J14">
    <cfRule type="expression" priority="77" dxfId="0" stopIfTrue="1">
      <formula>AND(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J14&lt;&gt;"",J14&lt;&gt;"not_applicable")</formula>
    </cfRule>
    <cfRule type="expression" priority="78" dxfId="1">
      <formula>OR(AND(IF($D14="",INDEX(primary_jama_2018_9128_disposition,MATCH($A14,primary_jama_2018_9128_key,0)),$D14)&lt;&gt;"",IF($D14="",INDEX(primary_jama_2018_9128_disposition,MATCH($A14,primary_jama_2018_9128_key,0)),$D14)&lt;&gt;"retain"),NOT(OR(IF($E14="",INDEX(primary_jama_2018_9128_domain,MATCH($A14,primary_jama_2018_9128_key,0)),$E14)="statistical_results")))</formula>
    </cfRule>
  </conditionalFormatting>
  <conditionalFormatting sqref="K2">
    <cfRule type="expression" priority="79" dxfId="0" stopIfTrue="1">
      <formula>AND(OR(AND(IF($D2="",INDEX(primary_jama_2018_9128_disposition,MATCH($A2,primary_jama_2018_9128_key,0)),$D2)&lt;&gt;"",IF($D2="",INDEX(primary_jama_2018_9128_disposition,MATCH($A2,primary_jama_2018_9128_key,0)),$D2)&lt;&gt;"retain"),NOT(OR(IF($E2="",INDEX(primary_jama_2018_9128_domain,MATCH($A2,primary_jama_2018_9128_key,0)),$E2)="internal_nonstatistical",IF($E2="",INDEX(primary_jama_2018_9128_domain,MATCH($A2,primary_jama_2018_9128_key,0)),$E2)="plan_material"))),K2&lt;&gt;"",K2&lt;&gt;"not_applicable")</formula>
    </cfRule>
    <cfRule type="expression" priority="80" dxfId="1">
      <formula>OR(AND(IF($D2="",INDEX(primary_jama_2018_9128_disposition,MATCH($A2,primary_jama_2018_9128_key,0)),$D2)&lt;&gt;"",IF($D2="",INDEX(primary_jama_2018_9128_disposition,MATCH($A2,primary_jama_2018_9128_key,0)),$D2)&lt;&gt;"retain"),NOT(OR(IF($E2="",INDEX(primary_jama_2018_9128_domain,MATCH($A2,primary_jama_2018_9128_key,0)),$E2)="internal_nonstatistical",IF($E2="",INDEX(primary_jama_2018_9128_domain,MATCH($A2,primary_jama_2018_9128_key,0)),$E2)="plan_material")))</formula>
    </cfRule>
  </conditionalFormatting>
  <conditionalFormatting sqref="K3">
    <cfRule type="expression" priority="81" dxfId="0" stopIfTrue="1">
      <formula>AND(OR(AND(IF($D3="",INDEX(primary_jama_2018_9128_disposition,MATCH($A3,primary_jama_2018_9128_key,0)),$D3)&lt;&gt;"",IF($D3="",INDEX(primary_jama_2018_9128_disposition,MATCH($A3,primary_jama_2018_9128_key,0)),$D3)&lt;&gt;"retain"),NOT(OR(IF($E3="",INDEX(primary_jama_2018_9128_domain,MATCH($A3,primary_jama_2018_9128_key,0)),$E3)="internal_nonstatistical",IF($E3="",INDEX(primary_jama_2018_9128_domain,MATCH($A3,primary_jama_2018_9128_key,0)),$E3)="plan_material"))),K3&lt;&gt;"",K3&lt;&gt;"not_applicable")</formula>
    </cfRule>
    <cfRule type="expression" priority="82" dxfId="1">
      <formula>OR(AND(IF($D3="",INDEX(primary_jama_2018_9128_disposition,MATCH($A3,primary_jama_2018_9128_key,0)),$D3)&lt;&gt;"",IF($D3="",INDEX(primary_jama_2018_9128_disposition,MATCH($A3,primary_jama_2018_9128_key,0)),$D3)&lt;&gt;"retain"),NOT(OR(IF($E3="",INDEX(primary_jama_2018_9128_domain,MATCH($A3,primary_jama_2018_9128_key,0)),$E3)="internal_nonstatistical",IF($E3="",INDEX(primary_jama_2018_9128_domain,MATCH($A3,primary_jama_2018_9128_key,0)),$E3)="plan_material")))</formula>
    </cfRule>
  </conditionalFormatting>
  <conditionalFormatting sqref="K4">
    <cfRule type="expression" priority="83" dxfId="0" stopIfTrue="1">
      <formula>AND(OR(AND(IF($D4="",INDEX(primary_jama_2018_9128_disposition,MATCH($A4,primary_jama_2018_9128_key,0)),$D4)&lt;&gt;"",IF($D4="",INDEX(primary_jama_2018_9128_disposition,MATCH($A4,primary_jama_2018_9128_key,0)),$D4)&lt;&gt;"retain"),NOT(OR(IF($E4="",INDEX(primary_jama_2018_9128_domain,MATCH($A4,primary_jama_2018_9128_key,0)),$E4)="internal_nonstatistical",IF($E4="",INDEX(primary_jama_2018_9128_domain,MATCH($A4,primary_jama_2018_9128_key,0)),$E4)="plan_material"))),K4&lt;&gt;"",K4&lt;&gt;"not_applicable")</formula>
    </cfRule>
    <cfRule type="expression" priority="84" dxfId="1">
      <formula>OR(AND(IF($D4="",INDEX(primary_jama_2018_9128_disposition,MATCH($A4,primary_jama_2018_9128_key,0)),$D4)&lt;&gt;"",IF($D4="",INDEX(primary_jama_2018_9128_disposition,MATCH($A4,primary_jama_2018_9128_key,0)),$D4)&lt;&gt;"retain"),NOT(OR(IF($E4="",INDEX(primary_jama_2018_9128_domain,MATCH($A4,primary_jama_2018_9128_key,0)),$E4)="internal_nonstatistical",IF($E4="",INDEX(primary_jama_2018_9128_domain,MATCH($A4,primary_jama_2018_9128_key,0)),$E4)="plan_material")))</formula>
    </cfRule>
  </conditionalFormatting>
  <conditionalFormatting sqref="K5">
    <cfRule type="expression" priority="85" dxfId="0" stopIfTrue="1">
      <formula>AND(OR(AND(IF($D5="",INDEX(primary_jama_2018_9128_disposition,MATCH($A5,primary_jama_2018_9128_key,0)),$D5)&lt;&gt;"",IF($D5="",INDEX(primary_jama_2018_9128_disposition,MATCH($A5,primary_jama_2018_9128_key,0)),$D5)&lt;&gt;"retain"),NOT(OR(IF($E5="",INDEX(primary_jama_2018_9128_domain,MATCH($A5,primary_jama_2018_9128_key,0)),$E5)="internal_nonstatistical",IF($E5="",INDEX(primary_jama_2018_9128_domain,MATCH($A5,primary_jama_2018_9128_key,0)),$E5)="plan_material"))),K5&lt;&gt;"",K5&lt;&gt;"not_applicable")</formula>
    </cfRule>
    <cfRule type="expression" priority="86" dxfId="1">
      <formula>OR(AND(IF($D5="",INDEX(primary_jama_2018_9128_disposition,MATCH($A5,primary_jama_2018_9128_key,0)),$D5)&lt;&gt;"",IF($D5="",INDEX(primary_jama_2018_9128_disposition,MATCH($A5,primary_jama_2018_9128_key,0)),$D5)&lt;&gt;"retain"),NOT(OR(IF($E5="",INDEX(primary_jama_2018_9128_domain,MATCH($A5,primary_jama_2018_9128_key,0)),$E5)="internal_nonstatistical",IF($E5="",INDEX(primary_jama_2018_9128_domain,MATCH($A5,primary_jama_2018_9128_key,0)),$E5)="plan_material")))</formula>
    </cfRule>
  </conditionalFormatting>
  <conditionalFormatting sqref="K6">
    <cfRule type="expression" priority="87" dxfId="0" stopIfTrue="1">
      <formula>AND(OR(AND(IF($D6="",INDEX(primary_jama_2018_9128_disposition,MATCH($A6,primary_jama_2018_9128_key,0)),$D6)&lt;&gt;"",IF($D6="",INDEX(primary_jama_2018_9128_disposition,MATCH($A6,primary_jama_2018_9128_key,0)),$D6)&lt;&gt;"retain"),NOT(OR(IF($E6="",INDEX(primary_jama_2018_9128_domain,MATCH($A6,primary_jama_2018_9128_key,0)),$E6)="internal_nonstatistical",IF($E6="",INDEX(primary_jama_2018_9128_domain,MATCH($A6,primary_jama_2018_9128_key,0)),$E6)="plan_material"))),K6&lt;&gt;"",K6&lt;&gt;"not_applicable")</formula>
    </cfRule>
    <cfRule type="expression" priority="88" dxfId="1">
      <formula>OR(AND(IF($D6="",INDEX(primary_jama_2018_9128_disposition,MATCH($A6,primary_jama_2018_9128_key,0)),$D6)&lt;&gt;"",IF($D6="",INDEX(primary_jama_2018_9128_disposition,MATCH($A6,primary_jama_2018_9128_key,0)),$D6)&lt;&gt;"retain"),NOT(OR(IF($E6="",INDEX(primary_jama_2018_9128_domain,MATCH($A6,primary_jama_2018_9128_key,0)),$E6)="internal_nonstatistical",IF($E6="",INDEX(primary_jama_2018_9128_domain,MATCH($A6,primary_jama_2018_9128_key,0)),$E6)="plan_material")))</formula>
    </cfRule>
  </conditionalFormatting>
  <conditionalFormatting sqref="K7">
    <cfRule type="expression" priority="89" dxfId="0" stopIfTrue="1">
      <formula>AND(OR(AND(IF($D7="",INDEX(primary_jama_2018_9128_disposition,MATCH($A7,primary_jama_2018_9128_key,0)),$D7)&lt;&gt;"",IF($D7="",INDEX(primary_jama_2018_9128_disposition,MATCH($A7,primary_jama_2018_9128_key,0)),$D7)&lt;&gt;"retain"),NOT(OR(IF($E7="",INDEX(primary_jama_2018_9128_domain,MATCH($A7,primary_jama_2018_9128_key,0)),$E7)="internal_nonstatistical",IF($E7="",INDEX(primary_jama_2018_9128_domain,MATCH($A7,primary_jama_2018_9128_key,0)),$E7)="plan_material"))),K7&lt;&gt;"",K7&lt;&gt;"not_applicable")</formula>
    </cfRule>
    <cfRule type="expression" priority="90" dxfId="1">
      <formula>OR(AND(IF($D7="",INDEX(primary_jama_2018_9128_disposition,MATCH($A7,primary_jama_2018_9128_key,0)),$D7)&lt;&gt;"",IF($D7="",INDEX(primary_jama_2018_9128_disposition,MATCH($A7,primary_jama_2018_9128_key,0)),$D7)&lt;&gt;"retain"),NOT(OR(IF($E7="",INDEX(primary_jama_2018_9128_domain,MATCH($A7,primary_jama_2018_9128_key,0)),$E7)="internal_nonstatistical",IF($E7="",INDEX(primary_jama_2018_9128_domain,MATCH($A7,primary_jama_2018_9128_key,0)),$E7)="plan_material")))</formula>
    </cfRule>
  </conditionalFormatting>
  <conditionalFormatting sqref="K8">
    <cfRule type="expression" priority="91" dxfId="0" stopIfTrue="1">
      <formula>AND(OR(AND(IF($D8="",INDEX(primary_jama_2018_9128_disposition,MATCH($A8,primary_jama_2018_9128_key,0)),$D8)&lt;&gt;"",IF($D8="",INDEX(primary_jama_2018_9128_disposition,MATCH($A8,primary_jama_2018_9128_key,0)),$D8)&lt;&gt;"retain"),NOT(OR(IF($E8="",INDEX(primary_jama_2018_9128_domain,MATCH($A8,primary_jama_2018_9128_key,0)),$E8)="internal_nonstatistical",IF($E8="",INDEX(primary_jama_2018_9128_domain,MATCH($A8,primary_jama_2018_9128_key,0)),$E8)="plan_material"))),K8&lt;&gt;"",K8&lt;&gt;"not_applicable")</formula>
    </cfRule>
    <cfRule type="expression" priority="92" dxfId="1">
      <formula>OR(AND(IF($D8="",INDEX(primary_jama_2018_9128_disposition,MATCH($A8,primary_jama_2018_9128_key,0)),$D8)&lt;&gt;"",IF($D8="",INDEX(primary_jama_2018_9128_disposition,MATCH($A8,primary_jama_2018_9128_key,0)),$D8)&lt;&gt;"retain"),NOT(OR(IF($E8="",INDEX(primary_jama_2018_9128_domain,MATCH($A8,primary_jama_2018_9128_key,0)),$E8)="internal_nonstatistical",IF($E8="",INDEX(primary_jama_2018_9128_domain,MATCH($A8,primary_jama_2018_9128_key,0)),$E8)="plan_material")))</formula>
    </cfRule>
  </conditionalFormatting>
  <conditionalFormatting sqref="K9">
    <cfRule type="expression" priority="93" dxfId="0" stopIfTrue="1">
      <formula>AND(OR(AND(IF($D9="",INDEX(primary_jama_2018_9128_disposition,MATCH($A9,primary_jama_2018_9128_key,0)),$D9)&lt;&gt;"",IF($D9="",INDEX(primary_jama_2018_9128_disposition,MATCH($A9,primary_jama_2018_9128_key,0)),$D9)&lt;&gt;"retain"),NOT(OR(IF($E9="",INDEX(primary_jama_2018_9128_domain,MATCH($A9,primary_jama_2018_9128_key,0)),$E9)="internal_nonstatistical",IF($E9="",INDEX(primary_jama_2018_9128_domain,MATCH($A9,primary_jama_2018_9128_key,0)),$E9)="plan_material"))),K9&lt;&gt;"",K9&lt;&gt;"not_applicable")</formula>
    </cfRule>
    <cfRule type="expression" priority="94" dxfId="1">
      <formula>OR(AND(IF($D9="",INDEX(primary_jama_2018_9128_disposition,MATCH($A9,primary_jama_2018_9128_key,0)),$D9)&lt;&gt;"",IF($D9="",INDEX(primary_jama_2018_9128_disposition,MATCH($A9,primary_jama_2018_9128_key,0)),$D9)&lt;&gt;"retain"),NOT(OR(IF($E9="",INDEX(primary_jama_2018_9128_domain,MATCH($A9,primary_jama_2018_9128_key,0)),$E9)="internal_nonstatistical",IF($E9="",INDEX(primary_jama_2018_9128_domain,MATCH($A9,primary_jama_2018_9128_key,0)),$E9)="plan_material")))</formula>
    </cfRule>
  </conditionalFormatting>
  <conditionalFormatting sqref="K10">
    <cfRule type="expression" priority="95" dxfId="0" stopIfTrue="1">
      <formula>AND(OR(AND(IF($D10="",INDEX(primary_jama_2018_9128_disposition,MATCH($A10,primary_jama_2018_9128_key,0)),$D10)&lt;&gt;"",IF($D10="",INDEX(primary_jama_2018_9128_disposition,MATCH($A10,primary_jama_2018_9128_key,0)),$D10)&lt;&gt;"retain"),NOT(OR(IF($E10="",INDEX(primary_jama_2018_9128_domain,MATCH($A10,primary_jama_2018_9128_key,0)),$E10)="internal_nonstatistical",IF($E10="",INDEX(primary_jama_2018_9128_domain,MATCH($A10,primary_jama_2018_9128_key,0)),$E10)="plan_material"))),K10&lt;&gt;"",K10&lt;&gt;"not_applicable")</formula>
    </cfRule>
    <cfRule type="expression" priority="96" dxfId="1">
      <formula>OR(AND(IF($D10="",INDEX(primary_jama_2018_9128_disposition,MATCH($A10,primary_jama_2018_9128_key,0)),$D10)&lt;&gt;"",IF($D10="",INDEX(primary_jama_2018_9128_disposition,MATCH($A10,primary_jama_2018_9128_key,0)),$D10)&lt;&gt;"retain"),NOT(OR(IF($E10="",INDEX(primary_jama_2018_9128_domain,MATCH($A10,primary_jama_2018_9128_key,0)),$E10)="internal_nonstatistical",IF($E10="",INDEX(primary_jama_2018_9128_domain,MATCH($A10,primary_jama_2018_9128_key,0)),$E10)="plan_material")))</formula>
    </cfRule>
  </conditionalFormatting>
  <conditionalFormatting sqref="K11">
    <cfRule type="expression" priority="97" dxfId="0" stopIfTrue="1">
      <formula>AND(OR(AND(IF($D11="",INDEX(primary_jama_2018_9128_disposition,MATCH($A11,primary_jama_2018_9128_key,0)),$D11)&lt;&gt;"",IF($D11="",INDEX(primary_jama_2018_9128_disposition,MATCH($A11,primary_jama_2018_9128_key,0)),$D11)&lt;&gt;"retain"),NOT(OR(IF($E11="",INDEX(primary_jama_2018_9128_domain,MATCH($A11,primary_jama_2018_9128_key,0)),$E11)="internal_nonstatistical",IF($E11="",INDEX(primary_jama_2018_9128_domain,MATCH($A11,primary_jama_2018_9128_key,0)),$E11)="plan_material"))),K11&lt;&gt;"",K11&lt;&gt;"not_applicable")</formula>
    </cfRule>
    <cfRule type="expression" priority="98" dxfId="1">
      <formula>OR(AND(IF($D11="",INDEX(primary_jama_2018_9128_disposition,MATCH($A11,primary_jama_2018_9128_key,0)),$D11)&lt;&gt;"",IF($D11="",INDEX(primary_jama_2018_9128_disposition,MATCH($A11,primary_jama_2018_9128_key,0)),$D11)&lt;&gt;"retain"),NOT(OR(IF($E11="",INDEX(primary_jama_2018_9128_domain,MATCH($A11,primary_jama_2018_9128_key,0)),$E11)="internal_nonstatistical",IF($E11="",INDEX(primary_jama_2018_9128_domain,MATCH($A11,primary_jama_2018_9128_key,0)),$E11)="plan_material")))</formula>
    </cfRule>
  </conditionalFormatting>
  <conditionalFormatting sqref="K12">
    <cfRule type="expression" priority="99" dxfId="0" stopIfTrue="1">
      <formula>AND(OR(AND(IF($D12="",INDEX(primary_jama_2018_9128_disposition,MATCH($A12,primary_jama_2018_9128_key,0)),$D12)&lt;&gt;"",IF($D12="",INDEX(primary_jama_2018_9128_disposition,MATCH($A12,primary_jama_2018_9128_key,0)),$D12)&lt;&gt;"retain"),NOT(OR(IF($E12="",INDEX(primary_jama_2018_9128_domain,MATCH($A12,primary_jama_2018_9128_key,0)),$E12)="internal_nonstatistical",IF($E12="",INDEX(primary_jama_2018_9128_domain,MATCH($A12,primary_jama_2018_9128_key,0)),$E12)="plan_material"))),K12&lt;&gt;"",K12&lt;&gt;"not_applicable")</formula>
    </cfRule>
    <cfRule type="expression" priority="100" dxfId="1">
      <formula>OR(AND(IF($D12="",INDEX(primary_jama_2018_9128_disposition,MATCH($A12,primary_jama_2018_9128_key,0)),$D12)&lt;&gt;"",IF($D12="",INDEX(primary_jama_2018_9128_disposition,MATCH($A12,primary_jama_2018_9128_key,0)),$D12)&lt;&gt;"retain"),NOT(OR(IF($E12="",INDEX(primary_jama_2018_9128_domain,MATCH($A12,primary_jama_2018_9128_key,0)),$E12)="internal_nonstatistical",IF($E12="",INDEX(primary_jama_2018_9128_domain,MATCH($A12,primary_jama_2018_9128_key,0)),$E12)="plan_material")))</formula>
    </cfRule>
  </conditionalFormatting>
  <conditionalFormatting sqref="K13">
    <cfRule type="expression" priority="101" dxfId="0" stopIfTrue="1">
      <formula>AND(OR(AND(IF($D13="",INDEX(primary_jama_2018_9128_disposition,MATCH($A13,primary_jama_2018_9128_key,0)),$D13)&lt;&gt;"",IF($D13="",INDEX(primary_jama_2018_9128_disposition,MATCH($A13,primary_jama_2018_9128_key,0)),$D13)&lt;&gt;"retain"),NOT(OR(IF($E13="",INDEX(primary_jama_2018_9128_domain,MATCH($A13,primary_jama_2018_9128_key,0)),$E13)="internal_nonstatistical",IF($E13="",INDEX(primary_jama_2018_9128_domain,MATCH($A13,primary_jama_2018_9128_key,0)),$E13)="plan_material"))),K13&lt;&gt;"",K13&lt;&gt;"not_applicable")</formula>
    </cfRule>
    <cfRule type="expression" priority="102" dxfId="1">
      <formula>OR(AND(IF($D13="",INDEX(primary_jama_2018_9128_disposition,MATCH($A13,primary_jama_2018_9128_key,0)),$D13)&lt;&gt;"",IF($D13="",INDEX(primary_jama_2018_9128_disposition,MATCH($A13,primary_jama_2018_9128_key,0)),$D13)&lt;&gt;"retain"),NOT(OR(IF($E13="",INDEX(primary_jama_2018_9128_domain,MATCH($A13,primary_jama_2018_9128_key,0)),$E13)="internal_nonstatistical",IF($E13="",INDEX(primary_jama_2018_9128_domain,MATCH($A13,primary_jama_2018_9128_key,0)),$E13)="plan_material")))</formula>
    </cfRule>
  </conditionalFormatting>
  <conditionalFormatting sqref="K14">
    <cfRule type="expression" priority="103" dxfId="0" stopIfTrue="1">
      <formula>AND(OR(AND(IF($D14="",INDEX(primary_jama_2018_9128_disposition,MATCH($A14,primary_jama_2018_9128_key,0)),$D14)&lt;&gt;"",IF($D14="",INDEX(primary_jama_2018_9128_disposition,MATCH($A14,primary_jama_2018_9128_key,0)),$D14)&lt;&gt;"retain"),NOT(OR(IF($E14="",INDEX(primary_jama_2018_9128_domain,MATCH($A14,primary_jama_2018_9128_key,0)),$E14)="internal_nonstatistical",IF($E14="",INDEX(primary_jama_2018_9128_domain,MATCH($A14,primary_jama_2018_9128_key,0)),$E14)="plan_material"))),K14&lt;&gt;"",K14&lt;&gt;"not_applicable")</formula>
    </cfRule>
    <cfRule type="expression" priority="104" dxfId="1">
      <formula>OR(AND(IF($D14="",INDEX(primary_jama_2018_9128_disposition,MATCH($A14,primary_jama_2018_9128_key,0)),$D14)&lt;&gt;"",IF($D14="",INDEX(primary_jama_2018_9128_disposition,MATCH($A14,primary_jama_2018_9128_key,0)),$D14)&lt;&gt;"retain"),NOT(OR(IF($E14="",INDEX(primary_jama_2018_9128_domain,MATCH($A14,primary_jama_2018_9128_key,0)),$E14)="internal_nonstatistical",IF($E14="",INDEX(primary_jama_2018_9128_domain,MATCH($A14,primary_jama_2018_9128_key,0)),$E14)="plan_material")))</formula>
    </cfRule>
  </conditionalFormatting>
  <conditionalFormatting sqref="L2">
    <cfRule type="expression" priority="105" dxfId="0" stopIfTrue="1">
      <formula>AND(OR(AND(IF($D2="",INDEX(primary_jama_2018_9128_disposition,MATCH($A2,primary_jama_2018_9128_key,0)),$D2)&lt;&gt;"",IF($D2="",INDEX(primary_jama_2018_9128_disposition,MATCH($A2,primary_jama_2018_9128_key,0)),$D2)&lt;&gt;"retain"),NOT(OR(IF($E2="",INDEX(primary_jama_2018_9128_domain,MATCH($A2,primary_jama_2018_9128_key,0)),$E2)="protocol_report"))),L2&lt;&gt;"",L2&lt;&gt;"not_applicable")</formula>
    </cfRule>
    <cfRule type="expression" priority="106" dxfId="1">
      <formula>OR(AND(IF($D2="",INDEX(primary_jama_2018_9128_disposition,MATCH($A2,primary_jama_2018_9128_key,0)),$D2)&lt;&gt;"",IF($D2="",INDEX(primary_jama_2018_9128_disposition,MATCH($A2,primary_jama_2018_9128_key,0)),$D2)&lt;&gt;"retain"),NOT(OR(IF($E2="",INDEX(primary_jama_2018_9128_domain,MATCH($A2,primary_jama_2018_9128_key,0)),$E2)="protocol_report")))</formula>
    </cfRule>
  </conditionalFormatting>
  <conditionalFormatting sqref="L3">
    <cfRule type="expression" priority="107" dxfId="0" stopIfTrue="1">
      <formula>AND(OR(AND(IF($D3="",INDEX(primary_jama_2018_9128_disposition,MATCH($A3,primary_jama_2018_9128_key,0)),$D3)&lt;&gt;"",IF($D3="",INDEX(primary_jama_2018_9128_disposition,MATCH($A3,primary_jama_2018_9128_key,0)),$D3)&lt;&gt;"retain"),NOT(OR(IF($E3="",INDEX(primary_jama_2018_9128_domain,MATCH($A3,primary_jama_2018_9128_key,0)),$E3)="protocol_report"))),L3&lt;&gt;"",L3&lt;&gt;"not_applicable")</formula>
    </cfRule>
    <cfRule type="expression" priority="108" dxfId="1">
      <formula>OR(AND(IF($D3="",INDEX(primary_jama_2018_9128_disposition,MATCH($A3,primary_jama_2018_9128_key,0)),$D3)&lt;&gt;"",IF($D3="",INDEX(primary_jama_2018_9128_disposition,MATCH($A3,primary_jama_2018_9128_key,0)),$D3)&lt;&gt;"retain"),NOT(OR(IF($E3="",INDEX(primary_jama_2018_9128_domain,MATCH($A3,primary_jama_2018_9128_key,0)),$E3)="protocol_report")))</formula>
    </cfRule>
  </conditionalFormatting>
  <conditionalFormatting sqref="L4">
    <cfRule type="expression" priority="109" dxfId="0" stopIfTrue="1">
      <formula>AND(OR(AND(IF($D4="",INDEX(primary_jama_2018_9128_disposition,MATCH($A4,primary_jama_2018_9128_key,0)),$D4)&lt;&gt;"",IF($D4="",INDEX(primary_jama_2018_9128_disposition,MATCH($A4,primary_jama_2018_9128_key,0)),$D4)&lt;&gt;"retain"),NOT(OR(IF($E4="",INDEX(primary_jama_2018_9128_domain,MATCH($A4,primary_jama_2018_9128_key,0)),$E4)="protocol_report"))),L4&lt;&gt;"",L4&lt;&gt;"not_applicable")</formula>
    </cfRule>
    <cfRule type="expression" priority="110" dxfId="1">
      <formula>OR(AND(IF($D4="",INDEX(primary_jama_2018_9128_disposition,MATCH($A4,primary_jama_2018_9128_key,0)),$D4)&lt;&gt;"",IF($D4="",INDEX(primary_jama_2018_9128_disposition,MATCH($A4,primary_jama_2018_9128_key,0)),$D4)&lt;&gt;"retain"),NOT(OR(IF($E4="",INDEX(primary_jama_2018_9128_domain,MATCH($A4,primary_jama_2018_9128_key,0)),$E4)="protocol_report")))</formula>
    </cfRule>
  </conditionalFormatting>
  <conditionalFormatting sqref="L5">
    <cfRule type="expression" priority="111" dxfId="0" stopIfTrue="1">
      <formula>AND(OR(AND(IF($D5="",INDEX(primary_jama_2018_9128_disposition,MATCH($A5,primary_jama_2018_9128_key,0)),$D5)&lt;&gt;"",IF($D5="",INDEX(primary_jama_2018_9128_disposition,MATCH($A5,primary_jama_2018_9128_key,0)),$D5)&lt;&gt;"retain"),NOT(OR(IF($E5="",INDEX(primary_jama_2018_9128_domain,MATCH($A5,primary_jama_2018_9128_key,0)),$E5)="protocol_report"))),L5&lt;&gt;"",L5&lt;&gt;"not_applicable")</formula>
    </cfRule>
    <cfRule type="expression" priority="112" dxfId="1">
      <formula>OR(AND(IF($D5="",INDEX(primary_jama_2018_9128_disposition,MATCH($A5,primary_jama_2018_9128_key,0)),$D5)&lt;&gt;"",IF($D5="",INDEX(primary_jama_2018_9128_disposition,MATCH($A5,primary_jama_2018_9128_key,0)),$D5)&lt;&gt;"retain"),NOT(OR(IF($E5="",INDEX(primary_jama_2018_9128_domain,MATCH($A5,primary_jama_2018_9128_key,0)),$E5)="protocol_report")))</formula>
    </cfRule>
  </conditionalFormatting>
  <conditionalFormatting sqref="L6">
    <cfRule type="expression" priority="113" dxfId="0" stopIfTrue="1">
      <formula>AND(OR(AND(IF($D6="",INDEX(primary_jama_2018_9128_disposition,MATCH($A6,primary_jama_2018_9128_key,0)),$D6)&lt;&gt;"",IF($D6="",INDEX(primary_jama_2018_9128_disposition,MATCH($A6,primary_jama_2018_9128_key,0)),$D6)&lt;&gt;"retain"),NOT(OR(IF($E6="",INDEX(primary_jama_2018_9128_domain,MATCH($A6,primary_jama_2018_9128_key,0)),$E6)="protocol_report"))),L6&lt;&gt;"",L6&lt;&gt;"not_applicable")</formula>
    </cfRule>
    <cfRule type="expression" priority="114" dxfId="1">
      <formula>OR(AND(IF($D6="",INDEX(primary_jama_2018_9128_disposition,MATCH($A6,primary_jama_2018_9128_key,0)),$D6)&lt;&gt;"",IF($D6="",INDEX(primary_jama_2018_9128_disposition,MATCH($A6,primary_jama_2018_9128_key,0)),$D6)&lt;&gt;"retain"),NOT(OR(IF($E6="",INDEX(primary_jama_2018_9128_domain,MATCH($A6,primary_jama_2018_9128_key,0)),$E6)="protocol_report")))</formula>
    </cfRule>
  </conditionalFormatting>
  <conditionalFormatting sqref="L7">
    <cfRule type="expression" priority="115" dxfId="0" stopIfTrue="1">
      <formula>AND(OR(AND(IF($D7="",INDEX(primary_jama_2018_9128_disposition,MATCH($A7,primary_jama_2018_9128_key,0)),$D7)&lt;&gt;"",IF($D7="",INDEX(primary_jama_2018_9128_disposition,MATCH($A7,primary_jama_2018_9128_key,0)),$D7)&lt;&gt;"retain"),NOT(OR(IF($E7="",INDEX(primary_jama_2018_9128_domain,MATCH($A7,primary_jama_2018_9128_key,0)),$E7)="protocol_report"))),L7&lt;&gt;"",L7&lt;&gt;"not_applicable")</formula>
    </cfRule>
    <cfRule type="expression" priority="116" dxfId="1">
      <formula>OR(AND(IF($D7="",INDEX(primary_jama_2018_9128_disposition,MATCH($A7,primary_jama_2018_9128_key,0)),$D7)&lt;&gt;"",IF($D7="",INDEX(primary_jama_2018_9128_disposition,MATCH($A7,primary_jama_2018_9128_key,0)),$D7)&lt;&gt;"retain"),NOT(OR(IF($E7="",INDEX(primary_jama_2018_9128_domain,MATCH($A7,primary_jama_2018_9128_key,0)),$E7)="protocol_report")))</formula>
    </cfRule>
  </conditionalFormatting>
  <conditionalFormatting sqref="L8">
    <cfRule type="expression" priority="117" dxfId="0" stopIfTrue="1">
      <formula>AND(OR(AND(IF($D8="",INDEX(primary_jama_2018_9128_disposition,MATCH($A8,primary_jama_2018_9128_key,0)),$D8)&lt;&gt;"",IF($D8="",INDEX(primary_jama_2018_9128_disposition,MATCH($A8,primary_jama_2018_9128_key,0)),$D8)&lt;&gt;"retain"),NOT(OR(IF($E8="",INDEX(primary_jama_2018_9128_domain,MATCH($A8,primary_jama_2018_9128_key,0)),$E8)="protocol_report"))),L8&lt;&gt;"",L8&lt;&gt;"not_applicable")</formula>
    </cfRule>
    <cfRule type="expression" priority="118" dxfId="1">
      <formula>OR(AND(IF($D8="",INDEX(primary_jama_2018_9128_disposition,MATCH($A8,primary_jama_2018_9128_key,0)),$D8)&lt;&gt;"",IF($D8="",INDEX(primary_jama_2018_9128_disposition,MATCH($A8,primary_jama_2018_9128_key,0)),$D8)&lt;&gt;"retain"),NOT(OR(IF($E8="",INDEX(primary_jama_2018_9128_domain,MATCH($A8,primary_jama_2018_9128_key,0)),$E8)="protocol_report")))</formula>
    </cfRule>
  </conditionalFormatting>
  <conditionalFormatting sqref="L9">
    <cfRule type="expression" priority="119" dxfId="0" stopIfTrue="1">
      <formula>AND(OR(AND(IF($D9="",INDEX(primary_jama_2018_9128_disposition,MATCH($A9,primary_jama_2018_9128_key,0)),$D9)&lt;&gt;"",IF($D9="",INDEX(primary_jama_2018_9128_disposition,MATCH($A9,primary_jama_2018_9128_key,0)),$D9)&lt;&gt;"retain"),NOT(OR(IF($E9="",INDEX(primary_jama_2018_9128_domain,MATCH($A9,primary_jama_2018_9128_key,0)),$E9)="protocol_report"))),L9&lt;&gt;"",L9&lt;&gt;"not_applicable")</formula>
    </cfRule>
    <cfRule type="expression" priority="120" dxfId="1">
      <formula>OR(AND(IF($D9="",INDEX(primary_jama_2018_9128_disposition,MATCH($A9,primary_jama_2018_9128_key,0)),$D9)&lt;&gt;"",IF($D9="",INDEX(primary_jama_2018_9128_disposition,MATCH($A9,primary_jama_2018_9128_key,0)),$D9)&lt;&gt;"retain"),NOT(OR(IF($E9="",INDEX(primary_jama_2018_9128_domain,MATCH($A9,primary_jama_2018_9128_key,0)),$E9)="protocol_report")))</formula>
    </cfRule>
  </conditionalFormatting>
  <conditionalFormatting sqref="L10">
    <cfRule type="expression" priority="121" dxfId="0" stopIfTrue="1">
      <formula>AND(OR(AND(IF($D10="",INDEX(primary_jama_2018_9128_disposition,MATCH($A10,primary_jama_2018_9128_key,0)),$D10)&lt;&gt;"",IF($D10="",INDEX(primary_jama_2018_9128_disposition,MATCH($A10,primary_jama_2018_9128_key,0)),$D10)&lt;&gt;"retain"),NOT(OR(IF($E10="",INDEX(primary_jama_2018_9128_domain,MATCH($A10,primary_jama_2018_9128_key,0)),$E10)="protocol_report"))),L10&lt;&gt;"",L10&lt;&gt;"not_applicable")</formula>
    </cfRule>
    <cfRule type="expression" priority="122" dxfId="1">
      <formula>OR(AND(IF($D10="",INDEX(primary_jama_2018_9128_disposition,MATCH($A10,primary_jama_2018_9128_key,0)),$D10)&lt;&gt;"",IF($D10="",INDEX(primary_jama_2018_9128_disposition,MATCH($A10,primary_jama_2018_9128_key,0)),$D10)&lt;&gt;"retain"),NOT(OR(IF($E10="",INDEX(primary_jama_2018_9128_domain,MATCH($A10,primary_jama_2018_9128_key,0)),$E10)="protocol_report")))</formula>
    </cfRule>
  </conditionalFormatting>
  <conditionalFormatting sqref="L11">
    <cfRule type="expression" priority="123" dxfId="0" stopIfTrue="1">
      <formula>AND(OR(AND(IF($D11="",INDEX(primary_jama_2018_9128_disposition,MATCH($A11,primary_jama_2018_9128_key,0)),$D11)&lt;&gt;"",IF($D11="",INDEX(primary_jama_2018_9128_disposition,MATCH($A11,primary_jama_2018_9128_key,0)),$D11)&lt;&gt;"retain"),NOT(OR(IF($E11="",INDEX(primary_jama_2018_9128_domain,MATCH($A11,primary_jama_2018_9128_key,0)),$E11)="protocol_report"))),L11&lt;&gt;"",L11&lt;&gt;"not_applicable")</formula>
    </cfRule>
    <cfRule type="expression" priority="124" dxfId="1">
      <formula>OR(AND(IF($D11="",INDEX(primary_jama_2018_9128_disposition,MATCH($A11,primary_jama_2018_9128_key,0)),$D11)&lt;&gt;"",IF($D11="",INDEX(primary_jama_2018_9128_disposition,MATCH($A11,primary_jama_2018_9128_key,0)),$D11)&lt;&gt;"retain"),NOT(OR(IF($E11="",INDEX(primary_jama_2018_9128_domain,MATCH($A11,primary_jama_2018_9128_key,0)),$E11)="protocol_report")))</formula>
    </cfRule>
  </conditionalFormatting>
  <conditionalFormatting sqref="L12">
    <cfRule type="expression" priority="125" dxfId="0" stopIfTrue="1">
      <formula>AND(OR(AND(IF($D12="",INDEX(primary_jama_2018_9128_disposition,MATCH($A12,primary_jama_2018_9128_key,0)),$D12)&lt;&gt;"",IF($D12="",INDEX(primary_jama_2018_9128_disposition,MATCH($A12,primary_jama_2018_9128_key,0)),$D12)&lt;&gt;"retain"),NOT(OR(IF($E12="",INDEX(primary_jama_2018_9128_domain,MATCH($A12,primary_jama_2018_9128_key,0)),$E12)="protocol_report"))),L12&lt;&gt;"",L12&lt;&gt;"not_applicable")</formula>
    </cfRule>
    <cfRule type="expression" priority="126" dxfId="1">
      <formula>OR(AND(IF($D12="",INDEX(primary_jama_2018_9128_disposition,MATCH($A12,primary_jama_2018_9128_key,0)),$D12)&lt;&gt;"",IF($D12="",INDEX(primary_jama_2018_9128_disposition,MATCH($A12,primary_jama_2018_9128_key,0)),$D12)&lt;&gt;"retain"),NOT(OR(IF($E12="",INDEX(primary_jama_2018_9128_domain,MATCH($A12,primary_jama_2018_9128_key,0)),$E12)="protocol_report")))</formula>
    </cfRule>
  </conditionalFormatting>
  <conditionalFormatting sqref="L13">
    <cfRule type="expression" priority="127" dxfId="0" stopIfTrue="1">
      <formula>AND(OR(AND(IF($D13="",INDEX(primary_jama_2018_9128_disposition,MATCH($A13,primary_jama_2018_9128_key,0)),$D13)&lt;&gt;"",IF($D13="",INDEX(primary_jama_2018_9128_disposition,MATCH($A13,primary_jama_2018_9128_key,0)),$D13)&lt;&gt;"retain"),NOT(OR(IF($E13="",INDEX(primary_jama_2018_9128_domain,MATCH($A13,primary_jama_2018_9128_key,0)),$E13)="protocol_report"))),L13&lt;&gt;"",L13&lt;&gt;"not_applicable")</formula>
    </cfRule>
    <cfRule type="expression" priority="128" dxfId="1">
      <formula>OR(AND(IF($D13="",INDEX(primary_jama_2018_9128_disposition,MATCH($A13,primary_jama_2018_9128_key,0)),$D13)&lt;&gt;"",IF($D13="",INDEX(primary_jama_2018_9128_disposition,MATCH($A13,primary_jama_2018_9128_key,0)),$D13)&lt;&gt;"retain"),NOT(OR(IF($E13="",INDEX(primary_jama_2018_9128_domain,MATCH($A13,primary_jama_2018_9128_key,0)),$E13)="protocol_report")))</formula>
    </cfRule>
  </conditionalFormatting>
  <conditionalFormatting sqref="L14">
    <cfRule type="expression" priority="129" dxfId="0" stopIfTrue="1">
      <formula>AND(OR(AND(IF($D14="",INDEX(primary_jama_2018_9128_disposition,MATCH($A14,primary_jama_2018_9128_key,0)),$D14)&lt;&gt;"",IF($D14="",INDEX(primary_jama_2018_9128_disposition,MATCH($A14,primary_jama_2018_9128_key,0)),$D14)&lt;&gt;"retain"),NOT(OR(IF($E14="",INDEX(primary_jama_2018_9128_domain,MATCH($A14,primary_jama_2018_9128_key,0)),$E14)="protocol_report"))),L14&lt;&gt;"",L14&lt;&gt;"not_applicable")</formula>
    </cfRule>
    <cfRule type="expression" priority="130" dxfId="1">
      <formula>OR(AND(IF($D14="",INDEX(primary_jama_2018_9128_disposition,MATCH($A14,primary_jama_2018_9128_key,0)),$D14)&lt;&gt;"",IF($D14="",INDEX(primary_jama_2018_9128_disposition,MATCH($A14,primary_jama_2018_9128_key,0)),$D14)&lt;&gt;"retain"),NOT(OR(IF($E14="",INDEX(primary_jama_2018_9128_domain,MATCH($A14,primary_jama_2018_9128_key,0)),$E14)="protocol_report")))</formula>
    </cfRule>
  </conditionalFormatting>
  <dataValidations count="10">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4" showDropDown="0" showInputMessage="1" showErrorMessage="1" allowBlank="1" errorTitle="Invalid option" error="Choose a listed value." promptTitle="Checker result" prompt="See Codebook for meanings." type="list" errorStyle="stop">
      <formula1>opt_checkStatus</formula1>
    </dataValidation>
    <dataValidation sqref="Q2:Q1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internal_nonstatistical</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internal_nonstatistical</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ht="95" customHeight="1">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internal_nonstatistical</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internal_nonstatistical</t>
        </is>
      </c>
      <c r="AB6" s="2" t="inlineStr">
        <is>
          <t>retain</t>
        </is>
      </c>
    </row>
    <row r="7" ht="95" customHeight="1">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ht="95" customHeight="1">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internal_nonstatistical</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internal_nonstatistical</t>
        </is>
      </c>
      <c r="AB9" s="3" t="inlineStr">
        <is>
          <t>retain</t>
        </is>
      </c>
    </row>
    <row r="10" ht="95" customHeight="1">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ht="95" customHeight="1">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internal_nonstatistical</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internal_nonstatistical</t>
        </is>
      </c>
      <c r="AB13" s="3" t="inlineStr">
        <is>
          <t>retain</t>
        </is>
      </c>
    </row>
    <row r="14" ht="95" customHeight="1">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ht="95" customHeight="1">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ht="95" customHeight="1">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ht="95" customHeight="1">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ht="95" customHeight="1">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ht="95" customHeight="1">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ht="95" customHeight="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ht="95" customHeight="1">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internal_nonstatistical</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internal_nonstatistical</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internal_nonstatistical</t>
        </is>
      </c>
      <c r="AB44" s="2" t="inlineStr">
        <is>
          <t>retain</t>
        </is>
      </c>
    </row>
    <row r="45" ht="95" customHeight="1">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ht="95" customHeight="1">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ht="95" customHeight="1">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ht="95" customHeight="1">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ht="95" customHeight="1">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ht="95" customHeight="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internal_nonstatistical</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internal_nonstatistical</t>
        </is>
      </c>
      <c r="AB62" s="2" t="inlineStr">
        <is>
          <t>retain</t>
        </is>
      </c>
    </row>
    <row r="63" ht="95" customHeight="1">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ht="95" customHeight="1">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internal_nonstatistical</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internal_nonstatistical</t>
        </is>
      </c>
      <c r="AB68" s="2" t="inlineStr">
        <is>
          <t>retain</t>
        </is>
      </c>
    </row>
    <row r="69" ht="95" customHeight="1">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internal_nonstatistical</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ht="95" customHeight="1">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ht="95" customHeight="1">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internal_nonstatistical</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internal_nonstatistical</t>
        </is>
      </c>
      <c r="AB75" s="3" t="inlineStr">
        <is>
          <t>retain</t>
        </is>
      </c>
    </row>
    <row r="76" ht="95" customHeight="1">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ht="95" customHeight="1">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ht="95" customHeight="1">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internal_nonstatistical</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internal_nonstatistical</t>
        </is>
      </c>
      <c r="AB78" s="2" t="inlineStr">
        <is>
          <t>retain</t>
        </is>
      </c>
    </row>
    <row r="79" ht="95" customHeight="1">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internal_nonstatistical</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internal_nonstatistical</t>
        </is>
      </c>
      <c r="AB79" s="3" t="inlineStr">
        <is>
          <t>retain</t>
        </is>
      </c>
    </row>
    <row r="80" ht="95" customHeight="1">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internal_nonstatistical</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internal_nonstatistical</t>
        </is>
      </c>
      <c r="AB83" s="3" t="inlineStr">
        <is>
          <t>retain</t>
        </is>
      </c>
    </row>
    <row r="84" ht="95" customHeight="1">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internal_nonstatistical</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internal_nonstatistical</t>
        </is>
      </c>
      <c r="AB84" s="2" t="inlineStr">
        <is>
          <t>retain</t>
        </is>
      </c>
    </row>
    <row r="85" ht="95" customHeight="1">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internal_nonstatistical</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internal_nonstatistical</t>
        </is>
      </c>
      <c r="AB86" s="2" t="inlineStr">
        <is>
          <t>retain</t>
        </is>
      </c>
    </row>
    <row r="87" ht="95" customHeight="1">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internal_nonstatistical</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internal_nonstatistical</t>
        </is>
      </c>
      <c r="AB87" s="3" t="inlineStr">
        <is>
          <t>retain</t>
        </is>
      </c>
    </row>
    <row r="88" ht="95" customHeight="1">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internal_nonstatistical</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internal_nonstatistical</t>
        </is>
      </c>
      <c r="AB88" s="2" t="inlineStr">
        <is>
          <t>retain</t>
        </is>
      </c>
    </row>
    <row r="89" ht="95" customHeight="1">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internal_nonstatistical</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internal_nonstatistical</t>
        </is>
      </c>
      <c r="AB89" s="3" t="inlineStr">
        <is>
          <t>retain</t>
        </is>
      </c>
    </row>
    <row r="90" ht="95" customHeight="1">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ht="95" customHeight="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ht="95" customHeight="1">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ht="95" customHeight="1">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ht="95" customHeight="1">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ht="95" customHeight="1">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ht="95" customHeight="1">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ht="95" customHeight="1">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ht="95" customHeight="1">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ht="95" customHeight="1">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ht="95" customHeight="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ht="95" customHeight="1">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ht="95" customHeight="1">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ht="95" customHeight="1">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ht="95" customHeight="1">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ht="95" customHeight="1">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internal_nonstatistical</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internal_nonstatistical</t>
        </is>
      </c>
      <c r="AB106" s="2" t="inlineStr">
        <is>
          <t>retain</t>
        </is>
      </c>
    </row>
    <row r="107" ht="95" customHeight="1">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ht="95" customHeight="1">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internal_nonstatistical</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internal_nonstatistical</t>
        </is>
      </c>
      <c r="AB108" s="2" t="inlineStr">
        <is>
          <t>retain</t>
        </is>
      </c>
    </row>
    <row r="109" ht="95" customHeight="1">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internal_nonstatistical</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internal_nonstatistical</t>
        </is>
      </c>
      <c r="AB109" s="3" t="inlineStr">
        <is>
          <t>retain</t>
        </is>
      </c>
    </row>
    <row r="110" ht="95" customHeight="1">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internal_nonstatistical</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internal_nonstatistical</t>
        </is>
      </c>
      <c r="AB110" s="2" t="inlineStr">
        <is>
          <t>retain</t>
        </is>
      </c>
    </row>
    <row r="111" ht="95" customHeight="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internal_nonstatistical</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internal_nonstatistical</t>
        </is>
      </c>
      <c r="AB111" s="3" t="inlineStr">
        <is>
          <t>retain</t>
        </is>
      </c>
    </row>
    <row r="112" ht="95" customHeight="1">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internal_nonstatistical</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internal_nonstatistical</t>
        </is>
      </c>
      <c r="AB112" s="2" t="inlineStr">
        <is>
          <t>retain</t>
        </is>
      </c>
    </row>
    <row r="113" ht="95" customHeight="1">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internal_nonstatistical</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internal_nonstatistical</t>
        </is>
      </c>
      <c r="AB113" s="3" t="inlineStr">
        <is>
          <t>retain</t>
        </is>
      </c>
    </row>
    <row r="114" ht="95" customHeight="1">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internal_nonstatistical</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internal_nonstatistical</t>
        </is>
      </c>
      <c r="AB114" s="2" t="inlineStr">
        <is>
          <t>retain</t>
        </is>
      </c>
    </row>
    <row r="115" ht="95" customHeight="1">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internal_nonstatistical</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internal_nonstatistical</t>
        </is>
      </c>
      <c r="AB115" s="3" t="inlineStr">
        <is>
          <t>retain</t>
        </is>
      </c>
    </row>
    <row r="116" ht="95" customHeight="1">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ht="95" customHeight="1">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ht="95" customHeight="1">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ht="95" customHeight="1">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ht="95" customHeight="1">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internal_nonstatistical</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internal_nonstatistical</t>
        </is>
      </c>
      <c r="AB120"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20"/>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47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sheetData>
  <sheetProtection selectLockedCells="0" selectUnlockedCells="0" sheet="1" objects="0" insertRows="1" insertHyperlinks="1" autoFilter="0" scenarios="0" formatColumns="1" deleteColumns="1" insertColumns="1" pivotTables="1" deleteRows="1" formatCells="1" formatRows="1" sort="1"/>
  <autoFilter ref="A1:D477"/>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exclude/out_of_scope/discuss.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mark outside scope,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error.</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out_of_scope</t>
        </is>
      </c>
      <c r="C12" s="18" t="inlineStr">
        <is>
          <t>Option</t>
        </is>
      </c>
      <c r="D12" s="23" t="inlineStr">
        <is>
          <t>Outside review scope. The candidate falls outside the agreed review question or eligible material, regardless of whether the observation is correct.</t>
        </is>
      </c>
      <c r="E12" s="18" t="inlineStr"/>
    </row>
    <row r="13" outlineLevel="1" ht="52" customHeight="1">
      <c r="A13" s="16" t="inlineStr"/>
      <c r="B13" s="24" t="inlineStr">
        <is>
          <t>discuss</t>
        </is>
      </c>
      <c r="C13" s="16" t="inlineStr">
        <is>
          <t>Option</t>
        </is>
      </c>
      <c r="D13" s="25" t="inlineStr">
        <is>
          <t>Needs discussion. The reviewer has considered the candidate but cannot settle the disposition without further discussion. This is a decision to defer, not an untouched blank.</t>
        </is>
      </c>
      <c r="E13" s="16" t="inlineStr"/>
    </row>
    <row r="14" ht="90" customHeight="1">
      <c r="A14" s="20" t="inlineStr">
        <is>
          <t>Review domain</t>
        </is>
      </c>
      <c r="B14" s="20" t="inlineStr">
        <is>
          <t>FIELD</t>
        </is>
      </c>
      <c r="C14" s="20" t="inlineStr">
        <is>
          <t>Required; all domains</t>
        </is>
      </c>
      <c r="D14" s="21" t="inlineStr">
        <is>
          <t>Choose the assessment branch first. It controls automatic not_applicable defaults and which judgments are required. All four choices are available; the frozen document relationship code does not change.</t>
        </is>
      </c>
      <c r="E14" s="20" t="inlineStr">
        <is>
          <t>domain</t>
        </is>
      </c>
    </row>
    <row r="15" outlineLevel="1" ht="52" customHeight="1">
      <c r="A15" s="16" t="inlineStr"/>
      <c r="B15" s="24" t="inlineStr">
        <is>
          <t>statistical_results</t>
        </is>
      </c>
      <c r="C15" s="16" t="inlineStr">
        <is>
          <t>Option</t>
        </is>
      </c>
      <c r="D15" s="25" t="inlineStr">
        <is>
          <t>Statistical results (S_C / S_W). Assess reported numbers, estimates, intervals, denominators or statistical claims in the current report materials.</t>
        </is>
      </c>
      <c r="E15" s="16" t="inlineStr"/>
    </row>
    <row r="16" outlineLevel="1" ht="52" customHeight="1">
      <c r="A16" s="18" t="inlineStr"/>
      <c r="B16" s="22" t="inlineStr">
        <is>
          <t>internal_nonstatistical</t>
        </is>
      </c>
      <c r="C16" s="18" t="inlineStr">
        <is>
          <t>Option</t>
        </is>
      </c>
      <c r="D16" s="23" t="inlineStr">
        <is>
          <t>Internal nonstatistical (S_C / S_W). Assess inconsistent labels, descriptions or other nonstatistical content within or between current report materials.</t>
        </is>
      </c>
      <c r="E16" s="18" t="inlineStr"/>
    </row>
    <row r="17" outlineLevel="1" ht="56" customHeight="1">
      <c r="A17" s="16" t="inlineStr"/>
      <c r="B17" s="24" t="inlineStr">
        <is>
          <t>protocol_report</t>
        </is>
      </c>
      <c r="C17" s="16" t="inlineStr">
        <is>
          <t>Option</t>
        </is>
      </c>
      <c r="D17" s="25" t="inlineStr">
        <is>
          <t>Protocol-report (P_R). Assess whether planned and reported conduct or analyses meaningfully differ, using the compared materials. No search for acknowledgment or reasons for changes is required.</t>
        </is>
      </c>
      <c r="E17" s="16" t="inlineStr"/>
    </row>
    <row r="18" outlineLevel="1" ht="56" customHeight="1">
      <c r="A18" s="18" t="inlineStr"/>
      <c r="B18" s="22" t="inlineStr">
        <is>
          <t>plan_material</t>
        </is>
      </c>
      <c r="C18" s="18" t="inlineStr">
        <is>
          <t>Option</t>
        </is>
      </c>
      <c r="D18" s="23" t="inlineStr">
        <is>
          <t>Plan material (P_P). Assess an inconsistency involving planning materials themselves rather than a planned-versus-reported result. The original relationship code remains unchanged.</t>
        </is>
      </c>
      <c r="E18" s="18" t="inlineStr"/>
    </row>
    <row r="19" ht="90" customHeight="1">
      <c r="A19" s="20" t="inlineStr">
        <is>
          <t>Complete</t>
        </is>
      </c>
      <c r="B19" s="20" t="inlineStr">
        <is>
          <t>FIELD</t>
        </is>
      </c>
      <c r="C19" s="20" t="inlineStr">
        <is>
          <t>Required; each stage</t>
        </is>
      </c>
      <c r="D19" s="21" t="inlineStr">
        <is>
          <t>Mark yes only after human review. Automatic defaults never complete a row. Reset to no after changing a completed assessment, then review again.</t>
        </is>
      </c>
      <c r="E19" s="20" t="inlineStr">
        <is>
          <t>reviewComplete</t>
        </is>
      </c>
    </row>
    <row r="20" outlineLevel="1" ht="52" customHeight="1">
      <c r="A20" s="18" t="inlineStr"/>
      <c r="B20" s="22" t="inlineStr">
        <is>
          <t>no</t>
        </is>
      </c>
      <c r="C20" s="18" t="inlineStr">
        <is>
          <t>Option</t>
        </is>
      </c>
      <c r="D20" s="23" t="inlineStr">
        <is>
          <t>Draft. This review stage is not yet confirmed complete; AI suggestions or partially filled fields do not count as completed human review.</t>
        </is>
      </c>
      <c r="E20" s="18" t="inlineStr"/>
    </row>
    <row r="21" outlineLevel="1" ht="52" customHeight="1">
      <c r="A21" s="16" t="inlineStr"/>
      <c r="B21" s="24" t="inlineStr">
        <is>
          <t>yes</t>
        </is>
      </c>
      <c r="C21" s="16" t="inlineStr">
        <is>
          <t>Option</t>
        </is>
      </c>
      <c r="D21" s="25" t="inlineStr">
        <is>
          <t>Human reviewed and complete. The reviewer has checked this row and its required fields. A discussion item may still be unresolved even though this review stage is complete.</t>
        </is>
      </c>
      <c r="E21" s="16" t="inlineStr"/>
    </row>
    <row r="22" ht="90" customHeight="1">
      <c r="A22" s="20" t="inlineStr">
        <is>
          <t>Validation hint</t>
        </is>
      </c>
      <c r="B22" s="20" t="inlineStr">
        <is>
          <t>FIELD</t>
        </is>
      </c>
      <c r="C22" s="20" t="inlineStr">
        <is>
          <t>Calculated; read only</t>
        </is>
      </c>
      <c r="D22" s="21" t="inlineStr">
        <is>
          <t>CHECK FIELDS means an applicable required judgment is missing or invalid. CLEAR INACTIVE VALUES means an old answer remains in an irrelevant field. This hint is not the full scientific or handoff validation.</t>
        </is>
      </c>
      <c r="E22" s="20" t="inlineStr">
        <is>
          <t>readiness</t>
        </is>
      </c>
    </row>
    <row r="23" ht="90" customHeight="1">
      <c r="A23" s="20" t="inlineStr">
        <is>
          <t>Related cluster (optional)</t>
        </is>
      </c>
      <c r="B23" s="20" t="inlineStr">
        <is>
          <t>FIELD</t>
        </is>
      </c>
      <c r="C23" s="20" t="inlineStr">
        <is>
          <t>Optional</t>
        </is>
      </c>
      <c r="D23" s="21" t="inlineStr">
        <is>
          <t>Connect distinct but related flags with a shared identifier. This does not merge, deduplicate, or reduce counts. In Checker, blank inherits; &lt;clear&gt; removes the inherited text.</t>
        </is>
      </c>
      <c r="E23" s="20" t="inlineStr">
        <is>
          <t>relatedClusterId</t>
        </is>
      </c>
    </row>
    <row r="24" ht="90" customHeight="1">
      <c r="A24" s="20" t="inlineStr">
        <is>
          <t>Notes (optional)</t>
        </is>
      </c>
      <c r="B24" s="20" t="inlineStr">
        <is>
          <t>FIELD</t>
        </is>
      </c>
      <c r="C24" s="20" t="inlineStr">
        <is>
          <t>Optional</t>
        </is>
      </c>
      <c r="D24" s="21" t="inlineStr">
        <is>
          <t>Add relevant context or uncertainty in English. No mandatory reproduction log or primary rationale. In Checker, blank inherits; &lt;clear&gt; removes the inherited text.</t>
        </is>
      </c>
      <c r="E24" s="20" t="inlineStr">
        <is>
          <t>notes</t>
        </is>
      </c>
    </row>
    <row r="25" ht="32" customHeight="1">
      <c r="A25" s="26" t="inlineStr">
        <is>
          <t>2  |  Statistical results: two required judgments</t>
        </is>
      </c>
      <c r="B25" s="14" t="n"/>
      <c r="C25" s="14" t="n"/>
      <c r="D25" s="14" t="n"/>
      <c r="E25" s="15" t="n"/>
    </row>
    <row r="26" ht="90" customHeight="1">
      <c r="A26" s="27" t="inlineStr">
        <is>
          <t>Statistical error</t>
        </is>
      </c>
      <c r="B26" s="27" t="inlineStr">
        <is>
          <t>FIELD</t>
        </is>
      </c>
      <c r="C26" s="27" t="inlineStr">
        <is>
          <t>Required; retained statistical_results</t>
        </is>
      </c>
      <c r="D26" s="28" t="inlineStr">
        <is>
          <t>Does a statistical reporting error exist? Example: a reported percentage conflicts with its stated numerator and denominator after checking definitions. Certainty is separate from importance.</t>
        </is>
      </c>
      <c r="E26" s="27" t="inlineStr">
        <is>
          <t>statisticalErrorStatus</t>
        </is>
      </c>
    </row>
    <row r="27" outlineLevel="1" ht="52" customHeight="1">
      <c r="A27" s="16" t="inlineStr"/>
      <c r="B27" s="29" t="inlineStr">
        <is>
          <t>confirmed_error</t>
        </is>
      </c>
      <c r="C27" s="16" t="inlineStr">
        <is>
          <t>Option</t>
        </is>
      </c>
      <c r="D27" s="25" t="inlineStr">
        <is>
          <t>Confirmed statistical reporting error. The available evidence establishes a reporting error or contradiction, even if the correct replacement value is not known.</t>
        </is>
      </c>
      <c r="E27" s="16" t="inlineStr"/>
    </row>
    <row r="28" outlineLevel="1" ht="52" customHeight="1">
      <c r="A28" s="18" t="inlineStr"/>
      <c r="B28" s="30" t="inlineStr">
        <is>
          <t>probable_error</t>
        </is>
      </c>
      <c r="C28" s="18" t="inlineStr">
        <is>
          <t>Option</t>
        </is>
      </c>
      <c r="D28" s="23" t="inlineStr">
        <is>
          <t>Probable statistical reporting error. The evidence favors a reporting error, but an unresolved limitation or plausible alternative prevents confirmation.</t>
        </is>
      </c>
      <c r="E28" s="18" t="inlineStr"/>
    </row>
    <row r="29" outlineLevel="1" ht="52" customHeight="1">
      <c r="A29" s="16" t="inlineStr"/>
      <c r="B29" s="29" t="inlineStr">
        <is>
          <t>not_error</t>
        </is>
      </c>
      <c r="C29" s="16" t="inlineStr">
        <is>
          <t>Option</t>
        </is>
      </c>
      <c r="D29" s="25" t="inlineStr">
        <is>
          <t>Not a statistical error. The apparent discrepancy is consistent with a valid calculation, definition, analysis method or reporting context.</t>
        </is>
      </c>
      <c r="E29" s="16" t="inlineStr"/>
    </row>
    <row r="30" outlineLevel="1" ht="52" customHeight="1">
      <c r="A30" s="18" t="inlineStr"/>
      <c r="B30" s="30" t="inlineStr">
        <is>
          <t>indeterminate</t>
        </is>
      </c>
      <c r="C30" s="18" t="inlineStr">
        <is>
          <t>Option</t>
        </is>
      </c>
      <c r="D30" s="23" t="inlineStr">
        <is>
          <t>Indeterminate. The available evidence does not support deciding whether a statistical reporting error exists; neither confirmation nor dismissal is justified.</t>
        </is>
      </c>
      <c r="E30" s="18" t="inlineStr"/>
    </row>
    <row r="31" outlineLevel="1" ht="56" customHeight="1">
      <c r="A31" s="16" t="inlineStr"/>
      <c r="B31" s="29" t="inlineStr">
        <is>
          <t>not_applicable</t>
        </is>
      </c>
      <c r="C31" s="16" t="inlineStr">
        <is>
          <t>Option</t>
        </is>
      </c>
      <c r="D31" s="25" t="inlineStr">
        <is>
          <t>Automatic default outside this field's review domain or for a non-retained candidate. It is not an error verdict, missing evidence, or an unanswered applicable question. Do not choose it for an applicable field.</t>
        </is>
      </c>
      <c r="E31" s="16" t="inlineStr"/>
    </row>
    <row r="32" ht="90" customHeight="1">
      <c r="A32" s="27" t="inlineStr">
        <is>
          <t>Substantiveness</t>
        </is>
      </c>
      <c r="B32" s="27" t="inlineStr">
        <is>
          <t>FIELD</t>
        </is>
      </c>
      <c r="C32" s="27" t="inlineStr">
        <is>
          <t>Required; retained statistical_results</t>
        </is>
      </c>
      <c r="D32" s="28" t="inlineStr">
        <is>
          <t>Could the issue meaningfully affect interpretation or data use? A harmless spacing typo is minor_presentation; an ambiguous extractable effect estimate may be substantive. An error can be confirmed yet minor.</t>
        </is>
      </c>
      <c r="E32" s="27" t="inlineStr">
        <is>
          <t>substantiveStatus</t>
        </is>
      </c>
    </row>
    <row r="33" outlineLevel="1" ht="52" customHeight="1">
      <c r="A33" s="16" t="inlineStr"/>
      <c r="B33" s="29" t="inlineStr">
        <is>
          <t>substantive</t>
        </is>
      </c>
      <c r="C33" s="16" t="inlineStr">
        <is>
          <t>Option</t>
        </is>
      </c>
      <c r="D33" s="25" t="inlineStr">
        <is>
          <t>Substantive. The issue could meaningfully change interpretation, data extraction or downstream analysis, rather than only the presentation of the result.</t>
        </is>
      </c>
      <c r="E33" s="16" t="inlineStr"/>
    </row>
    <row r="34" outlineLevel="1" ht="56" customHeight="1">
      <c r="A34" s="18" t="inlineStr"/>
      <c r="B34" s="30" t="inlineStr">
        <is>
          <t>minor_presentation</t>
        </is>
      </c>
      <c r="C34" s="18" t="inlineStr">
        <is>
          <t>Option</t>
        </is>
      </c>
      <c r="D34" s="23" t="inlineStr">
        <is>
          <t>Minor or presentation only. The intended result remains clear and the issue is a small formatting, labeling or typographic problem without a meaningful change in interpretation.</t>
        </is>
      </c>
      <c r="E34" s="18" t="inlineStr"/>
    </row>
    <row r="35" outlineLevel="1" ht="52" customHeight="1">
      <c r="A35" s="16" t="inlineStr"/>
      <c r="B35" s="29" t="inlineStr">
        <is>
          <t>indeterminate</t>
        </is>
      </c>
      <c r="C35" s="16" t="inlineStr">
        <is>
          <t>Option</t>
        </is>
      </c>
      <c r="D35" s="25" t="inlineStr">
        <is>
          <t>Indeterminate. There is not enough information to decide whether the issue is substantive or limited to presentation.</t>
        </is>
      </c>
      <c r="E35" s="16" t="inlineStr"/>
    </row>
    <row r="36" outlineLevel="1" ht="56" customHeight="1">
      <c r="A36" s="18" t="inlineStr"/>
      <c r="B36" s="30" t="inlineStr">
        <is>
          <t>not_applicable</t>
        </is>
      </c>
      <c r="C36" s="18" t="inlineStr">
        <is>
          <t>Option</t>
        </is>
      </c>
      <c r="D36" s="23" t="inlineStr">
        <is>
          <t>Automatic default outside this field's review domain or for a non-retained candidate. It is not an error verdict, missing evidence, or an unanswered applicable question. Do not choose it for an applicable field.</t>
        </is>
      </c>
      <c r="E36" s="18" t="inlineStr"/>
    </row>
    <row r="37" ht="90" customHeight="1">
      <c r="A37" s="27" t="inlineStr">
        <is>
          <t>Downstream impact</t>
        </is>
      </c>
      <c r="B37" s="27" t="inlineStr">
        <is>
          <t>FIELD</t>
        </is>
      </c>
      <c r="C37" s="27" t="inlineStr">
        <is>
          <t>Optional; retained statistical_results</t>
        </is>
      </c>
      <c r="D37"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7" t="inlineStr">
        <is>
          <t>downstreamImpact</t>
        </is>
      </c>
    </row>
    <row r="38" outlineLevel="1" ht="56" customHeight="1">
      <c r="A38" s="18" t="inlineStr"/>
      <c r="B38" s="30" t="inlineStr">
        <is>
          <t>direct</t>
        </is>
      </c>
      <c r="C38" s="18" t="inlineStr">
        <is>
          <t>Option</t>
        </is>
      </c>
      <c r="D38" s="23" t="inlineStr">
        <is>
          <t>Direct extraction or analysis impact. The affected value or definition is itself an input to data extraction or subsequent analysis; this describes potential impact, not proven downstream harm.</t>
        </is>
      </c>
      <c r="E38" s="18" t="inlineStr"/>
    </row>
    <row r="39" outlineLevel="1" ht="52" customHeight="1">
      <c r="A39" s="16" t="inlineStr"/>
      <c r="B39" s="29" t="inlineStr">
        <is>
          <t>possible</t>
        </is>
      </c>
      <c r="C39" s="16" t="inlineStr">
        <is>
          <t>Option</t>
        </is>
      </c>
      <c r="D39" s="25" t="inlineStr">
        <is>
          <t>Possible downstream impact. A plausible route to affecting later interpretation, extraction or analysis exists, but the connection is indirect or uncertain.</t>
        </is>
      </c>
      <c r="E39" s="16" t="inlineStr"/>
    </row>
    <row r="40" outlineLevel="1" ht="52" customHeight="1">
      <c r="A40" s="18" t="inlineStr"/>
      <c r="B40" s="30" t="inlineStr">
        <is>
          <t>unlikely</t>
        </is>
      </c>
      <c r="C40" s="18" t="inlineStr">
        <is>
          <t>Option</t>
        </is>
      </c>
      <c r="D40" s="23" t="inlineStr">
        <is>
          <t>Unlikely downstream impact. The issue is unlikely to change extracted information or later analysis because the relevant result remains clear and usable.</t>
        </is>
      </c>
      <c r="E40" s="18" t="inlineStr"/>
    </row>
    <row r="41" outlineLevel="1" ht="52" customHeight="1">
      <c r="A41" s="16" t="inlineStr"/>
      <c r="B41" s="29" t="inlineStr">
        <is>
          <t>unknown</t>
        </is>
      </c>
      <c r="C41" s="16" t="inlineStr">
        <is>
          <t>Option</t>
        </is>
      </c>
      <c r="D41" s="25" t="inlineStr">
        <is>
          <t>Unable to assess. The materials do not establish enough about the affected information or its likely use to judge downstream impact.</t>
        </is>
      </c>
      <c r="E41" s="16" t="inlineStr"/>
    </row>
    <row r="42" outlineLevel="1" ht="56" customHeight="1">
      <c r="A42" s="18" t="inlineStr"/>
      <c r="B42" s="30" t="inlineStr">
        <is>
          <t>not_applicable</t>
        </is>
      </c>
      <c r="C42" s="18" t="inlineStr">
        <is>
          <t>Option</t>
        </is>
      </c>
      <c r="D42" s="23" t="inlineStr">
        <is>
          <t>Automatic default outside this field's review domain or for a non-retained candidate. It is not an error verdict, missing evidence, or an unanswered applicable question. Do not choose it for an applicable field.</t>
        </is>
      </c>
      <c r="E42" s="18" t="inlineStr"/>
    </row>
    <row r="43" outlineLevel="1" ht="52" customHeight="1">
      <c r="A43" s="16" t="inlineStr"/>
      <c r="B43" s="29" t="inlineStr">
        <is>
          <t>&lt;clear&gt;</t>
        </is>
      </c>
      <c r="C43" s="16" t="inlineStr">
        <is>
          <t>Option</t>
        </is>
      </c>
      <c r="D43" s="25" t="inlineStr">
        <is>
          <t>Checker only: remove an inherited optional judgment. This is a control value, not an assessment option for primary review. The final optional answer becomes blank.</t>
        </is>
      </c>
      <c r="E43" s="16" t="inlineStr"/>
    </row>
    <row r="44" ht="32" customHeight="1">
      <c r="A44" s="31" t="inlineStr">
        <is>
          <t>3  |  Internal or planning materials: one required judgment</t>
        </is>
      </c>
      <c r="B44" s="14" t="n"/>
      <c r="C44" s="14" t="n"/>
      <c r="D44" s="14" t="n"/>
      <c r="E44" s="15" t="n"/>
    </row>
    <row r="45" ht="90" customHeight="1">
      <c r="A45" s="32" t="inlineStr">
        <is>
          <t>Internal or plan assessment</t>
        </is>
      </c>
      <c r="B45" s="32" t="inlineStr">
        <is>
          <t>FIELD</t>
        </is>
      </c>
      <c r="C45" s="32" t="inlineStr">
        <is>
          <t>Required; retained internal_nonstatistical or plan_material</t>
        </is>
      </c>
      <c r="D45" s="33"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2" t="inlineStr">
        <is>
          <t>internalStatus</t>
        </is>
      </c>
    </row>
    <row r="46" outlineLevel="1" ht="52" customHeight="1">
      <c r="A46" s="18" t="inlineStr"/>
      <c r="B46" s="34" t="inlineStr">
        <is>
          <t>substantive_inconsistency</t>
        </is>
      </c>
      <c r="C46" s="18" t="inlineStr">
        <is>
          <t>Option</t>
        </is>
      </c>
      <c r="D46" s="23" t="inlineStr">
        <is>
          <t>Substantive inconsistency. The conflicting descriptions or planning statements could materially change how the study, population, procedures or results are understood.</t>
        </is>
      </c>
      <c r="E46" s="18" t="inlineStr"/>
    </row>
    <row r="47" outlineLevel="1" ht="52" customHeight="1">
      <c r="A47" s="16" t="inlineStr"/>
      <c r="B47" s="35" t="inlineStr">
        <is>
          <t>minor_presentation</t>
        </is>
      </c>
      <c r="C47" s="16" t="inlineStr">
        <is>
          <t>Option</t>
        </is>
      </c>
      <c r="D47" s="25" t="inlineStr">
        <is>
          <t>Minor presentation inconsistency. A real discrepancy exists, but it mainly affects presentation and the intended meaning remains clear.</t>
        </is>
      </c>
      <c r="E47" s="16" t="inlineStr"/>
    </row>
    <row r="48" outlineLevel="1" ht="52" customHeight="1">
      <c r="A48" s="18" t="inlineStr"/>
      <c r="B48" s="34" t="inlineStr">
        <is>
          <t>wording_only</t>
        </is>
      </c>
      <c r="C48" s="18" t="inlineStr">
        <is>
          <t>Option</t>
        </is>
      </c>
      <c r="D48" s="23" t="inlineStr">
        <is>
          <t>Wording only. Different phrases express the same substantive meaning; there is no meaningful conflict between the statements.</t>
        </is>
      </c>
      <c r="E48" s="18" t="inlineStr"/>
    </row>
    <row r="49" outlineLevel="1" ht="52" customHeight="1">
      <c r="A49" s="16" t="inlineStr"/>
      <c r="B49" s="35" t="inlineStr">
        <is>
          <t>not_inconsistency</t>
        </is>
      </c>
      <c r="C49" s="16" t="inlineStr">
        <is>
          <t>Option</t>
        </is>
      </c>
      <c r="D49" s="25" t="inlineStr">
        <is>
          <t>Not an inconsistency. The statements are compatible once their definitions, populations, time points or other context are taken into account.</t>
        </is>
      </c>
      <c r="E49" s="16" t="inlineStr"/>
    </row>
    <row r="50" outlineLevel="1" ht="52" customHeight="1">
      <c r="A50" s="18" t="inlineStr"/>
      <c r="B50" s="34" t="inlineStr">
        <is>
          <t>indeterminate</t>
        </is>
      </c>
      <c r="C50" s="18" t="inlineStr">
        <is>
          <t>Option</t>
        </is>
      </c>
      <c r="D50" s="23" t="inlineStr">
        <is>
          <t>Indeterminate. The available material is insufficient to establish whether the statements conflict or how important any conflict is.</t>
        </is>
      </c>
      <c r="E50" s="18" t="inlineStr"/>
    </row>
    <row r="51" outlineLevel="1" ht="56" customHeight="1">
      <c r="A51" s="16" t="inlineStr"/>
      <c r="B51" s="35" t="inlineStr">
        <is>
          <t>not_applicable</t>
        </is>
      </c>
      <c r="C51" s="16" t="inlineStr">
        <is>
          <t>Option</t>
        </is>
      </c>
      <c r="D51" s="25" t="inlineStr">
        <is>
          <t>Automatic default outside this field's review domain or for a non-retained candidate. It is not an error verdict, missing evidence, or an unanswered applicable question. Do not choose it for an applicable field.</t>
        </is>
      </c>
      <c r="E51" s="16" t="inlineStr"/>
    </row>
    <row r="52" ht="32" customHeight="1">
      <c r="A52" s="36" t="inlineStr">
        <is>
          <t>4  |  Protocol versus report: optional description only</t>
        </is>
      </c>
      <c r="B52" s="14" t="n"/>
      <c r="C52" s="14" t="n"/>
      <c r="D52" s="14" t="n"/>
      <c r="E52" s="15" t="n"/>
    </row>
    <row r="53" ht="90" customHeight="1">
      <c r="A53" s="37" t="inlineStr">
        <is>
          <t>Protocol interpretation</t>
        </is>
      </c>
      <c r="B53" s="37" t="inlineStr">
        <is>
          <t>FIELD</t>
        </is>
      </c>
      <c r="C53" s="37" t="inlineStr">
        <is>
          <t>Optional; retained protocol_report</t>
        </is>
      </c>
      <c r="D53" s="38"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7" t="inlineStr">
        <is>
          <t>protocolInterpretation</t>
        </is>
      </c>
    </row>
    <row r="54" outlineLevel="1" ht="72" customHeight="1">
      <c r="A54" s="18" t="inlineStr"/>
      <c r="B54" s="39" t="inlineStr">
        <is>
          <t>substantive_difference</t>
        </is>
      </c>
      <c r="C54" s="18" t="inlineStr">
        <is>
          <t>Option</t>
        </is>
      </c>
      <c r="D54" s="23"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8" t="inlineStr"/>
    </row>
    <row r="55" outlineLevel="1" ht="52" customHeight="1">
      <c r="A55" s="16" t="inlineStr"/>
      <c r="B55" s="40" t="inlineStr">
        <is>
          <t>wording_only</t>
        </is>
      </c>
      <c r="C55" s="16" t="inlineStr">
        <is>
          <t>Option</t>
        </is>
      </c>
      <c r="D55" s="25" t="inlineStr">
        <is>
          <t>Wording only. The apparent planned-versus-reported difference does not represent a substantive change in meaning or conduct.</t>
        </is>
      </c>
      <c r="E55" s="16" t="inlineStr"/>
    </row>
    <row r="56" outlineLevel="1" ht="52" customHeight="1">
      <c r="A56" s="18" t="inlineStr"/>
      <c r="B56" s="39" t="inlineStr">
        <is>
          <t>version_timing</t>
        </is>
      </c>
      <c r="C56" s="18" t="inlineStr">
        <is>
          <t>Option</t>
        </is>
      </c>
      <c r="D56" s="23" t="inlineStr">
        <is>
          <t>Version or timing ambiguity. The difference may reflect which protocol version or date is being compared; the sequence cannot be resolved from the available material.</t>
        </is>
      </c>
      <c r="E56" s="18" t="inlineStr"/>
    </row>
    <row r="57" outlineLevel="1" ht="56" customHeight="1">
      <c r="A57" s="16" t="inlineStr"/>
      <c r="B57" s="40" t="inlineStr">
        <is>
          <t>not_discrepancy</t>
        </is>
      </c>
      <c r="C57" s="16" t="inlineStr">
        <is>
          <t>Option</t>
        </is>
      </c>
      <c r="D57" s="25" t="inlineStr">
        <is>
          <t>No actual discrepancy. The compared statements are compatible after checking the population, definitions, time points, or context. Normally consider Disposition=exclude for this candidate.</t>
        </is>
      </c>
      <c r="E57" s="16" t="inlineStr"/>
    </row>
    <row r="58" outlineLevel="1" ht="52" customHeight="1">
      <c r="A58" s="18" t="inlineStr"/>
      <c r="B58" s="39" t="inlineStr">
        <is>
          <t>indeterminate</t>
        </is>
      </c>
      <c r="C58" s="18" t="inlineStr">
        <is>
          <t>Option</t>
        </is>
      </c>
      <c r="D58" s="23" t="inlineStr">
        <is>
          <t>Indeterminate. The available evidence cannot support a more specific interpretation of the planned-versus-reported difference.</t>
        </is>
      </c>
      <c r="E58" s="18" t="inlineStr"/>
    </row>
    <row r="59" outlineLevel="1" ht="56" customHeight="1">
      <c r="A59" s="16" t="inlineStr"/>
      <c r="B59" s="40" t="inlineStr">
        <is>
          <t>not_applicable</t>
        </is>
      </c>
      <c r="C59" s="16" t="inlineStr">
        <is>
          <t>Option</t>
        </is>
      </c>
      <c r="D59" s="25" t="inlineStr">
        <is>
          <t>Automatic default outside this field's review domain or for a non-retained candidate. It is not an error verdict, missing evidence, or an unanswered applicable question. Do not choose it for an applicable field.</t>
        </is>
      </c>
      <c r="E59" s="16" t="inlineStr"/>
    </row>
    <row r="60" outlineLevel="1" ht="52" customHeight="1">
      <c r="A60" s="18" t="inlineStr"/>
      <c r="B60" s="39" t="inlineStr">
        <is>
          <t>&lt;clear&gt;</t>
        </is>
      </c>
      <c r="C60" s="18" t="inlineStr">
        <is>
          <t>Option</t>
        </is>
      </c>
      <c r="D60" s="23" t="inlineStr">
        <is>
          <t>Checker only: remove an inherited optional judgment. This is a control value, not an assessment option for primary review. The final optional answer becomes blank.</t>
        </is>
      </c>
      <c r="E60" s="18" t="inlineStr"/>
    </row>
    <row r="61" ht="32" customHeight="1">
      <c r="A61" s="41" t="inlineStr">
        <is>
          <t>5  |  Second-person checking and discussion</t>
        </is>
      </c>
      <c r="B61" s="14" t="n"/>
      <c r="C61" s="14" t="n"/>
      <c r="D61" s="14" t="n"/>
      <c r="E61" s="15" t="n"/>
    </row>
    <row r="62" ht="90" customHeight="1">
      <c r="A62" s="42" t="inlineStr">
        <is>
          <t>Checker result</t>
        </is>
      </c>
      <c r="B62" s="42" t="inlineStr">
        <is>
          <t>FIELD</t>
        </is>
      </c>
      <c r="C62" s="42" t="inlineStr">
        <is>
          <t>Required; completed Checker</t>
        </is>
      </c>
      <c r="D62" s="43" t="inlineStr">
        <is>
          <t>The checker sees primary answers. For an unchanged agreement, select agree and Complete=yes only. Other choices need a Checker comment. This is not blinded independent rating.</t>
        </is>
      </c>
      <c r="E62" s="42" t="inlineStr">
        <is>
          <t>checkStatus</t>
        </is>
      </c>
    </row>
    <row r="63" outlineLevel="1" ht="52" customHeight="1">
      <c r="A63" s="16" t="inlineStr"/>
      <c r="B63" s="44" t="inlineStr">
        <is>
          <t>agree</t>
        </is>
      </c>
      <c r="C63" s="16" t="inlineStr">
        <is>
          <t>Option</t>
        </is>
      </c>
      <c r="D63" s="25" t="inlineStr">
        <is>
          <t>Agree, assessment unchanged. Accept the primary assessment as recorded. Leave override cells blank; no checker comment is required.</t>
        </is>
      </c>
      <c r="E63" s="16" t="inlineStr"/>
    </row>
    <row r="64" outlineLevel="1" ht="52" customHeight="1">
      <c r="A64" s="18" t="inlineStr"/>
      <c r="B64" s="45" t="inlineStr">
        <is>
          <t>agree_clarification</t>
        </is>
      </c>
      <c r="C64" s="18" t="inlineStr">
        <is>
          <t>Option</t>
        </is>
      </c>
      <c r="D64" s="23" t="inlineStr">
        <is>
          <t>Agree with clarification. Accept the main assessment but add context or a clarifying amendment. Explain it in a checker comment and fill only any changed fields.</t>
        </is>
      </c>
      <c r="E64" s="18" t="inlineStr"/>
    </row>
    <row r="65" outlineLevel="1" ht="56" customHeight="1">
      <c r="A65" s="16" t="inlineStr"/>
      <c r="B65" s="44" t="inlineStr">
        <is>
          <t>disagree</t>
        </is>
      </c>
      <c r="C65" s="16" t="inlineStr">
        <is>
          <t>Option</t>
        </is>
      </c>
      <c r="D65" s="25" t="inlineStr">
        <is>
          <t>Disagree, proposal pending discussion. Recommend a different assessment, explain why in a comment, and enter proposed changes. The proposal is not final consensus until discussion is resolved.</t>
        </is>
      </c>
      <c r="E65" s="16" t="inlineStr"/>
    </row>
    <row r="66" outlineLevel="1" ht="52" customHeight="1">
      <c r="A66" s="18" t="inlineStr"/>
      <c r="B66" s="45" t="inlineStr">
        <is>
          <t>unable</t>
        </is>
      </c>
      <c r="C66" s="18" t="inlineStr">
        <is>
          <t>Option</t>
        </is>
      </c>
      <c r="D66" s="23" t="inlineStr">
        <is>
          <t>Unable to resolve. The checker cannot settle the issue from the available information. State what remains uncertain in a comment and refer it for discussion.</t>
        </is>
      </c>
      <c r="E66" s="18" t="inlineStr"/>
    </row>
    <row r="67" ht="90" customHeight="1">
      <c r="A67" s="42" t="inlineStr">
        <is>
          <t>Checker comment</t>
        </is>
      </c>
      <c r="B67" s="42" t="inlineStr">
        <is>
          <t>FIELD</t>
        </is>
      </c>
      <c r="C67" s="42" t="inlineStr">
        <is>
          <t>Required unless Checker result is agree</t>
        </is>
      </c>
      <c r="D67" s="43" t="inlineStr">
        <is>
          <t>Explain the clarification, disagreement, or uncertainty in English. An unchanged agreement does not require a comment.</t>
        </is>
      </c>
      <c r="E67" s="42" t="inlineStr">
        <is>
          <t>checkerComment</t>
        </is>
      </c>
    </row>
    <row r="68" ht="90" customHeight="1">
      <c r="A68" s="42" t="inlineStr">
        <is>
          <t>Discussion resolution</t>
        </is>
      </c>
      <c r="B68" s="42" t="inlineStr">
        <is>
          <t>FIELD</t>
        </is>
      </c>
      <c r="C68" s="42" t="inlineStr">
        <is>
          <t>Conditional; discussion</t>
        </is>
      </c>
      <c r="D68" s="43" t="inlineStr">
        <is>
          <t>Use resolved only after joint discussion settles a disagreement, an unable result, or a primary discuss changed to a decision. Record who participated and the conclusion in Resolution note.</t>
        </is>
      </c>
      <c r="E68" s="42" t="inlineStr">
        <is>
          <t>resolutionStatus</t>
        </is>
      </c>
    </row>
    <row r="69" outlineLevel="1" ht="52" customHeight="1">
      <c r="A69" s="16" t="inlineStr"/>
      <c r="B69" s="44" t="inlineStr">
        <is>
          <t>pending</t>
        </is>
      </c>
      <c r="C69" s="16" t="inlineStr">
        <is>
          <t>Option</t>
        </is>
      </c>
      <c r="D69" s="25" t="inlineStr">
        <is>
          <t>Discussion not resolved. A required discussion is not yet settled. For an unchanged agreement this default can be left as-is because no separate resolution is required.</t>
        </is>
      </c>
      <c r="E69" s="16" t="inlineStr"/>
    </row>
    <row r="70" outlineLevel="1" ht="52" customHeight="1">
      <c r="A70" s="18" t="inlineStr"/>
      <c r="B70" s="45" t="inlineStr">
        <is>
          <t>resolved</t>
        </is>
      </c>
      <c r="C70" s="18" t="inlineStr">
        <is>
          <t>Option</t>
        </is>
      </c>
      <c r="D70" s="23" t="inlineStr">
        <is>
          <t>Joint discussion resolved. Record the participants and agreed conclusion in Resolution note, update the proposed assessment, and do not leave disposition as discuss.</t>
        </is>
      </c>
      <c r="E70" s="18" t="inlineStr"/>
    </row>
    <row r="71" ht="90" customHeight="1">
      <c r="A71" s="42" t="inlineStr">
        <is>
          <t>Resolution note</t>
        </is>
      </c>
      <c r="B71" s="42" t="inlineStr">
        <is>
          <t>FIELD</t>
        </is>
      </c>
      <c r="C71" s="42" t="inlineStr">
        <is>
          <t>Required when resolved</t>
        </is>
      </c>
      <c r="D71" s="43" t="inlineStr">
        <is>
          <t>Record participants and the agreed conclusion in English. Update proposed judgments and do not leave Disposition=discuss. Checker completion alone does not settle disagreement.</t>
        </is>
      </c>
      <c r="E71" s="42" t="inlineStr">
        <is>
          <t>resolutionNote</t>
        </is>
      </c>
    </row>
    <row r="72" ht="32" customHeight="1">
      <c r="A72" s="46" t="inlineStr">
        <is>
          <t>6  |  Candidate context</t>
        </is>
      </c>
      <c r="B72" s="14" t="n"/>
      <c r="C72" s="14" t="n"/>
      <c r="D72" s="14" t="n"/>
      <c r="E72" s="15" t="n"/>
    </row>
    <row r="73" ht="90" customHeight="1">
      <c r="A73" s="47" t="inlineStr">
        <is>
          <t>Candidate key</t>
        </is>
      </c>
      <c r="B73" s="47" t="inlineStr">
        <is>
          <t>FIELD</t>
        </is>
      </c>
      <c r="C73" s="47" t="inlineStr">
        <is>
          <t>Read only</t>
        </is>
      </c>
      <c r="D73" s="48" t="inlineStr">
        <is>
          <t>Unique candidate identity used for matching, even after complete rows are reordered. Never edit this value.</t>
        </is>
      </c>
      <c r="E73" s="47" t="inlineStr">
        <is>
          <t>key</t>
        </is>
      </c>
    </row>
    <row r="74" ht="90" customHeight="1">
      <c r="A74" s="47" t="inlineStr">
        <is>
          <t>Candidate title</t>
        </is>
      </c>
      <c r="B74" s="47" t="inlineStr">
        <is>
          <t>FIELD</t>
        </is>
      </c>
      <c r="C74" s="47" t="inlineStr">
        <is>
          <t>Read only</t>
        </is>
      </c>
      <c r="D74" s="48" t="inlineStr">
        <is>
          <t>Short candidate title. A candidate is an AI flag for human assessment, not a confirmed error.</t>
        </is>
      </c>
      <c r="E74" s="47" t="inlineStr">
        <is>
          <t>title</t>
        </is>
      </c>
    </row>
    <row r="75" ht="90" customHeight="1">
      <c r="A75" s="47" t="inlineStr">
        <is>
          <t>Source location</t>
        </is>
      </c>
      <c r="B75" s="47" t="inlineStr">
        <is>
          <t>FIELD</t>
        </is>
      </c>
      <c r="C75" s="47" t="inlineStr">
        <is>
          <t>Read only; both roles</t>
        </is>
      </c>
      <c r="D75" s="48" t="inlineStr">
        <is>
          <t>Where to check the source claim. Both Primary and Checker show this column in the same position. Use Candidates and Evidence for context and the shared paper folders for originals.</t>
        </is>
      </c>
      <c r="E75" s="47" t="inlineStr">
        <is>
          <t>locations</t>
        </is>
      </c>
    </row>
    <row r="76" ht="90" customHeight="1">
      <c r="A76" s="47" t="inlineStr">
        <is>
          <t>Primary assessment (read only)</t>
        </is>
      </c>
      <c r="B76" s="47" t="inlineStr">
        <is>
          <t>FIELD</t>
        </is>
      </c>
      <c r="C76" s="47" t="inlineStr">
        <is>
          <t>Read only; Checker</t>
        </is>
      </c>
      <c r="D76" s="48" t="inlineStr">
        <is>
          <t>Snapshot of the completed primary judgments for this candidate. Review this summary before choosing Checker result. Blank applicable judgment cells inherit the matching snapshot. AWAITING PRIMARY HANDOFF means this is a layout template; prepare it from a completed primary file before checking.</t>
        </is>
      </c>
      <c r="E76" s="47"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v.2.1.3</t>
        </is>
      </c>
    </row>
    <row r="3" ht="30" customHeight="1">
      <c r="A3" s="3" t="inlineStr">
        <is>
          <t>schema</t>
        </is>
      </c>
      <c r="B3" s="3" t="inlineStr">
        <is>
          <t>xlsx-adjudication-5</t>
        </is>
      </c>
    </row>
    <row r="4" ht="30" customHeight="1">
      <c r="A4" s="2" t="inlineStr">
        <is>
          <t>stage</t>
        </is>
      </c>
      <c r="B4" s="2" t="inlineStr">
        <is>
          <t>checker_template</t>
        </is>
      </c>
    </row>
    <row r="5" ht="30" customHeight="1">
      <c r="A5" s="3" t="inlineStr">
        <is>
          <t>year</t>
        </is>
      </c>
      <c r="B5" s="3" t="inlineStr">
        <is>
          <t>2018</t>
        </is>
      </c>
    </row>
    <row r="6" ht="30" customHeight="1">
      <c r="A6" s="2" t="inlineStr">
        <is>
          <t>createdAt</t>
        </is>
      </c>
      <c r="B6" s="2" t="inlineStr">
        <is>
          <t>2026-09-13T23:51:53+00:00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56401d35d7dc918070e61e3d63b002adc82598f47aaba1fdf1b3f48e2b2846fd</t>
        </is>
      </c>
    </row>
    <row r="9" ht="30" customHeight="1">
      <c r="A9" s="3" t="inlineStr">
        <is>
          <t>primarySignature</t>
        </is>
      </c>
      <c r="B9" s="3" t="inlineStr">
        <is>
          <t>1713dcdf3e89b06d4c9634513dfc4d39a101d56d704a94ed43eceb777e55712f</t>
        </is>
      </c>
    </row>
    <row r="10" ht="30" customHeight="1">
      <c r="A10" s="2" t="inlineStr">
        <is>
          <t>primaryFileSHA256</t>
        </is>
      </c>
      <c r="B10" s="2" t="inlineStr"/>
    </row>
    <row r="11" ht="30" customHeight="1">
      <c r="A11" s="3" t="inlineStr">
        <is>
          <t>revision</t>
        </is>
      </c>
      <c r="B11" s="3" t="inlineStr">
        <is>
          <t>v.2.1.3</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9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2018::jama.2017.21906::C001</t>
        </is>
      </c>
      <c r="B2" s="2" t="inlineStr">
        <is>
          <t>sourceLinks</t>
        </is>
      </c>
      <c r="C2" s="2" t="n">
        <v>0</v>
      </c>
      <c r="D2" s="2" t="inlineStr">
        <is>
          <t>Main article — PDF p. 6</t>
        </is>
      </c>
      <c r="E2" s="2" t="inlineStr">
        <is>
          <t>../../2018/jama.2017.21906/jama_huffman_2018_oi_170166.pdf#page=6</t>
        </is>
      </c>
    </row>
    <row r="3" ht="40" customHeight="1">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ht="40" customHeight="1">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ht="30" customHeight="1">
      <c r="A5" s="3" t="inlineStr">
        <is>
          <t>2018::jama.2017.21906::C002</t>
        </is>
      </c>
      <c r="B5" s="3" t="inlineStr">
        <is>
          <t>sourceLinks</t>
        </is>
      </c>
      <c r="C5" s="3" t="n">
        <v>0</v>
      </c>
      <c r="D5" s="3" t="inlineStr">
        <is>
          <t>Main article — PDF p. 6</t>
        </is>
      </c>
      <c r="E5" s="3" t="inlineStr">
        <is>
          <t>../../2018/jama.2017.21906/jama_huffman_2018_oi_170166.pdf#page=6</t>
        </is>
      </c>
    </row>
    <row r="6" ht="30" customHeight="1">
      <c r="A6" s="2" t="inlineStr">
        <is>
          <t>2018::jama.2017.21906::C002</t>
        </is>
      </c>
      <c r="B6" s="2" t="inlineStr">
        <is>
          <t>sourceLinks</t>
        </is>
      </c>
      <c r="C6" s="2" t="n">
        <v>1</v>
      </c>
      <c r="D6" s="2" t="inlineStr">
        <is>
          <t>Main article — PDF p. 7</t>
        </is>
      </c>
      <c r="E6" s="2" t="inlineStr">
        <is>
          <t>../../2018/jama.2017.21906/jama_huffman_2018_oi_170166.pdf#page=7</t>
        </is>
      </c>
    </row>
    <row r="7" ht="40" customHeight="1">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ht="40" customHeight="1">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ht="30" customHeight="1">
      <c r="A9" s="3" t="inlineStr">
        <is>
          <t>2018::jama.2017.21906::C003</t>
        </is>
      </c>
      <c r="B9" s="3" t="inlineStr">
        <is>
          <t>sourceLinks</t>
        </is>
      </c>
      <c r="C9" s="3" t="n">
        <v>0</v>
      </c>
      <c r="D9" s="3" t="inlineStr">
        <is>
          <t>Online supplement — PDF p. 17</t>
        </is>
      </c>
      <c r="E9" s="3" t="inlineStr">
        <is>
          <t>../../2018/jama.2017.21906/joi170166supp3_prod.pdf#page=17</t>
        </is>
      </c>
    </row>
    <row r="10" ht="40" customHeight="1">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ht="40" customHeight="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ht="30" customHeight="1">
      <c r="A12" s="2" t="inlineStr">
        <is>
          <t>2018::jama.2017.21906::C004</t>
        </is>
      </c>
      <c r="B12" s="2" t="inlineStr">
        <is>
          <t>sourceLinks</t>
        </is>
      </c>
      <c r="C12" s="2" t="n">
        <v>0</v>
      </c>
      <c r="D12" s="2" t="inlineStr">
        <is>
          <t>SAP — PDF p. 7</t>
        </is>
      </c>
      <c r="E12" s="2" t="inlineStr">
        <is>
          <t>../../2018/jama.2017.21906/joi170166supp2_prod.pdf#page=7</t>
        </is>
      </c>
    </row>
    <row r="13" ht="30" customHeight="1">
      <c r="A13" s="3" t="inlineStr">
        <is>
          <t>2018::jama.2017.21906::C004</t>
        </is>
      </c>
      <c r="B13" s="3" t="inlineStr">
        <is>
          <t>sourceLinks</t>
        </is>
      </c>
      <c r="C13" s="3" t="n">
        <v>1</v>
      </c>
      <c r="D13" s="3" t="inlineStr">
        <is>
          <t>main article — PDF p. 3</t>
        </is>
      </c>
      <c r="E13" s="3" t="inlineStr">
        <is>
          <t>../../2018/jama.2017.21906/jama_huffman_2018_oi_170166.pdf#page=3</t>
        </is>
      </c>
    </row>
    <row r="14" ht="30" customHeight="1">
      <c r="A14" s="2" t="inlineStr">
        <is>
          <t>2018::jama.2017.21906::C004</t>
        </is>
      </c>
      <c r="B14" s="2" t="inlineStr">
        <is>
          <t>sourceLinks</t>
        </is>
      </c>
      <c r="C14" s="2" t="n">
        <v>2</v>
      </c>
      <c r="D14" s="2" t="inlineStr">
        <is>
          <t>main article — PDF p. 9</t>
        </is>
      </c>
      <c r="E14" s="2" t="inlineStr">
        <is>
          <t>../../2018/jama.2017.21906/jama_huffman_2018_oi_170166.pdf#page=9</t>
        </is>
      </c>
    </row>
    <row r="15" ht="40" customHeight="1">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ht="40" customHeight="1">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ht="30" customHeight="1">
      <c r="A17" s="3" t="inlineStr">
        <is>
          <t>2018::jama.2017.21906::C005</t>
        </is>
      </c>
      <c r="B17" s="3" t="inlineStr">
        <is>
          <t>sourceLinks</t>
        </is>
      </c>
      <c r="C17" s="3" t="n">
        <v>0</v>
      </c>
      <c r="D17" s="3" t="inlineStr">
        <is>
          <t>Main article — PDF p. 3</t>
        </is>
      </c>
      <c r="E17" s="3" t="inlineStr">
        <is>
          <t>../../2018/jama.2017.21906/jama_huffman_2018_oi_170166.pdf#page=3</t>
        </is>
      </c>
    </row>
    <row r="18" ht="30" customHeight="1">
      <c r="A18" s="2" t="inlineStr">
        <is>
          <t>2018::jama.2017.21906::C005</t>
        </is>
      </c>
      <c r="B18" s="2" t="inlineStr">
        <is>
          <t>sourceLinks</t>
        </is>
      </c>
      <c r="C18" s="2" t="n">
        <v>1</v>
      </c>
      <c r="D18" s="2" t="inlineStr">
        <is>
          <t>main article — PDF p. 7</t>
        </is>
      </c>
      <c r="E18" s="2" t="inlineStr">
        <is>
          <t>../../2018/jama.2017.21906/jama_huffman_2018_oi_170166.pdf#page=7</t>
        </is>
      </c>
    </row>
    <row r="19" ht="30" customHeight="1">
      <c r="A19" s="3" t="inlineStr">
        <is>
          <t>2018::jama.2017.21906::C005</t>
        </is>
      </c>
      <c r="B19" s="3" t="inlineStr">
        <is>
          <t>sourceLinks</t>
        </is>
      </c>
      <c r="C19" s="3" t="n">
        <v>2</v>
      </c>
      <c r="D19" s="3" t="inlineStr">
        <is>
          <t>online supplement — PDF p. 21</t>
        </is>
      </c>
      <c r="E19" s="3" t="inlineStr">
        <is>
          <t>../../2018/jama.2017.21906/joi170166supp3_prod.pdf#page=21</t>
        </is>
      </c>
    </row>
    <row r="20" ht="30" customHeight="1">
      <c r="A20" s="2" t="inlineStr">
        <is>
          <t>2018::jama.2017.21906::C005</t>
        </is>
      </c>
      <c r="B20" s="2" t="inlineStr">
        <is>
          <t>sourceLinks</t>
        </is>
      </c>
      <c r="C20" s="2" t="n">
        <v>3</v>
      </c>
      <c r="D20" s="2" t="inlineStr">
        <is>
          <t>online supplement — PDF p. 22</t>
        </is>
      </c>
      <c r="E20" s="2" t="inlineStr">
        <is>
          <t>../../2018/jama.2017.21906/joi170166supp3_prod.pdf#page=22</t>
        </is>
      </c>
    </row>
    <row r="21" ht="40" customHeight="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ht="40" customHeight="1">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ht="30" customHeight="1">
      <c r="A23" s="3" t="inlineStr">
        <is>
          <t>2018::jama.2017.21906::C006</t>
        </is>
      </c>
      <c r="B23" s="3" t="inlineStr">
        <is>
          <t>sourceLinks</t>
        </is>
      </c>
      <c r="C23" s="3" t="n">
        <v>0</v>
      </c>
      <c r="D23" s="3" t="inlineStr">
        <is>
          <t>Main article — PDF p. 3</t>
        </is>
      </c>
      <c r="E23" s="3" t="inlineStr">
        <is>
          <t>../../2018/jama.2017.21906/jama_huffman_2018_oi_170166.pdf#page=3</t>
        </is>
      </c>
    </row>
    <row r="24" ht="30" customHeight="1">
      <c r="A24" s="2" t="inlineStr">
        <is>
          <t>2018::jama.2017.21906::C006</t>
        </is>
      </c>
      <c r="B24" s="2" t="inlineStr">
        <is>
          <t>sourceLinks</t>
        </is>
      </c>
      <c r="C24" s="2" t="n">
        <v>1</v>
      </c>
      <c r="D24" s="2" t="inlineStr">
        <is>
          <t>main article — PDF p. 9</t>
        </is>
      </c>
      <c r="E24" s="2" t="inlineStr">
        <is>
          <t>../../2018/jama.2017.21906/jama_huffman_2018_oi_170166.pdf#page=9</t>
        </is>
      </c>
    </row>
    <row r="25" ht="30" customHeight="1">
      <c r="A25" s="3" t="inlineStr">
        <is>
          <t>2018::jama.2017.21906::C006</t>
        </is>
      </c>
      <c r="B25" s="3" t="inlineStr">
        <is>
          <t>sourceLinks</t>
        </is>
      </c>
      <c r="C25" s="3" t="n">
        <v>2</v>
      </c>
      <c r="D25" s="3" t="inlineStr">
        <is>
          <t>SAP — PDF p. 7</t>
        </is>
      </c>
      <c r="E25" s="3" t="inlineStr">
        <is>
          <t>../../2018/jama.2017.21906/joi170166supp2_prod.pdf#page=7</t>
        </is>
      </c>
    </row>
    <row r="26" ht="40" customHeight="1">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ht="30" customHeight="1">
      <c r="A27" s="3" t="inlineStr">
        <is>
          <t>2018::jama.2018.0156::C001</t>
        </is>
      </c>
      <c r="B27" s="3" t="inlineStr">
        <is>
          <t>sourceLinks</t>
        </is>
      </c>
      <c r="C27" s="3" t="n">
        <v>0</v>
      </c>
      <c r="D27" s="3" t="inlineStr">
        <is>
          <t>jama_jabre_2018_oi_180004.pdf — PDF p. 3</t>
        </is>
      </c>
      <c r="E27" s="3" t="inlineStr">
        <is>
          <t>../../2018/jama.2018.0156/jama_jabre_2018_oi_180004.pdf#page=3</t>
        </is>
      </c>
    </row>
    <row r="28" ht="30" customHeight="1">
      <c r="A28" s="2" t="inlineStr">
        <is>
          <t>2018::jama.2018.0156::C001</t>
        </is>
      </c>
      <c r="B28" s="2" t="inlineStr">
        <is>
          <t>sourceLinks</t>
        </is>
      </c>
      <c r="C28" s="2" t="n">
        <v>1</v>
      </c>
      <c r="D28" s="2" t="inlineStr">
        <is>
          <t>jama_jabre_2018_oi_180004.pdf — PDF p. 4</t>
        </is>
      </c>
      <c r="E28" s="2" t="inlineStr">
        <is>
          <t>../../2018/jama.2018.0156/jama_jabre_2018_oi_180004.pdf#page=4</t>
        </is>
      </c>
    </row>
    <row r="29" ht="40" customHeight="1">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ht="30" customHeight="1">
      <c r="A30" s="2" t="inlineStr">
        <is>
          <t>2018::jama.2018.0156::C002</t>
        </is>
      </c>
      <c r="B30" s="2" t="inlineStr">
        <is>
          <t>sourceLinks</t>
        </is>
      </c>
      <c r="C30" s="2" t="n">
        <v>0</v>
      </c>
      <c r="D30" s="2" t="inlineStr">
        <is>
          <t>jama_jabre_2018_oi_180004.pdf — PDF p. 3</t>
        </is>
      </c>
      <c r="E30" s="2" t="inlineStr">
        <is>
          <t>../../2018/jama.2018.0156/jama_jabre_2018_oi_180004.pdf#page=3</t>
        </is>
      </c>
    </row>
    <row r="31" ht="30" customHeight="1">
      <c r="A31" s="3" t="inlineStr">
        <is>
          <t>2018::jama.2018.0156::C002</t>
        </is>
      </c>
      <c r="B31" s="3" t="inlineStr">
        <is>
          <t>sourceLinks</t>
        </is>
      </c>
      <c r="C31" s="3" t="n">
        <v>1</v>
      </c>
      <c r="D31" s="3" t="inlineStr">
        <is>
          <t>jama_jabre_2018_oi_180004.pdf — PDF p. 4</t>
        </is>
      </c>
      <c r="E31" s="3" t="inlineStr">
        <is>
          <t>../../2018/jama.2018.0156/jama_jabre_2018_oi_180004.pdf#page=4</t>
        </is>
      </c>
    </row>
    <row r="32" ht="40" customHeight="1">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ht="30" customHeight="1">
      <c r="A33" s="3" t="inlineStr">
        <is>
          <t>2018::jama.2018.0156::C003</t>
        </is>
      </c>
      <c r="B33" s="3" t="inlineStr">
        <is>
          <t>sourceLinks</t>
        </is>
      </c>
      <c r="C33" s="3" t="n">
        <v>0</v>
      </c>
      <c r="D33" s="3" t="inlineStr">
        <is>
          <t>jama_jabre_2018_oi_180004.pdf — PDF p. 6</t>
        </is>
      </c>
      <c r="E33" s="3" t="inlineStr">
        <is>
          <t>../../2018/jama.2018.0156/jama_jabre_2018_oi_180004.pdf#page=6</t>
        </is>
      </c>
    </row>
    <row r="34" ht="30" customHeight="1">
      <c r="A34" s="2" t="inlineStr">
        <is>
          <t>2018::jama.2018.0156::C003</t>
        </is>
      </c>
      <c r="B34" s="2" t="inlineStr">
        <is>
          <t>sourceLinks</t>
        </is>
      </c>
      <c r="C34" s="2" t="n">
        <v>1</v>
      </c>
      <c r="D34" s="2" t="inlineStr">
        <is>
          <t>joi180004supp1_prod.pdf — PDF p. 123</t>
        </is>
      </c>
      <c r="E34" s="2" t="inlineStr">
        <is>
          <t>../../2018/jama.2018.0156/joi180004supp1_prod.pdf#page=123</t>
        </is>
      </c>
    </row>
    <row r="35" ht="40" customHeight="1">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ht="40" customHeight="1">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ht="30" customHeight="1">
      <c r="A37" s="3" t="inlineStr">
        <is>
          <t>2018::jama.2018.0156::C004</t>
        </is>
      </c>
      <c r="B37" s="3" t="inlineStr">
        <is>
          <t>sourceLinks</t>
        </is>
      </c>
      <c r="C37" s="3" t="n">
        <v>0</v>
      </c>
      <c r="D37" s="3" t="inlineStr">
        <is>
          <t>jama_jabre_2018_oi_180004.pdf — PDF p. 3</t>
        </is>
      </c>
      <c r="E37" s="3" t="inlineStr">
        <is>
          <t>../../2018/jama.2018.0156/jama_jabre_2018_oi_180004.pdf#page=3</t>
        </is>
      </c>
    </row>
    <row r="38" ht="30" customHeight="1">
      <c r="A38" s="2" t="inlineStr">
        <is>
          <t>2018::jama.2018.0156::C004</t>
        </is>
      </c>
      <c r="B38" s="2" t="inlineStr">
        <is>
          <t>sourceLinks</t>
        </is>
      </c>
      <c r="C38" s="2" t="n">
        <v>1</v>
      </c>
      <c r="D38" s="2" t="inlineStr">
        <is>
          <t>PDF p. 6</t>
        </is>
      </c>
      <c r="E38" s="2" t="inlineStr">
        <is>
          <t>../../2018/jama.2018.0156/jama_jabre_2018_oi_180004.pdf#page=6</t>
        </is>
      </c>
    </row>
    <row r="39" ht="30" customHeight="1">
      <c r="A39" s="3" t="inlineStr">
        <is>
          <t>2018::jama.2018.0156::C004</t>
        </is>
      </c>
      <c r="B39" s="3" t="inlineStr">
        <is>
          <t>sourceLinks</t>
        </is>
      </c>
      <c r="C39" s="3" t="n">
        <v>2</v>
      </c>
      <c r="D39" s="3" t="inlineStr">
        <is>
          <t>joi180004supp1_prod.pdf — PDF p. 124</t>
        </is>
      </c>
      <c r="E39" s="3" t="inlineStr">
        <is>
          <t>../../2018/jama.2018.0156/joi180004supp1_prod.pdf#page=124</t>
        </is>
      </c>
    </row>
    <row r="40" ht="40" customHeight="1">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ht="40" customHeight="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ht="30" customHeight="1">
      <c r="A42" s="2" t="inlineStr">
        <is>
          <t>2018::jama.2018.0156::C005</t>
        </is>
      </c>
      <c r="B42" s="2" t="inlineStr">
        <is>
          <t>sourceLinks</t>
        </is>
      </c>
      <c r="C42" s="2" t="n">
        <v>0</v>
      </c>
      <c r="D42" s="2" t="inlineStr">
        <is>
          <t>jama_jabre_2018_oi_180004.pdf — PDF p. 6</t>
        </is>
      </c>
      <c r="E42" s="2" t="inlineStr">
        <is>
          <t>../../2018/jama.2018.0156/jama_jabre_2018_oi_180004.pdf#page=6</t>
        </is>
      </c>
    </row>
    <row r="43" ht="40" customHeight="1">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ht="30" customHeight="1">
      <c r="A44" s="2" t="inlineStr">
        <is>
          <t>2018::jama.2018.0156::C006</t>
        </is>
      </c>
      <c r="B44" s="2" t="inlineStr">
        <is>
          <t>sourceLinks</t>
        </is>
      </c>
      <c r="C44" s="2" t="n">
        <v>0</v>
      </c>
      <c r="D44" s="2" t="inlineStr">
        <is>
          <t>jama_jabre_2018_oi_180004.pdf — PDF p. 2</t>
        </is>
      </c>
      <c r="E44" s="2" t="inlineStr">
        <is>
          <t>../../2018/jama.2018.0156/jama_jabre_2018_oi_180004.pdf#page=2</t>
        </is>
      </c>
    </row>
    <row r="45" ht="30" customHeight="1">
      <c r="A45" s="3" t="inlineStr">
        <is>
          <t>2018::jama.2018.0156::C006</t>
        </is>
      </c>
      <c r="B45" s="3" t="inlineStr">
        <is>
          <t>sourceLinks</t>
        </is>
      </c>
      <c r="C45" s="3" t="n">
        <v>1</v>
      </c>
      <c r="D45" s="3" t="inlineStr">
        <is>
          <t>joi180004supp2_prod.pdf — PDF p. 2</t>
        </is>
      </c>
      <c r="E45" s="3" t="inlineStr">
        <is>
          <t>../../2018/jama.2018.0156/joi180004supp2_prod.pdf#page=2</t>
        </is>
      </c>
    </row>
    <row r="46" ht="40" customHeight="1">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ht="30" customHeight="1">
      <c r="A47" s="3" t="inlineStr">
        <is>
          <t>2018::jama.2018.0156::C007</t>
        </is>
      </c>
      <c r="B47" s="3" t="inlineStr">
        <is>
          <t>sourceLinks</t>
        </is>
      </c>
      <c r="C47" s="3" t="n">
        <v>0</v>
      </c>
      <c r="D47" s="3" t="inlineStr">
        <is>
          <t>jama_jabre_2018_oi_180004.pdf — PDF p. 1</t>
        </is>
      </c>
      <c r="E47" s="3" t="inlineStr">
        <is>
          <t>../../2018/jama.2018.0156/jama_jabre_2018_oi_180004.pdf#page=1</t>
        </is>
      </c>
    </row>
    <row r="48" ht="30" customHeight="1">
      <c r="A48" s="2" t="inlineStr">
        <is>
          <t>2018::jama.2018.0156::C007</t>
        </is>
      </c>
      <c r="B48" s="2" t="inlineStr">
        <is>
          <t>sourceLinks</t>
        </is>
      </c>
      <c r="C48" s="2" t="n">
        <v>1</v>
      </c>
      <c r="D48" s="2" t="inlineStr">
        <is>
          <t>PDF p. 3</t>
        </is>
      </c>
      <c r="E48" s="2" t="inlineStr">
        <is>
          <t>../../2018/jama.2018.0156/jama_jabre_2018_oi_180004.pdf#page=3</t>
        </is>
      </c>
    </row>
    <row r="49" ht="30" customHeight="1">
      <c r="A49" s="3" t="inlineStr">
        <is>
          <t>2018::jama.2018.0156::C007</t>
        </is>
      </c>
      <c r="B49" s="3" t="inlineStr">
        <is>
          <t>sourceLinks</t>
        </is>
      </c>
      <c r="C49" s="3" t="n">
        <v>2</v>
      </c>
      <c r="D49" s="3" t="inlineStr">
        <is>
          <t>joi180004supp1_prod.pdf — PDF p. 110</t>
        </is>
      </c>
      <c r="E49" s="3" t="inlineStr">
        <is>
          <t>../../2018/jama.2018.0156/joi180004supp1_prod.pdf#page=110</t>
        </is>
      </c>
    </row>
    <row r="50" ht="40" customHeight="1">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ht="40" customHeight="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ht="30" customHeight="1">
      <c r="A52" s="2" t="inlineStr">
        <is>
          <t>2018::jama.2018.0156::C008</t>
        </is>
      </c>
      <c r="B52" s="2" t="inlineStr">
        <is>
          <t>sourceLinks</t>
        </is>
      </c>
      <c r="C52" s="2" t="n">
        <v>0</v>
      </c>
      <c r="D52" s="2" t="inlineStr">
        <is>
          <t>joi180004supp1_prod.pdf — PDF p. 110</t>
        </is>
      </c>
      <c r="E52" s="2" t="inlineStr">
        <is>
          <t>../../2018/jama.2018.0156/joi180004supp1_prod.pdf#page=110</t>
        </is>
      </c>
    </row>
    <row r="53" ht="30" customHeight="1">
      <c r="A53" s="3" t="inlineStr">
        <is>
          <t>2018::jama.2018.0156::C008</t>
        </is>
      </c>
      <c r="B53" s="3" t="inlineStr">
        <is>
          <t>sourceLinks</t>
        </is>
      </c>
      <c r="C53" s="3" t="n">
        <v>1</v>
      </c>
      <c r="D53" s="3" t="inlineStr">
        <is>
          <t>jama_jabre_2018_oi_180004.pdf — PDF p. 1</t>
        </is>
      </c>
      <c r="E53" s="3" t="inlineStr">
        <is>
          <t>../../2018/jama.2018.0156/jama_jabre_2018_oi_180004.pdf#page=1</t>
        </is>
      </c>
    </row>
    <row r="54" ht="30" customHeight="1">
      <c r="A54" s="2" t="inlineStr">
        <is>
          <t>2018::jama.2018.0156::C008</t>
        </is>
      </c>
      <c r="B54" s="2" t="inlineStr">
        <is>
          <t>sourceLinks</t>
        </is>
      </c>
      <c r="C54" s="2" t="n">
        <v>2</v>
      </c>
      <c r="D54" s="2" t="inlineStr">
        <is>
          <t>PDF p. 4</t>
        </is>
      </c>
      <c r="E54" s="2" t="inlineStr">
        <is>
          <t>../../2018/jama.2018.0156/jama_jabre_2018_oi_180004.pdf#page=4</t>
        </is>
      </c>
    </row>
    <row r="55" ht="30" customHeight="1">
      <c r="A55" s="3" t="inlineStr">
        <is>
          <t>2018::jama.2018.0156::C008</t>
        </is>
      </c>
      <c r="B55" s="3" t="inlineStr">
        <is>
          <t>sourceLinks</t>
        </is>
      </c>
      <c r="C55" s="3" t="n">
        <v>3</v>
      </c>
      <c r="D55" s="3" t="inlineStr">
        <is>
          <t>PDF p. 6</t>
        </is>
      </c>
      <c r="E55" s="3" t="inlineStr">
        <is>
          <t>../../2018/jama.2018.0156/jama_jabre_2018_oi_180004.pdf#page=6</t>
        </is>
      </c>
    </row>
    <row r="56" ht="40" customHeight="1">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ht="40" customHeight="1">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ht="40" customHeight="1">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ht="30" customHeight="1">
      <c r="A59" s="3" t="inlineStr">
        <is>
          <t>2018::jama.2018.0948::C001</t>
        </is>
      </c>
      <c r="B59" s="3" t="inlineStr">
        <is>
          <t>sourceLinks</t>
        </is>
      </c>
      <c r="C59" s="3" t="n">
        <v>0</v>
      </c>
      <c r="D59" s="3" t="inlineStr">
        <is>
          <t>main article — PDF p. 4</t>
        </is>
      </c>
      <c r="E59" s="3" t="inlineStr">
        <is>
          <t>../../2018/jama.2018.0948/jama_parshuram_2018_oi_180015.pdf#page=4</t>
        </is>
      </c>
    </row>
    <row r="60" ht="30" customHeight="1">
      <c r="A60" s="2" t="inlineStr">
        <is>
          <t>2018::jama.2018.0948::C001</t>
        </is>
      </c>
      <c r="B60" s="2" t="inlineStr">
        <is>
          <t>sourceLinks</t>
        </is>
      </c>
      <c r="C60" s="2" t="n">
        <v>1</v>
      </c>
      <c r="D60" s="2" t="inlineStr">
        <is>
          <t>Supplement 1 Table 5 — PDF p. 24</t>
        </is>
      </c>
      <c r="E60" s="2" t="inlineStr">
        <is>
          <t>../../2018/jama.2018.0948/joi180015supp1_prod.pdf#page=24</t>
        </is>
      </c>
    </row>
    <row r="61" ht="30" customHeight="1">
      <c r="A61" s="3" t="inlineStr">
        <is>
          <t>2018::jama.2018.0948::C001</t>
        </is>
      </c>
      <c r="B61" s="3" t="inlineStr">
        <is>
          <t>sourceLinks</t>
        </is>
      </c>
      <c r="C61" s="3" t="n">
        <v>2</v>
      </c>
      <c r="D61" s="3" t="inlineStr">
        <is>
          <t>Supplement 3 eTable 1 — PDF p. 6</t>
        </is>
      </c>
      <c r="E61" s="3" t="inlineStr">
        <is>
          <t>../../2018/jama.2018.0948/joi180015supp3_prod.pdf#page=6</t>
        </is>
      </c>
    </row>
    <row r="62" ht="40" customHeight="1">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ht="40" customHeight="1">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ht="30" customHeight="1">
      <c r="A64" s="2" t="inlineStr">
        <is>
          <t>2018::jama.2018.0948::C002</t>
        </is>
      </c>
      <c r="B64" s="2" t="inlineStr">
        <is>
          <t>sourceLinks</t>
        </is>
      </c>
      <c r="C64" s="2" t="n">
        <v>0</v>
      </c>
      <c r="D64" s="2" t="inlineStr">
        <is>
          <t>Supplement 1 — PDF p. 1</t>
        </is>
      </c>
      <c r="E64" s="2" t="inlineStr">
        <is>
          <t>../../2018/jama.2018.0948/joi180015supp1_prod.pdf#page=1</t>
        </is>
      </c>
    </row>
    <row r="65" ht="30" customHeight="1">
      <c r="A65" s="3" t="inlineStr">
        <is>
          <t>2018::jama.2018.0948::C002</t>
        </is>
      </c>
      <c r="B65" s="3" t="inlineStr">
        <is>
          <t>sourceLinks</t>
        </is>
      </c>
      <c r="C65" s="3" t="n">
        <v>1</v>
      </c>
      <c r="D65" s="3" t="inlineStr">
        <is>
          <t>p. 14</t>
        </is>
      </c>
      <c r="E65" s="3" t="inlineStr">
        <is>
          <t>../../2018/jama.2018.0948/joi180015supp1_prod.pdf#page=14</t>
        </is>
      </c>
    </row>
    <row r="66" ht="30" customHeight="1">
      <c r="A66" s="2" t="inlineStr">
        <is>
          <t>2018::jama.2018.0948::C002</t>
        </is>
      </c>
      <c r="B66" s="2" t="inlineStr">
        <is>
          <t>sourceLinks</t>
        </is>
      </c>
      <c r="C66" s="2" t="n">
        <v>2</v>
      </c>
      <c r="D66" s="2" t="inlineStr">
        <is>
          <t>p. 29</t>
        </is>
      </c>
      <c r="E66" s="2" t="inlineStr">
        <is>
          <t>../../2018/jama.2018.0948/joi180015supp1_prod.pdf#page=29</t>
        </is>
      </c>
    </row>
    <row r="67" ht="30" customHeight="1">
      <c r="A67" s="3" t="inlineStr">
        <is>
          <t>2018::jama.2018.0948::C002</t>
        </is>
      </c>
      <c r="B67" s="3" t="inlineStr">
        <is>
          <t>sourceLinks</t>
        </is>
      </c>
      <c r="C67" s="3" t="n">
        <v>3</v>
      </c>
      <c r="D67" s="3" t="inlineStr">
        <is>
          <t>main article — PDF p. 4</t>
        </is>
      </c>
      <c r="E67" s="3" t="inlineStr">
        <is>
          <t>../../2018/jama.2018.0948/jama_parshuram_2018_oi_180015.pdf#page=4</t>
        </is>
      </c>
    </row>
    <row r="68" ht="40" customHeight="1">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ht="40" customHeight="1">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ht="30" customHeight="1">
      <c r="A70" s="2" t="inlineStr">
        <is>
          <t>2018::jama.2018.0948::C003</t>
        </is>
      </c>
      <c r="B70" s="2" t="inlineStr">
        <is>
          <t>sourceLinks</t>
        </is>
      </c>
      <c r="C70" s="2" t="n">
        <v>0</v>
      </c>
      <c r="D70" s="2" t="inlineStr">
        <is>
          <t>Supplement 1 — PDF p. 11</t>
        </is>
      </c>
      <c r="E70" s="2" t="inlineStr">
        <is>
          <t>../../2018/jama.2018.0948/joi180015supp1_prod.pdf#page=11</t>
        </is>
      </c>
    </row>
    <row r="71" ht="30" customHeight="1">
      <c r="A71" s="3" t="inlineStr">
        <is>
          <t>2018::jama.2018.0948::C003</t>
        </is>
      </c>
      <c r="B71" s="3" t="inlineStr">
        <is>
          <t>sourceLinks</t>
        </is>
      </c>
      <c r="C71" s="3" t="n">
        <v>1</v>
      </c>
      <c r="D71" s="3" t="inlineStr">
        <is>
          <t>Table 5 — PDF p. 24</t>
        </is>
      </c>
      <c r="E71" s="3" t="inlineStr">
        <is>
          <t>../../2018/jama.2018.0948/joi180015supp1_prod.pdf#page=24</t>
        </is>
      </c>
    </row>
    <row r="72" ht="30" customHeight="1">
      <c r="A72" s="2" t="inlineStr">
        <is>
          <t>2018::jama.2018.0948::C003</t>
        </is>
      </c>
      <c r="B72" s="2" t="inlineStr">
        <is>
          <t>sourceLinks</t>
        </is>
      </c>
      <c r="C72" s="2" t="n">
        <v>2</v>
      </c>
      <c r="D72" s="2" t="inlineStr">
        <is>
          <t>Table 6 legend — PDF p. 27</t>
        </is>
      </c>
      <c r="E72" s="2" t="inlineStr">
        <is>
          <t>../../2018/jama.2018.0948/joi180015supp1_prod.pdf#page=27</t>
        </is>
      </c>
    </row>
    <row r="73" ht="40" customHeight="1">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ht="40" customHeight="1">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ht="30" customHeight="1">
      <c r="A75" s="3" t="inlineStr">
        <is>
          <t>2018::jama.2018.0948::C004</t>
        </is>
      </c>
      <c r="B75" s="3" t="inlineStr">
        <is>
          <t>sourceLinks</t>
        </is>
      </c>
      <c r="C75" s="3" t="n">
        <v>0</v>
      </c>
      <c r="D75" s="3" t="inlineStr">
        <is>
          <t>Supplement 1 — PDF p. 11</t>
        </is>
      </c>
      <c r="E75" s="3" t="inlineStr">
        <is>
          <t>../../2018/jama.2018.0948/joi180015supp1_prod.pdf#page=11</t>
        </is>
      </c>
    </row>
    <row r="76" ht="30" customHeight="1">
      <c r="A76" s="2" t="inlineStr">
        <is>
          <t>2018::jama.2018.0948::C004</t>
        </is>
      </c>
      <c r="B76" s="2" t="inlineStr">
        <is>
          <t>sourceLinks</t>
        </is>
      </c>
      <c r="C76" s="2" t="n">
        <v>1</v>
      </c>
      <c r="D76" s="2" t="inlineStr">
        <is>
          <t>Table 7 — PDF p. 28</t>
        </is>
      </c>
      <c r="E76" s="2" t="inlineStr">
        <is>
          <t>../../2018/jama.2018.0948/joi180015supp1_prod.pdf#page=28</t>
        </is>
      </c>
    </row>
    <row r="77" ht="30" customHeight="1">
      <c r="A77" s="3" t="inlineStr">
        <is>
          <t>2018::jama.2018.0948::C004</t>
        </is>
      </c>
      <c r="B77" s="3" t="inlineStr">
        <is>
          <t>sourceLinks</t>
        </is>
      </c>
      <c r="C77" s="3" t="n">
        <v>2</v>
      </c>
      <c r="D77" s="3" t="inlineStr">
        <is>
          <t>Supplement 3 eTable 1 — PDF p. 6</t>
        </is>
      </c>
      <c r="E77" s="3" t="inlineStr">
        <is>
          <t>../../2018/jama.2018.0948/joi180015supp3_prod.pdf#page=6</t>
        </is>
      </c>
    </row>
    <row r="78" ht="30" customHeight="1">
      <c r="A78" s="2" t="inlineStr">
        <is>
          <t>2018::jama.2018.0948::C004</t>
        </is>
      </c>
      <c r="B78" s="2" t="inlineStr">
        <is>
          <t>sourceLinks</t>
        </is>
      </c>
      <c r="C78" s="2" t="n">
        <v>3</v>
      </c>
      <c r="D78" s="2" t="inlineStr">
        <is>
          <t>main article — PDF p. 7</t>
        </is>
      </c>
      <c r="E78" s="2" t="inlineStr">
        <is>
          <t>../../2018/jama.2018.0948/jama_parshuram_2018_oi_180015.pdf#page=7</t>
        </is>
      </c>
    </row>
    <row r="79" ht="40" customHeight="1">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ht="40" customHeight="1">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ht="40" customHeight="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ht="30" customHeight="1">
      <c r="A82" s="2" t="inlineStr">
        <is>
          <t>2018::jama.2018.0948::C005</t>
        </is>
      </c>
      <c r="B82" s="2" t="inlineStr">
        <is>
          <t>sourceLinks</t>
        </is>
      </c>
      <c r="C82" s="2" t="n">
        <v>0</v>
      </c>
      <c r="D82" s="2" t="inlineStr">
        <is>
          <t>Supplement 1 — PDF p. 14</t>
        </is>
      </c>
      <c r="E82" s="2" t="inlineStr">
        <is>
          <t>../../2018/jama.2018.0948/joi180015supp1_prod.pdf#page=14</t>
        </is>
      </c>
    </row>
    <row r="83" ht="30" customHeight="1">
      <c r="A83" s="3" t="inlineStr">
        <is>
          <t>2018::jama.2018.0948::C005</t>
        </is>
      </c>
      <c r="B83" s="3" t="inlineStr">
        <is>
          <t>sourceLinks</t>
        </is>
      </c>
      <c r="C83" s="3" t="n">
        <v>1</v>
      </c>
      <c r="D83" s="3" t="inlineStr">
        <is>
          <t>PDF p. 30</t>
        </is>
      </c>
      <c r="E83" s="3" t="inlineStr">
        <is>
          <t>../../2018/jama.2018.0948/joi180015supp1_prod.pdf#page=30</t>
        </is>
      </c>
    </row>
    <row r="84" ht="40" customHeight="1">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ht="40" customHeight="1">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ht="40" customHeight="1">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ht="30" customHeight="1">
      <c r="A87" s="3" t="inlineStr">
        <is>
          <t>2018::jama.2018.0948::C006</t>
        </is>
      </c>
      <c r="B87" s="3" t="inlineStr">
        <is>
          <t>sourceLinks</t>
        </is>
      </c>
      <c r="C87" s="3" t="n">
        <v>0</v>
      </c>
      <c r="D87" s="3" t="inlineStr">
        <is>
          <t>Supplement 1 — PDF p. 30</t>
        </is>
      </c>
      <c r="E87" s="3" t="inlineStr">
        <is>
          <t>../../2018/jama.2018.0948/joi180015supp1_prod.pdf#page=30</t>
        </is>
      </c>
    </row>
    <row r="88" ht="40" customHeight="1">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ht="40" customHeight="1">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ht="30" customHeight="1">
      <c r="A90" s="2" t="inlineStr">
        <is>
          <t>2018::jama.2018.0948::C007</t>
        </is>
      </c>
      <c r="B90" s="2" t="inlineStr">
        <is>
          <t>sourceLinks</t>
        </is>
      </c>
      <c r="C90" s="2" t="n">
        <v>0</v>
      </c>
      <c r="D90" s="2" t="inlineStr">
        <is>
          <t>Supplement 1 — PDF p. 30</t>
        </is>
      </c>
      <c r="E90" s="2" t="inlineStr">
        <is>
          <t>../../2018/jama.2018.0948/joi180015supp1_prod.pdf#page=30</t>
        </is>
      </c>
    </row>
    <row r="91" ht="40" customHeight="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ht="40" customHeight="1">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ht="40" customHeight="1">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ht="40" customHeight="1">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ht="40" customHeight="1">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ht="40" customHeight="1">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ht="40" customHeight="1">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ht="40" customHeight="1">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ht="40" customHeight="1">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ht="40" customHeight="1">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ht="40" customHeight="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ht="40" customHeight="1">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ht="40" customHeight="1">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ht="40" customHeight="1">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ht="40" customHeight="1">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ht="40" customHeight="1">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ht="40" customHeight="1">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ht="40" customHeight="1">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ht="40" customHeight="1">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ht="40" customHeight="1">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ht="40" customHeight="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ht="40" customHeight="1">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ht="40" customHeight="1">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ht="40" customHeight="1">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ht="40" customHeight="1">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ht="40" customHeight="1">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ht="40" customHeight="1">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ht="40" customHeight="1">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ht="30" customHeight="1">
      <c r="A119" s="3" t="inlineStr">
        <is>
          <t>2018::jama.2018.14282::C001</t>
        </is>
      </c>
      <c r="B119" s="3" t="inlineStr">
        <is>
          <t>sourceLinks</t>
        </is>
      </c>
      <c r="C119" s="3" t="n">
        <v>0</v>
      </c>
      <c r="D119" s="3" t="inlineStr">
        <is>
          <t>DOC-001 Table 1 — PDF p. 4</t>
        </is>
      </c>
      <c r="E119" s="3" t="inlineStr">
        <is>
          <t>../../2018/jama.2018.14282/jama_azoulay_2018_oi_180109.pdf#page=4</t>
        </is>
      </c>
    </row>
    <row r="120" ht="40" customHeight="1">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ht="30" customHeight="1">
      <c r="A121" s="3" t="inlineStr">
        <is>
          <t>2018::jama.2018.14282::C002</t>
        </is>
      </c>
      <c r="B121" s="3" t="inlineStr">
        <is>
          <t>sourceLinks</t>
        </is>
      </c>
      <c r="C121" s="3" t="n">
        <v>0</v>
      </c>
      <c r="D121" s="3" t="inlineStr">
        <is>
          <t>DOC-001 Table 1 — PDF p. 4</t>
        </is>
      </c>
      <c r="E121" s="3" t="inlineStr">
        <is>
          <t>../../2018/jama.2018.14282/jama_azoulay_2018_oi_180109.pdf#page=4</t>
        </is>
      </c>
    </row>
    <row r="122" ht="40" customHeight="1">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ht="30" customHeight="1">
      <c r="A123" s="3" t="inlineStr">
        <is>
          <t>2018::jama.2018.14282::C003</t>
        </is>
      </c>
      <c r="B123" s="3" t="inlineStr">
        <is>
          <t>sourceLinks</t>
        </is>
      </c>
      <c r="C123" s="3" t="n">
        <v>0</v>
      </c>
      <c r="D123" s="3" t="inlineStr">
        <is>
          <t>DOC-001 Table 1 — PDF p. 4</t>
        </is>
      </c>
      <c r="E123" s="3" t="inlineStr">
        <is>
          <t>../../2018/jama.2018.14282/jama_azoulay_2018_oi_180109.pdf#page=4</t>
        </is>
      </c>
    </row>
    <row r="124" ht="40" customHeight="1">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ht="30" customHeight="1">
      <c r="A125" s="3" t="inlineStr">
        <is>
          <t>2018::jama.2018.14282::C004</t>
        </is>
      </c>
      <c r="B125" s="3" t="inlineStr">
        <is>
          <t>sourceLinks</t>
        </is>
      </c>
      <c r="C125" s="3" t="n">
        <v>0</v>
      </c>
      <c r="D125" s="3" t="inlineStr">
        <is>
          <t>DOC-001 Table 1 — PDF p. 4</t>
        </is>
      </c>
      <c r="E125" s="3" t="inlineStr">
        <is>
          <t>../../2018/jama.2018.14282/jama_azoulay_2018_oi_180109.pdf#page=4</t>
        </is>
      </c>
    </row>
    <row r="126" ht="40" customHeight="1">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ht="30" customHeight="1">
      <c r="A127" s="3" t="inlineStr">
        <is>
          <t>2018::jama.2018.14282::C005</t>
        </is>
      </c>
      <c r="B127" s="3" t="inlineStr">
        <is>
          <t>sourceLinks</t>
        </is>
      </c>
      <c r="C127" s="3" t="n">
        <v>0</v>
      </c>
      <c r="D127" s="3" t="inlineStr">
        <is>
          <t>DOC-001 Table 1 — PDF p. 4</t>
        </is>
      </c>
      <c r="E127" s="3" t="inlineStr">
        <is>
          <t>../../2018/jama.2018.14282/jama_azoulay_2018_oi_180109.pdf#page=4</t>
        </is>
      </c>
    </row>
    <row r="128" ht="40" customHeight="1">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ht="30" customHeight="1">
      <c r="A129" s="3" t="inlineStr">
        <is>
          <t>2018::jama.2018.14282::C006</t>
        </is>
      </c>
      <c r="B129" s="3" t="inlineStr">
        <is>
          <t>sourceLinks</t>
        </is>
      </c>
      <c r="C129" s="3" t="n">
        <v>0</v>
      </c>
      <c r="D129" s="3" t="inlineStr">
        <is>
          <t>DOC-001 Table 1 — PDF p. 4</t>
        </is>
      </c>
      <c r="E129" s="3" t="inlineStr">
        <is>
          <t>../../2018/jama.2018.14282/jama_azoulay_2018_oi_180109.pdf#page=4</t>
        </is>
      </c>
    </row>
    <row r="130" ht="40" customHeight="1">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ht="30" customHeight="1">
      <c r="A131" s="3" t="inlineStr">
        <is>
          <t>2018::jama.2018.14282::C007</t>
        </is>
      </c>
      <c r="B131" s="3" t="inlineStr">
        <is>
          <t>sourceLinks</t>
        </is>
      </c>
      <c r="C131" s="3" t="n">
        <v>0</v>
      </c>
      <c r="D131" s="3" t="inlineStr">
        <is>
          <t>DOC-001 Table 1 — PDF p. 4</t>
        </is>
      </c>
      <c r="E131" s="3" t="inlineStr">
        <is>
          <t>../../2018/jama.2018.14282/jama_azoulay_2018_oi_180109.pdf#page=4</t>
        </is>
      </c>
    </row>
    <row r="132" ht="40" customHeight="1">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ht="30" customHeight="1">
      <c r="A133" s="3" t="inlineStr">
        <is>
          <t>2018::jama.2018.14282::C008</t>
        </is>
      </c>
      <c r="B133" s="3" t="inlineStr">
        <is>
          <t>sourceLinks</t>
        </is>
      </c>
      <c r="C133" s="3" t="n">
        <v>0</v>
      </c>
      <c r="D133" s="3" t="inlineStr">
        <is>
          <t>DOC-001 Table 1 — PDF p. 4</t>
        </is>
      </c>
      <c r="E133" s="3" t="inlineStr">
        <is>
          <t>../../2018/jama.2018.14282/jama_azoulay_2018_oi_180109.pdf#page=4</t>
        </is>
      </c>
    </row>
    <row r="134" ht="40" customHeight="1">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ht="30" customHeight="1">
      <c r="A135" s="3" t="inlineStr">
        <is>
          <t>2018::jama.2018.14282::C009</t>
        </is>
      </c>
      <c r="B135" s="3" t="inlineStr">
        <is>
          <t>sourceLinks</t>
        </is>
      </c>
      <c r="C135" s="3" t="n">
        <v>0</v>
      </c>
      <c r="D135" s="3" t="inlineStr">
        <is>
          <t>DOC-001 Table 1 — PDF p. 4</t>
        </is>
      </c>
      <c r="E135" s="3" t="inlineStr">
        <is>
          <t>../../2018/jama.2018.14282/jama_azoulay_2018_oi_180109.pdf#page=4</t>
        </is>
      </c>
    </row>
    <row r="136" ht="40" customHeight="1">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ht="30" customHeight="1">
      <c r="A137" s="3" t="inlineStr">
        <is>
          <t>2018::jama.2018.14282::C010</t>
        </is>
      </c>
      <c r="B137" s="3" t="inlineStr">
        <is>
          <t>sourceLinks</t>
        </is>
      </c>
      <c r="C137" s="3" t="n">
        <v>0</v>
      </c>
      <c r="D137" s="3" t="inlineStr">
        <is>
          <t>DOC-001 Table 1 — PDF p. 4</t>
        </is>
      </c>
      <c r="E137" s="3" t="inlineStr">
        <is>
          <t>../../2018/jama.2018.14282/jama_azoulay_2018_oi_180109.pdf#page=4</t>
        </is>
      </c>
    </row>
    <row r="138" ht="40" customHeight="1">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ht="30" customHeight="1">
      <c r="A139" s="3" t="inlineStr">
        <is>
          <t>2018::jama.2018.14282::C011</t>
        </is>
      </c>
      <c r="B139" s="3" t="inlineStr">
        <is>
          <t>sourceLinks</t>
        </is>
      </c>
      <c r="C139" s="3" t="n">
        <v>0</v>
      </c>
      <c r="D139" s="3" t="inlineStr">
        <is>
          <t>DOC-001 Table 1 — PDF p. 4</t>
        </is>
      </c>
      <c r="E139" s="3" t="inlineStr">
        <is>
          <t>../../2018/jama.2018.14282/jama_azoulay_2018_oi_180109.pdf#page=4</t>
        </is>
      </c>
    </row>
    <row r="140" ht="40" customHeight="1">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ht="30" customHeight="1">
      <c r="A141" s="3" t="inlineStr">
        <is>
          <t>2018::jama.2018.14282::C012</t>
        </is>
      </c>
      <c r="B141" s="3" t="inlineStr">
        <is>
          <t>sourceLinks</t>
        </is>
      </c>
      <c r="C141" s="3" t="n">
        <v>0</v>
      </c>
      <c r="D141" s="3" t="inlineStr">
        <is>
          <t>DOC-001 Table 1 — PDF p. 4</t>
        </is>
      </c>
      <c r="E141" s="3" t="inlineStr">
        <is>
          <t>../../2018/jama.2018.14282/jama_azoulay_2018_oi_180109.pdf#page=4</t>
        </is>
      </c>
    </row>
    <row r="142" ht="40" customHeight="1">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ht="30" customHeight="1">
      <c r="A143" s="3" t="inlineStr">
        <is>
          <t>2018::jama.2018.14282::C013</t>
        </is>
      </c>
      <c r="B143" s="3" t="inlineStr">
        <is>
          <t>sourceLinks</t>
        </is>
      </c>
      <c r="C143" s="3" t="n">
        <v>0</v>
      </c>
      <c r="D143" s="3" t="inlineStr">
        <is>
          <t>DOC-001 Table 1 — PDF p. 4</t>
        </is>
      </c>
      <c r="E143" s="3" t="inlineStr">
        <is>
          <t>../../2018/jama.2018.14282/jama_azoulay_2018_oi_180109.pdf#page=4</t>
        </is>
      </c>
    </row>
    <row r="144" ht="40" customHeight="1">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ht="30" customHeight="1">
      <c r="A145" s="3" t="inlineStr">
        <is>
          <t>2018::jama.2018.14282::C014</t>
        </is>
      </c>
      <c r="B145" s="3" t="inlineStr">
        <is>
          <t>sourceLinks</t>
        </is>
      </c>
      <c r="C145" s="3" t="n">
        <v>0</v>
      </c>
      <c r="D145" s="3" t="inlineStr">
        <is>
          <t>DOC-001 Table 1 — PDF p. 4</t>
        </is>
      </c>
      <c r="E145" s="3" t="inlineStr">
        <is>
          <t>../../2018/jama.2018.14282/jama_azoulay_2018_oi_180109.pdf#page=4</t>
        </is>
      </c>
    </row>
    <row r="146" ht="40" customHeight="1">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ht="30" customHeight="1">
      <c r="A147" s="3" t="inlineStr">
        <is>
          <t>2018::jama.2018.14282::C015</t>
        </is>
      </c>
      <c r="B147" s="3" t="inlineStr">
        <is>
          <t>sourceLinks</t>
        </is>
      </c>
      <c r="C147" s="3" t="n">
        <v>0</v>
      </c>
      <c r="D147" s="3" t="inlineStr">
        <is>
          <t>DOC-001 Table 2 — PDF p. 5</t>
        </is>
      </c>
      <c r="E147" s="3" t="inlineStr">
        <is>
          <t>../../2018/jama.2018.14282/jama_azoulay_2018_oi_180109.pdf#page=5</t>
        </is>
      </c>
    </row>
    <row r="148" ht="40" customHeight="1">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ht="30" customHeight="1">
      <c r="A149" s="3" t="inlineStr">
        <is>
          <t>2018::jama.2018.14282::C016</t>
        </is>
      </c>
      <c r="B149" s="3" t="inlineStr">
        <is>
          <t>sourceLinks</t>
        </is>
      </c>
      <c r="C149" s="3" t="n">
        <v>0</v>
      </c>
      <c r="D149" s="3" t="inlineStr">
        <is>
          <t>DOC-001 Table 2 — PDF p. 5</t>
        </is>
      </c>
      <c r="E149" s="3" t="inlineStr">
        <is>
          <t>../../2018/jama.2018.14282/jama_azoulay_2018_oi_180109.pdf#page=5</t>
        </is>
      </c>
    </row>
    <row r="150" ht="40" customHeight="1">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ht="30" customHeight="1">
      <c r="A151" s="3" t="inlineStr">
        <is>
          <t>2018::jama.2018.14282::C017</t>
        </is>
      </c>
      <c r="B151" s="3" t="inlineStr">
        <is>
          <t>sourceLinks</t>
        </is>
      </c>
      <c r="C151" s="3" t="n">
        <v>0</v>
      </c>
      <c r="D151" s="3" t="inlineStr">
        <is>
          <t>DOC-001 abstract — PDF p. 1</t>
        </is>
      </c>
      <c r="E151" s="3" t="inlineStr">
        <is>
          <t>../../2018/jama.2018.14282/jama_azoulay_2018_oi_180109.pdf#page=1</t>
        </is>
      </c>
    </row>
    <row r="152" ht="30" customHeight="1">
      <c r="A152" s="2" t="inlineStr">
        <is>
          <t>2018::jama.2018.14282::C017</t>
        </is>
      </c>
      <c r="B152" s="2" t="inlineStr">
        <is>
          <t>sourceLinks</t>
        </is>
      </c>
      <c r="C152" s="2" t="n">
        <v>1</v>
      </c>
      <c r="D152" s="2" t="inlineStr">
        <is>
          <t>DOC-001 results — PDF p. 6</t>
        </is>
      </c>
      <c r="E152" s="2" t="inlineStr">
        <is>
          <t>../../2018/jama.2018.14282/jama_azoulay_2018_oi_180109.pdf#page=6</t>
        </is>
      </c>
    </row>
    <row r="153" ht="40" customHeight="1">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ht="40" customHeight="1">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ht="30" customHeight="1">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ht="40" customHeight="1">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ht="40" customHeight="1">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ht="40" customHeight="1">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ht="30" customHeight="1">
      <c r="A159" s="3" t="inlineStr">
        <is>
          <t>2018::jama.2018.14282::C019</t>
        </is>
      </c>
      <c r="B159" s="3" t="inlineStr">
        <is>
          <t>sourceLinks</t>
        </is>
      </c>
      <c r="C159" s="3" t="n">
        <v>0</v>
      </c>
      <c r="D159" s="3" t="inlineStr">
        <is>
          <t>DOC-003 eTable — PDF p. 2</t>
        </is>
      </c>
      <c r="E159" s="3" t="inlineStr">
        <is>
          <t>../../2018/jama.2018.14282/joi180109supp2_prod.pdf#page=2</t>
        </is>
      </c>
    </row>
    <row r="160" ht="40" customHeight="1">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ht="40" customHeight="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ht="30" customHeight="1">
      <c r="A162" s="2" t="inlineStr">
        <is>
          <t>2018::jama.2018.14282::C020</t>
        </is>
      </c>
      <c r="B162" s="2" t="inlineStr">
        <is>
          <t>sourceLinks</t>
        </is>
      </c>
      <c r="C162" s="2" t="n">
        <v>0</v>
      </c>
      <c r="D162" s="2" t="inlineStr">
        <is>
          <t>DOC-003 eTable — PDF p. 2</t>
        </is>
      </c>
      <c r="E162" s="2" t="inlineStr">
        <is>
          <t>../../2018/jama.2018.14282/joi180109supp2_prod.pdf#page=2</t>
        </is>
      </c>
    </row>
    <row r="163" ht="40" customHeight="1">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ht="40" customHeight="1">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ht="30" customHeight="1">
      <c r="A165" s="3" t="inlineStr">
        <is>
          <t>2018::jama.2018.14282::C021</t>
        </is>
      </c>
      <c r="B165" s="3" t="inlineStr">
        <is>
          <t>sourceLinks</t>
        </is>
      </c>
      <c r="C165" s="3" t="n">
        <v>0</v>
      </c>
      <c r="D165" s="3" t="inlineStr">
        <is>
          <t>DOC-003 eTable — PDF p. 2</t>
        </is>
      </c>
      <c r="E165" s="3" t="inlineStr">
        <is>
          <t>../../2018/jama.2018.14282/joi180109supp2_prod.pdf#page=2</t>
        </is>
      </c>
    </row>
    <row r="166" ht="40" customHeight="1">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ht="40" customHeight="1">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ht="30" customHeight="1">
      <c r="A168" s="2" t="inlineStr">
        <is>
          <t>2018::jama.2018.14282::C022</t>
        </is>
      </c>
      <c r="B168" s="2" t="inlineStr">
        <is>
          <t>sourceLinks</t>
        </is>
      </c>
      <c r="C168" s="2" t="n">
        <v>0</v>
      </c>
      <c r="D168" s="2" t="inlineStr">
        <is>
          <t>DOC-001 methods — PDF p. 4</t>
        </is>
      </c>
      <c r="E168" s="2" t="inlineStr">
        <is>
          <t>../../2018/jama.2018.14282/jama_azoulay_2018_oi_180109.pdf#page=4</t>
        </is>
      </c>
    </row>
    <row r="169" ht="30" customHeight="1">
      <c r="A169" s="3" t="inlineStr">
        <is>
          <t>2018::jama.2018.14282::C022</t>
        </is>
      </c>
      <c r="B169" s="3" t="inlineStr">
        <is>
          <t>sourceLinks</t>
        </is>
      </c>
      <c r="C169" s="3" t="n">
        <v>1</v>
      </c>
      <c r="D169" s="3" t="inlineStr">
        <is>
          <t>DOC-001 results — PDF p. 6</t>
        </is>
      </c>
      <c r="E169" s="3" t="inlineStr">
        <is>
          <t>../../2018/jama.2018.14282/jama_azoulay_2018_oi_180109.pdf#page=6</t>
        </is>
      </c>
    </row>
    <row r="170" ht="30" customHeight="1">
      <c r="A170" s="2" t="inlineStr">
        <is>
          <t>2018::jama.2018.14282::C022</t>
        </is>
      </c>
      <c r="B170" s="2" t="inlineStr">
        <is>
          <t>sourceLinks</t>
        </is>
      </c>
      <c r="C170" s="2" t="n">
        <v>2</v>
      </c>
      <c r="D170" s="2" t="inlineStr">
        <is>
          <t>DOC-003 eFigure 1 — PDF p. 3</t>
        </is>
      </c>
      <c r="E170" s="2" t="inlineStr">
        <is>
          <t>../../2018/jama.2018.14282/joi180109supp2_prod.pdf#page=3</t>
        </is>
      </c>
    </row>
    <row r="171" ht="40" customHeight="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ht="40" customHeight="1">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ht="30" customHeight="1">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ht="30" customHeight="1">
      <c r="A174" s="2" t="inlineStr">
        <is>
          <t>2018::jama.2018.14282::C023</t>
        </is>
      </c>
      <c r="B174" s="2" t="inlineStr">
        <is>
          <t>sourceLinks</t>
        </is>
      </c>
      <c r="C174" s="2" t="n">
        <v>1</v>
      </c>
      <c r="D174" s="2" t="inlineStr">
        <is>
          <t>DOC-001 Figure 3A — PDF p. 7</t>
        </is>
      </c>
      <c r="E174" s="2" t="inlineStr">
        <is>
          <t>../../2018/jama.2018.14282/jama_azoulay_2018_oi_180109.pdf#page=7</t>
        </is>
      </c>
    </row>
    <row r="175" ht="40" customHeight="1">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ht="40" customHeight="1">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ht="30" customHeight="1">
      <c r="A177" s="3" t="inlineStr">
        <is>
          <t>2018::jama.2018.14282::C024</t>
        </is>
      </c>
      <c r="B177" s="3" t="inlineStr">
        <is>
          <t>sourceLinks</t>
        </is>
      </c>
      <c r="C177" s="3" t="n">
        <v>0</v>
      </c>
      <c r="D177" s="3" t="inlineStr">
        <is>
          <t>DOC-001 Table 2 — PDF p. 5</t>
        </is>
      </c>
      <c r="E177" s="3" t="inlineStr">
        <is>
          <t>../../2018/jama.2018.14282/jama_azoulay_2018_oi_180109.pdf#page=5</t>
        </is>
      </c>
    </row>
    <row r="178" ht="30" customHeight="1">
      <c r="A178" s="2" t="inlineStr">
        <is>
          <t>2018::jama.2018.14282::C024</t>
        </is>
      </c>
      <c r="B178" s="2" t="inlineStr">
        <is>
          <t>sourceLinks</t>
        </is>
      </c>
      <c r="C178" s="2" t="n">
        <v>1</v>
      </c>
      <c r="D178" s="2" t="inlineStr">
        <is>
          <t>DOC-001 narrative — PDF p. 6</t>
        </is>
      </c>
      <c r="E178" s="2" t="inlineStr">
        <is>
          <t>../../2018/jama.2018.14282/jama_azoulay_2018_oi_180109.pdf#page=6</t>
        </is>
      </c>
    </row>
    <row r="179" ht="30" customHeight="1">
      <c r="A179" s="3" t="inlineStr">
        <is>
          <t>2018::jama.2018.14282::C024</t>
        </is>
      </c>
      <c r="B179" s="3" t="inlineStr">
        <is>
          <t>sourceLinks</t>
        </is>
      </c>
      <c r="C179" s="3" t="n">
        <v>2</v>
      </c>
      <c r="D179" s="3" t="inlineStr">
        <is>
          <t>DOC-001 Figure 3B — PDF p. 7</t>
        </is>
      </c>
      <c r="E179" s="3" t="inlineStr">
        <is>
          <t>../../2018/jama.2018.14282/jama_azoulay_2018_oi_180109.pdf#page=7</t>
        </is>
      </c>
    </row>
    <row r="180" ht="40" customHeight="1">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ht="40" customHeight="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ht="30" customHeight="1">
      <c r="A182" s="2" t="inlineStr">
        <is>
          <t>2018::jama.2018.14282::C025</t>
        </is>
      </c>
      <c r="B182" s="2" t="inlineStr">
        <is>
          <t>sourceLinks</t>
        </is>
      </c>
      <c r="C182" s="2" t="n">
        <v>0</v>
      </c>
      <c r="D182" s="2" t="inlineStr">
        <is>
          <t>DOC-001 — PDF p. 3</t>
        </is>
      </c>
      <c r="E182" s="2" t="inlineStr">
        <is>
          <t>../../2018/jama.2018.14282/jama_azoulay_2018_oi_180109.pdf#page=3</t>
        </is>
      </c>
    </row>
    <row r="183" ht="40" customHeight="1">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ht="30" customHeight="1">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ht="40" customHeight="1">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ht="40" customHeight="1">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ht="40" customHeight="1">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ht="30" customHeight="1">
      <c r="A188" s="2" t="inlineStr">
        <is>
          <t>2018::jama.2018.14282::C026</t>
        </is>
      </c>
      <c r="B188" s="2" t="inlineStr">
        <is>
          <t>sourceLinks</t>
        </is>
      </c>
      <c r="C188" s="2" t="n">
        <v>0</v>
      </c>
      <c r="D188" s="2" t="inlineStr">
        <is>
          <t>DOC-002 Figure 4 — PDF p. 40</t>
        </is>
      </c>
      <c r="E188" s="2" t="inlineStr">
        <is>
          <t>../../2018/jama.2018.14282/joi180109supp1_prod.pdf#page=40</t>
        </is>
      </c>
    </row>
    <row r="189" ht="30" customHeight="1">
      <c r="A189" s="3" t="inlineStr">
        <is>
          <t>2018::jama.2018.14282::C026</t>
        </is>
      </c>
      <c r="B189" s="3" t="inlineStr">
        <is>
          <t>sourceLinks</t>
        </is>
      </c>
      <c r="C189" s="3" t="n">
        <v>1</v>
      </c>
      <c r="D189" s="3" t="inlineStr">
        <is>
          <t>DOC-002 — PDF p. 42</t>
        </is>
      </c>
      <c r="E189" s="3" t="inlineStr">
        <is>
          <t>../../2018/jama.2018.14282/joi180109supp1_prod.pdf#page=42</t>
        </is>
      </c>
    </row>
    <row r="190" ht="40" customHeight="1">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ht="40" customHeight="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ht="40" customHeight="1">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ht="30" customHeight="1">
      <c r="A193" s="3" t="inlineStr">
        <is>
          <t>2018::jama.2018.14282::C027</t>
        </is>
      </c>
      <c r="B193" s="3" t="inlineStr">
        <is>
          <t>sourceLinks</t>
        </is>
      </c>
      <c r="C193" s="3" t="n">
        <v>0</v>
      </c>
      <c r="D193" s="3" t="inlineStr">
        <is>
          <t>DOC-002 — PDF p. 52</t>
        </is>
      </c>
      <c r="E193" s="3" t="inlineStr">
        <is>
          <t>../../2018/jama.2018.14282/joi180109supp1_prod.pdf#page=52</t>
        </is>
      </c>
    </row>
    <row r="194" ht="30" customHeight="1">
      <c r="A194" s="2" t="inlineStr">
        <is>
          <t>2018::jama.2018.14282::C027</t>
        </is>
      </c>
      <c r="B194" s="2" t="inlineStr">
        <is>
          <t>sourceLinks</t>
        </is>
      </c>
      <c r="C194" s="2" t="n">
        <v>1</v>
      </c>
      <c r="D194" s="2" t="inlineStr">
        <is>
          <t>DOC-002 — PDF p. 104</t>
        </is>
      </c>
      <c r="E194" s="2" t="inlineStr">
        <is>
          <t>../../2018/jama.2018.14282/joi180109supp1_prod.pdf#page=104</t>
        </is>
      </c>
    </row>
    <row r="195" ht="40" customHeight="1">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ht="40" customHeight="1">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ht="40" customHeight="1">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ht="30" customHeight="1">
      <c r="A198" s="2" t="inlineStr">
        <is>
          <t>2018::jama.2018.14282::C028</t>
        </is>
      </c>
      <c r="B198" s="2" t="inlineStr">
        <is>
          <t>sourceLinks</t>
        </is>
      </c>
      <c r="C198" s="2" t="n">
        <v>0</v>
      </c>
      <c r="D198" s="2" t="inlineStr">
        <is>
          <t>DOC-002 — PDF p. 54</t>
        </is>
      </c>
      <c r="E198" s="2" t="inlineStr">
        <is>
          <t>../../2018/jama.2018.14282/joi180109supp1_prod.pdf#page=54</t>
        </is>
      </c>
    </row>
    <row r="199" ht="30" customHeight="1">
      <c r="A199" s="3" t="inlineStr">
        <is>
          <t>2018::jama.2018.14282::C028</t>
        </is>
      </c>
      <c r="B199" s="3" t="inlineStr">
        <is>
          <t>sourceLinks</t>
        </is>
      </c>
      <c r="C199" s="3" t="n">
        <v>1</v>
      </c>
      <c r="D199" s="3" t="inlineStr">
        <is>
          <t>DOC-002 — PDF p. 82</t>
        </is>
      </c>
      <c r="E199" s="3" t="inlineStr">
        <is>
          <t>../../2018/jama.2018.14282/joi180109supp1_prod.pdf#page=82</t>
        </is>
      </c>
    </row>
    <row r="200" ht="30" customHeight="1">
      <c r="A200" s="2" t="inlineStr">
        <is>
          <t>2018::jama.2018.14282::C028</t>
        </is>
      </c>
      <c r="B200" s="2" t="inlineStr">
        <is>
          <t>sourceLinks</t>
        </is>
      </c>
      <c r="C200" s="2" t="n">
        <v>2</v>
      </c>
      <c r="D200" s="2" t="inlineStr">
        <is>
          <t>DOC-002 — PDF p. 104</t>
        </is>
      </c>
      <c r="E200" s="2" t="inlineStr">
        <is>
          <t>../../2018/jama.2018.14282/joi180109supp1_prod.pdf#page=104</t>
        </is>
      </c>
    </row>
    <row r="201" ht="40" customHeight="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ht="40" customHeight="1">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ht="40" customHeight="1">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ht="40" customHeight="1">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ht="40" customHeight="1">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ht="40" customHeight="1">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ht="30" customHeight="1">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ht="30" customHeight="1">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ht="40" customHeight="1">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ht="40" customHeight="1">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ht="40" customHeight="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ht="40" customHeight="1">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ht="40" customHeight="1">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ht="40" customHeight="1">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ht="40" customHeight="1">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ht="40" customHeight="1">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ht="40" customHeight="1">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ht="40" customHeight="1">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ht="40" customHeight="1">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ht="40" customHeight="1">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ht="40" customHeight="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ht="56" customHeight="1">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ht="40" customHeight="1">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ht="40" customHeight="1">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ht="40" customHeight="1">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ht="40" customHeight="1">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ht="30" customHeight="1">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ht="40" customHeight="1">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ht="30" customHeight="1">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ht="30" customHeight="1">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ht="40" customHeight="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ht="30" customHeight="1">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ht="30" customHeight="1">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ht="40" customHeight="1">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ht="30" customHeight="1">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ht="30" customHeight="1">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ht="40" customHeight="1">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ht="30" customHeight="1">
      <c r="A238" s="2" t="inlineStr">
        <is>
          <t>2018::jama.2018.18020::C004</t>
        </is>
      </c>
      <c r="B238" s="2" t="inlineStr">
        <is>
          <t>sourceLinks</t>
        </is>
      </c>
      <c r="C238" s="2" t="n">
        <v>0</v>
      </c>
      <c r="D238" s="2" t="inlineStr">
        <is>
          <t>joi180136supp2_prod.pdf — PDF p. 6</t>
        </is>
      </c>
      <c r="E238" s="2" t="inlineStr">
        <is>
          <t>../../2018/jama.2018.18020/joi180136supp2_prod.pdf#page=6</t>
        </is>
      </c>
    </row>
    <row r="239" ht="30" customHeight="1">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ht="40" customHeight="1">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ht="40" customHeight="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ht="30" customHeight="1">
      <c r="A242" s="2" t="inlineStr">
        <is>
          <t>2018::jama.2018.18020::C005</t>
        </is>
      </c>
      <c r="B242" s="2" t="inlineStr">
        <is>
          <t>sourceLinks</t>
        </is>
      </c>
      <c r="C242" s="2" t="n">
        <v>0</v>
      </c>
      <c r="D242" s="2" t="inlineStr">
        <is>
          <t>joi180136supp2_prod.pdf — PDF p. 11</t>
        </is>
      </c>
      <c r="E242" s="2" t="inlineStr">
        <is>
          <t>../../2018/jama.2018.18020/joi180136supp2_prod.pdf#page=11</t>
        </is>
      </c>
    </row>
    <row r="243" ht="30" customHeight="1">
      <c r="A243" s="3" t="inlineStr">
        <is>
          <t>2018::jama.2018.18020::C005</t>
        </is>
      </c>
      <c r="B243" s="3" t="inlineStr">
        <is>
          <t>sourceLinks</t>
        </is>
      </c>
      <c r="C243" s="3" t="n">
        <v>1</v>
      </c>
      <c r="D243" s="3" t="inlineStr">
        <is>
          <t>joi180136supp2_prod.pdf — PDF p. 13</t>
        </is>
      </c>
      <c r="E243" s="3" t="inlineStr">
        <is>
          <t>../../2018/jama.2018.18020/joi180136supp2_prod.pdf#page=13</t>
        </is>
      </c>
    </row>
    <row r="244" ht="30" customHeight="1">
      <c r="A244" s="2" t="inlineStr">
        <is>
          <t>2018::jama.2018.18020::C005</t>
        </is>
      </c>
      <c r="B244" s="2" t="inlineStr">
        <is>
          <t>sourceLinks</t>
        </is>
      </c>
      <c r="C244" s="2" t="n">
        <v>2</v>
      </c>
      <c r="D244" s="2" t="inlineStr">
        <is>
          <t>joi180136supp2_prod.pdf — PDF p. 14</t>
        </is>
      </c>
      <c r="E244" s="2" t="inlineStr">
        <is>
          <t>../../2018/jama.2018.18020/joi180136supp2_prod.pdf#page=14</t>
        </is>
      </c>
    </row>
    <row r="245" ht="40" customHeight="1">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ht="40" customHeight="1">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ht="30" customHeight="1">
      <c r="A247" s="3" t="inlineStr">
        <is>
          <t>2018::jama.2018.18020::C006</t>
        </is>
      </c>
      <c r="B247" s="3" t="inlineStr">
        <is>
          <t>sourceLinks</t>
        </is>
      </c>
      <c r="C247" s="3" t="n">
        <v>0</v>
      </c>
      <c r="D247" s="3" t="inlineStr">
        <is>
          <t>joi180136supp2_prod.pdf — PDF p. 13</t>
        </is>
      </c>
      <c r="E247" s="3" t="inlineStr">
        <is>
          <t>../../2018/jama.2018.18020/joi180136supp2_prod.pdf#page=13</t>
        </is>
      </c>
    </row>
    <row r="248" ht="30" customHeight="1">
      <c r="A248" s="2" t="inlineStr">
        <is>
          <t>2018::jama.2018.18020::C006</t>
        </is>
      </c>
      <c r="B248" s="2" t="inlineStr">
        <is>
          <t>sourceLinks</t>
        </is>
      </c>
      <c r="C248" s="2" t="n">
        <v>1</v>
      </c>
      <c r="D248" s="2" t="inlineStr">
        <is>
          <t>joi180136supp2_prod.pdf — PDF p. 14</t>
        </is>
      </c>
      <c r="E248" s="2" t="inlineStr">
        <is>
          <t>../../2018/jama.2018.18020/joi180136supp2_prod.pdf#page=14</t>
        </is>
      </c>
    </row>
    <row r="249" ht="40" customHeight="1">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ht="40" customHeight="1">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ht="30" customHeight="1">
      <c r="A251" s="3" t="inlineStr">
        <is>
          <t>2018::jama.2018.18020::C007</t>
        </is>
      </c>
      <c r="B251" s="3" t="inlineStr">
        <is>
          <t>sourceLinks</t>
        </is>
      </c>
      <c r="C251" s="3" t="n">
        <v>0</v>
      </c>
      <c r="D251" s="3" t="inlineStr">
        <is>
          <t>joi180136supp2_prod.pdf — PDF p. 11</t>
        </is>
      </c>
      <c r="E251" s="3" t="inlineStr">
        <is>
          <t>../../2018/jama.2018.18020/joi180136supp2_prod.pdf#page=11</t>
        </is>
      </c>
    </row>
    <row r="252" ht="30" customHeight="1">
      <c r="A252" s="2" t="inlineStr">
        <is>
          <t>2018::jama.2018.18020::C007</t>
        </is>
      </c>
      <c r="B252" s="2" t="inlineStr">
        <is>
          <t>sourceLinks</t>
        </is>
      </c>
      <c r="C252" s="2" t="n">
        <v>1</v>
      </c>
      <c r="D252" s="2" t="inlineStr">
        <is>
          <t>joi180136supp2_prod.pdf — PDF p. 12</t>
        </is>
      </c>
      <c r="E252" s="2" t="inlineStr">
        <is>
          <t>../../2018/jama.2018.18020/joi180136supp2_prod.pdf#page=12</t>
        </is>
      </c>
    </row>
    <row r="253" ht="30" customHeight="1">
      <c r="A253" s="3" t="inlineStr">
        <is>
          <t>2018::jama.2018.18020::C007</t>
        </is>
      </c>
      <c r="B253" s="3" t="inlineStr">
        <is>
          <t>sourceLinks</t>
        </is>
      </c>
      <c r="C253" s="3" t="n">
        <v>2</v>
      </c>
      <c r="D253" s="3" t="inlineStr">
        <is>
          <t>joi180136supp2_prod.pdf — PDF p. 13</t>
        </is>
      </c>
      <c r="E253" s="3" t="inlineStr">
        <is>
          <t>../../2018/jama.2018.18020/joi180136supp2_prod.pdf#page=13</t>
        </is>
      </c>
    </row>
    <row r="254" ht="30" customHeight="1">
      <c r="A254" s="2" t="inlineStr">
        <is>
          <t>2018::jama.2018.18020::C007</t>
        </is>
      </c>
      <c r="B254" s="2" t="inlineStr">
        <is>
          <t>sourceLinks</t>
        </is>
      </c>
      <c r="C254" s="2" t="n">
        <v>3</v>
      </c>
      <c r="D254" s="2" t="inlineStr">
        <is>
          <t>joi180136supp2_prod.pdf — PDF p. 14</t>
        </is>
      </c>
      <c r="E254" s="2" t="inlineStr">
        <is>
          <t>../../2018/jama.2018.18020/joi180136supp2_prod.pdf#page=14</t>
        </is>
      </c>
    </row>
    <row r="255" ht="40" customHeight="1">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ht="40" customHeight="1">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ht="30" customHeight="1">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ht="30" customHeight="1">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ht="30" customHeight="1">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ht="30" customHeight="1">
      <c r="A260" s="2" t="inlineStr">
        <is>
          <t>2018::jama.2018.18020::C008</t>
        </is>
      </c>
      <c r="B260" s="2" t="inlineStr">
        <is>
          <t>sourceLinks</t>
        </is>
      </c>
      <c r="C260" s="2" t="n">
        <v>3</v>
      </c>
      <c r="D260" s="2" t="inlineStr">
        <is>
          <t>joi180136supp2_prod.pdf — PDF p. 4</t>
        </is>
      </c>
      <c r="E260" s="2" t="inlineStr">
        <is>
          <t>../../2018/jama.2018.18020/joi180136supp2_prod.pdf#page=4</t>
        </is>
      </c>
    </row>
    <row r="261" ht="40" customHeight="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ht="40" customHeight="1">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ht="30" customHeight="1">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ht="30" customHeight="1">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ht="30" customHeight="1">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ht="40" customHeight="1">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ht="30" customHeight="1">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ht="30" customHeight="1">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ht="30" customHeight="1">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ht="30" customHeight="1">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ht="40" customHeight="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ht="30" customHeight="1">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ht="30" customHeight="1">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ht="30" customHeight="1">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ht="30" customHeight="1">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ht="30" customHeight="1">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ht="40" customHeight="1">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ht="30" customHeight="1">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ht="30" customHeight="1">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ht="30" customHeight="1">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ht="40" customHeight="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ht="30" customHeight="1">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ht="40" customHeight="1">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ht="30" customHeight="1">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ht="40" customHeight="1">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ht="30" customHeight="1">
      <c r="A286" s="2" t="inlineStr">
        <is>
          <t>2018::jama.2018.6496::C001</t>
        </is>
      </c>
      <c r="B286" s="2" t="inlineStr">
        <is>
          <t>sourceLinks</t>
        </is>
      </c>
      <c r="C286" s="2" t="n">
        <v>0</v>
      </c>
      <c r="D286" s="2" t="inlineStr">
        <is>
          <t>DOC-001 Table 3 — PDF p. 7</t>
        </is>
      </c>
      <c r="E286" s="2" t="inlineStr">
        <is>
          <t>../../2018/jama.2018.6496/jama_driver_2018_oi_180054.pdf#page=7</t>
        </is>
      </c>
    </row>
    <row r="287" ht="30" customHeight="1">
      <c r="A287" s="3" t="inlineStr">
        <is>
          <t>2018::jama.2018.6496::C001</t>
        </is>
      </c>
      <c r="B287" s="3" t="inlineStr">
        <is>
          <t>sourceLinks</t>
        </is>
      </c>
      <c r="C287" s="3" t="n">
        <v>1</v>
      </c>
      <c r="D287" s="3" t="inlineStr">
        <is>
          <t>DOC-003 eTable 1 — PDF p. 2</t>
        </is>
      </c>
      <c r="E287" s="3" t="inlineStr">
        <is>
          <t>../../2018/jama.2018.6496/joi180054supp2_prod.pdf#page=2</t>
        </is>
      </c>
    </row>
    <row r="288" ht="30" customHeight="1">
      <c r="A288" s="2" t="inlineStr">
        <is>
          <t>2018::jama.2018.6496::C001</t>
        </is>
      </c>
      <c r="B288" s="2" t="inlineStr">
        <is>
          <t>sourceLinks</t>
        </is>
      </c>
      <c r="C288" s="2" t="n">
        <v>2</v>
      </c>
      <c r="D288" s="2" t="inlineStr">
        <is>
          <t>DOC-003 eTable 1 note — PDF p. 3</t>
        </is>
      </c>
      <c r="E288" s="2" t="inlineStr">
        <is>
          <t>../../2018/jama.2018.6496/joi180054supp2_prod.pdf#page=3</t>
        </is>
      </c>
    </row>
    <row r="289" ht="30" customHeight="1">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ht="40" customHeight="1">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ht="40" customHeight="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ht="30" customHeight="1">
      <c r="A292" s="2" t="inlineStr">
        <is>
          <t>2018::jama.2018.6496::C002</t>
        </is>
      </c>
      <c r="B292" s="2" t="inlineStr">
        <is>
          <t>sourceLinks</t>
        </is>
      </c>
      <c r="C292" s="2" t="n">
        <v>0</v>
      </c>
      <c r="D292" s="2" t="inlineStr">
        <is>
          <t>DOC-001 Table 3 — PDF p. 7</t>
        </is>
      </c>
      <c r="E292" s="2" t="inlineStr">
        <is>
          <t>../../2018/jama.2018.6496/jama_driver_2018_oi_180054.pdf#page=7</t>
        </is>
      </c>
    </row>
    <row r="293" ht="30" customHeight="1">
      <c r="A293" s="3" t="inlineStr">
        <is>
          <t>2018::jama.2018.6496::C002</t>
        </is>
      </c>
      <c r="B293" s="3" t="inlineStr">
        <is>
          <t>sourceLinks</t>
        </is>
      </c>
      <c r="C293" s="3" t="n">
        <v>1</v>
      </c>
      <c r="D293" s="3" t="inlineStr">
        <is>
          <t>DOC-001 Table 5 — PDF p. 9</t>
        </is>
      </c>
      <c r="E293" s="3" t="inlineStr">
        <is>
          <t>../../2018/jama.2018.6496/jama_driver_2018_oi_180054.pdf#page=9</t>
        </is>
      </c>
    </row>
    <row r="294" ht="30" customHeight="1">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ht="30" customHeight="1">
      <c r="A295" s="3" t="inlineStr">
        <is>
          <t>2018::jama.2018.6496::C002</t>
        </is>
      </c>
      <c r="B295" s="3" t="inlineStr">
        <is>
          <t>sourceLinks</t>
        </is>
      </c>
      <c r="C295" s="3" t="n">
        <v>3</v>
      </c>
      <c r="D295" s="3" t="inlineStr">
        <is>
          <t>DOC-002 analytic issues — PDF p. 21</t>
        </is>
      </c>
      <c r="E295" s="3" t="inlineStr">
        <is>
          <t>../../2018/jama.2018.6496/joi180054supp1_prod.pdf#page=21</t>
        </is>
      </c>
    </row>
    <row r="296" ht="40" customHeight="1">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ht="40" customHeight="1">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ht="30" customHeight="1">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ht="30" customHeight="1">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ht="30" customHeight="1">
      <c r="A300" s="2" t="inlineStr">
        <is>
          <t>2018::jama.2018.6496::C003</t>
        </is>
      </c>
      <c r="B300" s="2" t="inlineStr">
        <is>
          <t>sourceLinks</t>
        </is>
      </c>
      <c r="C300" s="2" t="n">
        <v>2</v>
      </c>
      <c r="D300" s="2" t="inlineStr">
        <is>
          <t>DOC-001 Table 3 — PDF p. 7</t>
        </is>
      </c>
      <c r="E300" s="2" t="inlineStr">
        <is>
          <t>../../2018/jama.2018.6496/jama_driver_2018_oi_180054.pdf#page=7</t>
        </is>
      </c>
    </row>
    <row r="301" ht="30" customHeight="1">
      <c r="A301" s="3" t="inlineStr">
        <is>
          <t>2018::jama.2018.6496::C003</t>
        </is>
      </c>
      <c r="B301" s="3" t="inlineStr">
        <is>
          <t>sourceLinks</t>
        </is>
      </c>
      <c r="C301" s="3" t="n">
        <v>3</v>
      </c>
      <c r="D301" s="3" t="inlineStr">
        <is>
          <t>DOC-001 Table 5 — PDF p. 9</t>
        </is>
      </c>
      <c r="E301" s="3" t="inlineStr">
        <is>
          <t>../../2018/jama.2018.6496/jama_driver_2018_oi_180054.pdf#page=9</t>
        </is>
      </c>
    </row>
    <row r="302" ht="30" customHeight="1">
      <c r="A302" s="2" t="inlineStr">
        <is>
          <t>2018::jama.2018.6496::C003</t>
        </is>
      </c>
      <c r="B302" s="2" t="inlineStr">
        <is>
          <t>sourceLinks</t>
        </is>
      </c>
      <c r="C302" s="2" t="n">
        <v>4</v>
      </c>
      <c r="D302" s="2" t="inlineStr">
        <is>
          <t>DOC-003 eTable 1 note — PDF p. 3</t>
        </is>
      </c>
      <c r="E302" s="2" t="inlineStr">
        <is>
          <t>../../2018/jama.2018.6496/joi180054supp2_prod.pdf#page=3</t>
        </is>
      </c>
    </row>
    <row r="303" ht="30" customHeight="1">
      <c r="A303" s="3" t="inlineStr">
        <is>
          <t>2018::jama.2018.6496::C003</t>
        </is>
      </c>
      <c r="B303" s="3" t="inlineStr">
        <is>
          <t>sourceLinks</t>
        </is>
      </c>
      <c r="C303" s="3" t="n">
        <v>5</v>
      </c>
      <c r="D303" s="3" t="inlineStr">
        <is>
          <t>DOC-003 postintubation form — PDF p. 10</t>
        </is>
      </c>
      <c r="E303" s="3" t="inlineStr">
        <is>
          <t>../../2018/jama.2018.6496/joi180054supp2_prod.pdf#page=10</t>
        </is>
      </c>
    </row>
    <row r="304" ht="40" customHeight="1">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ht="40" customHeight="1">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ht="30" customHeight="1">
      <c r="A306" s="2" t="inlineStr">
        <is>
          <t>2018::jama.2018.6496::C004</t>
        </is>
      </c>
      <c r="B306" s="2" t="inlineStr">
        <is>
          <t>sourceLinks</t>
        </is>
      </c>
      <c r="C306" s="2" t="n">
        <v>0</v>
      </c>
      <c r="D306" s="2" t="inlineStr">
        <is>
          <t>DOC-002 protocol — PDF p. 9</t>
        </is>
      </c>
      <c r="E306" s="2" t="inlineStr">
        <is>
          <t>../../2018/jama.2018.6496/joi180054supp1_prod.pdf#page=9</t>
        </is>
      </c>
    </row>
    <row r="307" ht="30" customHeight="1">
      <c r="A307" s="3" t="inlineStr">
        <is>
          <t>2018::jama.2018.6496::C004</t>
        </is>
      </c>
      <c r="B307" s="3" t="inlineStr">
        <is>
          <t>sourceLinks</t>
        </is>
      </c>
      <c r="C307" s="3" t="n">
        <v>1</v>
      </c>
      <c r="D307" s="3" t="inlineStr">
        <is>
          <t>DOC-001 outcome methods — PDF p. 3</t>
        </is>
      </c>
      <c r="E307" s="3" t="inlineStr">
        <is>
          <t>../../2018/jama.2018.6496/jama_driver_2018_oi_180054.pdf#page=3</t>
        </is>
      </c>
    </row>
    <row r="308" ht="30" customHeight="1">
      <c r="A308" s="2" t="inlineStr">
        <is>
          <t>2018::jama.2018.6496::C004</t>
        </is>
      </c>
      <c r="B308" s="2" t="inlineStr">
        <is>
          <t>sourceLinks</t>
        </is>
      </c>
      <c r="C308" s="2" t="n">
        <v>2</v>
      </c>
      <c r="D308" s="2" t="inlineStr">
        <is>
          <t>DOC-001 Table 3 — PDF p. 7</t>
        </is>
      </c>
      <c r="E308" s="2" t="inlineStr">
        <is>
          <t>../../2018/jama.2018.6496/jama_driver_2018_oi_180054.pdf#page=7</t>
        </is>
      </c>
    </row>
    <row r="309" ht="30" customHeight="1">
      <c r="A309" s="3" t="inlineStr">
        <is>
          <t>2018::jama.2018.6496::C004</t>
        </is>
      </c>
      <c r="B309" s="3" t="inlineStr">
        <is>
          <t>sourceLinks</t>
        </is>
      </c>
      <c r="C309" s="3" t="n">
        <v>3</v>
      </c>
      <c r="D309" s="3" t="inlineStr">
        <is>
          <t>DOC-003 eTable 1 note — PDF p. 3</t>
        </is>
      </c>
      <c r="E309" s="3" t="inlineStr">
        <is>
          <t>../../2018/jama.2018.6496/joi180054supp2_prod.pdf#page=3</t>
        </is>
      </c>
    </row>
    <row r="310" ht="30" customHeight="1">
      <c r="A310" s="2" t="inlineStr">
        <is>
          <t>2018::jama.2018.6496::C004</t>
        </is>
      </c>
      <c r="B310" s="2" t="inlineStr">
        <is>
          <t>sourceLinks</t>
        </is>
      </c>
      <c r="C310" s="2" t="n">
        <v>4</v>
      </c>
      <c r="D310" s="2" t="inlineStr">
        <is>
          <t>DOC-003 data form — PDF p. 10</t>
        </is>
      </c>
      <c r="E310" s="2" t="inlineStr">
        <is>
          <t>../../2018/jama.2018.6496/joi180054supp2_prod.pdf#page=10</t>
        </is>
      </c>
    </row>
    <row r="311" ht="40" customHeight="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ht="40" customHeight="1">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ht="30" customHeight="1">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ht="40" customHeight="1">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ht="30" customHeight="1">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ht="30" customHeight="1">
      <c r="A316" s="2" t="inlineStr">
        <is>
          <t>2018::jama.2018.8802::C002</t>
        </is>
      </c>
      <c r="B316" s="2" t="inlineStr">
        <is>
          <t>sourceLinks</t>
        </is>
      </c>
      <c r="C316" s="2" t="n">
        <v>1</v>
      </c>
      <c r="D316" s="2" t="inlineStr">
        <is>
          <t>joi180070supp1_prod.pdf — PDF p. 15</t>
        </is>
      </c>
      <c r="E316" s="2" t="inlineStr">
        <is>
          <t>../../2018/jama.2018.8802/joi180070supp1_prod.pdf#page=15</t>
        </is>
      </c>
    </row>
    <row r="317" ht="30" customHeight="1">
      <c r="A317" s="3" t="inlineStr">
        <is>
          <t>2018::jama.2018.8802::C002</t>
        </is>
      </c>
      <c r="B317" s="3" t="inlineStr">
        <is>
          <t>sourceLinks</t>
        </is>
      </c>
      <c r="C317" s="3" t="n">
        <v>2</v>
      </c>
      <c r="D317" s="3" t="inlineStr">
        <is>
          <t>joi180070supp2_prod.pdf — PDF p. 3</t>
        </is>
      </c>
      <c r="E317" s="3" t="inlineStr">
        <is>
          <t>../../2018/jama.2018.8802/joi180070supp2_prod.pdf#page=3</t>
        </is>
      </c>
    </row>
    <row r="318" ht="30" customHeight="1">
      <c r="A318" s="2" t="inlineStr">
        <is>
          <t>2018::jama.2018.8802::C002</t>
        </is>
      </c>
      <c r="B318" s="2" t="inlineStr">
        <is>
          <t>sourceLinks</t>
        </is>
      </c>
      <c r="C318" s="2" t="n">
        <v>3</v>
      </c>
      <c r="D318" s="2" t="inlineStr">
        <is>
          <t>joi180070supp2_prod.pdf — PDF p. 8</t>
        </is>
      </c>
      <c r="E318" s="2" t="inlineStr">
        <is>
          <t>../../2018/jama.2018.8802/joi180070supp2_prod.pdf#page=8</t>
        </is>
      </c>
    </row>
    <row r="319" ht="40" customHeight="1">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ht="40" customHeight="1">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ht="30" customHeight="1">
      <c r="A321" s="3" t="inlineStr">
        <is>
          <t>2018::jama.2018.8802::C003</t>
        </is>
      </c>
      <c r="B321" s="3" t="inlineStr">
        <is>
          <t>sourceLinks</t>
        </is>
      </c>
      <c r="C321" s="3" t="n">
        <v>0</v>
      </c>
      <c r="D321" s="3" t="inlineStr">
        <is>
          <t>joi180070supp2_prod.pdf — PDF p. 8</t>
        </is>
      </c>
      <c r="E321" s="3" t="inlineStr">
        <is>
          <t>../../2018/jama.2018.8802/joi180070supp2_prod.pdf#page=8</t>
        </is>
      </c>
    </row>
    <row r="322" ht="40" customHeight="1">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ht="30" customHeight="1">
      <c r="A323" s="3" t="inlineStr">
        <is>
          <t>2018::jama.2018.8802::C004</t>
        </is>
      </c>
      <c r="B323" s="3" t="inlineStr">
        <is>
          <t>sourceLinks</t>
        </is>
      </c>
      <c r="C323" s="3" t="n">
        <v>0</v>
      </c>
      <c r="D323" s="3" t="inlineStr">
        <is>
          <t>joi180070supp2_prod.pdf — PDF p. 8</t>
        </is>
      </c>
      <c r="E323" s="3" t="inlineStr">
        <is>
          <t>../../2018/jama.2018.8802/joi180070supp2_prod.pdf#page=8</t>
        </is>
      </c>
    </row>
    <row r="324" ht="40" customHeight="1">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ht="30" customHeight="1">
      <c r="A325" s="3" t="inlineStr">
        <is>
          <t>2018::jama.2018.8802::C005</t>
        </is>
      </c>
      <c r="B325" s="3" t="inlineStr">
        <is>
          <t>sourceLinks</t>
        </is>
      </c>
      <c r="C325" s="3" t="n">
        <v>0</v>
      </c>
      <c r="D325" s="3" t="inlineStr">
        <is>
          <t>joi180070supp2_prod.pdf — PDF p. 8</t>
        </is>
      </c>
      <c r="E325" s="3" t="inlineStr">
        <is>
          <t>../../2018/jama.2018.8802/joi180070supp2_prod.pdf#page=8</t>
        </is>
      </c>
    </row>
    <row r="326" ht="40" customHeight="1">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ht="30" customHeight="1">
      <c r="A327" s="3" t="inlineStr">
        <is>
          <t>2018::jama.2018.8802::C006</t>
        </is>
      </c>
      <c r="B327" s="3" t="inlineStr">
        <is>
          <t>sourceLinks</t>
        </is>
      </c>
      <c r="C327" s="3" t="n">
        <v>0</v>
      </c>
      <c r="D327" s="3" t="inlineStr">
        <is>
          <t>joi180070supp2_prod.pdf — PDF p. 8</t>
        </is>
      </c>
      <c r="E327" s="3" t="inlineStr">
        <is>
          <t>../../2018/jama.2018.8802/joi180070supp2_prod.pdf#page=8</t>
        </is>
      </c>
    </row>
    <row r="328" ht="40" customHeight="1">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ht="30" customHeight="1">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ht="30" customHeight="1">
      <c r="A330" s="2" t="inlineStr">
        <is>
          <t>2018::jama.2018.8802::C007</t>
        </is>
      </c>
      <c r="B330" s="2" t="inlineStr">
        <is>
          <t>sourceLinks</t>
        </is>
      </c>
      <c r="C330" s="2" t="n">
        <v>1</v>
      </c>
      <c r="D330" s="2" t="inlineStr">
        <is>
          <t>joi180070supp2_prod.pdf — PDF p. 2</t>
        </is>
      </c>
      <c r="E330" s="2" t="inlineStr">
        <is>
          <t>../../2018/jama.2018.8802/joi180070supp2_prod.pdf#page=2</t>
        </is>
      </c>
    </row>
    <row r="331" ht="30" customHeight="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ht="30" customHeight="1">
      <c r="A332" s="2" t="inlineStr">
        <is>
          <t>2018::jama.2018.8802::C007</t>
        </is>
      </c>
      <c r="B332" s="2" t="inlineStr">
        <is>
          <t>sourceLinks</t>
        </is>
      </c>
      <c r="C332" s="2" t="n">
        <v>3</v>
      </c>
      <c r="D332" s="2" t="inlineStr">
        <is>
          <t>joi180070supp1_prod.pdf — PDF p. 4</t>
        </is>
      </c>
      <c r="E332" s="2" t="inlineStr">
        <is>
          <t>../../2018/jama.2018.8802/joi180070supp1_prod.pdf#page=4</t>
        </is>
      </c>
    </row>
    <row r="333" ht="30" customHeight="1">
      <c r="A333" s="3" t="inlineStr">
        <is>
          <t>2018::jama.2018.8802::C007</t>
        </is>
      </c>
      <c r="B333" s="3" t="inlineStr">
        <is>
          <t>sourceLinks</t>
        </is>
      </c>
      <c r="C333" s="3" t="n">
        <v>4</v>
      </c>
      <c r="D333" s="3" t="inlineStr">
        <is>
          <t>PDF p. 7</t>
        </is>
      </c>
      <c r="E333" s="3" t="inlineStr">
        <is>
          <t>../../2018/jama.2018.8802/joi180070supp1_prod.pdf#page=7</t>
        </is>
      </c>
    </row>
    <row r="334" ht="40" customHeight="1">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ht="40" customHeight="1">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ht="30" customHeight="1">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ht="30" customHeight="1">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ht="40" customHeight="1">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ht="30" customHeight="1">
      <c r="A339" s="3" t="inlineStr">
        <is>
          <t>2018::jama.2018.9128::C001</t>
        </is>
      </c>
      <c r="B339" s="3" t="inlineStr">
        <is>
          <t>sourceLinks</t>
        </is>
      </c>
      <c r="C339" s="3" t="n">
        <v>0</v>
      </c>
      <c r="D339" s="3" t="inlineStr">
        <is>
          <t>DOC-001 Figure 1 — PDF p. 3</t>
        </is>
      </c>
      <c r="E339" s="3" t="inlineStr">
        <is>
          <t>../../2018/jama.2018.9128/jama_barkin_2018_oi_180075.pdf#page=3</t>
        </is>
      </c>
    </row>
    <row r="340" ht="30" customHeight="1">
      <c r="A340" s="2" t="inlineStr">
        <is>
          <t>2018::jama.2018.9128::C001</t>
        </is>
      </c>
      <c r="B340" s="2" t="inlineStr">
        <is>
          <t>sourceLinks</t>
        </is>
      </c>
      <c r="C340" s="2" t="n">
        <v>1</v>
      </c>
      <c r="D340" s="2" t="inlineStr">
        <is>
          <t>DOC-001 Figure 2 — PDF p. 7</t>
        </is>
      </c>
      <c r="E340" s="2" t="inlineStr">
        <is>
          <t>../../2018/jama.2018.9128/jama_barkin_2018_oi_180075.pdf#page=7</t>
        </is>
      </c>
    </row>
    <row r="341" ht="30" customHeight="1">
      <c r="A341" s="3" t="inlineStr">
        <is>
          <t>2018::jama.2018.9128::C001</t>
        </is>
      </c>
      <c r="B341" s="3" t="inlineStr">
        <is>
          <t>sourceLinks</t>
        </is>
      </c>
      <c r="C341" s="3" t="n">
        <v>2</v>
      </c>
      <c r="D341" s="3" t="inlineStr">
        <is>
          <t>DOC-003 eTable 1 — PDF p. 2</t>
        </is>
      </c>
      <c r="E341" s="3" t="inlineStr">
        <is>
          <t>../../2018/jama.2018.9128/joi180075supp2_prod.pdf#page=2</t>
        </is>
      </c>
    </row>
    <row r="342" ht="40" customHeight="1">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ht="30" customHeight="1">
      <c r="A343" s="3" t="inlineStr">
        <is>
          <t>2018::jama.2018.9128::C002</t>
        </is>
      </c>
      <c r="B343" s="3" t="inlineStr">
        <is>
          <t>sourceLinks</t>
        </is>
      </c>
      <c r="C343" s="3" t="n">
        <v>0</v>
      </c>
      <c r="D343" s="3" t="inlineStr">
        <is>
          <t>DOC-001 Figure 1 — PDF p. 3</t>
        </is>
      </c>
      <c r="E343" s="3" t="inlineStr">
        <is>
          <t>../../2018/jama.2018.9128/jama_barkin_2018_oi_180075.pdf#page=3</t>
        </is>
      </c>
    </row>
    <row r="344" ht="30" customHeight="1">
      <c r="A344" s="2" t="inlineStr">
        <is>
          <t>2018::jama.2018.9128::C002</t>
        </is>
      </c>
      <c r="B344" s="2" t="inlineStr">
        <is>
          <t>sourceLinks</t>
        </is>
      </c>
      <c r="C344" s="2" t="n">
        <v>1</v>
      </c>
      <c r="D344" s="2" t="inlineStr">
        <is>
          <t>DOC-001 Figure 2 — PDF p. 7</t>
        </is>
      </c>
      <c r="E344" s="2" t="inlineStr">
        <is>
          <t>../../2018/jama.2018.9128/jama_barkin_2018_oi_180075.pdf#page=7</t>
        </is>
      </c>
    </row>
    <row r="345" ht="30" customHeight="1">
      <c r="A345" s="3" t="inlineStr">
        <is>
          <t>2018::jama.2018.9128::C002</t>
        </is>
      </c>
      <c r="B345" s="3" t="inlineStr">
        <is>
          <t>sourceLinks</t>
        </is>
      </c>
      <c r="C345" s="3" t="n">
        <v>2</v>
      </c>
      <c r="D345" s="3" t="inlineStr">
        <is>
          <t>DOC-003 eTable 1 — PDF p. 2</t>
        </is>
      </c>
      <c r="E345" s="3" t="inlineStr">
        <is>
          <t>../../2018/jama.2018.9128/joi180075supp2_prod.pdf#page=2</t>
        </is>
      </c>
    </row>
    <row r="346" ht="40" customHeight="1">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ht="30" customHeight="1">
      <c r="A347" s="3" t="inlineStr">
        <is>
          <t>2018::jama.2018.9128::C003</t>
        </is>
      </c>
      <c r="B347" s="3" t="inlineStr">
        <is>
          <t>sourceLinks</t>
        </is>
      </c>
      <c r="C347" s="3" t="n">
        <v>0</v>
      </c>
      <c r="D347" s="3" t="inlineStr">
        <is>
          <t>DOC-001 Figure 1 — PDF p. 3</t>
        </is>
      </c>
      <c r="E347" s="3" t="inlineStr">
        <is>
          <t>../../2018/jama.2018.9128/jama_barkin_2018_oi_180075.pdf#page=3</t>
        </is>
      </c>
    </row>
    <row r="348" ht="30" customHeight="1">
      <c r="A348" s="2" t="inlineStr">
        <is>
          <t>2018::jama.2018.9128::C003</t>
        </is>
      </c>
      <c r="B348" s="2" t="inlineStr">
        <is>
          <t>sourceLinks</t>
        </is>
      </c>
      <c r="C348" s="2" t="n">
        <v>1</v>
      </c>
      <c r="D348" s="2" t="inlineStr">
        <is>
          <t>DOC-001 Figure 2 — PDF p. 7</t>
        </is>
      </c>
      <c r="E348" s="2" t="inlineStr">
        <is>
          <t>../../2018/jama.2018.9128/jama_barkin_2018_oi_180075.pdf#page=7</t>
        </is>
      </c>
    </row>
    <row r="349" ht="30" customHeight="1">
      <c r="A349" s="3" t="inlineStr">
        <is>
          <t>2018::jama.2018.9128::C003</t>
        </is>
      </c>
      <c r="B349" s="3" t="inlineStr">
        <is>
          <t>sourceLinks</t>
        </is>
      </c>
      <c r="C349" s="3" t="n">
        <v>2</v>
      </c>
      <c r="D349" s="3" t="inlineStr">
        <is>
          <t>DOC-003 eTable 1 — PDF p. 2</t>
        </is>
      </c>
      <c r="E349" s="3" t="inlineStr">
        <is>
          <t>../../2018/jama.2018.9128/joi180075supp2_prod.pdf#page=2</t>
        </is>
      </c>
    </row>
    <row r="350" ht="40" customHeight="1">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ht="30" customHeight="1">
      <c r="A351" s="3" t="inlineStr">
        <is>
          <t>2018::jama.2018.9128::C004</t>
        </is>
      </c>
      <c r="B351" s="3" t="inlineStr">
        <is>
          <t>sourceLinks</t>
        </is>
      </c>
      <c r="C351" s="3" t="n">
        <v>0</v>
      </c>
      <c r="D351" s="3" t="inlineStr">
        <is>
          <t>DOC-001 Figure 1 — PDF p. 3</t>
        </is>
      </c>
      <c r="E351" s="3" t="inlineStr">
        <is>
          <t>../../2018/jama.2018.9128/jama_barkin_2018_oi_180075.pdf#page=3</t>
        </is>
      </c>
    </row>
    <row r="352" ht="30" customHeight="1">
      <c r="A352" s="2" t="inlineStr">
        <is>
          <t>2018::jama.2018.9128::C004</t>
        </is>
      </c>
      <c r="B352" s="2" t="inlineStr">
        <is>
          <t>sourceLinks</t>
        </is>
      </c>
      <c r="C352" s="2" t="n">
        <v>1</v>
      </c>
      <c r="D352" s="2" t="inlineStr">
        <is>
          <t>DOC-001 Figure 2 — PDF p. 7</t>
        </is>
      </c>
      <c r="E352" s="2" t="inlineStr">
        <is>
          <t>../../2018/jama.2018.9128/jama_barkin_2018_oi_180075.pdf#page=7</t>
        </is>
      </c>
    </row>
    <row r="353" ht="30" customHeight="1">
      <c r="A353" s="3" t="inlineStr">
        <is>
          <t>2018::jama.2018.9128::C004</t>
        </is>
      </c>
      <c r="B353" s="3" t="inlineStr">
        <is>
          <t>sourceLinks</t>
        </is>
      </c>
      <c r="C353" s="3" t="n">
        <v>2</v>
      </c>
      <c r="D353" s="3" t="inlineStr">
        <is>
          <t>DOC-003 eTable 1 — PDF p. 2</t>
        </is>
      </c>
      <c r="E353" s="3" t="inlineStr">
        <is>
          <t>../../2018/jama.2018.9128/joi180075supp2_prod.pdf#page=2</t>
        </is>
      </c>
    </row>
    <row r="354" ht="40" customHeight="1">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ht="30" customHeight="1">
      <c r="A355" s="3" t="inlineStr">
        <is>
          <t>2018::jama.2018.9128::C005</t>
        </is>
      </c>
      <c r="B355" s="3" t="inlineStr">
        <is>
          <t>sourceLinks</t>
        </is>
      </c>
      <c r="C355" s="3" t="n">
        <v>0</v>
      </c>
      <c r="D355" s="3" t="inlineStr">
        <is>
          <t>DOC-001 Figure 1 — PDF p. 3</t>
        </is>
      </c>
      <c r="E355" s="3" t="inlineStr">
        <is>
          <t>../../2018/jama.2018.9128/jama_barkin_2018_oi_180075.pdf#page=3</t>
        </is>
      </c>
    </row>
    <row r="356" ht="30" customHeight="1">
      <c r="A356" s="2" t="inlineStr">
        <is>
          <t>2018::jama.2018.9128::C005</t>
        </is>
      </c>
      <c r="B356" s="2" t="inlineStr">
        <is>
          <t>sourceLinks</t>
        </is>
      </c>
      <c r="C356" s="2" t="n">
        <v>1</v>
      </c>
      <c r="D356" s="2" t="inlineStr">
        <is>
          <t>DOC-001 Figure 2 — PDF p. 7</t>
        </is>
      </c>
      <c r="E356" s="2" t="inlineStr">
        <is>
          <t>../../2018/jama.2018.9128/jama_barkin_2018_oi_180075.pdf#page=7</t>
        </is>
      </c>
    </row>
    <row r="357" ht="30" customHeight="1">
      <c r="A357" s="3" t="inlineStr">
        <is>
          <t>2018::jama.2018.9128::C005</t>
        </is>
      </c>
      <c r="B357" s="3" t="inlineStr">
        <is>
          <t>sourceLinks</t>
        </is>
      </c>
      <c r="C357" s="3" t="n">
        <v>2</v>
      </c>
      <c r="D357" s="3" t="inlineStr">
        <is>
          <t>DOC-003 eTable 1 — PDF p. 2</t>
        </is>
      </c>
      <c r="E357" s="3" t="inlineStr">
        <is>
          <t>../../2018/jama.2018.9128/joi180075supp2_prod.pdf#page=2</t>
        </is>
      </c>
    </row>
    <row r="358" ht="40" customHeight="1">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ht="30" customHeight="1">
      <c r="A359" s="3" t="inlineStr">
        <is>
          <t>2018::jama.2018.9128::C006</t>
        </is>
      </c>
      <c r="B359" s="3" t="inlineStr">
        <is>
          <t>sourceLinks</t>
        </is>
      </c>
      <c r="C359" s="3" t="n">
        <v>0</v>
      </c>
      <c r="D359" s="3" t="inlineStr">
        <is>
          <t>DOC-001 Figure 1 — PDF p. 3</t>
        </is>
      </c>
      <c r="E359" s="3" t="inlineStr">
        <is>
          <t>../../2018/jama.2018.9128/jama_barkin_2018_oi_180075.pdf#page=3</t>
        </is>
      </c>
    </row>
    <row r="360" ht="30" customHeight="1">
      <c r="A360" s="2" t="inlineStr">
        <is>
          <t>2018::jama.2018.9128::C006</t>
        </is>
      </c>
      <c r="B360" s="2" t="inlineStr">
        <is>
          <t>sourceLinks</t>
        </is>
      </c>
      <c r="C360" s="2" t="n">
        <v>1</v>
      </c>
      <c r="D360" s="2" t="inlineStr">
        <is>
          <t>DOC-001 Figure 2 — PDF p. 7</t>
        </is>
      </c>
      <c r="E360" s="2" t="inlineStr">
        <is>
          <t>../../2018/jama.2018.9128/jama_barkin_2018_oi_180075.pdf#page=7</t>
        </is>
      </c>
    </row>
    <row r="361" ht="30" customHeight="1">
      <c r="A361" s="3" t="inlineStr">
        <is>
          <t>2018::jama.2018.9128::C006</t>
        </is>
      </c>
      <c r="B361" s="3" t="inlineStr">
        <is>
          <t>sourceLinks</t>
        </is>
      </c>
      <c r="C361" s="3" t="n">
        <v>2</v>
      </c>
      <c r="D361" s="3" t="inlineStr">
        <is>
          <t>DOC-003 eTable 1 — PDF p. 2</t>
        </is>
      </c>
      <c r="E361" s="3" t="inlineStr">
        <is>
          <t>../../2018/jama.2018.9128/joi180075supp2_prod.pdf#page=2</t>
        </is>
      </c>
    </row>
    <row r="362" ht="40" customHeight="1">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ht="30" customHeight="1">
      <c r="A363" s="3" t="inlineStr">
        <is>
          <t>2018::jama.2018.9128::C007</t>
        </is>
      </c>
      <c r="B363" s="3" t="inlineStr">
        <is>
          <t>sourceLinks</t>
        </is>
      </c>
      <c r="C363" s="3" t="n">
        <v>0</v>
      </c>
      <c r="D363" s="3" t="inlineStr">
        <is>
          <t>DOC-001 Figure 1 — PDF p. 3</t>
        </is>
      </c>
      <c r="E363" s="3" t="inlineStr">
        <is>
          <t>../../2018/jama.2018.9128/jama_barkin_2018_oi_180075.pdf#page=3</t>
        </is>
      </c>
    </row>
    <row r="364" ht="30" customHeight="1">
      <c r="A364" s="2" t="inlineStr">
        <is>
          <t>2018::jama.2018.9128::C007</t>
        </is>
      </c>
      <c r="B364" s="2" t="inlineStr">
        <is>
          <t>sourceLinks</t>
        </is>
      </c>
      <c r="C364" s="2" t="n">
        <v>1</v>
      </c>
      <c r="D364" s="2" t="inlineStr">
        <is>
          <t>DOC-001 Figure 2 — PDF p. 7</t>
        </is>
      </c>
      <c r="E364" s="2" t="inlineStr">
        <is>
          <t>../../2018/jama.2018.9128/jama_barkin_2018_oi_180075.pdf#page=7</t>
        </is>
      </c>
    </row>
    <row r="365" ht="30" customHeight="1">
      <c r="A365" s="3" t="inlineStr">
        <is>
          <t>2018::jama.2018.9128::C007</t>
        </is>
      </c>
      <c r="B365" s="3" t="inlineStr">
        <is>
          <t>sourceLinks</t>
        </is>
      </c>
      <c r="C365" s="3" t="n">
        <v>2</v>
      </c>
      <c r="D365" s="3" t="inlineStr">
        <is>
          <t>DOC-003 eTable 1 — PDF p. 2</t>
        </is>
      </c>
      <c r="E365" s="3" t="inlineStr">
        <is>
          <t>../../2018/jama.2018.9128/joi180075supp2_prod.pdf#page=2</t>
        </is>
      </c>
    </row>
    <row r="366" ht="40" customHeight="1">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ht="30" customHeight="1">
      <c r="A367" s="3" t="inlineStr">
        <is>
          <t>2018::jama.2018.9128::C008</t>
        </is>
      </c>
      <c r="B367" s="3" t="inlineStr">
        <is>
          <t>sourceLinks</t>
        </is>
      </c>
      <c r="C367" s="3" t="n">
        <v>0</v>
      </c>
      <c r="D367" s="3" t="inlineStr">
        <is>
          <t>DOC-001 Figure 1 — PDF p. 3</t>
        </is>
      </c>
      <c r="E367" s="3" t="inlineStr">
        <is>
          <t>../../2018/jama.2018.9128/jama_barkin_2018_oi_180075.pdf#page=3</t>
        </is>
      </c>
    </row>
    <row r="368" ht="30" customHeight="1">
      <c r="A368" s="2" t="inlineStr">
        <is>
          <t>2018::jama.2018.9128::C008</t>
        </is>
      </c>
      <c r="B368" s="2" t="inlineStr">
        <is>
          <t>sourceLinks</t>
        </is>
      </c>
      <c r="C368" s="2" t="n">
        <v>1</v>
      </c>
      <c r="D368" s="2" t="inlineStr">
        <is>
          <t>DOC-001 Figure 2 — PDF p. 7</t>
        </is>
      </c>
      <c r="E368" s="2" t="inlineStr">
        <is>
          <t>../../2018/jama.2018.9128/jama_barkin_2018_oi_180075.pdf#page=7</t>
        </is>
      </c>
    </row>
    <row r="369" ht="30" customHeight="1">
      <c r="A369" s="3" t="inlineStr">
        <is>
          <t>2018::jama.2018.9128::C008</t>
        </is>
      </c>
      <c r="B369" s="3" t="inlineStr">
        <is>
          <t>sourceLinks</t>
        </is>
      </c>
      <c r="C369" s="3" t="n">
        <v>2</v>
      </c>
      <c r="D369" s="3" t="inlineStr">
        <is>
          <t>DOC-003 eTable 1 — PDF p. 2</t>
        </is>
      </c>
      <c r="E369" s="3" t="inlineStr">
        <is>
          <t>../../2018/jama.2018.9128/joi180075supp2_prod.pdf#page=2</t>
        </is>
      </c>
    </row>
    <row r="370" ht="40" customHeight="1">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ht="30" customHeight="1">
      <c r="A371" s="3" t="inlineStr">
        <is>
          <t>2018::jama.2018.9128::C009</t>
        </is>
      </c>
      <c r="B371" s="3" t="inlineStr">
        <is>
          <t>sourceLinks</t>
        </is>
      </c>
      <c r="C371" s="3" t="n">
        <v>0</v>
      </c>
      <c r="D371" s="3" t="inlineStr">
        <is>
          <t>DOC-002 final SAP — PDF p. 110</t>
        </is>
      </c>
      <c r="E371" s="3" t="inlineStr">
        <is>
          <t>../../2018/jama.2018.9128/joi180075supp1_prod.pdf#page=110</t>
        </is>
      </c>
    </row>
    <row r="372" ht="30" customHeight="1">
      <c r="A372" s="2" t="inlineStr">
        <is>
          <t>2018::jama.2018.9128::C009</t>
        </is>
      </c>
      <c r="B372" s="2" t="inlineStr">
        <is>
          <t>sourceLinks</t>
        </is>
      </c>
      <c r="C372" s="2" t="n">
        <v>1</v>
      </c>
      <c r="D372" s="2" t="inlineStr">
        <is>
          <t>DOC-002 protocol schedule — PDF p. 15</t>
        </is>
      </c>
      <c r="E372" s="2" t="inlineStr">
        <is>
          <t>../../2018/jama.2018.9128/joi180075supp1_prod.pdf#page=15</t>
        </is>
      </c>
    </row>
    <row r="373" ht="30" customHeight="1">
      <c r="A373" s="3" t="inlineStr">
        <is>
          <t>2018::jama.2018.9128::C009</t>
        </is>
      </c>
      <c r="B373" s="3" t="inlineStr">
        <is>
          <t>sourceLinks</t>
        </is>
      </c>
      <c r="C373" s="3" t="n">
        <v>2</v>
      </c>
      <c r="D373" s="3" t="inlineStr">
        <is>
          <t>DOC-001 Methods — PDF p. 4</t>
        </is>
      </c>
      <c r="E373" s="3" t="inlineStr">
        <is>
          <t>../../2018/jama.2018.9128/jama_barkin_2018_oi_180075.pdf#page=4</t>
        </is>
      </c>
    </row>
    <row r="374" ht="30" customHeight="1">
      <c r="A374" s="2" t="inlineStr">
        <is>
          <t>2018::jama.2018.9128::C009</t>
        </is>
      </c>
      <c r="B374" s="2" t="inlineStr">
        <is>
          <t>sourceLinks</t>
        </is>
      </c>
      <c r="C374" s="2" t="n">
        <v>3</v>
      </c>
      <c r="D374" s="2" t="inlineStr">
        <is>
          <t>DOC-003 eTable 1 — PDF p. 2</t>
        </is>
      </c>
      <c r="E374" s="2" t="inlineStr">
        <is>
          <t>../../2018/jama.2018.9128/joi180075supp2_prod.pdf#page=2</t>
        </is>
      </c>
    </row>
    <row r="375" ht="40" customHeight="1">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ht="40" customHeight="1">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ht="30" customHeight="1">
      <c r="A377" s="3" t="inlineStr">
        <is>
          <t>2018::jama.2018.9128::C010</t>
        </is>
      </c>
      <c r="B377" s="3" t="inlineStr">
        <is>
          <t>sourceLinks</t>
        </is>
      </c>
      <c r="C377" s="3" t="n">
        <v>0</v>
      </c>
      <c r="D377" s="3" t="inlineStr">
        <is>
          <t>DOC-002 revised protocol — PDF p. 64</t>
        </is>
      </c>
      <c r="E377" s="3" t="inlineStr">
        <is>
          <t>../../2018/jama.2018.9128/joi180075supp1_prod.pdf#page=64</t>
        </is>
      </c>
    </row>
    <row r="378" ht="30" customHeight="1">
      <c r="A378" s="2" t="inlineStr">
        <is>
          <t>2018::jama.2018.9128::C010</t>
        </is>
      </c>
      <c r="B378" s="2" t="inlineStr">
        <is>
          <t>sourceLinks</t>
        </is>
      </c>
      <c r="C378" s="2" t="n">
        <v>1</v>
      </c>
      <c r="D378" s="2" t="inlineStr">
        <is>
          <t>DOC-001 Methods — PDF p. 4</t>
        </is>
      </c>
      <c r="E378" s="2" t="inlineStr">
        <is>
          <t>../../2018/jama.2018.9128/jama_barkin_2018_oi_180075.pdf#page=4</t>
        </is>
      </c>
    </row>
    <row r="379" ht="30" customHeight="1">
      <c r="A379" s="3" t="inlineStr">
        <is>
          <t>2018::jama.2018.9128::C010</t>
        </is>
      </c>
      <c r="B379" s="3" t="inlineStr">
        <is>
          <t>sourceLinks</t>
        </is>
      </c>
      <c r="C379" s="3" t="n">
        <v>2</v>
      </c>
      <c r="D379" s="3" t="inlineStr">
        <is>
          <t>DOC-003 eTable 1 — PDF p. 2</t>
        </is>
      </c>
      <c r="E379" s="3" t="inlineStr">
        <is>
          <t>../../2018/jama.2018.9128/joi180075supp2_prod.pdf#page=2</t>
        </is>
      </c>
    </row>
    <row r="380" ht="40" customHeight="1">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ht="40" customHeight="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ht="30" customHeight="1">
      <c r="A382" s="2" t="inlineStr">
        <is>
          <t>2018::jama.2018.9128::C011</t>
        </is>
      </c>
      <c r="B382" s="2" t="inlineStr">
        <is>
          <t>sourceLinks</t>
        </is>
      </c>
      <c r="C382" s="2" t="n">
        <v>0</v>
      </c>
      <c r="D382" s="2" t="inlineStr">
        <is>
          <t>DOC-002 original protocol — PDF p. 16</t>
        </is>
      </c>
      <c r="E382" s="2" t="inlineStr">
        <is>
          <t>../../2018/jama.2018.9128/joi180075supp1_prod.pdf#page=16</t>
        </is>
      </c>
    </row>
    <row r="383" ht="30" customHeight="1">
      <c r="A383" s="3" t="inlineStr">
        <is>
          <t>2018::jama.2018.9128::C011</t>
        </is>
      </c>
      <c r="B383" s="3" t="inlineStr">
        <is>
          <t>sourceLinks</t>
        </is>
      </c>
      <c r="C383" s="3" t="n">
        <v>1</v>
      </c>
      <c r="D383" s="3" t="inlineStr">
        <is>
          <t>DOC-002 final SAP — PDF p. 110</t>
        </is>
      </c>
      <c r="E383" s="3" t="inlineStr">
        <is>
          <t>../../2018/jama.2018.9128/joi180075supp1_prod.pdf#page=110</t>
        </is>
      </c>
    </row>
    <row r="384" ht="30" customHeight="1">
      <c r="A384" s="2" t="inlineStr">
        <is>
          <t>2018::jama.2018.9128::C011</t>
        </is>
      </c>
      <c r="B384" s="2" t="inlineStr">
        <is>
          <t>sourceLinks</t>
        </is>
      </c>
      <c r="C384" s="2" t="n">
        <v>2</v>
      </c>
      <c r="D384" s="2" t="inlineStr">
        <is>
          <t>DOC-001 Outcomes — PDF p. 3</t>
        </is>
      </c>
      <c r="E384" s="2" t="inlineStr">
        <is>
          <t>../../2018/jama.2018.9128/jama_barkin_2018_oi_180075.pdf#page=3</t>
        </is>
      </c>
    </row>
    <row r="385" ht="30" customHeight="1">
      <c r="A385" s="3" t="inlineStr">
        <is>
          <t>2018::jama.2018.9128::C011</t>
        </is>
      </c>
      <c r="B385" s="3" t="inlineStr">
        <is>
          <t>sourceLinks</t>
        </is>
      </c>
      <c r="C385" s="3" t="n">
        <v>3</v>
      </c>
      <c r="D385" s="3" t="inlineStr">
        <is>
          <t>DOC-003 eTable 1 — PDF p. 2</t>
        </is>
      </c>
      <c r="E385" s="3" t="inlineStr">
        <is>
          <t>../../2018/jama.2018.9128/joi180075supp2_prod.pdf#page=2</t>
        </is>
      </c>
    </row>
    <row r="386" ht="40" customHeight="1">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ht="40" customHeight="1">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ht="30" customHeight="1">
      <c r="A388" s="2" t="inlineStr">
        <is>
          <t>2018::jama.2018.9128::C012</t>
        </is>
      </c>
      <c r="B388" s="2" t="inlineStr">
        <is>
          <t>sourceLinks</t>
        </is>
      </c>
      <c r="C388" s="2" t="n">
        <v>0</v>
      </c>
      <c r="D388" s="2" t="inlineStr">
        <is>
          <t>DOC-002 original protocol — PDF p. 14</t>
        </is>
      </c>
      <c r="E388" s="2" t="inlineStr">
        <is>
          <t>../../2018/jama.2018.9128/joi180075supp1_prod.pdf#page=14</t>
        </is>
      </c>
    </row>
    <row r="389" ht="30" customHeight="1">
      <c r="A389" s="3" t="inlineStr">
        <is>
          <t>2018::jama.2018.9128::C012</t>
        </is>
      </c>
      <c r="B389" s="3" t="inlineStr">
        <is>
          <t>sourceLinks</t>
        </is>
      </c>
      <c r="C389" s="3" t="n">
        <v>1</v>
      </c>
      <c r="D389" s="3" t="inlineStr">
        <is>
          <t>DOC-002 revised protocol — PDF p. 64</t>
        </is>
      </c>
      <c r="E389" s="3" t="inlineStr">
        <is>
          <t>../../2018/jama.2018.9128/joi180075supp1_prod.pdf#page=64</t>
        </is>
      </c>
    </row>
    <row r="390" ht="30" customHeight="1">
      <c r="A390" s="2" t="inlineStr">
        <is>
          <t>2018::jama.2018.9128::C012</t>
        </is>
      </c>
      <c r="B390" s="2" t="inlineStr">
        <is>
          <t>sourceLinks</t>
        </is>
      </c>
      <c r="C390" s="2" t="n">
        <v>2</v>
      </c>
      <c r="D390" s="2" t="inlineStr">
        <is>
          <t>DOC-001 abstract — PDF p. 1</t>
        </is>
      </c>
      <c r="E390" s="2" t="inlineStr">
        <is>
          <t>../../2018/jama.2018.9128/jama_barkin_2018_oi_180075.pdf#page=1</t>
        </is>
      </c>
    </row>
    <row r="391" ht="30" customHeight="1">
      <c r="A391" s="3" t="inlineStr">
        <is>
          <t>2018::jama.2018.9128::C012</t>
        </is>
      </c>
      <c r="B391" s="3" t="inlineStr">
        <is>
          <t>sourceLinks</t>
        </is>
      </c>
      <c r="C391" s="3" t="n">
        <v>3</v>
      </c>
      <c r="D391" s="3" t="inlineStr">
        <is>
          <t>DOC-001 Methods — PDF p. 3</t>
        </is>
      </c>
      <c r="E391" s="3" t="inlineStr">
        <is>
          <t>../../2018/jama.2018.9128/jama_barkin_2018_oi_180075.pdf#page=3</t>
        </is>
      </c>
    </row>
    <row r="392" ht="40" customHeight="1">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ht="40" customHeight="1">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ht="30" customHeight="1">
      <c r="A394" s="2" t="inlineStr">
        <is>
          <t>2018::jama.2018.9128::C013</t>
        </is>
      </c>
      <c r="B394" s="2" t="inlineStr">
        <is>
          <t>sourceLinks</t>
        </is>
      </c>
      <c r="C394" s="2" t="n">
        <v>0</v>
      </c>
      <c r="D394" s="2" t="inlineStr">
        <is>
          <t>DOC-001 Figure 1 — PDF p. 3</t>
        </is>
      </c>
      <c r="E394" s="2" t="inlineStr">
        <is>
          <t>../../2018/jama.2018.9128/jama_barkin_2018_oi_180075.pdf#page=3</t>
        </is>
      </c>
    </row>
    <row r="395" ht="30" customHeight="1">
      <c r="A395" s="3" t="inlineStr">
        <is>
          <t>2018::jama.2018.9128::C013</t>
        </is>
      </c>
      <c r="B395" s="3" t="inlineStr">
        <is>
          <t>sourceLinks</t>
        </is>
      </c>
      <c r="C395" s="3" t="n">
        <v>1</v>
      </c>
      <c r="D395" s="3" t="inlineStr">
        <is>
          <t>DOC-001 Figure 2 — PDF p. 7</t>
        </is>
      </c>
      <c r="E395" s="3" t="inlineStr">
        <is>
          <t>../../2018/jama.2018.9128/jama_barkin_2018_oi_180075.pdf#page=7</t>
        </is>
      </c>
    </row>
    <row r="396" ht="30" customHeight="1">
      <c r="A396" s="2" t="inlineStr">
        <is>
          <t>2018::jama.2018.9128::C013</t>
        </is>
      </c>
      <c r="B396" s="2" t="inlineStr">
        <is>
          <t>sourceLinks</t>
        </is>
      </c>
      <c r="C396" s="2" t="n">
        <v>2</v>
      </c>
      <c r="D396" s="2" t="inlineStr">
        <is>
          <t>DOC-003 eTable 1 — PDF p. 2</t>
        </is>
      </c>
      <c r="E396" s="2" t="inlineStr">
        <is>
          <t>../../2018/jama.2018.9128/joi180075supp2_prod.pdf#page=2</t>
        </is>
      </c>
    </row>
    <row r="397" ht="40" customHeight="1">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sheetData>
  <sheetProtection selectLockedCells="0" selectUnlockedCells="0" sheet="1" objects="0" insertRows="1" insertHyperlinks="1" autoFilter="0" scenarios="0" formatColumns="1" deleteColumns="1" insertColumns="1" pivotTables="1" deleteRows="1" formatCells="1" formatRows="1" sort="1"/>
  <autoFilter ref="A1:E397"/>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3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2018::jama.2017.21906::C001</t>
        </is>
      </c>
      <c r="B2" s="2" t="inlineStr">
        <is>
          <t>relations</t>
        </is>
      </c>
      <c r="C2" s="2" t="n">
        <v>0</v>
      </c>
      <c r="D2" s="2" t="inlineStr">
        <is>
          <t>S_W</t>
        </is>
      </c>
    </row>
    <row r="3" ht="30" customHeight="1">
      <c r="A3" s="3" t="inlineStr">
        <is>
          <t>2018::jama.2017.21906::C002</t>
        </is>
      </c>
      <c r="B3" s="3" t="inlineStr">
        <is>
          <t>relations</t>
        </is>
      </c>
      <c r="C3" s="3" t="n">
        <v>0</v>
      </c>
      <c r="D3" s="3" t="inlineStr">
        <is>
          <t>S_W</t>
        </is>
      </c>
    </row>
    <row r="4" ht="30" customHeight="1">
      <c r="A4" s="2" t="inlineStr">
        <is>
          <t>2018::jama.2017.21906::C003</t>
        </is>
      </c>
      <c r="B4" s="2" t="inlineStr">
        <is>
          <t>relations</t>
        </is>
      </c>
      <c r="C4" s="2" t="n">
        <v>0</v>
      </c>
      <c r="D4" s="2" t="inlineStr">
        <is>
          <t>S_W</t>
        </is>
      </c>
    </row>
    <row r="5" ht="30" customHeight="1">
      <c r="A5" s="3" t="inlineStr">
        <is>
          <t>2018::jama.2017.21906::C004</t>
        </is>
      </c>
      <c r="B5" s="3" t="inlineStr">
        <is>
          <t>relations</t>
        </is>
      </c>
      <c r="C5" s="3" t="n">
        <v>0</v>
      </c>
      <c r="D5" s="3" t="inlineStr">
        <is>
          <t>P_R</t>
        </is>
      </c>
    </row>
    <row r="6" ht="30" customHeight="1">
      <c r="A6" s="2" t="inlineStr">
        <is>
          <t>2018::jama.2017.21906::C005</t>
        </is>
      </c>
      <c r="B6" s="2" t="inlineStr">
        <is>
          <t>relations</t>
        </is>
      </c>
      <c r="C6" s="2" t="n">
        <v>0</v>
      </c>
      <c r="D6" s="2" t="inlineStr">
        <is>
          <t>S_C</t>
        </is>
      </c>
    </row>
    <row r="7" ht="30" customHeight="1">
      <c r="A7" s="3" t="inlineStr">
        <is>
          <t>2018::jama.2017.21906::C005</t>
        </is>
      </c>
      <c r="B7" s="3" t="inlineStr">
        <is>
          <t>relations</t>
        </is>
      </c>
      <c r="C7" s="3" t="n">
        <v>1</v>
      </c>
      <c r="D7" s="3" t="inlineStr">
        <is>
          <t>S_W</t>
        </is>
      </c>
    </row>
    <row r="8" ht="30" customHeight="1">
      <c r="A8" s="2" t="inlineStr">
        <is>
          <t>2018::jama.2017.21906::C006</t>
        </is>
      </c>
      <c r="B8" s="2" t="inlineStr">
        <is>
          <t>relations</t>
        </is>
      </c>
      <c r="C8" s="2" t="n">
        <v>0</v>
      </c>
      <c r="D8" s="2" t="inlineStr">
        <is>
          <t>P_R</t>
        </is>
      </c>
    </row>
    <row r="9" ht="30" customHeight="1">
      <c r="A9" s="3" t="inlineStr">
        <is>
          <t>2018::jama.2018.0156::C001</t>
        </is>
      </c>
      <c r="B9" s="3" t="inlineStr">
        <is>
          <t>relations</t>
        </is>
      </c>
      <c r="C9" s="3" t="n">
        <v>0</v>
      </c>
      <c r="D9" s="3" t="inlineStr">
        <is>
          <t>S_W</t>
        </is>
      </c>
    </row>
    <row r="10" ht="30" customHeight="1">
      <c r="A10" s="2" t="inlineStr">
        <is>
          <t>2018::jama.2018.0156::C002</t>
        </is>
      </c>
      <c r="B10" s="2" t="inlineStr">
        <is>
          <t>relations</t>
        </is>
      </c>
      <c r="C10" s="2" t="n">
        <v>0</v>
      </c>
      <c r="D10" s="2" t="inlineStr">
        <is>
          <t>S_W</t>
        </is>
      </c>
    </row>
    <row r="11" ht="30" customHeight="1">
      <c r="A11" s="3" t="inlineStr">
        <is>
          <t>2018::jama.2018.0156::C003</t>
        </is>
      </c>
      <c r="B11" s="3" t="inlineStr">
        <is>
          <t>relations</t>
        </is>
      </c>
      <c r="C11" s="3" t="n">
        <v>0</v>
      </c>
      <c r="D11" s="3" t="inlineStr">
        <is>
          <t>S_W</t>
        </is>
      </c>
    </row>
    <row r="12" ht="30" customHeight="1">
      <c r="A12" s="2" t="inlineStr">
        <is>
          <t>2018::jama.2018.0156::C004</t>
        </is>
      </c>
      <c r="B12" s="2" t="inlineStr">
        <is>
          <t>relations</t>
        </is>
      </c>
      <c r="C12" s="2" t="n">
        <v>0</v>
      </c>
      <c r="D12" s="2" t="inlineStr">
        <is>
          <t>S_W</t>
        </is>
      </c>
    </row>
    <row r="13" ht="30" customHeight="1">
      <c r="A13" s="3" t="inlineStr">
        <is>
          <t>2018::jama.2018.0156::C005</t>
        </is>
      </c>
      <c r="B13" s="3" t="inlineStr">
        <is>
          <t>relations</t>
        </is>
      </c>
      <c r="C13" s="3" t="n">
        <v>0</v>
      </c>
      <c r="D13" s="3" t="inlineStr">
        <is>
          <t>S_W</t>
        </is>
      </c>
    </row>
    <row r="14" ht="30" customHeight="1">
      <c r="A14" s="2" t="inlineStr">
        <is>
          <t>2018::jama.2018.0156::C006</t>
        </is>
      </c>
      <c r="B14" s="2" t="inlineStr">
        <is>
          <t>relations</t>
        </is>
      </c>
      <c r="C14" s="2" t="n">
        <v>0</v>
      </c>
      <c r="D14" s="2" t="inlineStr">
        <is>
          <t>S_C</t>
        </is>
      </c>
    </row>
    <row r="15" ht="30" customHeight="1">
      <c r="A15" s="3" t="inlineStr">
        <is>
          <t>2018::jama.2018.0156::C007</t>
        </is>
      </c>
      <c r="B15" s="3" t="inlineStr">
        <is>
          <t>relations</t>
        </is>
      </c>
      <c r="C15" s="3" t="n">
        <v>0</v>
      </c>
      <c r="D15" s="3" t="inlineStr">
        <is>
          <t>P_R</t>
        </is>
      </c>
    </row>
    <row r="16" ht="30" customHeight="1">
      <c r="A16" s="2" t="inlineStr">
        <is>
          <t>2018::jama.2018.0156::C008</t>
        </is>
      </c>
      <c r="B16" s="2" t="inlineStr">
        <is>
          <t>relations</t>
        </is>
      </c>
      <c r="C16" s="2" t="n">
        <v>0</v>
      </c>
      <c r="D16" s="2" t="inlineStr">
        <is>
          <t>P_R</t>
        </is>
      </c>
    </row>
    <row r="17" ht="30" customHeight="1">
      <c r="A17" s="3" t="inlineStr">
        <is>
          <t>2018::jama.2018.0948::C001</t>
        </is>
      </c>
      <c r="B17" s="3" t="inlineStr">
        <is>
          <t>relations</t>
        </is>
      </c>
      <c r="C17" s="3" t="n">
        <v>0</v>
      </c>
      <c r="D17" s="3" t="inlineStr">
        <is>
          <t>P_R</t>
        </is>
      </c>
    </row>
    <row r="18" ht="30" customHeight="1">
      <c r="A18" s="2" t="inlineStr">
        <is>
          <t>2018::jama.2018.0948::C001</t>
        </is>
      </c>
      <c r="B18" s="2" t="inlineStr">
        <is>
          <t>relations</t>
        </is>
      </c>
      <c r="C18" s="2" t="n">
        <v>1</v>
      </c>
      <c r="D18" s="2" t="inlineStr">
        <is>
          <t>S_C</t>
        </is>
      </c>
    </row>
    <row r="19" ht="30" customHeight="1">
      <c r="A19" s="3" t="inlineStr">
        <is>
          <t>2018::jama.2018.0948::C002</t>
        </is>
      </c>
      <c r="B19" s="3" t="inlineStr">
        <is>
          <t>relations</t>
        </is>
      </c>
      <c r="C19" s="3" t="n">
        <v>0</v>
      </c>
      <c r="D19" s="3" t="inlineStr">
        <is>
          <t>P_P</t>
        </is>
      </c>
    </row>
    <row r="20" ht="30" customHeight="1">
      <c r="A20" s="2" t="inlineStr">
        <is>
          <t>2018::jama.2018.0948::C003</t>
        </is>
      </c>
      <c r="B20" s="2" t="inlineStr">
        <is>
          <t>relations</t>
        </is>
      </c>
      <c r="C20" s="2" t="n">
        <v>0</v>
      </c>
      <c r="D20" s="2" t="inlineStr">
        <is>
          <t>P_P</t>
        </is>
      </c>
    </row>
    <row r="21" ht="30" customHeight="1">
      <c r="A21" s="3" t="inlineStr">
        <is>
          <t>2018::jama.2018.0948::C004</t>
        </is>
      </c>
      <c r="B21" s="3" t="inlineStr">
        <is>
          <t>relations</t>
        </is>
      </c>
      <c r="C21" s="3" t="n">
        <v>0</v>
      </c>
      <c r="D21" s="3" t="inlineStr">
        <is>
          <t>P_P</t>
        </is>
      </c>
    </row>
    <row r="22" ht="30" customHeight="1">
      <c r="A22" s="2" t="inlineStr">
        <is>
          <t>2018::jama.2018.0948::C005</t>
        </is>
      </c>
      <c r="B22" s="2" t="inlineStr">
        <is>
          <t>relations</t>
        </is>
      </c>
      <c r="C22" s="2" t="n">
        <v>0</v>
      </c>
      <c r="D22" s="2" t="inlineStr">
        <is>
          <t>P_P</t>
        </is>
      </c>
    </row>
    <row r="23" ht="30" customHeight="1">
      <c r="A23" s="3" t="inlineStr">
        <is>
          <t>2018::jama.2018.0948::C005</t>
        </is>
      </c>
      <c r="B23" s="3" t="inlineStr">
        <is>
          <t>legacyRelations</t>
        </is>
      </c>
      <c r="C23" s="3" t="n">
        <v>0</v>
      </c>
      <c r="D23" s="3" t="inlineStr">
        <is>
          <t>P_B</t>
        </is>
      </c>
    </row>
    <row r="24" ht="30" customHeight="1">
      <c r="A24" s="2" t="inlineStr">
        <is>
          <t>2018::jama.2018.0948::C006</t>
        </is>
      </c>
      <c r="B24" s="2" t="inlineStr">
        <is>
          <t>relations</t>
        </is>
      </c>
      <c r="C24" s="2" t="n">
        <v>0</v>
      </c>
      <c r="D24" s="2" t="inlineStr">
        <is>
          <t>P_P</t>
        </is>
      </c>
    </row>
    <row r="25" ht="30" customHeight="1">
      <c r="A25" s="3" t="inlineStr">
        <is>
          <t>2018::jama.2018.0948::C007</t>
        </is>
      </c>
      <c r="B25" s="3" t="inlineStr">
        <is>
          <t>relations</t>
        </is>
      </c>
      <c r="C25" s="3" t="n">
        <v>0</v>
      </c>
      <c r="D25" s="3" t="inlineStr">
        <is>
          <t>P_P</t>
        </is>
      </c>
    </row>
    <row r="26" ht="30" customHeight="1">
      <c r="A26" s="2" t="inlineStr">
        <is>
          <t>2018::jama.2018.0948::C007</t>
        </is>
      </c>
      <c r="B26" s="2" t="inlineStr">
        <is>
          <t>legacyRelations</t>
        </is>
      </c>
      <c r="C26" s="2" t="n">
        <v>0</v>
      </c>
      <c r="D26" s="2" t="inlineStr">
        <is>
          <t>P_B</t>
        </is>
      </c>
    </row>
    <row r="27" ht="30" customHeight="1">
      <c r="A27" s="3" t="inlineStr">
        <is>
          <t>2018::jama.2018.14280::C001</t>
        </is>
      </c>
      <c r="B27" s="3" t="inlineStr">
        <is>
          <t>relations</t>
        </is>
      </c>
      <c r="C27" s="3" t="n">
        <v>0</v>
      </c>
      <c r="D27" s="3" t="inlineStr">
        <is>
          <t>S_W</t>
        </is>
      </c>
    </row>
    <row r="28" ht="30" customHeight="1">
      <c r="A28" s="2" t="inlineStr">
        <is>
          <t>2018::jama.2018.14280::C002</t>
        </is>
      </c>
      <c r="B28" s="2" t="inlineStr">
        <is>
          <t>relations</t>
        </is>
      </c>
      <c r="C28" s="2" t="n">
        <v>0</v>
      </c>
      <c r="D28" s="2" t="inlineStr">
        <is>
          <t>S_W</t>
        </is>
      </c>
    </row>
    <row r="29" ht="30" customHeight="1">
      <c r="A29" s="3" t="inlineStr">
        <is>
          <t>2018::jama.2018.14280::C003</t>
        </is>
      </c>
      <c r="B29" s="3" t="inlineStr">
        <is>
          <t>relations</t>
        </is>
      </c>
      <c r="C29" s="3" t="n">
        <v>0</v>
      </c>
      <c r="D29" s="3" t="inlineStr">
        <is>
          <t>S_W</t>
        </is>
      </c>
    </row>
    <row r="30" ht="30" customHeight="1">
      <c r="A30" s="2" t="inlineStr">
        <is>
          <t>2018::jama.2018.14280::C004</t>
        </is>
      </c>
      <c r="B30" s="2" t="inlineStr">
        <is>
          <t>relations</t>
        </is>
      </c>
      <c r="C30" s="2" t="n">
        <v>0</v>
      </c>
      <c r="D30" s="2" t="inlineStr">
        <is>
          <t>S_W</t>
        </is>
      </c>
    </row>
    <row r="31" ht="30" customHeight="1">
      <c r="A31" s="3" t="inlineStr">
        <is>
          <t>2018::jama.2018.14280::C005</t>
        </is>
      </c>
      <c r="B31" s="3" t="inlineStr">
        <is>
          <t>relations</t>
        </is>
      </c>
      <c r="C31" s="3" t="n">
        <v>0</v>
      </c>
      <c r="D31" s="3" t="inlineStr">
        <is>
          <t>S_W</t>
        </is>
      </c>
    </row>
    <row r="32" ht="30" customHeight="1">
      <c r="A32" s="2" t="inlineStr">
        <is>
          <t>2018::jama.2018.14280::C006</t>
        </is>
      </c>
      <c r="B32" s="2" t="inlineStr">
        <is>
          <t>relations</t>
        </is>
      </c>
      <c r="C32" s="2" t="n">
        <v>0</v>
      </c>
      <c r="D32" s="2" t="inlineStr">
        <is>
          <t>S_W</t>
        </is>
      </c>
    </row>
    <row r="33" ht="30" customHeight="1">
      <c r="A33" s="3" t="inlineStr">
        <is>
          <t>2018::jama.2018.14280::C007</t>
        </is>
      </c>
      <c r="B33" s="3" t="inlineStr">
        <is>
          <t>relations</t>
        </is>
      </c>
      <c r="C33" s="3" t="n">
        <v>0</v>
      </c>
      <c r="D33" s="3" t="inlineStr">
        <is>
          <t>S_W</t>
        </is>
      </c>
    </row>
    <row r="34" ht="30" customHeight="1">
      <c r="A34" s="2" t="inlineStr">
        <is>
          <t>2018::jama.2018.14280::C008</t>
        </is>
      </c>
      <c r="B34" s="2" t="inlineStr">
        <is>
          <t>relations</t>
        </is>
      </c>
      <c r="C34" s="2" t="n">
        <v>0</v>
      </c>
      <c r="D34" s="2" t="inlineStr">
        <is>
          <t>S_W</t>
        </is>
      </c>
    </row>
    <row r="35" ht="30" customHeight="1">
      <c r="A35" s="3" t="inlineStr">
        <is>
          <t>2018::jama.2018.14280::C009</t>
        </is>
      </c>
      <c r="B35" s="3" t="inlineStr">
        <is>
          <t>relations</t>
        </is>
      </c>
      <c r="C35" s="3" t="n">
        <v>0</v>
      </c>
      <c r="D35" s="3" t="inlineStr">
        <is>
          <t>S_W</t>
        </is>
      </c>
    </row>
    <row r="36" ht="30" customHeight="1">
      <c r="A36" s="2" t="inlineStr">
        <is>
          <t>2018::jama.2018.14280::C010</t>
        </is>
      </c>
      <c r="B36" s="2" t="inlineStr">
        <is>
          <t>relations</t>
        </is>
      </c>
      <c r="C36" s="2" t="n">
        <v>0</v>
      </c>
      <c r="D36" s="2" t="inlineStr">
        <is>
          <t>S_W</t>
        </is>
      </c>
    </row>
    <row r="37" ht="30" customHeight="1">
      <c r="A37" s="3" t="inlineStr">
        <is>
          <t>2018::jama.2018.14280::C011</t>
        </is>
      </c>
      <c r="B37" s="3" t="inlineStr">
        <is>
          <t>relations</t>
        </is>
      </c>
      <c r="C37" s="3" t="n">
        <v>0</v>
      </c>
      <c r="D37" s="3" t="inlineStr">
        <is>
          <t>S_W</t>
        </is>
      </c>
    </row>
    <row r="38" ht="30" customHeight="1">
      <c r="A38" s="2" t="inlineStr">
        <is>
          <t>2018::jama.2018.14280::C012</t>
        </is>
      </c>
      <c r="B38" s="2" t="inlineStr">
        <is>
          <t>relations</t>
        </is>
      </c>
      <c r="C38" s="2" t="n">
        <v>0</v>
      </c>
      <c r="D38" s="2" t="inlineStr">
        <is>
          <t>S_W</t>
        </is>
      </c>
    </row>
    <row r="39" ht="30" customHeight="1">
      <c r="A39" s="3" t="inlineStr">
        <is>
          <t>2018::jama.2018.14280::C013</t>
        </is>
      </c>
      <c r="B39" s="3" t="inlineStr">
        <is>
          <t>relations</t>
        </is>
      </c>
      <c r="C39" s="3" t="n">
        <v>0</v>
      </c>
      <c r="D39" s="3" t="inlineStr">
        <is>
          <t>S_W</t>
        </is>
      </c>
    </row>
    <row r="40" ht="30" customHeight="1">
      <c r="A40" s="2" t="inlineStr">
        <is>
          <t>2018::jama.2018.14280::C014</t>
        </is>
      </c>
      <c r="B40" s="2" t="inlineStr">
        <is>
          <t>relations</t>
        </is>
      </c>
      <c r="C40" s="2" t="n">
        <v>0</v>
      </c>
      <c r="D40" s="2" t="inlineStr">
        <is>
          <t>S_W</t>
        </is>
      </c>
    </row>
    <row r="41" ht="30" customHeight="1">
      <c r="A41" s="3" t="inlineStr">
        <is>
          <t>2018::jama.2018.14280::C015</t>
        </is>
      </c>
      <c r="B41" s="3" t="inlineStr">
        <is>
          <t>relations</t>
        </is>
      </c>
      <c r="C41" s="3" t="n">
        <v>0</v>
      </c>
      <c r="D41" s="3" t="inlineStr">
        <is>
          <t>S_W</t>
        </is>
      </c>
    </row>
    <row r="42" ht="30" customHeight="1">
      <c r="A42" s="2" t="inlineStr">
        <is>
          <t>2018::jama.2018.14280::C016</t>
        </is>
      </c>
      <c r="B42" s="2" t="inlineStr">
        <is>
          <t>relations</t>
        </is>
      </c>
      <c r="C42" s="2" t="n">
        <v>0</v>
      </c>
      <c r="D42" s="2" t="inlineStr">
        <is>
          <t>S_W</t>
        </is>
      </c>
    </row>
    <row r="43" ht="30" customHeight="1">
      <c r="A43" s="3" t="inlineStr">
        <is>
          <t>2018::jama.2018.14280::C017</t>
        </is>
      </c>
      <c r="B43" s="3" t="inlineStr">
        <is>
          <t>relations</t>
        </is>
      </c>
      <c r="C43" s="3" t="n">
        <v>0</v>
      </c>
      <c r="D43" s="3" t="inlineStr">
        <is>
          <t>S_W</t>
        </is>
      </c>
    </row>
    <row r="44" ht="30" customHeight="1">
      <c r="A44" s="2" t="inlineStr">
        <is>
          <t>2018::jama.2018.14280::C018</t>
        </is>
      </c>
      <c r="B44" s="2" t="inlineStr">
        <is>
          <t>relations</t>
        </is>
      </c>
      <c r="C44" s="2" t="n">
        <v>0</v>
      </c>
      <c r="D44" s="2" t="inlineStr">
        <is>
          <t>S_W</t>
        </is>
      </c>
    </row>
    <row r="45" ht="30" customHeight="1">
      <c r="A45" s="3" t="inlineStr">
        <is>
          <t>2018::jama.2018.14280::C019</t>
        </is>
      </c>
      <c r="B45" s="3" t="inlineStr">
        <is>
          <t>relations</t>
        </is>
      </c>
      <c r="C45" s="3" t="n">
        <v>0</v>
      </c>
      <c r="D45" s="3" t="inlineStr">
        <is>
          <t>S_W</t>
        </is>
      </c>
    </row>
    <row r="46" ht="30" customHeight="1">
      <c r="A46" s="2" t="inlineStr">
        <is>
          <t>2018::jama.2018.14280::C020</t>
        </is>
      </c>
      <c r="B46" s="2" t="inlineStr">
        <is>
          <t>relations</t>
        </is>
      </c>
      <c r="C46" s="2" t="n">
        <v>0</v>
      </c>
      <c r="D46" s="2" t="inlineStr">
        <is>
          <t>S_W</t>
        </is>
      </c>
    </row>
    <row r="47" ht="30" customHeight="1">
      <c r="A47" s="3" t="inlineStr">
        <is>
          <t>2018::jama.2018.14280::C021</t>
        </is>
      </c>
      <c r="B47" s="3" t="inlineStr">
        <is>
          <t>relations</t>
        </is>
      </c>
      <c r="C47" s="3" t="n">
        <v>0</v>
      </c>
      <c r="D47" s="3" t="inlineStr">
        <is>
          <t>S_W</t>
        </is>
      </c>
    </row>
    <row r="48" ht="30" customHeight="1">
      <c r="A48" s="2" t="inlineStr">
        <is>
          <t>2018::jama.2018.14280::C022</t>
        </is>
      </c>
      <c r="B48" s="2" t="inlineStr">
        <is>
          <t>relations</t>
        </is>
      </c>
      <c r="C48" s="2" t="n">
        <v>0</v>
      </c>
      <c r="D48" s="2" t="inlineStr">
        <is>
          <t>S_C</t>
        </is>
      </c>
    </row>
    <row r="49" ht="30" customHeight="1">
      <c r="A49" s="3" t="inlineStr">
        <is>
          <t>2018::jama.2018.14280::C023</t>
        </is>
      </c>
      <c r="B49" s="3" t="inlineStr">
        <is>
          <t>relations</t>
        </is>
      </c>
      <c r="C49" s="3" t="n">
        <v>0</v>
      </c>
      <c r="D49" s="3" t="inlineStr">
        <is>
          <t>P_R</t>
        </is>
      </c>
    </row>
    <row r="50" ht="30" customHeight="1">
      <c r="A50" s="2" t="inlineStr">
        <is>
          <t>2018::jama.2018.14282::C001</t>
        </is>
      </c>
      <c r="B50" s="2" t="inlineStr">
        <is>
          <t>relations</t>
        </is>
      </c>
      <c r="C50" s="2" t="n">
        <v>0</v>
      </c>
      <c r="D50" s="2" t="inlineStr">
        <is>
          <t>S_W</t>
        </is>
      </c>
    </row>
    <row r="51" ht="30" customHeight="1">
      <c r="A51" s="3" t="inlineStr">
        <is>
          <t>2018::jama.2018.14282::C002</t>
        </is>
      </c>
      <c r="B51" s="3" t="inlineStr">
        <is>
          <t>relations</t>
        </is>
      </c>
      <c r="C51" s="3" t="n">
        <v>0</v>
      </c>
      <c r="D51" s="3" t="inlineStr">
        <is>
          <t>S_W</t>
        </is>
      </c>
    </row>
    <row r="52" ht="30" customHeight="1">
      <c r="A52" s="2" t="inlineStr">
        <is>
          <t>2018::jama.2018.14282::C003</t>
        </is>
      </c>
      <c r="B52" s="2" t="inlineStr">
        <is>
          <t>relations</t>
        </is>
      </c>
      <c r="C52" s="2" t="n">
        <v>0</v>
      </c>
      <c r="D52" s="2" t="inlineStr">
        <is>
          <t>S_W</t>
        </is>
      </c>
    </row>
    <row r="53" ht="30" customHeight="1">
      <c r="A53" s="3" t="inlineStr">
        <is>
          <t>2018::jama.2018.14282::C004</t>
        </is>
      </c>
      <c r="B53" s="3" t="inlineStr">
        <is>
          <t>relations</t>
        </is>
      </c>
      <c r="C53" s="3" t="n">
        <v>0</v>
      </c>
      <c r="D53" s="3" t="inlineStr">
        <is>
          <t>S_W</t>
        </is>
      </c>
    </row>
    <row r="54" ht="30" customHeight="1">
      <c r="A54" s="2" t="inlineStr">
        <is>
          <t>2018::jama.2018.14282::C005</t>
        </is>
      </c>
      <c r="B54" s="2" t="inlineStr">
        <is>
          <t>relations</t>
        </is>
      </c>
      <c r="C54" s="2" t="n">
        <v>0</v>
      </c>
      <c r="D54" s="2" t="inlineStr">
        <is>
          <t>S_W</t>
        </is>
      </c>
    </row>
    <row r="55" ht="30" customHeight="1">
      <c r="A55" s="3" t="inlineStr">
        <is>
          <t>2018::jama.2018.14282::C006</t>
        </is>
      </c>
      <c r="B55" s="3" t="inlineStr">
        <is>
          <t>relations</t>
        </is>
      </c>
      <c r="C55" s="3" t="n">
        <v>0</v>
      </c>
      <c r="D55" s="3" t="inlineStr">
        <is>
          <t>S_W</t>
        </is>
      </c>
    </row>
    <row r="56" ht="30" customHeight="1">
      <c r="A56" s="2" t="inlineStr">
        <is>
          <t>2018::jama.2018.14282::C007</t>
        </is>
      </c>
      <c r="B56" s="2" t="inlineStr">
        <is>
          <t>relations</t>
        </is>
      </c>
      <c r="C56" s="2" t="n">
        <v>0</v>
      </c>
      <c r="D56" s="2" t="inlineStr">
        <is>
          <t>S_W</t>
        </is>
      </c>
    </row>
    <row r="57" ht="30" customHeight="1">
      <c r="A57" s="3" t="inlineStr">
        <is>
          <t>2018::jama.2018.14282::C008</t>
        </is>
      </c>
      <c r="B57" s="3" t="inlineStr">
        <is>
          <t>relations</t>
        </is>
      </c>
      <c r="C57" s="3" t="n">
        <v>0</v>
      </c>
      <c r="D57" s="3" t="inlineStr">
        <is>
          <t>S_W</t>
        </is>
      </c>
    </row>
    <row r="58" ht="30" customHeight="1">
      <c r="A58" s="2" t="inlineStr">
        <is>
          <t>2018::jama.2018.14282::C009</t>
        </is>
      </c>
      <c r="B58" s="2" t="inlineStr">
        <is>
          <t>relations</t>
        </is>
      </c>
      <c r="C58" s="2" t="n">
        <v>0</v>
      </c>
      <c r="D58" s="2" t="inlineStr">
        <is>
          <t>S_W</t>
        </is>
      </c>
    </row>
    <row r="59" ht="30" customHeight="1">
      <c r="A59" s="3" t="inlineStr">
        <is>
          <t>2018::jama.2018.14282::C010</t>
        </is>
      </c>
      <c r="B59" s="3" t="inlineStr">
        <is>
          <t>relations</t>
        </is>
      </c>
      <c r="C59" s="3" t="n">
        <v>0</v>
      </c>
      <c r="D59" s="3" t="inlineStr">
        <is>
          <t>S_W</t>
        </is>
      </c>
    </row>
    <row r="60" ht="30" customHeight="1">
      <c r="A60" s="2" t="inlineStr">
        <is>
          <t>2018::jama.2018.14282::C011</t>
        </is>
      </c>
      <c r="B60" s="2" t="inlineStr">
        <is>
          <t>relations</t>
        </is>
      </c>
      <c r="C60" s="2" t="n">
        <v>0</v>
      </c>
      <c r="D60" s="2" t="inlineStr">
        <is>
          <t>S_W</t>
        </is>
      </c>
    </row>
    <row r="61" ht="30" customHeight="1">
      <c r="A61" s="3" t="inlineStr">
        <is>
          <t>2018::jama.2018.14282::C012</t>
        </is>
      </c>
      <c r="B61" s="3" t="inlineStr">
        <is>
          <t>relations</t>
        </is>
      </c>
      <c r="C61" s="3" t="n">
        <v>0</v>
      </c>
      <c r="D61" s="3" t="inlineStr">
        <is>
          <t>S_W</t>
        </is>
      </c>
    </row>
    <row r="62" ht="30" customHeight="1">
      <c r="A62" s="2" t="inlineStr">
        <is>
          <t>2018::jama.2018.14282::C013</t>
        </is>
      </c>
      <c r="B62" s="2" t="inlineStr">
        <is>
          <t>relations</t>
        </is>
      </c>
      <c r="C62" s="2" t="n">
        <v>0</v>
      </c>
      <c r="D62" s="2" t="inlineStr">
        <is>
          <t>S_W</t>
        </is>
      </c>
    </row>
    <row r="63" ht="30" customHeight="1">
      <c r="A63" s="3" t="inlineStr">
        <is>
          <t>2018::jama.2018.14282::C014</t>
        </is>
      </c>
      <c r="B63" s="3" t="inlineStr">
        <is>
          <t>relations</t>
        </is>
      </c>
      <c r="C63" s="3" t="n">
        <v>0</v>
      </c>
      <c r="D63" s="3" t="inlineStr">
        <is>
          <t>S_W</t>
        </is>
      </c>
    </row>
    <row r="64" ht="30" customHeight="1">
      <c r="A64" s="2" t="inlineStr">
        <is>
          <t>2018::jama.2018.14282::C015</t>
        </is>
      </c>
      <c r="B64" s="2" t="inlineStr">
        <is>
          <t>relations</t>
        </is>
      </c>
      <c r="C64" s="2" t="n">
        <v>0</v>
      </c>
      <c r="D64" s="2" t="inlineStr">
        <is>
          <t>S_W</t>
        </is>
      </c>
    </row>
    <row r="65" ht="30" customHeight="1">
      <c r="A65" s="3" t="inlineStr">
        <is>
          <t>2018::jama.2018.14282::C016</t>
        </is>
      </c>
      <c r="B65" s="3" t="inlineStr">
        <is>
          <t>relations</t>
        </is>
      </c>
      <c r="C65" s="3" t="n">
        <v>0</v>
      </c>
      <c r="D65" s="3" t="inlineStr">
        <is>
          <t>S_W</t>
        </is>
      </c>
    </row>
    <row r="66" ht="30" customHeight="1">
      <c r="A66" s="2" t="inlineStr">
        <is>
          <t>2018::jama.2018.14282::C017</t>
        </is>
      </c>
      <c r="B66" s="2" t="inlineStr">
        <is>
          <t>relations</t>
        </is>
      </c>
      <c r="C66" s="2" t="n">
        <v>0</v>
      </c>
      <c r="D66" s="2" t="inlineStr">
        <is>
          <t>S_W</t>
        </is>
      </c>
    </row>
    <row r="67" ht="30" customHeight="1">
      <c r="A67" s="3" t="inlineStr">
        <is>
          <t>2018::jama.2018.14282::C018</t>
        </is>
      </c>
      <c r="B67" s="3" t="inlineStr">
        <is>
          <t>relations</t>
        </is>
      </c>
      <c r="C67" s="3" t="n">
        <v>0</v>
      </c>
      <c r="D67" s="3" t="inlineStr">
        <is>
          <t>S_W</t>
        </is>
      </c>
    </row>
    <row r="68" ht="30" customHeight="1">
      <c r="A68" s="2" t="inlineStr">
        <is>
          <t>2018::jama.2018.14282::C019</t>
        </is>
      </c>
      <c r="B68" s="2" t="inlineStr">
        <is>
          <t>relations</t>
        </is>
      </c>
      <c r="C68" s="2" t="n">
        <v>0</v>
      </c>
      <c r="D68" s="2" t="inlineStr">
        <is>
          <t>S_W</t>
        </is>
      </c>
    </row>
    <row r="69" ht="30" customHeight="1">
      <c r="A69" s="3" t="inlineStr">
        <is>
          <t>2018::jama.2018.14282::C020</t>
        </is>
      </c>
      <c r="B69" s="3" t="inlineStr">
        <is>
          <t>relations</t>
        </is>
      </c>
      <c r="C69" s="3" t="n">
        <v>0</v>
      </c>
      <c r="D69" s="3" t="inlineStr">
        <is>
          <t>S_W</t>
        </is>
      </c>
    </row>
    <row r="70" ht="30" customHeight="1">
      <c r="A70" s="2" t="inlineStr">
        <is>
          <t>2018::jama.2018.14282::C021</t>
        </is>
      </c>
      <c r="B70" s="2" t="inlineStr">
        <is>
          <t>relations</t>
        </is>
      </c>
      <c r="C70" s="2" t="n">
        <v>0</v>
      </c>
      <c r="D70" s="2" t="inlineStr">
        <is>
          <t>S_W</t>
        </is>
      </c>
    </row>
    <row r="71" ht="30" customHeight="1">
      <c r="A71" s="3" t="inlineStr">
        <is>
          <t>2018::jama.2018.14282::C022</t>
        </is>
      </c>
      <c r="B71" s="3" t="inlineStr">
        <is>
          <t>relations</t>
        </is>
      </c>
      <c r="C71" s="3" t="n">
        <v>0</v>
      </c>
      <c r="D71" s="3" t="inlineStr">
        <is>
          <t>S_C</t>
        </is>
      </c>
    </row>
    <row r="72" ht="30" customHeight="1">
      <c r="A72" s="2" t="inlineStr">
        <is>
          <t>2018::jama.2018.14282::C023</t>
        </is>
      </c>
      <c r="B72" s="2" t="inlineStr">
        <is>
          <t>relations</t>
        </is>
      </c>
      <c r="C72" s="2" t="n">
        <v>0</v>
      </c>
      <c r="D72" s="2" t="inlineStr">
        <is>
          <t>S_W</t>
        </is>
      </c>
    </row>
    <row r="73" ht="30" customHeight="1">
      <c r="A73" s="3" t="inlineStr">
        <is>
          <t>2018::jama.2018.14282::C024</t>
        </is>
      </c>
      <c r="B73" s="3" t="inlineStr">
        <is>
          <t>relations</t>
        </is>
      </c>
      <c r="C73" s="3" t="n">
        <v>0</v>
      </c>
      <c r="D73" s="3" t="inlineStr">
        <is>
          <t>S_W</t>
        </is>
      </c>
    </row>
    <row r="74" ht="30" customHeight="1">
      <c r="A74" s="2" t="inlineStr">
        <is>
          <t>2018::jama.2018.14282::C025</t>
        </is>
      </c>
      <c r="B74" s="2" t="inlineStr">
        <is>
          <t>relations</t>
        </is>
      </c>
      <c r="C74" s="2" t="n">
        <v>0</v>
      </c>
      <c r="D74" s="2" t="inlineStr">
        <is>
          <t>S_W</t>
        </is>
      </c>
    </row>
    <row r="75" ht="30" customHeight="1">
      <c r="A75" s="3" t="inlineStr">
        <is>
          <t>2018::jama.2018.14282::C026</t>
        </is>
      </c>
      <c r="B75" s="3" t="inlineStr">
        <is>
          <t>relations</t>
        </is>
      </c>
      <c r="C75" s="3" t="n">
        <v>0</v>
      </c>
      <c r="D75" s="3" t="inlineStr">
        <is>
          <t>P_P</t>
        </is>
      </c>
    </row>
    <row r="76" ht="30" customHeight="1">
      <c r="A76" s="2" t="inlineStr">
        <is>
          <t>2018::jama.2018.14282::C027</t>
        </is>
      </c>
      <c r="B76" s="2" t="inlineStr">
        <is>
          <t>relations</t>
        </is>
      </c>
      <c r="C76" s="2" t="n">
        <v>0</v>
      </c>
      <c r="D76" s="2" t="inlineStr">
        <is>
          <t>P_P</t>
        </is>
      </c>
    </row>
    <row r="77" ht="30" customHeight="1">
      <c r="A77" s="3" t="inlineStr">
        <is>
          <t>2018::jama.2018.14282::C028</t>
        </is>
      </c>
      <c r="B77" s="3" t="inlineStr">
        <is>
          <t>relations</t>
        </is>
      </c>
      <c r="C77" s="3" t="n">
        <v>0</v>
      </c>
      <c r="D77" s="3" t="inlineStr">
        <is>
          <t>P_P</t>
        </is>
      </c>
    </row>
    <row r="78" ht="30" customHeight="1">
      <c r="A78" s="2" t="inlineStr">
        <is>
          <t>2018::jama.2018.17075::C001</t>
        </is>
      </c>
      <c r="B78" s="2" t="inlineStr">
        <is>
          <t>relations</t>
        </is>
      </c>
      <c r="C78" s="2" t="n">
        <v>0</v>
      </c>
      <c r="D78" s="2" t="inlineStr">
        <is>
          <t>S_W</t>
        </is>
      </c>
    </row>
    <row r="79" ht="30" customHeight="1">
      <c r="A79" s="3" t="inlineStr">
        <is>
          <t>2018::jama.2018.17075::C002</t>
        </is>
      </c>
      <c r="B79" s="3" t="inlineStr">
        <is>
          <t>relations</t>
        </is>
      </c>
      <c r="C79" s="3" t="n">
        <v>0</v>
      </c>
      <c r="D79" s="3" t="inlineStr">
        <is>
          <t>S_W</t>
        </is>
      </c>
    </row>
    <row r="80" ht="30" customHeight="1">
      <c r="A80" s="2" t="inlineStr">
        <is>
          <t>2018::jama.2018.17075::C003</t>
        </is>
      </c>
      <c r="B80" s="2" t="inlineStr">
        <is>
          <t>relations</t>
        </is>
      </c>
      <c r="C80" s="2" t="n">
        <v>0</v>
      </c>
      <c r="D80" s="2" t="inlineStr">
        <is>
          <t>S_C</t>
        </is>
      </c>
    </row>
    <row r="81" ht="30" customHeight="1">
      <c r="A81" s="3" t="inlineStr">
        <is>
          <t>2018::jama.2018.17075::C003</t>
        </is>
      </c>
      <c r="B81" s="3" t="inlineStr">
        <is>
          <t>relations</t>
        </is>
      </c>
      <c r="C81" s="3" t="n">
        <v>1</v>
      </c>
      <c r="D81" s="3" t="inlineStr">
        <is>
          <t>S_W</t>
        </is>
      </c>
    </row>
    <row r="82" ht="30" customHeight="1">
      <c r="A82" s="2" t="inlineStr">
        <is>
          <t>2018::jama.2018.17075::C004</t>
        </is>
      </c>
      <c r="B82" s="2" t="inlineStr">
        <is>
          <t>relations</t>
        </is>
      </c>
      <c r="C82" s="2" t="n">
        <v>0</v>
      </c>
      <c r="D82" s="2" t="inlineStr">
        <is>
          <t>S_C</t>
        </is>
      </c>
    </row>
    <row r="83" ht="30" customHeight="1">
      <c r="A83" s="3" t="inlineStr">
        <is>
          <t>2018::jama.2018.17075::C004</t>
        </is>
      </c>
      <c r="B83" s="3" t="inlineStr">
        <is>
          <t>relations</t>
        </is>
      </c>
      <c r="C83" s="3" t="n">
        <v>1</v>
      </c>
      <c r="D83" s="3" t="inlineStr">
        <is>
          <t>S_W</t>
        </is>
      </c>
    </row>
    <row r="84" ht="30" customHeight="1">
      <c r="A84" s="2" t="inlineStr">
        <is>
          <t>2018::jama.2018.17075::C005</t>
        </is>
      </c>
      <c r="B84" s="2" t="inlineStr">
        <is>
          <t>relations</t>
        </is>
      </c>
      <c r="C84" s="2" t="n">
        <v>0</v>
      </c>
      <c r="D84" s="2" t="inlineStr">
        <is>
          <t>S_W</t>
        </is>
      </c>
    </row>
    <row r="85" ht="30" customHeight="1">
      <c r="A85" s="3" t="inlineStr">
        <is>
          <t>2018::jama.2018.17075::C006</t>
        </is>
      </c>
      <c r="B85" s="3" t="inlineStr">
        <is>
          <t>relations</t>
        </is>
      </c>
      <c r="C85" s="3" t="n">
        <v>0</v>
      </c>
      <c r="D85" s="3" t="inlineStr">
        <is>
          <t>S_W</t>
        </is>
      </c>
    </row>
    <row r="86" ht="30" customHeight="1">
      <c r="A86" s="2" t="inlineStr">
        <is>
          <t>2018::jama.2018.17075::C007</t>
        </is>
      </c>
      <c r="B86" s="2" t="inlineStr">
        <is>
          <t>relations</t>
        </is>
      </c>
      <c r="C86" s="2" t="n">
        <v>0</v>
      </c>
      <c r="D86" s="2" t="inlineStr">
        <is>
          <t>S_W</t>
        </is>
      </c>
    </row>
    <row r="87" ht="30" customHeight="1">
      <c r="A87" s="3" t="inlineStr">
        <is>
          <t>2018::jama.2018.17075::C008</t>
        </is>
      </c>
      <c r="B87" s="3" t="inlineStr">
        <is>
          <t>relations</t>
        </is>
      </c>
      <c r="C87" s="3" t="n">
        <v>0</v>
      </c>
      <c r="D87" s="3" t="inlineStr">
        <is>
          <t>S_W</t>
        </is>
      </c>
    </row>
    <row r="88" ht="30" customHeight="1">
      <c r="A88" s="2" t="inlineStr">
        <is>
          <t>2018::jama.2018.18020::C001</t>
        </is>
      </c>
      <c r="B88" s="2" t="inlineStr">
        <is>
          <t>relations</t>
        </is>
      </c>
      <c r="C88" s="2" t="n">
        <v>0</v>
      </c>
      <c r="D88" s="2" t="inlineStr">
        <is>
          <t>S_W</t>
        </is>
      </c>
    </row>
    <row r="89" ht="30" customHeight="1">
      <c r="A89" s="3" t="inlineStr">
        <is>
          <t>2018::jama.2018.18020::C002</t>
        </is>
      </c>
      <c r="B89" s="3" t="inlineStr">
        <is>
          <t>relations</t>
        </is>
      </c>
      <c r="C89" s="3" t="n">
        <v>0</v>
      </c>
      <c r="D89" s="3" t="inlineStr">
        <is>
          <t>S_W</t>
        </is>
      </c>
    </row>
    <row r="90" ht="30" customHeight="1">
      <c r="A90" s="2" t="inlineStr">
        <is>
          <t>2018::jama.2018.18020::C003</t>
        </is>
      </c>
      <c r="B90" s="2" t="inlineStr">
        <is>
          <t>relations</t>
        </is>
      </c>
      <c r="C90" s="2" t="n">
        <v>0</v>
      </c>
      <c r="D90" s="2" t="inlineStr">
        <is>
          <t>S_W</t>
        </is>
      </c>
    </row>
    <row r="91" ht="30" customHeight="1">
      <c r="A91" s="3" t="inlineStr">
        <is>
          <t>2018::jama.2018.18020::C004</t>
        </is>
      </c>
      <c r="B91" s="3" t="inlineStr">
        <is>
          <t>relations</t>
        </is>
      </c>
      <c r="C91" s="3" t="n">
        <v>0</v>
      </c>
      <c r="D91" s="3" t="inlineStr">
        <is>
          <t>S_W</t>
        </is>
      </c>
    </row>
    <row r="92" ht="30" customHeight="1">
      <c r="A92" s="2" t="inlineStr">
        <is>
          <t>2018::jama.2018.18020::C005</t>
        </is>
      </c>
      <c r="B92" s="2" t="inlineStr">
        <is>
          <t>relations</t>
        </is>
      </c>
      <c r="C92" s="2" t="n">
        <v>0</v>
      </c>
      <c r="D92" s="2" t="inlineStr">
        <is>
          <t>S_W</t>
        </is>
      </c>
    </row>
    <row r="93" ht="30" customHeight="1">
      <c r="A93" s="3" t="inlineStr">
        <is>
          <t>2018::jama.2018.18020::C006</t>
        </is>
      </c>
      <c r="B93" s="3" t="inlineStr">
        <is>
          <t>relations</t>
        </is>
      </c>
      <c r="C93" s="3" t="n">
        <v>0</v>
      </c>
      <c r="D93" s="3" t="inlineStr">
        <is>
          <t>S_W</t>
        </is>
      </c>
    </row>
    <row r="94" ht="30" customHeight="1">
      <c r="A94" s="2" t="inlineStr">
        <is>
          <t>2018::jama.2018.18020::C007</t>
        </is>
      </c>
      <c r="B94" s="2" t="inlineStr">
        <is>
          <t>relations</t>
        </is>
      </c>
      <c r="C94" s="2" t="n">
        <v>0</v>
      </c>
      <c r="D94" s="2" t="inlineStr">
        <is>
          <t>S_W</t>
        </is>
      </c>
    </row>
    <row r="95" ht="30" customHeight="1">
      <c r="A95" s="3" t="inlineStr">
        <is>
          <t>2018::jama.2018.18020::C008</t>
        </is>
      </c>
      <c r="B95" s="3" t="inlineStr">
        <is>
          <t>relations</t>
        </is>
      </c>
      <c r="C95" s="3" t="n">
        <v>0</v>
      </c>
      <c r="D95" s="3" t="inlineStr">
        <is>
          <t>S_W</t>
        </is>
      </c>
    </row>
    <row r="96" ht="30" customHeight="1">
      <c r="A96" s="2" t="inlineStr">
        <is>
          <t>2018::jama.2018.18020::C009</t>
        </is>
      </c>
      <c r="B96" s="2" t="inlineStr">
        <is>
          <t>relations</t>
        </is>
      </c>
      <c r="C96" s="2" t="n">
        <v>0</v>
      </c>
      <c r="D96" s="2" t="inlineStr">
        <is>
          <t>S_W</t>
        </is>
      </c>
    </row>
    <row r="97" ht="30" customHeight="1">
      <c r="A97" s="3" t="inlineStr">
        <is>
          <t>2018::jama.2018.18020::C010</t>
        </is>
      </c>
      <c r="B97" s="3" t="inlineStr">
        <is>
          <t>relations</t>
        </is>
      </c>
      <c r="C97" s="3" t="n">
        <v>0</v>
      </c>
      <c r="D97" s="3" t="inlineStr">
        <is>
          <t>S_W</t>
        </is>
      </c>
    </row>
    <row r="98" ht="30" customHeight="1">
      <c r="A98" s="2" t="inlineStr">
        <is>
          <t>2018::jama.2018.18020::C011</t>
        </is>
      </c>
      <c r="B98" s="2" t="inlineStr">
        <is>
          <t>relations</t>
        </is>
      </c>
      <c r="C98" s="2" t="n">
        <v>0</v>
      </c>
      <c r="D98" s="2" t="inlineStr">
        <is>
          <t>S_W</t>
        </is>
      </c>
    </row>
    <row r="99" ht="30" customHeight="1">
      <c r="A99" s="3" t="inlineStr">
        <is>
          <t>2018::jama.2018.18020::C012</t>
        </is>
      </c>
      <c r="B99" s="3" t="inlineStr">
        <is>
          <t>relations</t>
        </is>
      </c>
      <c r="C99" s="3" t="n">
        <v>0</v>
      </c>
      <c r="D99" s="3" t="inlineStr">
        <is>
          <t>S_W</t>
        </is>
      </c>
    </row>
    <row r="100" ht="30" customHeight="1">
      <c r="A100" s="2" t="inlineStr">
        <is>
          <t>2018::jama.2018.18020::C013</t>
        </is>
      </c>
      <c r="B100" s="2" t="inlineStr">
        <is>
          <t>relations</t>
        </is>
      </c>
      <c r="C100" s="2" t="n">
        <v>0</v>
      </c>
      <c r="D100" s="2" t="inlineStr">
        <is>
          <t>S_W</t>
        </is>
      </c>
    </row>
    <row r="101" ht="30" customHeight="1">
      <c r="A101" s="3" t="inlineStr">
        <is>
          <t>2018::jama.2018.18020::C014</t>
        </is>
      </c>
      <c r="B101" s="3" t="inlineStr">
        <is>
          <t>relations</t>
        </is>
      </c>
      <c r="C101" s="3" t="n">
        <v>0</v>
      </c>
      <c r="D101" s="3" t="inlineStr">
        <is>
          <t>S_W</t>
        </is>
      </c>
    </row>
    <row r="102" ht="30" customHeight="1">
      <c r="A102" s="2" t="inlineStr">
        <is>
          <t>2018::jama.2018.6496::C001</t>
        </is>
      </c>
      <c r="B102" s="2" t="inlineStr">
        <is>
          <t>relations</t>
        </is>
      </c>
      <c r="C102" s="2" t="n">
        <v>0</v>
      </c>
      <c r="D102" s="2" t="inlineStr">
        <is>
          <t>S_W</t>
        </is>
      </c>
    </row>
    <row r="103" ht="30" customHeight="1">
      <c r="A103" s="3" t="inlineStr">
        <is>
          <t>2018::jama.2018.6496::C002</t>
        </is>
      </c>
      <c r="B103" s="3" t="inlineStr">
        <is>
          <t>relations</t>
        </is>
      </c>
      <c r="C103" s="3" t="n">
        <v>0</v>
      </c>
      <c r="D103" s="3" t="inlineStr">
        <is>
          <t>S_W</t>
        </is>
      </c>
    </row>
    <row r="104" ht="30" customHeight="1">
      <c r="A104" s="2" t="inlineStr">
        <is>
          <t>2018::jama.2018.6496::C003</t>
        </is>
      </c>
      <c r="B104" s="2" t="inlineStr">
        <is>
          <t>relations</t>
        </is>
      </c>
      <c r="C104" s="2" t="n">
        <v>0</v>
      </c>
      <c r="D104" s="2" t="inlineStr">
        <is>
          <t>P_R</t>
        </is>
      </c>
    </row>
    <row r="105" ht="30" customHeight="1">
      <c r="A105" s="3" t="inlineStr">
        <is>
          <t>2018::jama.2018.6496::C004</t>
        </is>
      </c>
      <c r="B105" s="3" t="inlineStr">
        <is>
          <t>relations</t>
        </is>
      </c>
      <c r="C105" s="3" t="n">
        <v>0</v>
      </c>
      <c r="D105" s="3" t="inlineStr">
        <is>
          <t>P_R</t>
        </is>
      </c>
    </row>
    <row r="106" ht="30" customHeight="1">
      <c r="A106" s="2" t="inlineStr">
        <is>
          <t>2018::jama.2018.8802::C001</t>
        </is>
      </c>
      <c r="B106" s="2" t="inlineStr">
        <is>
          <t>relations</t>
        </is>
      </c>
      <c r="C106" s="2" t="n">
        <v>0</v>
      </c>
      <c r="D106" s="2" t="inlineStr">
        <is>
          <t>S_W</t>
        </is>
      </c>
    </row>
    <row r="107" ht="30" customHeight="1">
      <c r="A107" s="3" t="inlineStr">
        <is>
          <t>2018::jama.2018.8802::C002</t>
        </is>
      </c>
      <c r="B107" s="3" t="inlineStr">
        <is>
          <t>relations</t>
        </is>
      </c>
      <c r="C107" s="3" t="n">
        <v>0</v>
      </c>
      <c r="D107" s="3" t="inlineStr">
        <is>
          <t>P_R</t>
        </is>
      </c>
    </row>
    <row r="108" ht="30" customHeight="1">
      <c r="A108" s="2" t="inlineStr">
        <is>
          <t>2018::jama.2018.8802::C002</t>
        </is>
      </c>
      <c r="B108" s="2" t="inlineStr">
        <is>
          <t>relations</t>
        </is>
      </c>
      <c r="C108" s="2" t="n">
        <v>1</v>
      </c>
      <c r="D108" s="2" t="inlineStr">
        <is>
          <t>S_C</t>
        </is>
      </c>
    </row>
    <row r="109" ht="30" customHeight="1">
      <c r="A109" s="3" t="inlineStr">
        <is>
          <t>2018::jama.2018.8802::C002</t>
        </is>
      </c>
      <c r="B109" s="3" t="inlineStr">
        <is>
          <t>relations</t>
        </is>
      </c>
      <c r="C109" s="3" t="n">
        <v>2</v>
      </c>
      <c r="D109" s="3" t="inlineStr">
        <is>
          <t>S_W</t>
        </is>
      </c>
    </row>
    <row r="110" ht="30" customHeight="1">
      <c r="A110" s="2" t="inlineStr">
        <is>
          <t>2018::jama.2018.8802::C003</t>
        </is>
      </c>
      <c r="B110" s="2" t="inlineStr">
        <is>
          <t>relations</t>
        </is>
      </c>
      <c r="C110" s="2" t="n">
        <v>0</v>
      </c>
      <c r="D110" s="2" t="inlineStr">
        <is>
          <t>S_W</t>
        </is>
      </c>
    </row>
    <row r="111" ht="30" customHeight="1">
      <c r="A111" s="3" t="inlineStr">
        <is>
          <t>2018::jama.2018.8802::C004</t>
        </is>
      </c>
      <c r="B111" s="3" t="inlineStr">
        <is>
          <t>relations</t>
        </is>
      </c>
      <c r="C111" s="3" t="n">
        <v>0</v>
      </c>
      <c r="D111" s="3" t="inlineStr">
        <is>
          <t>S_W</t>
        </is>
      </c>
    </row>
    <row r="112" ht="30" customHeight="1">
      <c r="A112" s="2" t="inlineStr">
        <is>
          <t>2018::jama.2018.8802::C005</t>
        </is>
      </c>
      <c r="B112" s="2" t="inlineStr">
        <is>
          <t>relations</t>
        </is>
      </c>
      <c r="C112" s="2" t="n">
        <v>0</v>
      </c>
      <c r="D112" s="2" t="inlineStr">
        <is>
          <t>S_W</t>
        </is>
      </c>
    </row>
    <row r="113" ht="30" customHeight="1">
      <c r="A113" s="3" t="inlineStr">
        <is>
          <t>2018::jama.2018.8802::C006</t>
        </is>
      </c>
      <c r="B113" s="3" t="inlineStr">
        <is>
          <t>relations</t>
        </is>
      </c>
      <c r="C113" s="3" t="n">
        <v>0</v>
      </c>
      <c r="D113" s="3" t="inlineStr">
        <is>
          <t>S_W</t>
        </is>
      </c>
    </row>
    <row r="114" ht="30" customHeight="1">
      <c r="A114" s="2" t="inlineStr">
        <is>
          <t>2018::jama.2018.8802::C007</t>
        </is>
      </c>
      <c r="B114" s="2" t="inlineStr">
        <is>
          <t>relations</t>
        </is>
      </c>
      <c r="C114" s="2" t="n">
        <v>0</v>
      </c>
      <c r="D114" s="2" t="inlineStr">
        <is>
          <t>S_C</t>
        </is>
      </c>
    </row>
    <row r="115" ht="30" customHeight="1">
      <c r="A115" s="3" t="inlineStr">
        <is>
          <t>2018::jama.2018.8802::C008</t>
        </is>
      </c>
      <c r="B115" s="3" t="inlineStr">
        <is>
          <t>relations</t>
        </is>
      </c>
      <c r="C115" s="3" t="n">
        <v>0</v>
      </c>
      <c r="D115" s="3" t="inlineStr">
        <is>
          <t>S_W</t>
        </is>
      </c>
    </row>
    <row r="116" ht="30" customHeight="1">
      <c r="A116" s="2" t="inlineStr">
        <is>
          <t>2018::jama.2018.9128::C001</t>
        </is>
      </c>
      <c r="B116" s="2" t="inlineStr">
        <is>
          <t>relations</t>
        </is>
      </c>
      <c r="C116" s="2" t="n">
        <v>0</v>
      </c>
      <c r="D116" s="2" t="inlineStr">
        <is>
          <t>S_C</t>
        </is>
      </c>
    </row>
    <row r="117" ht="30" customHeight="1">
      <c r="A117" s="3" t="inlineStr">
        <is>
          <t>2018::jama.2018.9128::C001</t>
        </is>
      </c>
      <c r="B117" s="3" t="inlineStr">
        <is>
          <t>relations</t>
        </is>
      </c>
      <c r="C117" s="3" t="n">
        <v>1</v>
      </c>
      <c r="D117" s="3" t="inlineStr">
        <is>
          <t>S_W</t>
        </is>
      </c>
    </row>
    <row r="118" ht="30" customHeight="1">
      <c r="A118" s="2" t="inlineStr">
        <is>
          <t>2018::jama.2018.9128::C002</t>
        </is>
      </c>
      <c r="B118" s="2" t="inlineStr">
        <is>
          <t>relations</t>
        </is>
      </c>
      <c r="C118" s="2" t="n">
        <v>0</v>
      </c>
      <c r="D118" s="2" t="inlineStr">
        <is>
          <t>S_C</t>
        </is>
      </c>
    </row>
    <row r="119" ht="30" customHeight="1">
      <c r="A119" s="3" t="inlineStr">
        <is>
          <t>2018::jama.2018.9128::C002</t>
        </is>
      </c>
      <c r="B119" s="3" t="inlineStr">
        <is>
          <t>relations</t>
        </is>
      </c>
      <c r="C119" s="3" t="n">
        <v>1</v>
      </c>
      <c r="D119" s="3" t="inlineStr">
        <is>
          <t>S_W</t>
        </is>
      </c>
    </row>
    <row r="120" ht="30" customHeight="1">
      <c r="A120" s="2" t="inlineStr">
        <is>
          <t>2018::jama.2018.9128::C003</t>
        </is>
      </c>
      <c r="B120" s="2" t="inlineStr">
        <is>
          <t>relations</t>
        </is>
      </c>
      <c r="C120" s="2" t="n">
        <v>0</v>
      </c>
      <c r="D120" s="2" t="inlineStr">
        <is>
          <t>S_C</t>
        </is>
      </c>
    </row>
    <row r="121" ht="30" customHeight="1">
      <c r="A121" s="3" t="inlineStr">
        <is>
          <t>2018::jama.2018.9128::C003</t>
        </is>
      </c>
      <c r="B121" s="3" t="inlineStr">
        <is>
          <t>relations</t>
        </is>
      </c>
      <c r="C121" s="3" t="n">
        <v>1</v>
      </c>
      <c r="D121" s="3" t="inlineStr">
        <is>
          <t>S_W</t>
        </is>
      </c>
    </row>
    <row r="122" ht="30" customHeight="1">
      <c r="A122" s="2" t="inlineStr">
        <is>
          <t>2018::jama.2018.9128::C004</t>
        </is>
      </c>
      <c r="B122" s="2" t="inlineStr">
        <is>
          <t>relations</t>
        </is>
      </c>
      <c r="C122" s="2" t="n">
        <v>0</v>
      </c>
      <c r="D122" s="2" t="inlineStr">
        <is>
          <t>S_C</t>
        </is>
      </c>
    </row>
    <row r="123" ht="30" customHeight="1">
      <c r="A123" s="3" t="inlineStr">
        <is>
          <t>2018::jama.2018.9128::C004</t>
        </is>
      </c>
      <c r="B123" s="3" t="inlineStr">
        <is>
          <t>relations</t>
        </is>
      </c>
      <c r="C123" s="3" t="n">
        <v>1</v>
      </c>
      <c r="D123" s="3" t="inlineStr">
        <is>
          <t>S_W</t>
        </is>
      </c>
    </row>
    <row r="124" ht="30" customHeight="1">
      <c r="A124" s="2" t="inlineStr">
        <is>
          <t>2018::jama.2018.9128::C005</t>
        </is>
      </c>
      <c r="B124" s="2" t="inlineStr">
        <is>
          <t>relations</t>
        </is>
      </c>
      <c r="C124" s="2" t="n">
        <v>0</v>
      </c>
      <c r="D124" s="2" t="inlineStr">
        <is>
          <t>S_C</t>
        </is>
      </c>
    </row>
    <row r="125" ht="30" customHeight="1">
      <c r="A125" s="3" t="inlineStr">
        <is>
          <t>2018::jama.2018.9128::C005</t>
        </is>
      </c>
      <c r="B125" s="3" t="inlineStr">
        <is>
          <t>relations</t>
        </is>
      </c>
      <c r="C125" s="3" t="n">
        <v>1</v>
      </c>
      <c r="D125" s="3" t="inlineStr">
        <is>
          <t>S_W</t>
        </is>
      </c>
    </row>
    <row r="126" ht="30" customHeight="1">
      <c r="A126" s="2" t="inlineStr">
        <is>
          <t>2018::jama.2018.9128::C006</t>
        </is>
      </c>
      <c r="B126" s="2" t="inlineStr">
        <is>
          <t>relations</t>
        </is>
      </c>
      <c r="C126" s="2" t="n">
        <v>0</v>
      </c>
      <c r="D126" s="2" t="inlineStr">
        <is>
          <t>S_C</t>
        </is>
      </c>
    </row>
    <row r="127" ht="30" customHeight="1">
      <c r="A127" s="3" t="inlineStr">
        <is>
          <t>2018::jama.2018.9128::C006</t>
        </is>
      </c>
      <c r="B127" s="3" t="inlineStr">
        <is>
          <t>relations</t>
        </is>
      </c>
      <c r="C127" s="3" t="n">
        <v>1</v>
      </c>
      <c r="D127" s="3" t="inlineStr">
        <is>
          <t>S_W</t>
        </is>
      </c>
    </row>
    <row r="128" ht="30" customHeight="1">
      <c r="A128" s="2" t="inlineStr">
        <is>
          <t>2018::jama.2018.9128::C007</t>
        </is>
      </c>
      <c r="B128" s="2" t="inlineStr">
        <is>
          <t>relations</t>
        </is>
      </c>
      <c r="C128" s="2" t="n">
        <v>0</v>
      </c>
      <c r="D128" s="2" t="inlineStr">
        <is>
          <t>S_C</t>
        </is>
      </c>
    </row>
    <row r="129" ht="30" customHeight="1">
      <c r="A129" s="3" t="inlineStr">
        <is>
          <t>2018::jama.2018.9128::C007</t>
        </is>
      </c>
      <c r="B129" s="3" t="inlineStr">
        <is>
          <t>relations</t>
        </is>
      </c>
      <c r="C129" s="3" t="n">
        <v>1</v>
      </c>
      <c r="D129" s="3" t="inlineStr">
        <is>
          <t>S_W</t>
        </is>
      </c>
    </row>
    <row r="130" ht="30" customHeight="1">
      <c r="A130" s="2" t="inlineStr">
        <is>
          <t>2018::jama.2018.9128::C008</t>
        </is>
      </c>
      <c r="B130" s="2" t="inlineStr">
        <is>
          <t>relations</t>
        </is>
      </c>
      <c r="C130" s="2" t="n">
        <v>0</v>
      </c>
      <c r="D130" s="2" t="inlineStr">
        <is>
          <t>S_C</t>
        </is>
      </c>
    </row>
    <row r="131" ht="30" customHeight="1">
      <c r="A131" s="3" t="inlineStr">
        <is>
          <t>2018::jama.2018.9128::C008</t>
        </is>
      </c>
      <c r="B131" s="3" t="inlineStr">
        <is>
          <t>relations</t>
        </is>
      </c>
      <c r="C131" s="3" t="n">
        <v>1</v>
      </c>
      <c r="D131" s="3" t="inlineStr">
        <is>
          <t>S_W</t>
        </is>
      </c>
    </row>
    <row r="132" ht="30" customHeight="1">
      <c r="A132" s="2" t="inlineStr">
        <is>
          <t>2018::jama.2018.9128::C009</t>
        </is>
      </c>
      <c r="B132" s="2" t="inlineStr">
        <is>
          <t>relations</t>
        </is>
      </c>
      <c r="C132" s="2" t="n">
        <v>0</v>
      </c>
      <c r="D132" s="2" t="inlineStr">
        <is>
          <t>P_P</t>
        </is>
      </c>
    </row>
    <row r="133" ht="30" customHeight="1">
      <c r="A133" s="3" t="inlineStr">
        <is>
          <t>2018::jama.2018.9128::C010</t>
        </is>
      </c>
      <c r="B133" s="3" t="inlineStr">
        <is>
          <t>relations</t>
        </is>
      </c>
      <c r="C133" s="3" t="n">
        <v>0</v>
      </c>
      <c r="D133" s="3" t="inlineStr">
        <is>
          <t>P_P</t>
        </is>
      </c>
    </row>
    <row r="134" ht="30" customHeight="1">
      <c r="A134" s="2" t="inlineStr">
        <is>
          <t>2018::jama.2018.9128::C011</t>
        </is>
      </c>
      <c r="B134" s="2" t="inlineStr">
        <is>
          <t>relations</t>
        </is>
      </c>
      <c r="C134" s="2" t="n">
        <v>0</v>
      </c>
      <c r="D134" s="2" t="inlineStr">
        <is>
          <t>P_R</t>
        </is>
      </c>
    </row>
    <row r="135" ht="30" customHeight="1">
      <c r="A135" s="3" t="inlineStr">
        <is>
          <t>2018::jama.2018.9128::C011</t>
        </is>
      </c>
      <c r="B135" s="3" t="inlineStr">
        <is>
          <t>relations</t>
        </is>
      </c>
      <c r="C135" s="3" t="n">
        <v>1</v>
      </c>
      <c r="D135" s="3" t="inlineStr">
        <is>
          <t>P_P</t>
        </is>
      </c>
    </row>
    <row r="136" ht="30" customHeight="1">
      <c r="A136" s="2" t="inlineStr">
        <is>
          <t>2018::jama.2018.9128::C012</t>
        </is>
      </c>
      <c r="B136" s="2" t="inlineStr">
        <is>
          <t>relations</t>
        </is>
      </c>
      <c r="C136" s="2" t="n">
        <v>0</v>
      </c>
      <c r="D136" s="2" t="inlineStr">
        <is>
          <t>P_R</t>
        </is>
      </c>
    </row>
    <row r="137" ht="30" customHeight="1">
      <c r="A137" s="3" t="inlineStr">
        <is>
          <t>2018::jama.2018.9128::C012</t>
        </is>
      </c>
      <c r="B137" s="3" t="inlineStr">
        <is>
          <t>relations</t>
        </is>
      </c>
      <c r="C137" s="3" t="n">
        <v>1</v>
      </c>
      <c r="D137" s="3" t="inlineStr">
        <is>
          <t>P_P</t>
        </is>
      </c>
    </row>
    <row r="138" ht="30" customHeight="1">
      <c r="A138" s="2" t="inlineStr">
        <is>
          <t>2018::jama.2018.9128::C013</t>
        </is>
      </c>
      <c r="B138" s="2" t="inlineStr">
        <is>
          <t>relations</t>
        </is>
      </c>
      <c r="C138" s="2" t="n">
        <v>0</v>
      </c>
      <c r="D138" s="2" t="inlineStr">
        <is>
          <t>S_C</t>
        </is>
      </c>
    </row>
    <row r="139" ht="30" customHeight="1">
      <c r="A139" s="3" t="inlineStr">
        <is>
          <t>2018::jama.2018.9128::C013</t>
        </is>
      </c>
      <c r="B139" s="3" t="inlineStr">
        <is>
          <t>relations</t>
        </is>
      </c>
      <c r="C139" s="3" t="n">
        <v>1</v>
      </c>
      <c r="D13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139"/>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K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ht="40" customHeight="1">
      <c r="A1" s="1" t="inlineStr">
        <is>
          <t>key</t>
        </is>
      </c>
      <c r="B1" s="1" t="inlineStr">
        <is>
          <t>disposition</t>
        </is>
      </c>
      <c r="C1" s="1" t="inlineStr">
        <is>
          <t>domain</t>
        </is>
      </c>
      <c r="D1" s="1" t="inlineStr">
        <is>
          <t>statisticalErrorStatus</t>
        </is>
      </c>
      <c r="E1" s="1" t="inlineStr">
        <is>
          <t>substantiveStatus</t>
        </is>
      </c>
      <c r="F1" s="1" t="inlineStr">
        <is>
          <t>downstreamImpact</t>
        </is>
      </c>
      <c r="G1" s="1" t="inlineStr">
        <is>
          <t>internalStatus</t>
        </is>
      </c>
      <c r="H1" s="1" t="inlineStr">
        <is>
          <t>protocolInterpretation</t>
        </is>
      </c>
      <c r="I1" s="1" t="inlineStr">
        <is>
          <t>relatedClusterId</t>
        </is>
      </c>
      <c r="J1" s="1" t="inlineStr">
        <is>
          <t>notes</t>
        </is>
      </c>
      <c r="K1" s="1" t="inlineStr">
        <is>
          <t>reviewComplete</t>
        </is>
      </c>
    </row>
    <row r="2" ht="40" customHeight="1">
      <c r="A2" s="2" t="inlineStr">
        <is>
          <t>2018::jama.2017.21906::C001</t>
        </is>
      </c>
      <c r="B2" s="2" t="inlineStr"/>
      <c r="C2" s="2" t="inlineStr">
        <is>
          <t>statistical_results</t>
        </is>
      </c>
      <c r="D2" s="2" t="inlineStr"/>
      <c r="E2" s="2" t="inlineStr"/>
      <c r="F2" s="2" t="inlineStr"/>
      <c r="G2" s="2" t="inlineStr"/>
      <c r="H2" s="2" t="inlineStr"/>
      <c r="I2" s="2" t="inlineStr"/>
      <c r="J2" s="2" t="inlineStr"/>
      <c r="K2" s="2" t="inlineStr">
        <is>
          <t>no</t>
        </is>
      </c>
    </row>
    <row r="3" ht="40" customHeight="1">
      <c r="A3" s="3" t="inlineStr">
        <is>
          <t>2018::jama.2017.21906::C002</t>
        </is>
      </c>
      <c r="B3" s="3" t="inlineStr"/>
      <c r="C3" s="3" t="inlineStr">
        <is>
          <t>internal_nonstatistical</t>
        </is>
      </c>
      <c r="D3" s="3" t="inlineStr"/>
      <c r="E3" s="3" t="inlineStr"/>
      <c r="F3" s="3" t="inlineStr"/>
      <c r="G3" s="3" t="inlineStr"/>
      <c r="H3" s="3" t="inlineStr"/>
      <c r="I3" s="3" t="inlineStr"/>
      <c r="J3" s="3" t="inlineStr"/>
      <c r="K3" s="3" t="inlineStr">
        <is>
          <t>no</t>
        </is>
      </c>
    </row>
    <row r="4" ht="40" customHeight="1">
      <c r="A4" s="2" t="inlineStr">
        <is>
          <t>2018::jama.2017.21906::C003</t>
        </is>
      </c>
      <c r="B4" s="2" t="inlineStr"/>
      <c r="C4" s="2" t="inlineStr">
        <is>
          <t>internal_nonstatistical</t>
        </is>
      </c>
      <c r="D4" s="2" t="inlineStr"/>
      <c r="E4" s="2" t="inlineStr"/>
      <c r="F4" s="2" t="inlineStr"/>
      <c r="G4" s="2" t="inlineStr"/>
      <c r="H4" s="2" t="inlineStr"/>
      <c r="I4" s="2" t="inlineStr"/>
      <c r="J4" s="2" t="inlineStr"/>
      <c r="K4" s="2" t="inlineStr">
        <is>
          <t>no</t>
        </is>
      </c>
    </row>
    <row r="5" ht="40" customHeight="1">
      <c r="A5" s="3" t="inlineStr">
        <is>
          <t>2018::jama.2017.21906::C004</t>
        </is>
      </c>
      <c r="B5" s="3" t="inlineStr"/>
      <c r="C5" s="3" t="inlineStr">
        <is>
          <t>protocol_report</t>
        </is>
      </c>
      <c r="D5" s="3" t="inlineStr"/>
      <c r="E5" s="3" t="inlineStr"/>
      <c r="F5" s="3" t="inlineStr"/>
      <c r="G5" s="3" t="inlineStr"/>
      <c r="H5" s="3" t="inlineStr"/>
      <c r="I5" s="3" t="inlineStr"/>
      <c r="J5" s="3" t="inlineStr"/>
      <c r="K5" s="3" t="inlineStr">
        <is>
          <t>no</t>
        </is>
      </c>
    </row>
    <row r="6" ht="40" customHeight="1">
      <c r="A6" s="2" t="inlineStr">
        <is>
          <t>2018::jama.2017.21906::C005</t>
        </is>
      </c>
      <c r="B6" s="2" t="inlineStr"/>
      <c r="C6" s="2" t="inlineStr">
        <is>
          <t>internal_nonstatistical</t>
        </is>
      </c>
      <c r="D6" s="2" t="inlineStr"/>
      <c r="E6" s="2" t="inlineStr"/>
      <c r="F6" s="2" t="inlineStr"/>
      <c r="G6" s="2" t="inlineStr"/>
      <c r="H6" s="2" t="inlineStr"/>
      <c r="I6" s="2" t="inlineStr"/>
      <c r="J6" s="2" t="inlineStr"/>
      <c r="K6" s="2" t="inlineStr">
        <is>
          <t>no</t>
        </is>
      </c>
    </row>
    <row r="7" ht="40" customHeight="1">
      <c r="A7" s="3" t="inlineStr">
        <is>
          <t>2018::jama.2017.21906::C006</t>
        </is>
      </c>
      <c r="B7" s="3" t="inlineStr"/>
      <c r="C7" s="3" t="inlineStr">
        <is>
          <t>protocol_report</t>
        </is>
      </c>
      <c r="D7" s="3" t="inlineStr"/>
      <c r="E7" s="3" t="inlineStr"/>
      <c r="F7" s="3" t="inlineStr"/>
      <c r="G7" s="3" t="inlineStr"/>
      <c r="H7" s="3" t="inlineStr"/>
      <c r="I7" s="3" t="inlineStr"/>
      <c r="J7" s="3" t="inlineStr"/>
      <c r="K7" s="3" t="inlineStr">
        <is>
          <t>no</t>
        </is>
      </c>
    </row>
    <row r="8" ht="40" customHeight="1">
      <c r="A8" s="2" t="inlineStr">
        <is>
          <t>2018::jama.2018.0156::C001</t>
        </is>
      </c>
      <c r="B8" s="2" t="inlineStr"/>
      <c r="C8" s="2" t="inlineStr">
        <is>
          <t>statistical_results</t>
        </is>
      </c>
      <c r="D8" s="2" t="inlineStr"/>
      <c r="E8" s="2" t="inlineStr"/>
      <c r="F8" s="2" t="inlineStr"/>
      <c r="G8" s="2" t="inlineStr"/>
      <c r="H8" s="2" t="inlineStr"/>
      <c r="I8" s="2" t="inlineStr"/>
      <c r="J8" s="2" t="inlineStr"/>
      <c r="K8" s="2" t="inlineStr">
        <is>
          <t>no</t>
        </is>
      </c>
    </row>
    <row r="9" ht="40" customHeight="1">
      <c r="A9" s="3" t="inlineStr">
        <is>
          <t>2018::jama.2018.0156::C002</t>
        </is>
      </c>
      <c r="B9" s="3" t="inlineStr"/>
      <c r="C9" s="3" t="inlineStr">
        <is>
          <t>internal_nonstatistical</t>
        </is>
      </c>
      <c r="D9" s="3" t="inlineStr"/>
      <c r="E9" s="3" t="inlineStr"/>
      <c r="F9" s="3" t="inlineStr"/>
      <c r="G9" s="3" t="inlineStr"/>
      <c r="H9" s="3" t="inlineStr"/>
      <c r="I9" s="3" t="inlineStr"/>
      <c r="J9" s="3" t="inlineStr"/>
      <c r="K9" s="3" t="inlineStr">
        <is>
          <t>no</t>
        </is>
      </c>
    </row>
    <row r="10" ht="40" customHeight="1">
      <c r="A10" s="2" t="inlineStr">
        <is>
          <t>2018::jama.2018.0156::C003</t>
        </is>
      </c>
      <c r="B10" s="2" t="inlineStr"/>
      <c r="C10" s="2" t="inlineStr">
        <is>
          <t>statistical_results</t>
        </is>
      </c>
      <c r="D10" s="2" t="inlineStr"/>
      <c r="E10" s="2" t="inlineStr"/>
      <c r="F10" s="2" t="inlineStr"/>
      <c r="G10" s="2" t="inlineStr"/>
      <c r="H10" s="2" t="inlineStr"/>
      <c r="I10" s="2" t="inlineStr"/>
      <c r="J10" s="2" t="inlineStr"/>
      <c r="K10" s="2" t="inlineStr">
        <is>
          <t>no</t>
        </is>
      </c>
    </row>
    <row r="11" ht="40" customHeight="1">
      <c r="A11" s="3" t="inlineStr">
        <is>
          <t>2018::jama.2018.0156::C004</t>
        </is>
      </c>
      <c r="B11" s="3" t="inlineStr"/>
      <c r="C11" s="3" t="inlineStr">
        <is>
          <t>statistical_results</t>
        </is>
      </c>
      <c r="D11" s="3" t="inlineStr"/>
      <c r="E11" s="3" t="inlineStr"/>
      <c r="F11" s="3" t="inlineStr"/>
      <c r="G11" s="3" t="inlineStr"/>
      <c r="H11" s="3" t="inlineStr"/>
      <c r="I11" s="3" t="inlineStr"/>
      <c r="J11" s="3" t="inlineStr"/>
      <c r="K11" s="3" t="inlineStr">
        <is>
          <t>no</t>
        </is>
      </c>
    </row>
    <row r="12" ht="40" customHeight="1">
      <c r="A12" s="2" t="inlineStr">
        <is>
          <t>2018::jama.2018.0156::C005</t>
        </is>
      </c>
      <c r="B12" s="2" t="inlineStr"/>
      <c r="C12" s="2" t="inlineStr">
        <is>
          <t>statistical_results</t>
        </is>
      </c>
      <c r="D12" s="2" t="inlineStr"/>
      <c r="E12" s="2" t="inlineStr"/>
      <c r="F12" s="2" t="inlineStr"/>
      <c r="G12" s="2" t="inlineStr"/>
      <c r="H12" s="2" t="inlineStr"/>
      <c r="I12" s="2" t="inlineStr"/>
      <c r="J12" s="2" t="inlineStr"/>
      <c r="K12" s="2" t="inlineStr">
        <is>
          <t>no</t>
        </is>
      </c>
    </row>
    <row r="13" ht="40" customHeight="1">
      <c r="A13" s="3" t="inlineStr">
        <is>
          <t>2018::jama.2018.0156::C006</t>
        </is>
      </c>
      <c r="B13" s="3" t="inlineStr"/>
      <c r="C13" s="3" t="inlineStr">
        <is>
          <t>internal_nonstatistical</t>
        </is>
      </c>
      <c r="D13" s="3" t="inlineStr"/>
      <c r="E13" s="3" t="inlineStr"/>
      <c r="F13" s="3" t="inlineStr"/>
      <c r="G13" s="3" t="inlineStr"/>
      <c r="H13" s="3" t="inlineStr"/>
      <c r="I13" s="3" t="inlineStr"/>
      <c r="J13" s="3" t="inlineStr"/>
      <c r="K13" s="3" t="inlineStr">
        <is>
          <t>no</t>
        </is>
      </c>
    </row>
    <row r="14" ht="40" customHeight="1">
      <c r="A14" s="2" t="inlineStr">
        <is>
          <t>2018::jama.2018.0156::C007</t>
        </is>
      </c>
      <c r="B14" s="2" t="inlineStr"/>
      <c r="C14" s="2" t="inlineStr">
        <is>
          <t>protocol_report</t>
        </is>
      </c>
      <c r="D14" s="2" t="inlineStr"/>
      <c r="E14" s="2" t="inlineStr"/>
      <c r="F14" s="2" t="inlineStr"/>
      <c r="G14" s="2" t="inlineStr"/>
      <c r="H14" s="2" t="inlineStr"/>
      <c r="I14" s="2" t="inlineStr"/>
      <c r="J14" s="2" t="inlineStr"/>
      <c r="K14" s="2" t="inlineStr">
        <is>
          <t>no</t>
        </is>
      </c>
    </row>
    <row r="15" ht="40" customHeight="1">
      <c r="A15" s="3" t="inlineStr">
        <is>
          <t>2018::jama.2018.0156::C008</t>
        </is>
      </c>
      <c r="B15" s="3" t="inlineStr"/>
      <c r="C15" s="3" t="inlineStr">
        <is>
          <t>protocol_report</t>
        </is>
      </c>
      <c r="D15" s="3" t="inlineStr"/>
      <c r="E15" s="3" t="inlineStr"/>
      <c r="F15" s="3" t="inlineStr"/>
      <c r="G15" s="3" t="inlineStr"/>
      <c r="H15" s="3" t="inlineStr"/>
      <c r="I15" s="3" t="inlineStr"/>
      <c r="J15" s="3" t="inlineStr"/>
      <c r="K15" s="3" t="inlineStr">
        <is>
          <t>no</t>
        </is>
      </c>
    </row>
    <row r="16" ht="40" customHeight="1">
      <c r="A16" s="2" t="inlineStr">
        <is>
          <t>2018::jama.2018.0948::C001</t>
        </is>
      </c>
      <c r="B16" s="2" t="inlineStr"/>
      <c r="C16" s="2" t="inlineStr">
        <is>
          <t>protocol_report</t>
        </is>
      </c>
      <c r="D16" s="2" t="inlineStr"/>
      <c r="E16" s="2" t="inlineStr"/>
      <c r="F16" s="2" t="inlineStr"/>
      <c r="G16" s="2" t="inlineStr"/>
      <c r="H16" s="2" t="inlineStr"/>
      <c r="I16" s="2" t="inlineStr"/>
      <c r="J16" s="2" t="inlineStr"/>
      <c r="K16" s="2" t="inlineStr">
        <is>
          <t>no</t>
        </is>
      </c>
    </row>
    <row r="17" ht="40" customHeight="1">
      <c r="A17" s="3" t="inlineStr">
        <is>
          <t>2018::jama.2018.0948::C002</t>
        </is>
      </c>
      <c r="B17" s="3" t="inlineStr"/>
      <c r="C17" s="3" t="inlineStr">
        <is>
          <t>plan_material</t>
        </is>
      </c>
      <c r="D17" s="3" t="inlineStr"/>
      <c r="E17" s="3" t="inlineStr"/>
      <c r="F17" s="3" t="inlineStr"/>
      <c r="G17" s="3" t="inlineStr"/>
      <c r="H17" s="3" t="inlineStr"/>
      <c r="I17" s="3" t="inlineStr"/>
      <c r="J17" s="3" t="inlineStr"/>
      <c r="K17" s="3" t="inlineStr">
        <is>
          <t>no</t>
        </is>
      </c>
    </row>
    <row r="18" ht="40" customHeight="1">
      <c r="A18" s="2" t="inlineStr">
        <is>
          <t>2018::jama.2018.0948::C003</t>
        </is>
      </c>
      <c r="B18" s="2" t="inlineStr"/>
      <c r="C18" s="2" t="inlineStr">
        <is>
          <t>plan_material</t>
        </is>
      </c>
      <c r="D18" s="2" t="inlineStr"/>
      <c r="E18" s="2" t="inlineStr"/>
      <c r="F18" s="2" t="inlineStr"/>
      <c r="G18" s="2" t="inlineStr"/>
      <c r="H18" s="2" t="inlineStr"/>
      <c r="I18" s="2" t="inlineStr"/>
      <c r="J18" s="2" t="inlineStr"/>
      <c r="K18" s="2" t="inlineStr">
        <is>
          <t>no</t>
        </is>
      </c>
    </row>
    <row r="19" ht="40" customHeight="1">
      <c r="A19" s="3" t="inlineStr">
        <is>
          <t>2018::jama.2018.0948::C004</t>
        </is>
      </c>
      <c r="B19" s="3" t="inlineStr"/>
      <c r="C19" s="3" t="inlineStr">
        <is>
          <t>plan_material</t>
        </is>
      </c>
      <c r="D19" s="3" t="inlineStr"/>
      <c r="E19" s="3" t="inlineStr"/>
      <c r="F19" s="3" t="inlineStr"/>
      <c r="G19" s="3" t="inlineStr"/>
      <c r="H19" s="3" t="inlineStr"/>
      <c r="I19" s="3" t="inlineStr"/>
      <c r="J19" s="3" t="inlineStr"/>
      <c r="K19" s="3" t="inlineStr">
        <is>
          <t>no</t>
        </is>
      </c>
    </row>
    <row r="20" ht="40" customHeight="1">
      <c r="A20" s="2" t="inlineStr">
        <is>
          <t>2018::jama.2018.0948::C005</t>
        </is>
      </c>
      <c r="B20" s="2" t="inlineStr"/>
      <c r="C20" s="2" t="inlineStr">
        <is>
          <t>plan_material</t>
        </is>
      </c>
      <c r="D20" s="2" t="inlineStr"/>
      <c r="E20" s="2" t="inlineStr"/>
      <c r="F20" s="2" t="inlineStr"/>
      <c r="G20" s="2" t="inlineStr"/>
      <c r="H20" s="2" t="inlineStr"/>
      <c r="I20" s="2" t="inlineStr"/>
      <c r="J20" s="2" t="inlineStr"/>
      <c r="K20" s="2" t="inlineStr">
        <is>
          <t>no</t>
        </is>
      </c>
    </row>
    <row r="21" ht="40" customHeight="1">
      <c r="A21" s="3" t="inlineStr">
        <is>
          <t>2018::jama.2018.0948::C006</t>
        </is>
      </c>
      <c r="B21" s="3" t="inlineStr"/>
      <c r="C21" s="3" t="inlineStr">
        <is>
          <t>plan_material</t>
        </is>
      </c>
      <c r="D21" s="3" t="inlineStr"/>
      <c r="E21" s="3" t="inlineStr"/>
      <c r="F21" s="3" t="inlineStr"/>
      <c r="G21" s="3" t="inlineStr"/>
      <c r="H21" s="3" t="inlineStr"/>
      <c r="I21" s="3" t="inlineStr"/>
      <c r="J21" s="3" t="inlineStr"/>
      <c r="K21" s="3" t="inlineStr">
        <is>
          <t>no</t>
        </is>
      </c>
    </row>
    <row r="22" ht="40" customHeight="1">
      <c r="A22" s="2" t="inlineStr">
        <is>
          <t>2018::jama.2018.0948::C007</t>
        </is>
      </c>
      <c r="B22" s="2" t="inlineStr"/>
      <c r="C22" s="2" t="inlineStr">
        <is>
          <t>plan_material</t>
        </is>
      </c>
      <c r="D22" s="2" t="inlineStr"/>
      <c r="E22" s="2" t="inlineStr"/>
      <c r="F22" s="2" t="inlineStr"/>
      <c r="G22" s="2" t="inlineStr"/>
      <c r="H22" s="2" t="inlineStr"/>
      <c r="I22" s="2" t="inlineStr"/>
      <c r="J22" s="2" t="inlineStr"/>
      <c r="K22" s="2" t="inlineStr">
        <is>
          <t>no</t>
        </is>
      </c>
    </row>
    <row r="23" ht="40" customHeight="1">
      <c r="A23" s="3" t="inlineStr">
        <is>
          <t>2018::jama.2018.14280::C001</t>
        </is>
      </c>
      <c r="B23" s="3" t="inlineStr"/>
      <c r="C23" s="3" t="inlineStr">
        <is>
          <t>statistical_results</t>
        </is>
      </c>
      <c r="D23" s="3" t="inlineStr"/>
      <c r="E23" s="3" t="inlineStr"/>
      <c r="F23" s="3" t="inlineStr"/>
      <c r="G23" s="3" t="inlineStr"/>
      <c r="H23" s="3" t="inlineStr"/>
      <c r="I23" s="3" t="inlineStr"/>
      <c r="J23" s="3" t="inlineStr"/>
      <c r="K23" s="3" t="inlineStr">
        <is>
          <t>no</t>
        </is>
      </c>
    </row>
    <row r="24" ht="40" customHeight="1">
      <c r="A24" s="2" t="inlineStr">
        <is>
          <t>2018::jama.2018.14280::C002</t>
        </is>
      </c>
      <c r="B24" s="2" t="inlineStr"/>
      <c r="C24" s="2" t="inlineStr">
        <is>
          <t>statistical_results</t>
        </is>
      </c>
      <c r="D24" s="2" t="inlineStr"/>
      <c r="E24" s="2" t="inlineStr"/>
      <c r="F24" s="2" t="inlineStr"/>
      <c r="G24" s="2" t="inlineStr"/>
      <c r="H24" s="2" t="inlineStr"/>
      <c r="I24" s="2" t="inlineStr"/>
      <c r="J24" s="2" t="inlineStr"/>
      <c r="K24" s="2" t="inlineStr">
        <is>
          <t>no</t>
        </is>
      </c>
    </row>
    <row r="25" ht="40" customHeight="1">
      <c r="A25" s="3" t="inlineStr">
        <is>
          <t>2018::jama.2018.14280::C003</t>
        </is>
      </c>
      <c r="B25" s="3" t="inlineStr"/>
      <c r="C25" s="3" t="inlineStr">
        <is>
          <t>statistical_results</t>
        </is>
      </c>
      <c r="D25" s="3" t="inlineStr"/>
      <c r="E25" s="3" t="inlineStr"/>
      <c r="F25" s="3" t="inlineStr"/>
      <c r="G25" s="3" t="inlineStr"/>
      <c r="H25" s="3" t="inlineStr"/>
      <c r="I25" s="3" t="inlineStr"/>
      <c r="J25" s="3" t="inlineStr"/>
      <c r="K25" s="3" t="inlineStr">
        <is>
          <t>no</t>
        </is>
      </c>
    </row>
    <row r="26" ht="40" customHeight="1">
      <c r="A26" s="2" t="inlineStr">
        <is>
          <t>2018::jama.2018.14280::C004</t>
        </is>
      </c>
      <c r="B26" s="2" t="inlineStr"/>
      <c r="C26" s="2" t="inlineStr">
        <is>
          <t>statistical_results</t>
        </is>
      </c>
      <c r="D26" s="2" t="inlineStr"/>
      <c r="E26" s="2" t="inlineStr"/>
      <c r="F26" s="2" t="inlineStr"/>
      <c r="G26" s="2" t="inlineStr"/>
      <c r="H26" s="2" t="inlineStr"/>
      <c r="I26" s="2" t="inlineStr"/>
      <c r="J26" s="2" t="inlineStr"/>
      <c r="K26" s="2" t="inlineStr">
        <is>
          <t>no</t>
        </is>
      </c>
    </row>
    <row r="27" ht="40" customHeight="1">
      <c r="A27" s="3" t="inlineStr">
        <is>
          <t>2018::jama.2018.14280::C005</t>
        </is>
      </c>
      <c r="B27" s="3" t="inlineStr"/>
      <c r="C27" s="3" t="inlineStr">
        <is>
          <t>statistical_results</t>
        </is>
      </c>
      <c r="D27" s="3" t="inlineStr"/>
      <c r="E27" s="3" t="inlineStr"/>
      <c r="F27" s="3" t="inlineStr"/>
      <c r="G27" s="3" t="inlineStr"/>
      <c r="H27" s="3" t="inlineStr"/>
      <c r="I27" s="3" t="inlineStr"/>
      <c r="J27" s="3" t="inlineStr"/>
      <c r="K27" s="3" t="inlineStr">
        <is>
          <t>no</t>
        </is>
      </c>
    </row>
    <row r="28" ht="40" customHeight="1">
      <c r="A28" s="2" t="inlineStr">
        <is>
          <t>2018::jama.2018.14280::C006</t>
        </is>
      </c>
      <c r="B28" s="2" t="inlineStr"/>
      <c r="C28" s="2" t="inlineStr">
        <is>
          <t>statistical_results</t>
        </is>
      </c>
      <c r="D28" s="2" t="inlineStr"/>
      <c r="E28" s="2" t="inlineStr"/>
      <c r="F28" s="2" t="inlineStr"/>
      <c r="G28" s="2" t="inlineStr"/>
      <c r="H28" s="2" t="inlineStr"/>
      <c r="I28" s="2" t="inlineStr"/>
      <c r="J28" s="2" t="inlineStr"/>
      <c r="K28" s="2" t="inlineStr">
        <is>
          <t>no</t>
        </is>
      </c>
    </row>
    <row r="29" ht="40" customHeight="1">
      <c r="A29" s="3" t="inlineStr">
        <is>
          <t>2018::jama.2018.14280::C007</t>
        </is>
      </c>
      <c r="B29" s="3" t="inlineStr"/>
      <c r="C29" s="3" t="inlineStr">
        <is>
          <t>statistical_results</t>
        </is>
      </c>
      <c r="D29" s="3" t="inlineStr"/>
      <c r="E29" s="3" t="inlineStr"/>
      <c r="F29" s="3" t="inlineStr"/>
      <c r="G29" s="3" t="inlineStr"/>
      <c r="H29" s="3" t="inlineStr"/>
      <c r="I29" s="3" t="inlineStr"/>
      <c r="J29" s="3" t="inlineStr"/>
      <c r="K29" s="3" t="inlineStr">
        <is>
          <t>no</t>
        </is>
      </c>
    </row>
    <row r="30" ht="40" customHeight="1">
      <c r="A30" s="2" t="inlineStr">
        <is>
          <t>2018::jama.2018.14280::C008</t>
        </is>
      </c>
      <c r="B30" s="2" t="inlineStr"/>
      <c r="C30" s="2" t="inlineStr">
        <is>
          <t>statistical_results</t>
        </is>
      </c>
      <c r="D30" s="2" t="inlineStr"/>
      <c r="E30" s="2" t="inlineStr"/>
      <c r="F30" s="2" t="inlineStr"/>
      <c r="G30" s="2" t="inlineStr"/>
      <c r="H30" s="2" t="inlineStr"/>
      <c r="I30" s="2" t="inlineStr"/>
      <c r="J30" s="2" t="inlineStr"/>
      <c r="K30" s="2" t="inlineStr">
        <is>
          <t>no</t>
        </is>
      </c>
    </row>
    <row r="31" ht="40" customHeight="1">
      <c r="A31" s="3" t="inlineStr">
        <is>
          <t>2018::jama.2018.14280::C009</t>
        </is>
      </c>
      <c r="B31" s="3" t="inlineStr"/>
      <c r="C31" s="3" t="inlineStr">
        <is>
          <t>statistical_results</t>
        </is>
      </c>
      <c r="D31" s="3" t="inlineStr"/>
      <c r="E31" s="3" t="inlineStr"/>
      <c r="F31" s="3" t="inlineStr"/>
      <c r="G31" s="3" t="inlineStr"/>
      <c r="H31" s="3" t="inlineStr"/>
      <c r="I31" s="3" t="inlineStr"/>
      <c r="J31" s="3" t="inlineStr"/>
      <c r="K31" s="3" t="inlineStr">
        <is>
          <t>no</t>
        </is>
      </c>
    </row>
    <row r="32" ht="40" customHeight="1">
      <c r="A32" s="2" t="inlineStr">
        <is>
          <t>2018::jama.2018.14280::C010</t>
        </is>
      </c>
      <c r="B32" s="2" t="inlineStr"/>
      <c r="C32" s="2" t="inlineStr">
        <is>
          <t>statistical_results</t>
        </is>
      </c>
      <c r="D32" s="2" t="inlineStr"/>
      <c r="E32" s="2" t="inlineStr"/>
      <c r="F32" s="2" t="inlineStr"/>
      <c r="G32" s="2" t="inlineStr"/>
      <c r="H32" s="2" t="inlineStr"/>
      <c r="I32" s="2" t="inlineStr"/>
      <c r="J32" s="2" t="inlineStr"/>
      <c r="K32" s="2" t="inlineStr">
        <is>
          <t>no</t>
        </is>
      </c>
    </row>
    <row r="33" ht="40" customHeight="1">
      <c r="A33" s="3" t="inlineStr">
        <is>
          <t>2018::jama.2018.14280::C011</t>
        </is>
      </c>
      <c r="B33" s="3" t="inlineStr"/>
      <c r="C33" s="3" t="inlineStr">
        <is>
          <t>internal_nonstatistical</t>
        </is>
      </c>
      <c r="D33" s="3" t="inlineStr"/>
      <c r="E33" s="3" t="inlineStr"/>
      <c r="F33" s="3" t="inlineStr"/>
      <c r="G33" s="3" t="inlineStr"/>
      <c r="H33" s="3" t="inlineStr"/>
      <c r="I33" s="3" t="inlineStr"/>
      <c r="J33" s="3" t="inlineStr"/>
      <c r="K33" s="3" t="inlineStr">
        <is>
          <t>no</t>
        </is>
      </c>
    </row>
    <row r="34" ht="40" customHeight="1">
      <c r="A34" s="2" t="inlineStr">
        <is>
          <t>2018::jama.2018.14280::C012</t>
        </is>
      </c>
      <c r="B34" s="2" t="inlineStr"/>
      <c r="C34" s="2" t="inlineStr">
        <is>
          <t>statistical_results</t>
        </is>
      </c>
      <c r="D34" s="2" t="inlineStr"/>
      <c r="E34" s="2" t="inlineStr"/>
      <c r="F34" s="2" t="inlineStr"/>
      <c r="G34" s="2" t="inlineStr"/>
      <c r="H34" s="2" t="inlineStr"/>
      <c r="I34" s="2" t="inlineStr"/>
      <c r="J34" s="2" t="inlineStr"/>
      <c r="K34" s="2" t="inlineStr">
        <is>
          <t>no</t>
        </is>
      </c>
    </row>
    <row r="35" ht="40" customHeight="1">
      <c r="A35" s="3" t="inlineStr">
        <is>
          <t>2018::jama.2018.14280::C013</t>
        </is>
      </c>
      <c r="B35" s="3" t="inlineStr"/>
      <c r="C35" s="3" t="inlineStr">
        <is>
          <t>statistical_results</t>
        </is>
      </c>
      <c r="D35" s="3" t="inlineStr"/>
      <c r="E35" s="3" t="inlineStr"/>
      <c r="F35" s="3" t="inlineStr"/>
      <c r="G35" s="3" t="inlineStr"/>
      <c r="H35" s="3" t="inlineStr"/>
      <c r="I35" s="3" t="inlineStr"/>
      <c r="J35" s="3" t="inlineStr"/>
      <c r="K35" s="3" t="inlineStr">
        <is>
          <t>no</t>
        </is>
      </c>
    </row>
    <row r="36" ht="40" customHeight="1">
      <c r="A36" s="2" t="inlineStr">
        <is>
          <t>2018::jama.2018.14280::C014</t>
        </is>
      </c>
      <c r="B36" s="2" t="inlineStr"/>
      <c r="C36" s="2" t="inlineStr">
        <is>
          <t>statistical_results</t>
        </is>
      </c>
      <c r="D36" s="2" t="inlineStr"/>
      <c r="E36" s="2" t="inlineStr"/>
      <c r="F36" s="2" t="inlineStr"/>
      <c r="G36" s="2" t="inlineStr"/>
      <c r="H36" s="2" t="inlineStr"/>
      <c r="I36" s="2" t="inlineStr"/>
      <c r="J36" s="2" t="inlineStr"/>
      <c r="K36" s="2" t="inlineStr">
        <is>
          <t>no</t>
        </is>
      </c>
    </row>
    <row r="37" ht="40" customHeight="1">
      <c r="A37" s="3" t="inlineStr">
        <is>
          <t>2018::jama.2018.14280::C015</t>
        </is>
      </c>
      <c r="B37" s="3" t="inlineStr"/>
      <c r="C37" s="3" t="inlineStr">
        <is>
          <t>statistical_results</t>
        </is>
      </c>
      <c r="D37" s="3" t="inlineStr"/>
      <c r="E37" s="3" t="inlineStr"/>
      <c r="F37" s="3" t="inlineStr"/>
      <c r="G37" s="3" t="inlineStr"/>
      <c r="H37" s="3" t="inlineStr"/>
      <c r="I37" s="3" t="inlineStr"/>
      <c r="J37" s="3" t="inlineStr"/>
      <c r="K37" s="3" t="inlineStr">
        <is>
          <t>no</t>
        </is>
      </c>
    </row>
    <row r="38" ht="40" customHeight="1">
      <c r="A38" s="2" t="inlineStr">
        <is>
          <t>2018::jama.2018.14280::C016</t>
        </is>
      </c>
      <c r="B38" s="2" t="inlineStr"/>
      <c r="C38" s="2" t="inlineStr">
        <is>
          <t>statistical_results</t>
        </is>
      </c>
      <c r="D38" s="2" t="inlineStr"/>
      <c r="E38" s="2" t="inlineStr"/>
      <c r="F38" s="2" t="inlineStr"/>
      <c r="G38" s="2" t="inlineStr"/>
      <c r="H38" s="2" t="inlineStr"/>
      <c r="I38" s="2" t="inlineStr"/>
      <c r="J38" s="2" t="inlineStr"/>
      <c r="K38" s="2" t="inlineStr">
        <is>
          <t>no</t>
        </is>
      </c>
    </row>
    <row r="39" ht="40" customHeight="1">
      <c r="A39" s="3" t="inlineStr">
        <is>
          <t>2018::jama.2018.14280::C017</t>
        </is>
      </c>
      <c r="B39" s="3" t="inlineStr"/>
      <c r="C39" s="3" t="inlineStr">
        <is>
          <t>statistical_results</t>
        </is>
      </c>
      <c r="D39" s="3" t="inlineStr"/>
      <c r="E39" s="3" t="inlineStr"/>
      <c r="F39" s="3" t="inlineStr"/>
      <c r="G39" s="3" t="inlineStr"/>
      <c r="H39" s="3" t="inlineStr"/>
      <c r="I39" s="3" t="inlineStr"/>
      <c r="J39" s="3" t="inlineStr"/>
      <c r="K39" s="3" t="inlineStr">
        <is>
          <t>no</t>
        </is>
      </c>
    </row>
    <row r="40" ht="40" customHeight="1">
      <c r="A40" s="2" t="inlineStr">
        <is>
          <t>2018::jama.2018.14280::C018</t>
        </is>
      </c>
      <c r="B40" s="2" t="inlineStr"/>
      <c r="C40" s="2" t="inlineStr">
        <is>
          <t>statistical_results</t>
        </is>
      </c>
      <c r="D40" s="2" t="inlineStr"/>
      <c r="E40" s="2" t="inlineStr"/>
      <c r="F40" s="2" t="inlineStr"/>
      <c r="G40" s="2" t="inlineStr"/>
      <c r="H40" s="2" t="inlineStr"/>
      <c r="I40" s="2" t="inlineStr"/>
      <c r="J40" s="2" t="inlineStr"/>
      <c r="K40" s="2" t="inlineStr">
        <is>
          <t>no</t>
        </is>
      </c>
    </row>
    <row r="41" ht="40" customHeight="1">
      <c r="A41" s="3" t="inlineStr">
        <is>
          <t>2018::jama.2018.14280::C019</t>
        </is>
      </c>
      <c r="B41" s="3" t="inlineStr"/>
      <c r="C41" s="3" t="inlineStr">
        <is>
          <t>statistical_results</t>
        </is>
      </c>
      <c r="D41" s="3" t="inlineStr"/>
      <c r="E41" s="3" t="inlineStr"/>
      <c r="F41" s="3" t="inlineStr"/>
      <c r="G41" s="3" t="inlineStr"/>
      <c r="H41" s="3" t="inlineStr"/>
      <c r="I41" s="3" t="inlineStr"/>
      <c r="J41" s="3" t="inlineStr"/>
      <c r="K41" s="3" t="inlineStr">
        <is>
          <t>no</t>
        </is>
      </c>
    </row>
    <row r="42" ht="40" customHeight="1">
      <c r="A42" s="2" t="inlineStr">
        <is>
          <t>2018::jama.2018.14280::C020</t>
        </is>
      </c>
      <c r="B42" s="2" t="inlineStr"/>
      <c r="C42" s="2" t="inlineStr">
        <is>
          <t>statistical_results</t>
        </is>
      </c>
      <c r="D42" s="2" t="inlineStr"/>
      <c r="E42" s="2" t="inlineStr"/>
      <c r="F42" s="2" t="inlineStr"/>
      <c r="G42" s="2" t="inlineStr"/>
      <c r="H42" s="2" t="inlineStr"/>
      <c r="I42" s="2" t="inlineStr"/>
      <c r="J42" s="2" t="inlineStr"/>
      <c r="K42" s="2" t="inlineStr">
        <is>
          <t>no</t>
        </is>
      </c>
    </row>
    <row r="43" ht="40" customHeight="1">
      <c r="A43" s="3" t="inlineStr">
        <is>
          <t>2018::jama.2018.14280::C021</t>
        </is>
      </c>
      <c r="B43" s="3" t="inlineStr"/>
      <c r="C43" s="3" t="inlineStr">
        <is>
          <t>statistical_results</t>
        </is>
      </c>
      <c r="D43" s="3" t="inlineStr"/>
      <c r="E43" s="3" t="inlineStr"/>
      <c r="F43" s="3" t="inlineStr"/>
      <c r="G43" s="3" t="inlineStr"/>
      <c r="H43" s="3" t="inlineStr"/>
      <c r="I43" s="3" t="inlineStr"/>
      <c r="J43" s="3" t="inlineStr"/>
      <c r="K43" s="3" t="inlineStr">
        <is>
          <t>no</t>
        </is>
      </c>
    </row>
    <row r="44" ht="40" customHeight="1">
      <c r="A44" s="2" t="inlineStr">
        <is>
          <t>2018::jama.2018.14280::C022</t>
        </is>
      </c>
      <c r="B44" s="2" t="inlineStr"/>
      <c r="C44" s="2" t="inlineStr">
        <is>
          <t>internal_nonstatistical</t>
        </is>
      </c>
      <c r="D44" s="2" t="inlineStr"/>
      <c r="E44" s="2" t="inlineStr"/>
      <c r="F44" s="2" t="inlineStr"/>
      <c r="G44" s="2" t="inlineStr"/>
      <c r="H44" s="2" t="inlineStr"/>
      <c r="I44" s="2" t="inlineStr"/>
      <c r="J44" s="2" t="inlineStr"/>
      <c r="K44" s="2" t="inlineStr">
        <is>
          <t>no</t>
        </is>
      </c>
    </row>
    <row r="45" ht="40" customHeight="1">
      <c r="A45" s="3" t="inlineStr">
        <is>
          <t>2018::jama.2018.14280::C023</t>
        </is>
      </c>
      <c r="B45" s="3" t="inlineStr"/>
      <c r="C45" s="3" t="inlineStr">
        <is>
          <t>protocol_report</t>
        </is>
      </c>
      <c r="D45" s="3" t="inlineStr"/>
      <c r="E45" s="3" t="inlineStr"/>
      <c r="F45" s="3" t="inlineStr"/>
      <c r="G45" s="3" t="inlineStr"/>
      <c r="H45" s="3" t="inlineStr"/>
      <c r="I45" s="3" t="inlineStr"/>
      <c r="J45" s="3" t="inlineStr"/>
      <c r="K45" s="3" t="inlineStr">
        <is>
          <t>no</t>
        </is>
      </c>
    </row>
    <row r="46" ht="40" customHeight="1">
      <c r="A46" s="2" t="inlineStr">
        <is>
          <t>2018::jama.2018.14282::C001</t>
        </is>
      </c>
      <c r="B46" s="2" t="inlineStr"/>
      <c r="C46" s="2" t="inlineStr">
        <is>
          <t>statistical_results</t>
        </is>
      </c>
      <c r="D46" s="2" t="inlineStr"/>
      <c r="E46" s="2" t="inlineStr"/>
      <c r="F46" s="2" t="inlineStr"/>
      <c r="G46" s="2" t="inlineStr"/>
      <c r="H46" s="2" t="inlineStr"/>
      <c r="I46" s="2" t="inlineStr"/>
      <c r="J46" s="2" t="inlineStr"/>
      <c r="K46" s="2" t="inlineStr">
        <is>
          <t>no</t>
        </is>
      </c>
    </row>
    <row r="47" ht="40" customHeight="1">
      <c r="A47" s="3" t="inlineStr">
        <is>
          <t>2018::jama.2018.14282::C002</t>
        </is>
      </c>
      <c r="B47" s="3" t="inlineStr"/>
      <c r="C47" s="3" t="inlineStr">
        <is>
          <t>statistical_results</t>
        </is>
      </c>
      <c r="D47" s="3" t="inlineStr"/>
      <c r="E47" s="3" t="inlineStr"/>
      <c r="F47" s="3" t="inlineStr"/>
      <c r="G47" s="3" t="inlineStr"/>
      <c r="H47" s="3" t="inlineStr"/>
      <c r="I47" s="3" t="inlineStr"/>
      <c r="J47" s="3" t="inlineStr"/>
      <c r="K47" s="3" t="inlineStr">
        <is>
          <t>no</t>
        </is>
      </c>
    </row>
    <row r="48" ht="40" customHeight="1">
      <c r="A48" s="2" t="inlineStr">
        <is>
          <t>2018::jama.2018.14282::C003</t>
        </is>
      </c>
      <c r="B48" s="2" t="inlineStr"/>
      <c r="C48" s="2" t="inlineStr">
        <is>
          <t>statistical_results</t>
        </is>
      </c>
      <c r="D48" s="2" t="inlineStr"/>
      <c r="E48" s="2" t="inlineStr"/>
      <c r="F48" s="2" t="inlineStr"/>
      <c r="G48" s="2" t="inlineStr"/>
      <c r="H48" s="2" t="inlineStr"/>
      <c r="I48" s="2" t="inlineStr"/>
      <c r="J48" s="2" t="inlineStr"/>
      <c r="K48" s="2" t="inlineStr">
        <is>
          <t>no</t>
        </is>
      </c>
    </row>
    <row r="49" ht="40" customHeight="1">
      <c r="A49" s="3" t="inlineStr">
        <is>
          <t>2018::jama.2018.14282::C004</t>
        </is>
      </c>
      <c r="B49" s="3" t="inlineStr"/>
      <c r="C49" s="3" t="inlineStr">
        <is>
          <t>statistical_results</t>
        </is>
      </c>
      <c r="D49" s="3" t="inlineStr"/>
      <c r="E49" s="3" t="inlineStr"/>
      <c r="F49" s="3" t="inlineStr"/>
      <c r="G49" s="3" t="inlineStr"/>
      <c r="H49" s="3" t="inlineStr"/>
      <c r="I49" s="3" t="inlineStr"/>
      <c r="J49" s="3" t="inlineStr"/>
      <c r="K49" s="3" t="inlineStr">
        <is>
          <t>no</t>
        </is>
      </c>
    </row>
    <row r="50" ht="40" customHeight="1">
      <c r="A50" s="2" t="inlineStr">
        <is>
          <t>2018::jama.2018.14282::C005</t>
        </is>
      </c>
      <c r="B50" s="2" t="inlineStr"/>
      <c r="C50" s="2" t="inlineStr">
        <is>
          <t>statistical_results</t>
        </is>
      </c>
      <c r="D50" s="2" t="inlineStr"/>
      <c r="E50" s="2" t="inlineStr"/>
      <c r="F50" s="2" t="inlineStr"/>
      <c r="G50" s="2" t="inlineStr"/>
      <c r="H50" s="2" t="inlineStr"/>
      <c r="I50" s="2" t="inlineStr"/>
      <c r="J50" s="2" t="inlineStr"/>
      <c r="K50" s="2" t="inlineStr">
        <is>
          <t>no</t>
        </is>
      </c>
    </row>
    <row r="51" ht="40" customHeight="1">
      <c r="A51" s="3" t="inlineStr">
        <is>
          <t>2018::jama.2018.14282::C006</t>
        </is>
      </c>
      <c r="B51" s="3" t="inlineStr"/>
      <c r="C51" s="3" t="inlineStr">
        <is>
          <t>statistical_results</t>
        </is>
      </c>
      <c r="D51" s="3" t="inlineStr"/>
      <c r="E51" s="3" t="inlineStr"/>
      <c r="F51" s="3" t="inlineStr"/>
      <c r="G51" s="3" t="inlineStr"/>
      <c r="H51" s="3" t="inlineStr"/>
      <c r="I51" s="3" t="inlineStr"/>
      <c r="J51" s="3" t="inlineStr"/>
      <c r="K51" s="3" t="inlineStr">
        <is>
          <t>no</t>
        </is>
      </c>
    </row>
    <row r="52" ht="40" customHeight="1">
      <c r="A52" s="2" t="inlineStr">
        <is>
          <t>2018::jama.2018.14282::C007</t>
        </is>
      </c>
      <c r="B52" s="2" t="inlineStr"/>
      <c r="C52" s="2" t="inlineStr">
        <is>
          <t>statistical_results</t>
        </is>
      </c>
      <c r="D52" s="2" t="inlineStr"/>
      <c r="E52" s="2" t="inlineStr"/>
      <c r="F52" s="2" t="inlineStr"/>
      <c r="G52" s="2" t="inlineStr"/>
      <c r="H52" s="2" t="inlineStr"/>
      <c r="I52" s="2" t="inlineStr"/>
      <c r="J52" s="2" t="inlineStr"/>
      <c r="K52" s="2" t="inlineStr">
        <is>
          <t>no</t>
        </is>
      </c>
    </row>
    <row r="53" ht="40" customHeight="1">
      <c r="A53" s="3" t="inlineStr">
        <is>
          <t>2018::jama.2018.14282::C008</t>
        </is>
      </c>
      <c r="B53" s="3" t="inlineStr"/>
      <c r="C53" s="3" t="inlineStr">
        <is>
          <t>statistical_results</t>
        </is>
      </c>
      <c r="D53" s="3" t="inlineStr"/>
      <c r="E53" s="3" t="inlineStr"/>
      <c r="F53" s="3" t="inlineStr"/>
      <c r="G53" s="3" t="inlineStr"/>
      <c r="H53" s="3" t="inlineStr"/>
      <c r="I53" s="3" t="inlineStr"/>
      <c r="J53" s="3" t="inlineStr"/>
      <c r="K53" s="3" t="inlineStr">
        <is>
          <t>no</t>
        </is>
      </c>
    </row>
    <row r="54" ht="40" customHeight="1">
      <c r="A54" s="2" t="inlineStr">
        <is>
          <t>2018::jama.2018.14282::C009</t>
        </is>
      </c>
      <c r="B54" s="2" t="inlineStr"/>
      <c r="C54" s="2" t="inlineStr">
        <is>
          <t>statistical_results</t>
        </is>
      </c>
      <c r="D54" s="2" t="inlineStr"/>
      <c r="E54" s="2" t="inlineStr"/>
      <c r="F54" s="2" t="inlineStr"/>
      <c r="G54" s="2" t="inlineStr"/>
      <c r="H54" s="2" t="inlineStr"/>
      <c r="I54" s="2" t="inlineStr"/>
      <c r="J54" s="2" t="inlineStr"/>
      <c r="K54" s="2" t="inlineStr">
        <is>
          <t>no</t>
        </is>
      </c>
    </row>
    <row r="55" ht="40" customHeight="1">
      <c r="A55" s="3" t="inlineStr">
        <is>
          <t>2018::jama.2018.14282::C010</t>
        </is>
      </c>
      <c r="B55" s="3" t="inlineStr"/>
      <c r="C55" s="3" t="inlineStr">
        <is>
          <t>statistical_results</t>
        </is>
      </c>
      <c r="D55" s="3" t="inlineStr"/>
      <c r="E55" s="3" t="inlineStr"/>
      <c r="F55" s="3" t="inlineStr"/>
      <c r="G55" s="3" t="inlineStr"/>
      <c r="H55" s="3" t="inlineStr"/>
      <c r="I55" s="3" t="inlineStr"/>
      <c r="J55" s="3" t="inlineStr"/>
      <c r="K55" s="3" t="inlineStr">
        <is>
          <t>no</t>
        </is>
      </c>
    </row>
    <row r="56" ht="40" customHeight="1">
      <c r="A56" s="2" t="inlineStr">
        <is>
          <t>2018::jama.2018.14282::C011</t>
        </is>
      </c>
      <c r="B56" s="2" t="inlineStr"/>
      <c r="C56" s="2" t="inlineStr">
        <is>
          <t>statistical_results</t>
        </is>
      </c>
      <c r="D56" s="2" t="inlineStr"/>
      <c r="E56" s="2" t="inlineStr"/>
      <c r="F56" s="2" t="inlineStr"/>
      <c r="G56" s="2" t="inlineStr"/>
      <c r="H56" s="2" t="inlineStr"/>
      <c r="I56" s="2" t="inlineStr"/>
      <c r="J56" s="2" t="inlineStr"/>
      <c r="K56" s="2" t="inlineStr">
        <is>
          <t>no</t>
        </is>
      </c>
    </row>
    <row r="57" ht="40" customHeight="1">
      <c r="A57" s="3" t="inlineStr">
        <is>
          <t>2018::jama.2018.14282::C012</t>
        </is>
      </c>
      <c r="B57" s="3" t="inlineStr"/>
      <c r="C57" s="3" t="inlineStr">
        <is>
          <t>statistical_results</t>
        </is>
      </c>
      <c r="D57" s="3" t="inlineStr"/>
      <c r="E57" s="3" t="inlineStr"/>
      <c r="F57" s="3" t="inlineStr"/>
      <c r="G57" s="3" t="inlineStr"/>
      <c r="H57" s="3" t="inlineStr"/>
      <c r="I57" s="3" t="inlineStr"/>
      <c r="J57" s="3" t="inlineStr"/>
      <c r="K57" s="3" t="inlineStr">
        <is>
          <t>no</t>
        </is>
      </c>
    </row>
    <row r="58" ht="40" customHeight="1">
      <c r="A58" s="2" t="inlineStr">
        <is>
          <t>2018::jama.2018.14282::C013</t>
        </is>
      </c>
      <c r="B58" s="2" t="inlineStr"/>
      <c r="C58" s="2" t="inlineStr">
        <is>
          <t>statistical_results</t>
        </is>
      </c>
      <c r="D58" s="2" t="inlineStr"/>
      <c r="E58" s="2" t="inlineStr"/>
      <c r="F58" s="2" t="inlineStr"/>
      <c r="G58" s="2" t="inlineStr"/>
      <c r="H58" s="2" t="inlineStr"/>
      <c r="I58" s="2" t="inlineStr"/>
      <c r="J58" s="2" t="inlineStr"/>
      <c r="K58" s="2" t="inlineStr">
        <is>
          <t>no</t>
        </is>
      </c>
    </row>
    <row r="59" ht="40" customHeight="1">
      <c r="A59" s="3" t="inlineStr">
        <is>
          <t>2018::jama.2018.14282::C014</t>
        </is>
      </c>
      <c r="B59" s="3" t="inlineStr"/>
      <c r="C59" s="3" t="inlineStr">
        <is>
          <t>statistical_results</t>
        </is>
      </c>
      <c r="D59" s="3" t="inlineStr"/>
      <c r="E59" s="3" t="inlineStr"/>
      <c r="F59" s="3" t="inlineStr"/>
      <c r="G59" s="3" t="inlineStr"/>
      <c r="H59" s="3" t="inlineStr"/>
      <c r="I59" s="3" t="inlineStr"/>
      <c r="J59" s="3" t="inlineStr"/>
      <c r="K59" s="3" t="inlineStr">
        <is>
          <t>no</t>
        </is>
      </c>
    </row>
    <row r="60" ht="40" customHeight="1">
      <c r="A60" s="2" t="inlineStr">
        <is>
          <t>2018::jama.2018.14282::C015</t>
        </is>
      </c>
      <c r="B60" s="2" t="inlineStr"/>
      <c r="C60" s="2" t="inlineStr">
        <is>
          <t>statistical_results</t>
        </is>
      </c>
      <c r="D60" s="2" t="inlineStr"/>
      <c r="E60" s="2" t="inlineStr"/>
      <c r="F60" s="2" t="inlineStr"/>
      <c r="G60" s="2" t="inlineStr"/>
      <c r="H60" s="2" t="inlineStr"/>
      <c r="I60" s="2" t="inlineStr"/>
      <c r="J60" s="2" t="inlineStr"/>
      <c r="K60" s="2" t="inlineStr">
        <is>
          <t>no</t>
        </is>
      </c>
    </row>
    <row r="61" ht="40" customHeight="1">
      <c r="A61" s="3" t="inlineStr">
        <is>
          <t>2018::jama.2018.14282::C016</t>
        </is>
      </c>
      <c r="B61" s="3" t="inlineStr"/>
      <c r="C61" s="3" t="inlineStr">
        <is>
          <t>statistical_results</t>
        </is>
      </c>
      <c r="D61" s="3" t="inlineStr"/>
      <c r="E61" s="3" t="inlineStr"/>
      <c r="F61" s="3" t="inlineStr"/>
      <c r="G61" s="3" t="inlineStr"/>
      <c r="H61" s="3" t="inlineStr"/>
      <c r="I61" s="3" t="inlineStr"/>
      <c r="J61" s="3" t="inlineStr"/>
      <c r="K61" s="3" t="inlineStr">
        <is>
          <t>no</t>
        </is>
      </c>
    </row>
    <row r="62" ht="40" customHeight="1">
      <c r="A62" s="2" t="inlineStr">
        <is>
          <t>2018::jama.2018.14282::C017</t>
        </is>
      </c>
      <c r="B62" s="2" t="inlineStr"/>
      <c r="C62" s="2" t="inlineStr">
        <is>
          <t>internal_nonstatistical</t>
        </is>
      </c>
      <c r="D62" s="2" t="inlineStr"/>
      <c r="E62" s="2" t="inlineStr"/>
      <c r="F62" s="2" t="inlineStr"/>
      <c r="G62" s="2" t="inlineStr"/>
      <c r="H62" s="2" t="inlineStr"/>
      <c r="I62" s="2" t="inlineStr"/>
      <c r="J62" s="2" t="inlineStr"/>
      <c r="K62" s="2" t="inlineStr">
        <is>
          <t>no</t>
        </is>
      </c>
    </row>
    <row r="63" ht="40" customHeight="1">
      <c r="A63" s="3" t="inlineStr">
        <is>
          <t>2018::jama.2018.14282::C018</t>
        </is>
      </c>
      <c r="B63" s="3" t="inlineStr"/>
      <c r="C63" s="3" t="inlineStr">
        <is>
          <t>statistical_results</t>
        </is>
      </c>
      <c r="D63" s="3" t="inlineStr"/>
      <c r="E63" s="3" t="inlineStr"/>
      <c r="F63" s="3" t="inlineStr"/>
      <c r="G63" s="3" t="inlineStr"/>
      <c r="H63" s="3" t="inlineStr"/>
      <c r="I63" s="3" t="inlineStr"/>
      <c r="J63" s="3" t="inlineStr"/>
      <c r="K63" s="3" t="inlineStr">
        <is>
          <t>no</t>
        </is>
      </c>
    </row>
    <row r="64" ht="40" customHeight="1">
      <c r="A64" s="2" t="inlineStr">
        <is>
          <t>2018::jama.2018.14282::C019</t>
        </is>
      </c>
      <c r="B64" s="2" t="inlineStr"/>
      <c r="C64" s="2" t="inlineStr">
        <is>
          <t>statistical_results</t>
        </is>
      </c>
      <c r="D64" s="2" t="inlineStr"/>
      <c r="E64" s="2" t="inlineStr"/>
      <c r="F64" s="2" t="inlineStr"/>
      <c r="G64" s="2" t="inlineStr"/>
      <c r="H64" s="2" t="inlineStr"/>
      <c r="I64" s="2" t="inlineStr"/>
      <c r="J64" s="2" t="inlineStr"/>
      <c r="K64" s="2" t="inlineStr">
        <is>
          <t>no</t>
        </is>
      </c>
    </row>
    <row r="65" ht="40" customHeight="1">
      <c r="A65" s="3" t="inlineStr">
        <is>
          <t>2018::jama.2018.14282::C020</t>
        </is>
      </c>
      <c r="B65" s="3" t="inlineStr"/>
      <c r="C65" s="3" t="inlineStr">
        <is>
          <t>statistical_results</t>
        </is>
      </c>
      <c r="D65" s="3" t="inlineStr"/>
      <c r="E65" s="3" t="inlineStr"/>
      <c r="F65" s="3" t="inlineStr"/>
      <c r="G65" s="3" t="inlineStr"/>
      <c r="H65" s="3" t="inlineStr"/>
      <c r="I65" s="3" t="inlineStr"/>
      <c r="J65" s="3" t="inlineStr"/>
      <c r="K65" s="3" t="inlineStr">
        <is>
          <t>no</t>
        </is>
      </c>
    </row>
    <row r="66" ht="40" customHeight="1">
      <c r="A66" s="2" t="inlineStr">
        <is>
          <t>2018::jama.2018.14282::C021</t>
        </is>
      </c>
      <c r="B66" s="2" t="inlineStr"/>
      <c r="C66" s="2" t="inlineStr">
        <is>
          <t>statistical_results</t>
        </is>
      </c>
      <c r="D66" s="2" t="inlineStr"/>
      <c r="E66" s="2" t="inlineStr"/>
      <c r="F66" s="2" t="inlineStr"/>
      <c r="G66" s="2" t="inlineStr"/>
      <c r="H66" s="2" t="inlineStr"/>
      <c r="I66" s="2" t="inlineStr"/>
      <c r="J66" s="2" t="inlineStr"/>
      <c r="K66" s="2" t="inlineStr">
        <is>
          <t>no</t>
        </is>
      </c>
    </row>
    <row r="67" ht="40" customHeight="1">
      <c r="A67" s="3" t="inlineStr">
        <is>
          <t>2018::jama.2018.14282::C022</t>
        </is>
      </c>
      <c r="B67" s="3" t="inlineStr"/>
      <c r="C67" s="3" t="inlineStr">
        <is>
          <t>statistical_results</t>
        </is>
      </c>
      <c r="D67" s="3" t="inlineStr"/>
      <c r="E67" s="3" t="inlineStr"/>
      <c r="F67" s="3" t="inlineStr"/>
      <c r="G67" s="3" t="inlineStr"/>
      <c r="H67" s="3" t="inlineStr"/>
      <c r="I67" s="3" t="inlineStr"/>
      <c r="J67" s="3" t="inlineStr"/>
      <c r="K67" s="3" t="inlineStr">
        <is>
          <t>no</t>
        </is>
      </c>
    </row>
    <row r="68" ht="40" customHeight="1">
      <c r="A68" s="2" t="inlineStr">
        <is>
          <t>2018::jama.2018.14282::C023</t>
        </is>
      </c>
      <c r="B68" s="2" t="inlineStr"/>
      <c r="C68" s="2" t="inlineStr">
        <is>
          <t>internal_nonstatistical</t>
        </is>
      </c>
      <c r="D68" s="2" t="inlineStr"/>
      <c r="E68" s="2" t="inlineStr"/>
      <c r="F68" s="2" t="inlineStr"/>
      <c r="G68" s="2" t="inlineStr"/>
      <c r="H68" s="2" t="inlineStr"/>
      <c r="I68" s="2" t="inlineStr"/>
      <c r="J68" s="2" t="inlineStr"/>
      <c r="K68" s="2" t="inlineStr">
        <is>
          <t>no</t>
        </is>
      </c>
    </row>
    <row r="69" ht="40" customHeight="1">
      <c r="A69" s="3" t="inlineStr">
        <is>
          <t>2018::jama.2018.14282::C024</t>
        </is>
      </c>
      <c r="B69" s="3" t="inlineStr"/>
      <c r="C69" s="3" t="inlineStr">
        <is>
          <t>internal_nonstatistical</t>
        </is>
      </c>
      <c r="D69" s="3" t="inlineStr"/>
      <c r="E69" s="3" t="inlineStr"/>
      <c r="F69" s="3" t="inlineStr"/>
      <c r="G69" s="3" t="inlineStr"/>
      <c r="H69" s="3" t="inlineStr"/>
      <c r="I69" s="3" t="inlineStr"/>
      <c r="J69" s="3" t="inlineStr"/>
      <c r="K69" s="3" t="inlineStr">
        <is>
          <t>no</t>
        </is>
      </c>
    </row>
    <row r="70" ht="40" customHeight="1">
      <c r="A70" s="2" t="inlineStr">
        <is>
          <t>2018::jama.2018.14282::C025</t>
        </is>
      </c>
      <c r="B70" s="2" t="inlineStr"/>
      <c r="C70" s="2" t="inlineStr">
        <is>
          <t>statistical_results</t>
        </is>
      </c>
      <c r="D70" s="2" t="inlineStr"/>
      <c r="E70" s="2" t="inlineStr"/>
      <c r="F70" s="2" t="inlineStr"/>
      <c r="G70" s="2" t="inlineStr"/>
      <c r="H70" s="2" t="inlineStr"/>
      <c r="I70" s="2" t="inlineStr"/>
      <c r="J70" s="2" t="inlineStr"/>
      <c r="K70" s="2" t="inlineStr">
        <is>
          <t>no</t>
        </is>
      </c>
    </row>
    <row r="71" ht="40" customHeight="1">
      <c r="A71" s="3" t="inlineStr">
        <is>
          <t>2018::jama.2018.14282::C026</t>
        </is>
      </c>
      <c r="B71" s="3" t="inlineStr"/>
      <c r="C71" s="3" t="inlineStr">
        <is>
          <t>plan_material</t>
        </is>
      </c>
      <c r="D71" s="3" t="inlineStr"/>
      <c r="E71" s="3" t="inlineStr"/>
      <c r="F71" s="3" t="inlineStr"/>
      <c r="G71" s="3" t="inlineStr"/>
      <c r="H71" s="3" t="inlineStr"/>
      <c r="I71" s="3" t="inlineStr"/>
      <c r="J71" s="3" t="inlineStr"/>
      <c r="K71" s="3" t="inlineStr">
        <is>
          <t>no</t>
        </is>
      </c>
    </row>
    <row r="72" ht="40" customHeight="1">
      <c r="A72" s="2" t="inlineStr">
        <is>
          <t>2018::jama.2018.14282::C027</t>
        </is>
      </c>
      <c r="B72" s="2" t="inlineStr"/>
      <c r="C72" s="2" t="inlineStr">
        <is>
          <t>plan_material</t>
        </is>
      </c>
      <c r="D72" s="2" t="inlineStr"/>
      <c r="E72" s="2" t="inlineStr"/>
      <c r="F72" s="2" t="inlineStr"/>
      <c r="G72" s="2" t="inlineStr"/>
      <c r="H72" s="2" t="inlineStr"/>
      <c r="I72" s="2" t="inlineStr"/>
      <c r="J72" s="2" t="inlineStr"/>
      <c r="K72" s="2" t="inlineStr">
        <is>
          <t>no</t>
        </is>
      </c>
    </row>
    <row r="73" ht="40" customHeight="1">
      <c r="A73" s="3" t="inlineStr">
        <is>
          <t>2018::jama.2018.14282::C028</t>
        </is>
      </c>
      <c r="B73" s="3" t="inlineStr"/>
      <c r="C73" s="3" t="inlineStr">
        <is>
          <t>plan_material</t>
        </is>
      </c>
      <c r="D73" s="3" t="inlineStr"/>
      <c r="E73" s="3" t="inlineStr"/>
      <c r="F73" s="3" t="inlineStr"/>
      <c r="G73" s="3" t="inlineStr"/>
      <c r="H73" s="3" t="inlineStr"/>
      <c r="I73" s="3" t="inlineStr"/>
      <c r="J73" s="3" t="inlineStr"/>
      <c r="K73" s="3" t="inlineStr">
        <is>
          <t>no</t>
        </is>
      </c>
    </row>
    <row r="74" ht="40" customHeight="1">
      <c r="A74" s="2" t="inlineStr">
        <is>
          <t>2018::jama.2018.17075::C001</t>
        </is>
      </c>
      <c r="B74" s="2" t="inlineStr"/>
      <c r="C74" s="2" t="inlineStr">
        <is>
          <t>statistical_results</t>
        </is>
      </c>
      <c r="D74" s="2" t="inlineStr"/>
      <c r="E74" s="2" t="inlineStr"/>
      <c r="F74" s="2" t="inlineStr"/>
      <c r="G74" s="2" t="inlineStr"/>
      <c r="H74" s="2" t="inlineStr"/>
      <c r="I74" s="2" t="inlineStr"/>
      <c r="J74" s="2" t="inlineStr"/>
      <c r="K74" s="2" t="inlineStr">
        <is>
          <t>no</t>
        </is>
      </c>
    </row>
    <row r="75" ht="40" customHeight="1">
      <c r="A75" s="3" t="inlineStr">
        <is>
          <t>2018::jama.2018.17075::C002</t>
        </is>
      </c>
      <c r="B75" s="3" t="inlineStr"/>
      <c r="C75" s="3" t="inlineStr">
        <is>
          <t>internal_nonstatistical</t>
        </is>
      </c>
      <c r="D75" s="3" t="inlineStr"/>
      <c r="E75" s="3" t="inlineStr"/>
      <c r="F75" s="3" t="inlineStr"/>
      <c r="G75" s="3" t="inlineStr"/>
      <c r="H75" s="3" t="inlineStr"/>
      <c r="I75" s="3" t="inlineStr"/>
      <c r="J75" s="3" t="inlineStr"/>
      <c r="K75" s="3" t="inlineStr">
        <is>
          <t>no</t>
        </is>
      </c>
    </row>
    <row r="76" ht="40" customHeight="1">
      <c r="A76" s="2" t="inlineStr">
        <is>
          <t>2018::jama.2018.17075::C003</t>
        </is>
      </c>
      <c r="B76" s="2" t="inlineStr"/>
      <c r="C76" s="2" t="inlineStr">
        <is>
          <t>statistical_results</t>
        </is>
      </c>
      <c r="D76" s="2" t="inlineStr"/>
      <c r="E76" s="2" t="inlineStr"/>
      <c r="F76" s="2" t="inlineStr"/>
      <c r="G76" s="2" t="inlineStr"/>
      <c r="H76" s="2" t="inlineStr"/>
      <c r="I76" s="2" t="inlineStr"/>
      <c r="J76" s="2" t="inlineStr"/>
      <c r="K76" s="2" t="inlineStr">
        <is>
          <t>no</t>
        </is>
      </c>
    </row>
    <row r="77" ht="40" customHeight="1">
      <c r="A77" s="3" t="inlineStr">
        <is>
          <t>2018::jama.2018.17075::C004</t>
        </is>
      </c>
      <c r="B77" s="3" t="inlineStr"/>
      <c r="C77" s="3" t="inlineStr">
        <is>
          <t>statistical_results</t>
        </is>
      </c>
      <c r="D77" s="3" t="inlineStr"/>
      <c r="E77" s="3" t="inlineStr"/>
      <c r="F77" s="3" t="inlineStr"/>
      <c r="G77" s="3" t="inlineStr"/>
      <c r="H77" s="3" t="inlineStr"/>
      <c r="I77" s="3" t="inlineStr"/>
      <c r="J77" s="3" t="inlineStr"/>
      <c r="K77" s="3" t="inlineStr">
        <is>
          <t>no</t>
        </is>
      </c>
    </row>
    <row r="78" ht="40" customHeight="1">
      <c r="A78" s="2" t="inlineStr">
        <is>
          <t>2018::jama.2018.17075::C005</t>
        </is>
      </c>
      <c r="B78" s="2" t="inlineStr"/>
      <c r="C78" s="2" t="inlineStr">
        <is>
          <t>internal_nonstatistical</t>
        </is>
      </c>
      <c r="D78" s="2" t="inlineStr"/>
      <c r="E78" s="2" t="inlineStr"/>
      <c r="F78" s="2" t="inlineStr"/>
      <c r="G78" s="2" t="inlineStr"/>
      <c r="H78" s="2" t="inlineStr"/>
      <c r="I78" s="2" t="inlineStr"/>
      <c r="J78" s="2" t="inlineStr"/>
      <c r="K78" s="2" t="inlineStr">
        <is>
          <t>no</t>
        </is>
      </c>
    </row>
    <row r="79" ht="40" customHeight="1">
      <c r="A79" s="3" t="inlineStr">
        <is>
          <t>2018::jama.2018.17075::C006</t>
        </is>
      </c>
      <c r="B79" s="3" t="inlineStr"/>
      <c r="C79" s="3" t="inlineStr">
        <is>
          <t>internal_nonstatistical</t>
        </is>
      </c>
      <c r="D79" s="3" t="inlineStr"/>
      <c r="E79" s="3" t="inlineStr"/>
      <c r="F79" s="3" t="inlineStr"/>
      <c r="G79" s="3" t="inlineStr"/>
      <c r="H79" s="3" t="inlineStr"/>
      <c r="I79" s="3" t="inlineStr"/>
      <c r="J79" s="3" t="inlineStr"/>
      <c r="K79" s="3" t="inlineStr">
        <is>
          <t>no</t>
        </is>
      </c>
    </row>
    <row r="80" ht="40" customHeight="1">
      <c r="A80" s="2" t="inlineStr">
        <is>
          <t>2018::jama.2018.17075::C007</t>
        </is>
      </c>
      <c r="B80" s="2" t="inlineStr"/>
      <c r="C80" s="2" t="inlineStr">
        <is>
          <t>statistical_results</t>
        </is>
      </c>
      <c r="D80" s="2" t="inlineStr"/>
      <c r="E80" s="2" t="inlineStr"/>
      <c r="F80" s="2" t="inlineStr"/>
      <c r="G80" s="2" t="inlineStr"/>
      <c r="H80" s="2" t="inlineStr"/>
      <c r="I80" s="2" t="inlineStr"/>
      <c r="J80" s="2" t="inlineStr"/>
      <c r="K80" s="2" t="inlineStr">
        <is>
          <t>no</t>
        </is>
      </c>
    </row>
    <row r="81" ht="40" customHeight="1">
      <c r="A81" s="3" t="inlineStr">
        <is>
          <t>2018::jama.2018.17075::C008</t>
        </is>
      </c>
      <c r="B81" s="3" t="inlineStr"/>
      <c r="C81" s="3" t="inlineStr">
        <is>
          <t>statistical_results</t>
        </is>
      </c>
      <c r="D81" s="3" t="inlineStr"/>
      <c r="E81" s="3" t="inlineStr"/>
      <c r="F81" s="3" t="inlineStr"/>
      <c r="G81" s="3" t="inlineStr"/>
      <c r="H81" s="3" t="inlineStr"/>
      <c r="I81" s="3" t="inlineStr"/>
      <c r="J81" s="3" t="inlineStr"/>
      <c r="K81" s="3" t="inlineStr">
        <is>
          <t>no</t>
        </is>
      </c>
    </row>
    <row r="82" ht="40" customHeight="1">
      <c r="A82" s="2" t="inlineStr">
        <is>
          <t>2018::jama.2018.18020::C001</t>
        </is>
      </c>
      <c r="B82" s="2" t="inlineStr"/>
      <c r="C82" s="2" t="inlineStr">
        <is>
          <t>statistical_results</t>
        </is>
      </c>
      <c r="D82" s="2" t="inlineStr"/>
      <c r="E82" s="2" t="inlineStr"/>
      <c r="F82" s="2" t="inlineStr"/>
      <c r="G82" s="2" t="inlineStr"/>
      <c r="H82" s="2" t="inlineStr"/>
      <c r="I82" s="2" t="inlineStr"/>
      <c r="J82" s="2" t="inlineStr"/>
      <c r="K82" s="2" t="inlineStr">
        <is>
          <t>no</t>
        </is>
      </c>
    </row>
    <row r="83" ht="40" customHeight="1">
      <c r="A83" s="3" t="inlineStr">
        <is>
          <t>2018::jama.2018.18020::C002</t>
        </is>
      </c>
      <c r="B83" s="3" t="inlineStr"/>
      <c r="C83" s="3" t="inlineStr">
        <is>
          <t>internal_nonstatistical</t>
        </is>
      </c>
      <c r="D83" s="3" t="inlineStr"/>
      <c r="E83" s="3" t="inlineStr"/>
      <c r="F83" s="3" t="inlineStr"/>
      <c r="G83" s="3" t="inlineStr"/>
      <c r="H83" s="3" t="inlineStr"/>
      <c r="I83" s="3" t="inlineStr"/>
      <c r="J83" s="3" t="inlineStr"/>
      <c r="K83" s="3" t="inlineStr">
        <is>
          <t>no</t>
        </is>
      </c>
    </row>
    <row r="84" ht="40" customHeight="1">
      <c r="A84" s="2" t="inlineStr">
        <is>
          <t>2018::jama.2018.18020::C003</t>
        </is>
      </c>
      <c r="B84" s="2" t="inlineStr"/>
      <c r="C84" s="2" t="inlineStr">
        <is>
          <t>internal_nonstatistical</t>
        </is>
      </c>
      <c r="D84" s="2" t="inlineStr"/>
      <c r="E84" s="2" t="inlineStr"/>
      <c r="F84" s="2" t="inlineStr"/>
      <c r="G84" s="2" t="inlineStr"/>
      <c r="H84" s="2" t="inlineStr"/>
      <c r="I84" s="2" t="inlineStr"/>
      <c r="J84" s="2" t="inlineStr"/>
      <c r="K84" s="2" t="inlineStr">
        <is>
          <t>no</t>
        </is>
      </c>
    </row>
    <row r="85" ht="40" customHeight="1">
      <c r="A85" s="3" t="inlineStr">
        <is>
          <t>2018::jama.2018.18020::C004</t>
        </is>
      </c>
      <c r="B85" s="3" t="inlineStr"/>
      <c r="C85" s="3" t="inlineStr">
        <is>
          <t>statistical_results</t>
        </is>
      </c>
      <c r="D85" s="3" t="inlineStr"/>
      <c r="E85" s="3" t="inlineStr"/>
      <c r="F85" s="3" t="inlineStr"/>
      <c r="G85" s="3" t="inlineStr"/>
      <c r="H85" s="3" t="inlineStr"/>
      <c r="I85" s="3" t="inlineStr"/>
      <c r="J85" s="3" t="inlineStr"/>
      <c r="K85" s="3" t="inlineStr">
        <is>
          <t>no</t>
        </is>
      </c>
    </row>
    <row r="86" ht="40" customHeight="1">
      <c r="A86" s="2" t="inlineStr">
        <is>
          <t>2018::jama.2018.18020::C005</t>
        </is>
      </c>
      <c r="B86" s="2" t="inlineStr"/>
      <c r="C86" s="2" t="inlineStr">
        <is>
          <t>internal_nonstatistical</t>
        </is>
      </c>
      <c r="D86" s="2" t="inlineStr"/>
      <c r="E86" s="2" t="inlineStr"/>
      <c r="F86" s="2" t="inlineStr"/>
      <c r="G86" s="2" t="inlineStr"/>
      <c r="H86" s="2" t="inlineStr"/>
      <c r="I86" s="2" t="inlineStr"/>
      <c r="J86" s="2" t="inlineStr"/>
      <c r="K86" s="2" t="inlineStr">
        <is>
          <t>no</t>
        </is>
      </c>
    </row>
    <row r="87" ht="40" customHeight="1">
      <c r="A87" s="3" t="inlineStr">
        <is>
          <t>2018::jama.2018.18020::C006</t>
        </is>
      </c>
      <c r="B87" s="3" t="inlineStr"/>
      <c r="C87" s="3" t="inlineStr">
        <is>
          <t>internal_nonstatistical</t>
        </is>
      </c>
      <c r="D87" s="3" t="inlineStr"/>
      <c r="E87" s="3" t="inlineStr"/>
      <c r="F87" s="3" t="inlineStr"/>
      <c r="G87" s="3" t="inlineStr"/>
      <c r="H87" s="3" t="inlineStr"/>
      <c r="I87" s="3" t="inlineStr"/>
      <c r="J87" s="3" t="inlineStr"/>
      <c r="K87" s="3" t="inlineStr">
        <is>
          <t>no</t>
        </is>
      </c>
    </row>
    <row r="88" ht="40" customHeight="1">
      <c r="A88" s="2" t="inlineStr">
        <is>
          <t>2018::jama.2018.18020::C007</t>
        </is>
      </c>
      <c r="B88" s="2" t="inlineStr"/>
      <c r="C88" s="2" t="inlineStr">
        <is>
          <t>internal_nonstatistical</t>
        </is>
      </c>
      <c r="D88" s="2" t="inlineStr"/>
      <c r="E88" s="2" t="inlineStr"/>
      <c r="F88" s="2" t="inlineStr"/>
      <c r="G88" s="2" t="inlineStr"/>
      <c r="H88" s="2" t="inlineStr"/>
      <c r="I88" s="2" t="inlineStr"/>
      <c r="J88" s="2" t="inlineStr"/>
      <c r="K88" s="2" t="inlineStr">
        <is>
          <t>no</t>
        </is>
      </c>
    </row>
    <row r="89" ht="40" customHeight="1">
      <c r="A89" s="3" t="inlineStr">
        <is>
          <t>2018::jama.2018.18020::C008</t>
        </is>
      </c>
      <c r="B89" s="3" t="inlineStr"/>
      <c r="C89" s="3" t="inlineStr">
        <is>
          <t>internal_nonstatistical</t>
        </is>
      </c>
      <c r="D89" s="3" t="inlineStr"/>
      <c r="E89" s="3" t="inlineStr"/>
      <c r="F89" s="3" t="inlineStr"/>
      <c r="G89" s="3" t="inlineStr"/>
      <c r="H89" s="3" t="inlineStr"/>
      <c r="I89" s="3" t="inlineStr"/>
      <c r="J89" s="3" t="inlineStr"/>
      <c r="K89" s="3" t="inlineStr">
        <is>
          <t>no</t>
        </is>
      </c>
    </row>
    <row r="90" ht="40" customHeight="1">
      <c r="A90" s="2" t="inlineStr">
        <is>
          <t>2018::jama.2018.18020::C009</t>
        </is>
      </c>
      <c r="B90" s="2" t="inlineStr"/>
      <c r="C90" s="2" t="inlineStr">
        <is>
          <t>statistical_results</t>
        </is>
      </c>
      <c r="D90" s="2" t="inlineStr"/>
      <c r="E90" s="2" t="inlineStr"/>
      <c r="F90" s="2" t="inlineStr"/>
      <c r="G90" s="2" t="inlineStr"/>
      <c r="H90" s="2" t="inlineStr"/>
      <c r="I90" s="2" t="inlineStr"/>
      <c r="J90" s="2" t="inlineStr"/>
      <c r="K90" s="2" t="inlineStr">
        <is>
          <t>no</t>
        </is>
      </c>
    </row>
    <row r="91" ht="40" customHeight="1">
      <c r="A91" s="3" t="inlineStr">
        <is>
          <t>2018::jama.2018.18020::C010</t>
        </is>
      </c>
      <c r="B91" s="3" t="inlineStr"/>
      <c r="C91" s="3" t="inlineStr">
        <is>
          <t>statistical_results</t>
        </is>
      </c>
      <c r="D91" s="3" t="inlineStr"/>
      <c r="E91" s="3" t="inlineStr"/>
      <c r="F91" s="3" t="inlineStr"/>
      <c r="G91" s="3" t="inlineStr"/>
      <c r="H91" s="3" t="inlineStr"/>
      <c r="I91" s="3" t="inlineStr"/>
      <c r="J91" s="3" t="inlineStr"/>
      <c r="K91" s="3" t="inlineStr">
        <is>
          <t>no</t>
        </is>
      </c>
    </row>
    <row r="92" ht="40" customHeight="1">
      <c r="A92" s="2" t="inlineStr">
        <is>
          <t>2018::jama.2018.18020::C011</t>
        </is>
      </c>
      <c r="B92" s="2" t="inlineStr"/>
      <c r="C92" s="2" t="inlineStr">
        <is>
          <t>statistical_results</t>
        </is>
      </c>
      <c r="D92" s="2" t="inlineStr"/>
      <c r="E92" s="2" t="inlineStr"/>
      <c r="F92" s="2" t="inlineStr"/>
      <c r="G92" s="2" t="inlineStr"/>
      <c r="H92" s="2" t="inlineStr"/>
      <c r="I92" s="2" t="inlineStr"/>
      <c r="J92" s="2" t="inlineStr"/>
      <c r="K92" s="2" t="inlineStr">
        <is>
          <t>no</t>
        </is>
      </c>
    </row>
    <row r="93" ht="40" customHeight="1">
      <c r="A93" s="3" t="inlineStr">
        <is>
          <t>2018::jama.2018.18020::C012</t>
        </is>
      </c>
      <c r="B93" s="3" t="inlineStr"/>
      <c r="C93" s="3" t="inlineStr">
        <is>
          <t>statistical_results</t>
        </is>
      </c>
      <c r="D93" s="3" t="inlineStr"/>
      <c r="E93" s="3" t="inlineStr"/>
      <c r="F93" s="3" t="inlineStr"/>
      <c r="G93" s="3" t="inlineStr"/>
      <c r="H93" s="3" t="inlineStr"/>
      <c r="I93" s="3" t="inlineStr"/>
      <c r="J93" s="3" t="inlineStr"/>
      <c r="K93" s="3" t="inlineStr">
        <is>
          <t>no</t>
        </is>
      </c>
    </row>
    <row r="94" ht="40" customHeight="1">
      <c r="A94" s="2" t="inlineStr">
        <is>
          <t>2018::jama.2018.18020::C013</t>
        </is>
      </c>
      <c r="B94" s="2" t="inlineStr"/>
      <c r="C94" s="2" t="inlineStr">
        <is>
          <t>statistical_results</t>
        </is>
      </c>
      <c r="D94" s="2" t="inlineStr"/>
      <c r="E94" s="2" t="inlineStr"/>
      <c r="F94" s="2" t="inlineStr"/>
      <c r="G94" s="2" t="inlineStr"/>
      <c r="H94" s="2" t="inlineStr"/>
      <c r="I94" s="2" t="inlineStr"/>
      <c r="J94" s="2" t="inlineStr"/>
      <c r="K94" s="2" t="inlineStr">
        <is>
          <t>no</t>
        </is>
      </c>
    </row>
    <row r="95" ht="40" customHeight="1">
      <c r="A95" s="3" t="inlineStr">
        <is>
          <t>2018::jama.2018.18020::C014</t>
        </is>
      </c>
      <c r="B95" s="3" t="inlineStr"/>
      <c r="C95" s="3" t="inlineStr">
        <is>
          <t>statistical_results</t>
        </is>
      </c>
      <c r="D95" s="3" t="inlineStr"/>
      <c r="E95" s="3" t="inlineStr"/>
      <c r="F95" s="3" t="inlineStr"/>
      <c r="G95" s="3" t="inlineStr"/>
      <c r="H95" s="3" t="inlineStr"/>
      <c r="I95" s="3" t="inlineStr"/>
      <c r="J95" s="3" t="inlineStr"/>
      <c r="K95" s="3" t="inlineStr">
        <is>
          <t>no</t>
        </is>
      </c>
    </row>
    <row r="96" ht="40" customHeight="1">
      <c r="A96" s="2" t="inlineStr">
        <is>
          <t>2018::jama.2018.6496::C001</t>
        </is>
      </c>
      <c r="B96" s="2" t="inlineStr"/>
      <c r="C96" s="2" t="inlineStr">
        <is>
          <t>statistical_results</t>
        </is>
      </c>
      <c r="D96" s="2" t="inlineStr"/>
      <c r="E96" s="2" t="inlineStr"/>
      <c r="F96" s="2" t="inlineStr"/>
      <c r="G96" s="2" t="inlineStr"/>
      <c r="H96" s="2" t="inlineStr"/>
      <c r="I96" s="2" t="inlineStr"/>
      <c r="J96" s="2" t="inlineStr"/>
      <c r="K96" s="2" t="inlineStr">
        <is>
          <t>no</t>
        </is>
      </c>
    </row>
    <row r="97" ht="40" customHeight="1">
      <c r="A97" s="3" t="inlineStr">
        <is>
          <t>2018::jama.2018.6496::C002</t>
        </is>
      </c>
      <c r="B97" s="3" t="inlineStr"/>
      <c r="C97" s="3" t="inlineStr">
        <is>
          <t>statistical_results</t>
        </is>
      </c>
      <c r="D97" s="3" t="inlineStr"/>
      <c r="E97" s="3" t="inlineStr"/>
      <c r="F97" s="3" t="inlineStr"/>
      <c r="G97" s="3" t="inlineStr"/>
      <c r="H97" s="3" t="inlineStr"/>
      <c r="I97" s="3" t="inlineStr"/>
      <c r="J97" s="3" t="inlineStr"/>
      <c r="K97" s="3" t="inlineStr">
        <is>
          <t>no</t>
        </is>
      </c>
    </row>
    <row r="98" ht="40" customHeight="1">
      <c r="A98" s="2" t="inlineStr">
        <is>
          <t>2018::jama.2018.6496::C003</t>
        </is>
      </c>
      <c r="B98" s="2" t="inlineStr"/>
      <c r="C98" s="2" t="inlineStr">
        <is>
          <t>protocol_report</t>
        </is>
      </c>
      <c r="D98" s="2" t="inlineStr"/>
      <c r="E98" s="2" t="inlineStr"/>
      <c r="F98" s="2" t="inlineStr"/>
      <c r="G98" s="2" t="inlineStr"/>
      <c r="H98" s="2" t="inlineStr"/>
      <c r="I98" s="2" t="inlineStr"/>
      <c r="J98" s="2" t="inlineStr"/>
      <c r="K98" s="2" t="inlineStr">
        <is>
          <t>no</t>
        </is>
      </c>
    </row>
    <row r="99" ht="40" customHeight="1">
      <c r="A99" s="3" t="inlineStr">
        <is>
          <t>2018::jama.2018.6496::C004</t>
        </is>
      </c>
      <c r="B99" s="3" t="inlineStr"/>
      <c r="C99" s="3" t="inlineStr">
        <is>
          <t>protocol_report</t>
        </is>
      </c>
      <c r="D99" s="3" t="inlineStr"/>
      <c r="E99" s="3" t="inlineStr"/>
      <c r="F99" s="3" t="inlineStr"/>
      <c r="G99" s="3" t="inlineStr"/>
      <c r="H99" s="3" t="inlineStr"/>
      <c r="I99" s="3" t="inlineStr"/>
      <c r="J99" s="3" t="inlineStr"/>
      <c r="K99" s="3" t="inlineStr">
        <is>
          <t>no</t>
        </is>
      </c>
    </row>
    <row r="100" ht="40" customHeight="1">
      <c r="A100" s="2" t="inlineStr">
        <is>
          <t>2018::jama.2018.8802::C001</t>
        </is>
      </c>
      <c r="B100" s="2" t="inlineStr"/>
      <c r="C100" s="2" t="inlineStr">
        <is>
          <t>statistical_results</t>
        </is>
      </c>
      <c r="D100" s="2" t="inlineStr"/>
      <c r="E100" s="2" t="inlineStr"/>
      <c r="F100" s="2" t="inlineStr"/>
      <c r="G100" s="2" t="inlineStr"/>
      <c r="H100" s="2" t="inlineStr"/>
      <c r="I100" s="2" t="inlineStr"/>
      <c r="J100" s="2" t="inlineStr"/>
      <c r="K100" s="2" t="inlineStr">
        <is>
          <t>no</t>
        </is>
      </c>
    </row>
    <row r="101" ht="40" customHeight="1">
      <c r="A101" s="3" t="inlineStr">
        <is>
          <t>2018::jama.2018.8802::C002</t>
        </is>
      </c>
      <c r="B101" s="3" t="inlineStr"/>
      <c r="C101" s="3" t="inlineStr">
        <is>
          <t>protocol_report</t>
        </is>
      </c>
      <c r="D101" s="3" t="inlineStr"/>
      <c r="E101" s="3" t="inlineStr"/>
      <c r="F101" s="3" t="inlineStr"/>
      <c r="G101" s="3" t="inlineStr"/>
      <c r="H101" s="3" t="inlineStr"/>
      <c r="I101" s="3" t="inlineStr"/>
      <c r="J101" s="3" t="inlineStr"/>
      <c r="K101" s="3" t="inlineStr">
        <is>
          <t>no</t>
        </is>
      </c>
    </row>
    <row r="102" ht="40" customHeight="1">
      <c r="A102" s="2" t="inlineStr">
        <is>
          <t>2018::jama.2018.8802::C003</t>
        </is>
      </c>
      <c r="B102" s="2" t="inlineStr"/>
      <c r="C102" s="2" t="inlineStr">
        <is>
          <t>statistical_results</t>
        </is>
      </c>
      <c r="D102" s="2" t="inlineStr"/>
      <c r="E102" s="2" t="inlineStr"/>
      <c r="F102" s="2" t="inlineStr"/>
      <c r="G102" s="2" t="inlineStr"/>
      <c r="H102" s="2" t="inlineStr"/>
      <c r="I102" s="2" t="inlineStr"/>
      <c r="J102" s="2" t="inlineStr"/>
      <c r="K102" s="2" t="inlineStr">
        <is>
          <t>no</t>
        </is>
      </c>
    </row>
    <row r="103" ht="40" customHeight="1">
      <c r="A103" s="3" t="inlineStr">
        <is>
          <t>2018::jama.2018.8802::C004</t>
        </is>
      </c>
      <c r="B103" s="3" t="inlineStr"/>
      <c r="C103" s="3" t="inlineStr">
        <is>
          <t>statistical_results</t>
        </is>
      </c>
      <c r="D103" s="3" t="inlineStr"/>
      <c r="E103" s="3" t="inlineStr"/>
      <c r="F103" s="3" t="inlineStr"/>
      <c r="G103" s="3" t="inlineStr"/>
      <c r="H103" s="3" t="inlineStr"/>
      <c r="I103" s="3" t="inlineStr"/>
      <c r="J103" s="3" t="inlineStr"/>
      <c r="K103" s="3" t="inlineStr">
        <is>
          <t>no</t>
        </is>
      </c>
    </row>
    <row r="104" ht="40" customHeight="1">
      <c r="A104" s="2" t="inlineStr">
        <is>
          <t>2018::jama.2018.8802::C005</t>
        </is>
      </c>
      <c r="B104" s="2" t="inlineStr"/>
      <c r="C104" s="2" t="inlineStr">
        <is>
          <t>statistical_results</t>
        </is>
      </c>
      <c r="D104" s="2" t="inlineStr"/>
      <c r="E104" s="2" t="inlineStr"/>
      <c r="F104" s="2" t="inlineStr"/>
      <c r="G104" s="2" t="inlineStr"/>
      <c r="H104" s="2" t="inlineStr"/>
      <c r="I104" s="2" t="inlineStr"/>
      <c r="J104" s="2" t="inlineStr"/>
      <c r="K104" s="2" t="inlineStr">
        <is>
          <t>no</t>
        </is>
      </c>
    </row>
    <row r="105" ht="40" customHeight="1">
      <c r="A105" s="3" t="inlineStr">
        <is>
          <t>2018::jama.2018.8802::C006</t>
        </is>
      </c>
      <c r="B105" s="3" t="inlineStr"/>
      <c r="C105" s="3" t="inlineStr">
        <is>
          <t>statistical_results</t>
        </is>
      </c>
      <c r="D105" s="3" t="inlineStr"/>
      <c r="E105" s="3" t="inlineStr"/>
      <c r="F105" s="3" t="inlineStr"/>
      <c r="G105" s="3" t="inlineStr"/>
      <c r="H105" s="3" t="inlineStr"/>
      <c r="I105" s="3" t="inlineStr"/>
      <c r="J105" s="3" t="inlineStr"/>
      <c r="K105" s="3" t="inlineStr">
        <is>
          <t>no</t>
        </is>
      </c>
    </row>
    <row r="106" ht="40" customHeight="1">
      <c r="A106" s="2" t="inlineStr">
        <is>
          <t>2018::jama.2018.8802::C007</t>
        </is>
      </c>
      <c r="B106" s="2" t="inlineStr"/>
      <c r="C106" s="2" t="inlineStr">
        <is>
          <t>internal_nonstatistical</t>
        </is>
      </c>
      <c r="D106" s="2" t="inlineStr"/>
      <c r="E106" s="2" t="inlineStr"/>
      <c r="F106" s="2" t="inlineStr"/>
      <c r="G106" s="2" t="inlineStr"/>
      <c r="H106" s="2" t="inlineStr"/>
      <c r="I106" s="2" t="inlineStr"/>
      <c r="J106" s="2" t="inlineStr"/>
      <c r="K106" s="2" t="inlineStr">
        <is>
          <t>no</t>
        </is>
      </c>
    </row>
    <row r="107" ht="40" customHeight="1">
      <c r="A107" s="3" t="inlineStr">
        <is>
          <t>2018::jama.2018.8802::C008</t>
        </is>
      </c>
      <c r="B107" s="3" t="inlineStr"/>
      <c r="C107" s="3" t="inlineStr">
        <is>
          <t>statistical_results</t>
        </is>
      </c>
      <c r="D107" s="3" t="inlineStr"/>
      <c r="E107" s="3" t="inlineStr"/>
      <c r="F107" s="3" t="inlineStr"/>
      <c r="G107" s="3" t="inlineStr"/>
      <c r="H107" s="3" t="inlineStr"/>
      <c r="I107" s="3" t="inlineStr"/>
      <c r="J107" s="3" t="inlineStr"/>
      <c r="K107" s="3" t="inlineStr">
        <is>
          <t>no</t>
        </is>
      </c>
    </row>
    <row r="108" ht="40" customHeight="1">
      <c r="A108" s="2" t="inlineStr">
        <is>
          <t>2018::jama.2018.9128::C001</t>
        </is>
      </c>
      <c r="B108" s="2" t="inlineStr"/>
      <c r="C108" s="2" t="inlineStr">
        <is>
          <t>internal_nonstatistical</t>
        </is>
      </c>
      <c r="D108" s="2" t="inlineStr"/>
      <c r="E108" s="2" t="inlineStr"/>
      <c r="F108" s="2" t="inlineStr"/>
      <c r="G108" s="2" t="inlineStr"/>
      <c r="H108" s="2" t="inlineStr"/>
      <c r="I108" s="2" t="inlineStr"/>
      <c r="J108" s="2" t="inlineStr"/>
      <c r="K108" s="2" t="inlineStr">
        <is>
          <t>no</t>
        </is>
      </c>
    </row>
    <row r="109" ht="40" customHeight="1">
      <c r="A109" s="3" t="inlineStr">
        <is>
          <t>2018::jama.2018.9128::C002</t>
        </is>
      </c>
      <c r="B109" s="3" t="inlineStr"/>
      <c r="C109" s="3" t="inlineStr">
        <is>
          <t>internal_nonstatistical</t>
        </is>
      </c>
      <c r="D109" s="3" t="inlineStr"/>
      <c r="E109" s="3" t="inlineStr"/>
      <c r="F109" s="3" t="inlineStr"/>
      <c r="G109" s="3" t="inlineStr"/>
      <c r="H109" s="3" t="inlineStr"/>
      <c r="I109" s="3" t="inlineStr"/>
      <c r="J109" s="3" t="inlineStr"/>
      <c r="K109" s="3" t="inlineStr">
        <is>
          <t>no</t>
        </is>
      </c>
    </row>
    <row r="110" ht="40" customHeight="1">
      <c r="A110" s="2" t="inlineStr">
        <is>
          <t>2018::jama.2018.9128::C003</t>
        </is>
      </c>
      <c r="B110" s="2" t="inlineStr"/>
      <c r="C110" s="2" t="inlineStr">
        <is>
          <t>internal_nonstatistical</t>
        </is>
      </c>
      <c r="D110" s="2" t="inlineStr"/>
      <c r="E110" s="2" t="inlineStr"/>
      <c r="F110" s="2" t="inlineStr"/>
      <c r="G110" s="2" t="inlineStr"/>
      <c r="H110" s="2" t="inlineStr"/>
      <c r="I110" s="2" t="inlineStr"/>
      <c r="J110" s="2" t="inlineStr"/>
      <c r="K110" s="2" t="inlineStr">
        <is>
          <t>no</t>
        </is>
      </c>
    </row>
    <row r="111" ht="40" customHeight="1">
      <c r="A111" s="3" t="inlineStr">
        <is>
          <t>2018::jama.2018.9128::C004</t>
        </is>
      </c>
      <c r="B111" s="3" t="inlineStr"/>
      <c r="C111" s="3" t="inlineStr">
        <is>
          <t>internal_nonstatistical</t>
        </is>
      </c>
      <c r="D111" s="3" t="inlineStr"/>
      <c r="E111" s="3" t="inlineStr"/>
      <c r="F111" s="3" t="inlineStr"/>
      <c r="G111" s="3" t="inlineStr"/>
      <c r="H111" s="3" t="inlineStr"/>
      <c r="I111" s="3" t="inlineStr"/>
      <c r="J111" s="3" t="inlineStr"/>
      <c r="K111" s="3" t="inlineStr">
        <is>
          <t>no</t>
        </is>
      </c>
    </row>
    <row r="112" ht="40" customHeight="1">
      <c r="A112" s="2" t="inlineStr">
        <is>
          <t>2018::jama.2018.9128::C005</t>
        </is>
      </c>
      <c r="B112" s="2" t="inlineStr"/>
      <c r="C112" s="2" t="inlineStr">
        <is>
          <t>internal_nonstatistical</t>
        </is>
      </c>
      <c r="D112" s="2" t="inlineStr"/>
      <c r="E112" s="2" t="inlineStr"/>
      <c r="F112" s="2" t="inlineStr"/>
      <c r="G112" s="2" t="inlineStr"/>
      <c r="H112" s="2" t="inlineStr"/>
      <c r="I112" s="2" t="inlineStr"/>
      <c r="J112" s="2" t="inlineStr"/>
      <c r="K112" s="2" t="inlineStr">
        <is>
          <t>no</t>
        </is>
      </c>
    </row>
    <row r="113" ht="40" customHeight="1">
      <c r="A113" s="3" t="inlineStr">
        <is>
          <t>2018::jama.2018.9128::C006</t>
        </is>
      </c>
      <c r="B113" s="3" t="inlineStr"/>
      <c r="C113" s="3" t="inlineStr">
        <is>
          <t>internal_nonstatistical</t>
        </is>
      </c>
      <c r="D113" s="3" t="inlineStr"/>
      <c r="E113" s="3" t="inlineStr"/>
      <c r="F113" s="3" t="inlineStr"/>
      <c r="G113" s="3" t="inlineStr"/>
      <c r="H113" s="3" t="inlineStr"/>
      <c r="I113" s="3" t="inlineStr"/>
      <c r="J113" s="3" t="inlineStr"/>
      <c r="K113" s="3" t="inlineStr">
        <is>
          <t>no</t>
        </is>
      </c>
    </row>
    <row r="114" ht="40" customHeight="1">
      <c r="A114" s="2" t="inlineStr">
        <is>
          <t>2018::jama.2018.9128::C007</t>
        </is>
      </c>
      <c r="B114" s="2" t="inlineStr"/>
      <c r="C114" s="2" t="inlineStr">
        <is>
          <t>internal_nonstatistical</t>
        </is>
      </c>
      <c r="D114" s="2" t="inlineStr"/>
      <c r="E114" s="2" t="inlineStr"/>
      <c r="F114" s="2" t="inlineStr"/>
      <c r="G114" s="2" t="inlineStr"/>
      <c r="H114" s="2" t="inlineStr"/>
      <c r="I114" s="2" t="inlineStr"/>
      <c r="J114" s="2" t="inlineStr"/>
      <c r="K114" s="2" t="inlineStr">
        <is>
          <t>no</t>
        </is>
      </c>
    </row>
    <row r="115" ht="40" customHeight="1">
      <c r="A115" s="3" t="inlineStr">
        <is>
          <t>2018::jama.2018.9128::C008</t>
        </is>
      </c>
      <c r="B115" s="3" t="inlineStr"/>
      <c r="C115" s="3" t="inlineStr">
        <is>
          <t>internal_nonstatistical</t>
        </is>
      </c>
      <c r="D115" s="3" t="inlineStr"/>
      <c r="E115" s="3" t="inlineStr"/>
      <c r="F115" s="3" t="inlineStr"/>
      <c r="G115" s="3" t="inlineStr"/>
      <c r="H115" s="3" t="inlineStr"/>
      <c r="I115" s="3" t="inlineStr"/>
      <c r="J115" s="3" t="inlineStr"/>
      <c r="K115" s="3" t="inlineStr">
        <is>
          <t>no</t>
        </is>
      </c>
    </row>
    <row r="116" ht="40" customHeight="1">
      <c r="A116" s="2" t="inlineStr">
        <is>
          <t>2018::jama.2018.9128::C009</t>
        </is>
      </c>
      <c r="B116" s="2" t="inlineStr"/>
      <c r="C116" s="2" t="inlineStr">
        <is>
          <t>plan_material</t>
        </is>
      </c>
      <c r="D116" s="2" t="inlineStr"/>
      <c r="E116" s="2" t="inlineStr"/>
      <c r="F116" s="2" t="inlineStr"/>
      <c r="G116" s="2" t="inlineStr"/>
      <c r="H116" s="2" t="inlineStr"/>
      <c r="I116" s="2" t="inlineStr"/>
      <c r="J116" s="2" t="inlineStr"/>
      <c r="K116" s="2" t="inlineStr">
        <is>
          <t>no</t>
        </is>
      </c>
    </row>
    <row r="117" ht="40" customHeight="1">
      <c r="A117" s="3" t="inlineStr">
        <is>
          <t>2018::jama.2018.9128::C010</t>
        </is>
      </c>
      <c r="B117" s="3" t="inlineStr"/>
      <c r="C117" s="3" t="inlineStr">
        <is>
          <t>plan_material</t>
        </is>
      </c>
      <c r="D117" s="3" t="inlineStr"/>
      <c r="E117" s="3" t="inlineStr"/>
      <c r="F117" s="3" t="inlineStr"/>
      <c r="G117" s="3" t="inlineStr"/>
      <c r="H117" s="3" t="inlineStr"/>
      <c r="I117" s="3" t="inlineStr"/>
      <c r="J117" s="3" t="inlineStr"/>
      <c r="K117" s="3" t="inlineStr">
        <is>
          <t>no</t>
        </is>
      </c>
    </row>
    <row r="118" ht="40" customHeight="1">
      <c r="A118" s="2" t="inlineStr">
        <is>
          <t>2018::jama.2018.9128::C011</t>
        </is>
      </c>
      <c r="B118" s="2" t="inlineStr"/>
      <c r="C118" s="2" t="inlineStr">
        <is>
          <t>protocol_report</t>
        </is>
      </c>
      <c r="D118" s="2" t="inlineStr"/>
      <c r="E118" s="2" t="inlineStr"/>
      <c r="F118" s="2" t="inlineStr"/>
      <c r="G118" s="2" t="inlineStr"/>
      <c r="H118" s="2" t="inlineStr"/>
      <c r="I118" s="2" t="inlineStr"/>
      <c r="J118" s="2" t="inlineStr"/>
      <c r="K118" s="2" t="inlineStr">
        <is>
          <t>no</t>
        </is>
      </c>
    </row>
    <row r="119" ht="40" customHeight="1">
      <c r="A119" s="3" t="inlineStr">
        <is>
          <t>2018::jama.2018.9128::C012</t>
        </is>
      </c>
      <c r="B119" s="3" t="inlineStr"/>
      <c r="C119" s="3" t="inlineStr">
        <is>
          <t>protocol_report</t>
        </is>
      </c>
      <c r="D119" s="3" t="inlineStr"/>
      <c r="E119" s="3" t="inlineStr"/>
      <c r="F119" s="3" t="inlineStr"/>
      <c r="G119" s="3" t="inlineStr"/>
      <c r="H119" s="3" t="inlineStr"/>
      <c r="I119" s="3" t="inlineStr"/>
      <c r="J119" s="3" t="inlineStr"/>
      <c r="K119" s="3" t="inlineStr">
        <is>
          <t>no</t>
        </is>
      </c>
    </row>
    <row r="120" ht="40" customHeight="1">
      <c r="A120" s="2" t="inlineStr">
        <is>
          <t>2018::jama.2018.9128::C013</t>
        </is>
      </c>
      <c r="B120" s="2" t="inlineStr"/>
      <c r="C120" s="2" t="inlineStr">
        <is>
          <t>internal_nonstatistical</t>
        </is>
      </c>
      <c r="D120" s="2" t="inlineStr"/>
      <c r="E120" s="2" t="inlineStr"/>
      <c r="F120" s="2" t="inlineStr"/>
      <c r="G120" s="2" t="inlineStr"/>
      <c r="H120" s="2" t="inlineStr"/>
      <c r="I120" s="2" t="inlineStr"/>
      <c r="J120" s="2" t="inlineStr"/>
      <c r="K120" s="2" t="inlineStr">
        <is>
          <t>no</t>
        </is>
      </c>
    </row>
  </sheetData>
  <sheetProtection selectLockedCells="0" selectUnlockedCells="0" sheet="1" objects="0" insertRows="1" insertHyperlinks="1" autoFilter="0" scenarios="0" formatColumns="1" deleteColumns="1" insertColumns="1" pivotTables="1" deleteRows="1" formatCells="1" formatRows="1" sort="1"/>
  <autoFilter ref="A1:K120"/>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2026-09-13T23:51:52Z</dcterms:created>
  <dcterms:modified xsi:type="dcterms:W3CDTF">2026-09-13T23:51:53Z</dcterms:modified>
</cp:coreProperties>
</file>