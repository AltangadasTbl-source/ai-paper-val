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17.21906" sheetId="4" state="visible" r:id="rId4"/>
    <sheet name="P_jama.2018.0156" sheetId="5" state="visible" r:id="rId5"/>
    <sheet name="P_jama.2018.0948" sheetId="6" state="visible" r:id="rId6"/>
    <sheet name="P_jama.2018.14280" sheetId="7" state="visible" r:id="rId7"/>
    <sheet name="P_jama.2018.14282" sheetId="8" state="visible" r:id="rId8"/>
    <sheet name="P_jama.2018.17075" sheetId="9" state="visible" r:id="rId9"/>
    <sheet name="P_jama.2018.18020" sheetId="10" state="visible" r:id="rId10"/>
    <sheet name="P_jama.2018.6496" sheetId="11" state="visible" r:id="rId11"/>
    <sheet name="P_jama.2018.8802" sheetId="12" state="visible" r:id="rId12"/>
    <sheet name="P_jama.2018.9128" sheetId="13" state="visible" r:id="rId13"/>
    <sheet name="Checker" sheetId="14" state="visible" r:id="rId14"/>
    <sheet name="Candidates" sheetId="15" state="visible" r:id="rId15"/>
    <sheet name="Evidence" sheetId="16" state="visible" r:id="rId16"/>
    <sheet name="Codebook" sheetId="17" state="visible" r:id="rId17"/>
    <sheet name="Manifest" sheetId="18" state="hidden" r:id="rId18"/>
    <sheet name="Links" sheetId="19" state="hidden" r:id="rId19"/>
    <sheet name="Relations" sheetId="20" state="hidden" r:id="rId20"/>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primary_jama_2017_21906_key">'P_jama.2017.21906'!$A$2:$A$7</definedName>
    <definedName name="primary_jama_2017_21906_disposition">'P_jama.2017.21906'!$D$2:$D$7</definedName>
    <definedName name="primary_jama_2017_21906_domain">'P_jama.2017.21906'!$E$2:$E$7</definedName>
    <definedName name="primary_jama_2018_0156_key">'P_jama.2018.0156'!$A$2:$A$9</definedName>
    <definedName name="primary_jama_2018_0156_disposition">'P_jama.2018.0156'!$D$2:$D$9</definedName>
    <definedName name="primary_jama_2018_0156_domain">'P_jama.2018.0156'!$E$2:$E$9</definedName>
    <definedName name="primary_jama_2018_0948_key">'P_jama.2018.0948'!$A$2:$A$8</definedName>
    <definedName name="primary_jama_2018_0948_disposition">'P_jama.2018.0948'!$D$2:$D$8</definedName>
    <definedName name="primary_jama_2018_0948_domain">'P_jama.2018.0948'!$E$2:$E$8</definedName>
    <definedName name="primary_jama_2018_14280_key">'P_jama.2018.14280'!$A$2:$A$24</definedName>
    <definedName name="primary_jama_2018_14280_disposition">'P_jama.2018.14280'!$D$2:$D$24</definedName>
    <definedName name="primary_jama_2018_14280_domain">'P_jama.2018.14280'!$E$2:$E$24</definedName>
    <definedName name="primary_jama_2018_14282_key">'P_jama.2018.14282'!$A$2:$A$29</definedName>
    <definedName name="primary_jama_2018_14282_disposition">'P_jama.2018.14282'!$D$2:$D$29</definedName>
    <definedName name="primary_jama_2018_14282_domain">'P_jama.2018.14282'!$E$2:$E$29</definedName>
    <definedName name="primary_jama_2018_17075_key">'P_jama.2018.17075'!$A$2:$A$9</definedName>
    <definedName name="primary_jama_2018_17075_disposition">'P_jama.2018.17075'!$D$2:$D$9</definedName>
    <definedName name="primary_jama_2018_17075_domain">'P_jama.2018.17075'!$E$2:$E$9</definedName>
    <definedName name="primary_jama_2018_18020_key">'P_jama.2018.18020'!$A$2:$A$15</definedName>
    <definedName name="primary_jama_2018_18020_disposition">'P_jama.2018.18020'!$D$2:$D$15</definedName>
    <definedName name="primary_jama_2018_18020_domain">'P_jama.2018.18020'!$E$2:$E$15</definedName>
    <definedName name="primary_jama_2018_6496_key">'P_jama.2018.6496'!$A$2:$A$5</definedName>
    <definedName name="primary_jama_2018_6496_disposition">'P_jama.2018.6496'!$D$2:$D$5</definedName>
    <definedName name="primary_jama_2018_6496_domain">'P_jama.2018.6496'!$E$2:$E$5</definedName>
    <definedName name="primary_jama_2018_8802_key">'P_jama.2018.8802'!$A$2:$A$9</definedName>
    <definedName name="primary_jama_2018_8802_disposition">'P_jama.2018.8802'!$D$2:$D$9</definedName>
    <definedName name="primary_jama_2018_8802_domain">'P_jama.2018.8802'!$E$2:$E$9</definedName>
    <definedName name="primary_jama_2018_9128_key">'P_jama.2018.9128'!$A$2:$A$14</definedName>
    <definedName name="primary_jama_2018_9128_disposition">'P_jama.2018.9128'!$D$2:$D$14</definedName>
    <definedName name="primary_jama_2018_9128_domain">'P_jama.2018.9128'!$E$2:$E$14</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'P_jama.2017.21906'!$A$1:$N$7</definedName>
    <definedName name="_xlnm.Print_Titles" localSheetId="3">'P_jama.2017.21906'!$1:$1</definedName>
    <definedName name="_xlnm._FilterDatabase" localSheetId="4" hidden="1">'P_jama.2018.0156'!$A$1:$N$9</definedName>
    <definedName name="_xlnm.Print_Titles" localSheetId="4">'P_jama.2018.0156'!$1:$1</definedName>
    <definedName name="_xlnm._FilterDatabase" localSheetId="5" hidden="1">'P_jama.2018.0948'!$A$1:$N$8</definedName>
    <definedName name="_xlnm.Print_Titles" localSheetId="5">'P_jama.2018.0948'!$1:$1</definedName>
    <definedName name="_xlnm._FilterDatabase" localSheetId="6" hidden="1">'P_jama.2018.14280'!$A$1:$N$24</definedName>
    <definedName name="_xlnm.Print_Titles" localSheetId="6">'P_jama.2018.14280'!$1:$1</definedName>
    <definedName name="_xlnm._FilterDatabase" localSheetId="7" hidden="1">'P_jama.2018.14282'!$A$1:$N$29</definedName>
    <definedName name="_xlnm.Print_Titles" localSheetId="7">'P_jama.2018.14282'!$1:$1</definedName>
    <definedName name="_xlnm._FilterDatabase" localSheetId="8" hidden="1">'P_jama.2018.17075'!$A$1:$N$9</definedName>
    <definedName name="_xlnm.Print_Titles" localSheetId="8">'P_jama.2018.17075'!$1:$1</definedName>
    <definedName name="_xlnm._FilterDatabase" localSheetId="9" hidden="1">'P_jama.2018.18020'!$A$1:$N$15</definedName>
    <definedName name="_xlnm.Print_Titles" localSheetId="9">'P_jama.2018.18020'!$1:$1</definedName>
    <definedName name="_xlnm._FilterDatabase" localSheetId="10" hidden="1">'P_jama.2018.6496'!$A$1:$N$5</definedName>
    <definedName name="_xlnm.Print_Titles" localSheetId="10">'P_jama.2018.6496'!$1:$1</definedName>
    <definedName name="_xlnm._FilterDatabase" localSheetId="11" hidden="1">'P_jama.2018.8802'!$A$1:$N$9</definedName>
    <definedName name="_xlnm.Print_Titles" localSheetId="11">'P_jama.2018.8802'!$1:$1</definedName>
    <definedName name="_xlnm._FilterDatabase" localSheetId="12" hidden="1">'P_jama.2018.9128'!$A$1:$N$14</definedName>
    <definedName name="_xlnm.Print_Titles" localSheetId="12">'P_jama.2018.9128'!$1:$1</definedName>
    <definedName name="_xlnm._FilterDatabase" localSheetId="13" hidden="1">'Checker'!$A$1:$R$120</definedName>
    <definedName name="_xlnm.Print_Titles" localSheetId="13">'Checker'!$1:$1</definedName>
    <definedName name="_xlnm._FilterDatabase" localSheetId="14" hidden="1">'Candidates'!$A$1:$AB$120</definedName>
    <definedName name="_xlnm.Print_Titles" localSheetId="14">'Candidates'!$1:$1</definedName>
    <definedName name="_xlnm._FilterDatabase" localSheetId="15" hidden="1">'Evidence'!$A$1:$D$477</definedName>
    <definedName name="_xlnm.Print_Titles" localSheetId="15">'Evidence'!$1:$1</definedName>
    <definedName name="_xlnm.Print_Titles" localSheetId="16">'Codebook'!$1:$1</definedName>
    <definedName name="_xlnm._FilterDatabase" localSheetId="17" hidden="1">'Manifest'!$A$1:$B$11</definedName>
    <definedName name="_xlnm.Print_Titles" localSheetId="17">'Manifest'!$1:$1</definedName>
    <definedName name="_xlnm._FilterDatabase" localSheetId="18" hidden="1">'Links'!$A$1:$E$397</definedName>
    <definedName name="_xlnm.Print_Titles" localSheetId="18">'Links'!$1:$1</definedName>
    <definedName name="_xlnm._FilterDatabase" localSheetId="19" hidden="1">'Relations'!$A$1:$D$139</definedName>
    <definedName name="_xlnm.Print_Titles" localSheetId="19">'Relations'!$1:$1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2.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3.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4.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5.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6.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7.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8.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9.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0.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1.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Paper
See Start and Codebook for instructions.</t>
      </text>
    </comment>
    <comment ref="C1" authorId="0" shapeId="0">
      <text>
        <t>Candidate title
See Start and Codebook for instructions.</t>
      </text>
    </comment>
    <comment ref="D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E1" authorId="0" shapeId="0">
      <text>
        <t>Checker comment
See Start and Codebook for instructions.</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I1" authorId="0" shapeId="0">
      <text>
        <t>Resolution note
See Start and Codebook for instructions.</t>
      </text>
    </comment>
    <comment ref="J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K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L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M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N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O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P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Q1" authorId="0" shapeId="0">
      <text>
        <t>Related cluster (optional)
See Start and Codebook for instructions.</t>
      </text>
    </comment>
    <comment ref="R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v.2.1.2 | 2018 | workbook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P_&lt;paper&gt; worksheet contains primary review for one paper only. Papers lists worksheet names and candidate counts. Checker remains the annual second-person review table.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Save the primary-completed workbook as a dated copy and pass it to the checker. The checker fills Checker in the same XLSX, leaving all P_&lt;paper&gt; worksheets unchanged. No script is needed for handoff.</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Current status</t>
        </is>
      </c>
      <c r="B16" s="2" t="inlineStr">
        <is>
          <t>412 frozen AI candidates in 45 papers; human review is pending. Do not report AI retained counts as confirmed errors. See USAGE.md for workflow and project rationale.</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primary_worksheet</t>
        </is>
      </c>
      <c r="C1" s="1" t="inlineStr">
        <is>
          <t>candidates</t>
        </is>
      </c>
    </row>
    <row r="2" ht="30" customHeight="1">
      <c r="A2" s="2" t="inlineStr">
        <is>
          <t>jama.2017.21906</t>
        </is>
      </c>
      <c r="B2" s="2" t="inlineStr">
        <is>
          <t>P_jama.2017.21906</t>
        </is>
      </c>
      <c r="C2" s="2" t="n">
        <v>6</v>
      </c>
    </row>
    <row r="3" ht="30" customHeight="1">
      <c r="A3" s="3" t="inlineStr">
        <is>
          <t>jama.2018.0156</t>
        </is>
      </c>
      <c r="B3" s="3" t="inlineStr">
        <is>
          <t>P_jama.2018.0156</t>
        </is>
      </c>
      <c r="C3" s="3" t="n">
        <v>8</v>
      </c>
    </row>
    <row r="4" ht="30" customHeight="1">
      <c r="A4" s="2" t="inlineStr">
        <is>
          <t>jama.2018.0948</t>
        </is>
      </c>
      <c r="B4" s="2" t="inlineStr">
        <is>
          <t>P_jama.2018.0948</t>
        </is>
      </c>
      <c r="C4" s="2" t="n">
        <v>7</v>
      </c>
    </row>
    <row r="5" ht="30" customHeight="1">
      <c r="A5" s="3" t="inlineStr">
        <is>
          <t>jama.2018.14280</t>
        </is>
      </c>
      <c r="B5" s="3" t="inlineStr">
        <is>
          <t>P_jama.2018.14280</t>
        </is>
      </c>
      <c r="C5" s="3" t="n">
        <v>23</v>
      </c>
    </row>
    <row r="6" ht="30" customHeight="1">
      <c r="A6" s="2" t="inlineStr">
        <is>
          <t>jama.2018.14282</t>
        </is>
      </c>
      <c r="B6" s="2" t="inlineStr">
        <is>
          <t>P_jama.2018.14282</t>
        </is>
      </c>
      <c r="C6" s="2" t="n">
        <v>28</v>
      </c>
    </row>
    <row r="7" ht="30" customHeight="1">
      <c r="A7" s="3" t="inlineStr">
        <is>
          <t>jama.2018.17075</t>
        </is>
      </c>
      <c r="B7" s="3" t="inlineStr">
        <is>
          <t>P_jama.2018.17075</t>
        </is>
      </c>
      <c r="C7" s="3" t="n">
        <v>8</v>
      </c>
    </row>
    <row r="8" ht="30" customHeight="1">
      <c r="A8" s="2" t="inlineStr">
        <is>
          <t>jama.2018.18020</t>
        </is>
      </c>
      <c r="B8" s="2" t="inlineStr">
        <is>
          <t>P_jama.2018.18020</t>
        </is>
      </c>
      <c r="C8" s="2" t="n">
        <v>14</v>
      </c>
    </row>
    <row r="9" ht="30" customHeight="1">
      <c r="A9" s="3" t="inlineStr">
        <is>
          <t>jama.2018.6496</t>
        </is>
      </c>
      <c r="B9" s="3" t="inlineStr">
        <is>
          <t>P_jama.2018.6496</t>
        </is>
      </c>
      <c r="C9" s="3" t="n">
        <v>4</v>
      </c>
    </row>
    <row r="10" ht="30" customHeight="1">
      <c r="A10" s="2" t="inlineStr">
        <is>
          <t>jama.2018.8802</t>
        </is>
      </c>
      <c r="B10" s="2" t="inlineStr">
        <is>
          <t>P_jama.2018.8802</t>
        </is>
      </c>
      <c r="C10" s="2" t="n">
        <v>8</v>
      </c>
    </row>
    <row r="11" ht="30" customHeight="1">
      <c r="A11" s="3" t="inlineStr">
        <is>
          <t>jama.2018.9128</t>
        </is>
      </c>
      <c r="B11" s="3" t="inlineStr">
        <is>
          <t>P_jama.2018.9128</t>
        </is>
      </c>
      <c r="C11" s="3" t="n">
        <v>13</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N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2018::jama.2017.21906::C001</t>
        </is>
      </c>
      <c r="B2" s="2" t="inlineStr">
        <is>
          <t>In-hospital beta-blocker adjusted-risk-difference CI endpoint differs between Table 2 and narrative</t>
        </is>
      </c>
      <c r="C2" s="2" t="inlineStr">
        <is>
          <t>Main article — PDF p. 6, Table 2 In-hospital β-blocker row and adjacent Results 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2018::jama.2017.21906::C002</t>
        </is>
      </c>
      <c r="B3" s="3" t="inlineStr">
        <is>
          <t>Discharge beta-blocker adjusted point estimates differ between Table 2 and narrative</t>
        </is>
      </c>
      <c r="C3" s="3" t="inlineStr">
        <is>
          <t>Main article — PDF p. 6, Table 2 Discharge β-blocker row; Main article — PDF p. 7, Results narrative.</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2018::jama.2017.21906::C003</t>
        </is>
      </c>
      <c r="B4" s="2" t="inlineStr">
        <is>
          <t>eTable 1 difference footnote names groups not displayed in the table</t>
        </is>
      </c>
      <c r="C4" s="2" t="inlineStr">
        <is>
          <t>Online supplement — PDF p. 17, eTable 1 title, headers, values, and footnote a.</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2018::jama.2017.21906::C004</t>
        </is>
      </c>
      <c r="B5" s="3" t="inlineStr">
        <is>
          <t>Reported prespecified age-subgroup boundaries differ from the supplied SAP</t>
        </is>
      </c>
      <c r="C5" s="3" t="inlineStr">
        <is>
          <t>SAP — PDF p. 7, section 7.5.2; main article — PDF p. 3, Statistical Analysis; main article — PDF p. 9, Figure 3 and adjacent Results narrative.</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2018::jama.2017.21906::C005</t>
        </is>
      </c>
      <c r="B6" s="2" t="inlineStr">
        <is>
          <t>The named optimal in-hospital medication composite uses different component labels across final-result tables</t>
        </is>
      </c>
      <c r="C6" s="2" t="inlineStr">
        <is>
          <t>Main article — PDF p. 3, Outcomes; main article — PDF p. 7, Table 3 footnote c; online supplement — PDF p. 21, eTable 5 footnote c; online supplement — PDF p. 22, eTable 6 footnote b.</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2018::jama.2017.21906::C006</t>
        </is>
      </c>
      <c r="B7" s="3" t="inlineStr">
        <is>
          <t>Hospital-type subgroup is reported as prespecified but is absent from the supplied SAP subgroup list</t>
        </is>
      </c>
      <c r="C7" s="3" t="inlineStr">
        <is>
          <t>Main article — PDF p. 3, Statistical Analysis; main article — PDF p. 9, Figure 3 and adjacent Results narrative; SAP — PDF p. 7, section 7.5.2.</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sheetData>
  <sheetProtection selectLockedCells="0" selectUnlockedCells="0" sheet="1" objects="0" insertRows="1" insertHyperlinks="1" autoFilter="0" scenarios="0" formatColumns="1" deleteColumns="1" insertColumns="1" pivotTables="1" deleteRows="1" formatCells="1" formatRows="1" sort="1"/>
  <autoFilter ref="A1:N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2018::jama.2018.0156::C001</t>
        </is>
      </c>
      <c r="B2" s="2" t="inlineStr">
        <is>
          <t>Noninferiority narrative reverses the displayed bound direction</t>
        </is>
      </c>
      <c r="C2" s="2" t="inlineStr">
        <is>
          <t>jama_jabre_2018_oi_180004.pdf — PDF p. 3 (rule); jama_jabre_2018_oi_180004.pdf — PDF p. 4 (result/narrative).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2018::jama.2018.0156::C002</t>
        </is>
      </c>
      <c r="B3" s="3" t="inlineStr">
        <is>
          <t>Centre-5 pause contrast mixes a count outcome with seconds</t>
        </is>
      </c>
      <c r="C3" s="3" t="inlineStr">
        <is>
          <t>jama_jabre_2018_oi_180004.pdf — PDF p. 3 (definition); jama_jabre_2018_oi_180004.pdf — PDF p. 4 (contrast).</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2018::jama.2018.0156::C003</t>
        </is>
      </c>
      <c r="B4" s="2" t="inlineStr">
        <is>
          <t>PP day-28 survival point difference does not round from the printed inputs</t>
        </is>
      </c>
      <c r="C4" s="2" t="inlineStr">
        <is>
          <t>jama_jabre_2018_oi_180004.pdf — PDF p. 6 (Table 2); joi180004supp1_prod.pdf — PDF p. 123 (rounding rule).</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2018::jama.2018.0156::C004</t>
        </is>
      </c>
      <c r="B5" s="3" t="inlineStr">
        <is>
          <t>PP day-28 survival confidence interval has an unresolved scale/precision inconsistency</t>
        </is>
      </c>
      <c r="C5" s="3" t="inlineStr">
        <is>
          <t>jama_jabre_2018_oi_180004.pdf — PDF p. 3 (rule); PDF p. 6 (Table 2); joi180004supp1_prod.pdf — PDF p. 124 (CI rule).</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2018::jama.2018.0156::C005</t>
        </is>
      </c>
      <c r="B6" s="2" t="inlineStr">
        <is>
          <t>PP ROSC ETI percentage conflicts with its count, denominator, and signed difference</t>
        </is>
      </c>
      <c r="C6" s="2" t="inlineStr">
        <is>
          <t>jama_jabre_2018_oi_180004.pdf — PDF p. 6 (Table 2 PP ROSC row).</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2018::jama.2018.0156::C006</t>
        </is>
      </c>
      <c r="B7" s="3" t="inlineStr">
        <is>
          <t>Main article and eTable report different contributing-centre counts</t>
        </is>
      </c>
      <c r="C7" s="3" t="inlineStr">
        <is>
          <t>jama_jabre_2018_oi_180004.pdf — PDF p. 2; joi180004supp2_prod.pdf — PDF p. 2 (eTable 1).</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2018::jama.2018.0156::C007</t>
        </is>
      </c>
      <c r="B8" s="2" t="inlineStr">
        <is>
          <t>Published primary-endpoint description omits the amended baseline-disability qualification</t>
        </is>
      </c>
      <c r="C8" s="2" t="inlineStr">
        <is>
          <t>jama_jabre_2018_oi_180004.pdf — PDF p. 1 and PDF p. 3; joi180004supp1_prod.pdf — PDF p. 110.</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2018::jama.2018.0156::C008</t>
        </is>
      </c>
      <c r="B9" s="3" t="inlineStr">
        <is>
          <t>Protocol composite technique-failure definition cannot reconcile with the article’s smaller ETI failure count if they are the same endpoint</t>
        </is>
      </c>
      <c r="C9" s="3" t="inlineStr">
        <is>
          <t>joi180004supp1_prod.pdf — PDF p. 110; jama_jabre_2018_oi_180004.pdf — PDF p. 1, PDF p. 4, and PDF p. 6.</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N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2018::jama.2018.0948::C001</t>
        </is>
      </c>
      <c r="B2" s="2" t="inlineStr">
        <is>
          <t>Inclusive versus exclusive fluid threshold in the SCD definition</t>
        </is>
      </c>
      <c r="C2" s="2" t="inlineStr">
        <is>
          <t>main article — PDF p. 4; Supplement 1 Table 5 — PDF p. 24; Supplement 3 eTable 1 — PDF p. 6.</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2018::jama.2018.0948::C002</t>
        </is>
      </c>
      <c r="B3" s="3" t="inlineStr">
        <is>
          <t>Mortality absolute-risk-reduction percent/unit conflict</t>
        </is>
      </c>
      <c r="C3" s="3" t="inlineStr">
        <is>
          <t>Supplement 1 — PDF p. 1, p. 14, p. 29; main article — PDF p. 4.</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2018::jama.2018.0948::C003</t>
        </is>
      </c>
      <c r="B4" s="2" t="inlineStr">
        <is>
          <t>Cardiac-arrest events assigned incompatible resuscitation-scale categories</t>
        </is>
      </c>
      <c r="C4" s="2" t="inlineStr">
        <is>
          <t>Supplement 1 — PDF p. 11, Table 5 — PDF p. 24, Table 6 legend — PDF p. 27.</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2018::jama.2018.0948::C004</t>
        </is>
      </c>
      <c r="B5" s="3" t="inlineStr">
        <is>
          <t>Preventability threshold excludes and includes rating 4</t>
        </is>
      </c>
      <c r="C5" s="3" t="inlineStr">
        <is>
          <t>Supplement 1 — PDF p. 11, Table 7 — PDF p. 28; Supplement 3 eTable 1 — PDF p. 6; main article — PDF p. 7.</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2018::jama.2018.0948::C005</t>
        </is>
      </c>
      <c r="B6" s="2" t="inlineStr">
        <is>
          <t>The same SCDE reference count is labelled annual and two-year</t>
        </is>
      </c>
      <c r="C6" s="2" t="inlineStr">
        <is>
          <t>Supplement 1 — PDF p. 14 and PDF p. 30.</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2018::jama.2018.0948::C006</t>
        </is>
      </c>
      <c r="B7" s="3" t="inlineStr">
        <is>
          <t>Stat-call absolute reduction does not reproduce from the printed inputs</t>
        </is>
      </c>
      <c r="C7" s="3" t="inlineStr">
        <is>
          <t>Supplement 1 — PDF p. 30.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2018::jama.2018.0948::C007</t>
        </is>
      </c>
      <c r="B8" s="2" t="inlineStr">
        <is>
          <t>Urgent PICU admission rates do not match the printed counts and denominators at conventional rounding</t>
        </is>
      </c>
      <c r="C8" s="2" t="inlineStr">
        <is>
          <t>Supplement 1 — PDF p. 30.</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sheetData>
  <sheetProtection selectLockedCells="0" selectUnlockedCells="0" sheet="1" objects="0" insertRows="1" insertHyperlinks="1" autoFilter="0" scenarios="0" formatColumns="1" deleteColumns="1" insertColumns="1" pivotTables="1" deleteRows="1" formatCells="1" formatRows="1" sort="1"/>
  <autoFilter ref="A1:N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N2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2018::jama.2018.14280::C001</t>
        </is>
      </c>
      <c r="B2" s="2" t="inlineStr">
        <is>
          <t>Reversed endpoint in the eTable 2 PEEP interquartile range</t>
        </is>
      </c>
      <c r="C2" s="2" t="inlineStr">
        <is>
          <t>DOC-004, Supplement 3, eTable 2, Other Mode of Ventilation, after titration on randomization day, intermediate arm, PEEP.</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2018::jama.2018.14280::C002</t>
        </is>
      </c>
      <c r="B3" s="3" t="inlineStr">
        <is>
          <t>At-risk-for-ARDS percentages use undisclosed denominators</t>
        </is>
      </c>
      <c r="C3" s="3" t="inlineStr">
        <is>
          <t>DOC-001, Table 1, Patients at risk for ARDS, low and intermediate arms.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2018::jama.2018.14280::C003</t>
        </is>
      </c>
      <c r="B4" s="2" t="inlineStr">
        <is>
          <t>Septic-shock percentages use undisclosed denominators</t>
        </is>
      </c>
      <c r="C4" s="2" t="inlineStr">
        <is>
          <t>DOC-001, Table 1, Septic shock, low and intermediate arms.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2018::jama.2018.14280::C004</t>
        </is>
      </c>
      <c r="B5" s="3" t="inlineStr">
        <is>
          <t>Tobacco-use categories use undisclosed denominators</t>
        </is>
      </c>
      <c r="C5" s="3" t="inlineStr">
        <is>
          <t>DOC-001, Table 1, Patient tobacco use, both arms.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2018::jama.2018.14280::C005</t>
        </is>
      </c>
      <c r="B6" s="2" t="inlineStr">
        <is>
          <t>Alcohol-use categories use undisclosed denominators</t>
        </is>
      </c>
      <c r="C6" s="2" t="inlineStr">
        <is>
          <t>DOC-001, Table 1, Patient alcohol use, both arms.</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2018::jama.2018.14280::C006</t>
        </is>
      </c>
      <c r="B7" s="3" t="inlineStr">
        <is>
          <t>ICU-admission categories use undisclosed denominators</t>
        </is>
      </c>
      <c r="C7" s="3" t="inlineStr">
        <is>
          <t>DOC-001, Table 1, Reason for ICU admission, both arms.</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2018::jama.2018.14280::C007</t>
        </is>
      </c>
      <c r="B8" s="2" t="inlineStr">
        <is>
          <t>Sedative-infusion percentages omit effective denominators</t>
        </is>
      </c>
      <c r="C8" s="2" t="inlineStr">
        <is>
          <t>DOC-004, Supplement 3, eTable 4, Sedative infusion.</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2018::jama.2018.14280::C008</t>
        </is>
      </c>
      <c r="B9" s="3" t="inlineStr">
        <is>
          <t>Analgesic-infusion percentages omit effective denominators</t>
        </is>
      </c>
      <c r="C9" s="3" t="inlineStr">
        <is>
          <t>DOC-004, Supplement 3, eTable 4, Analgesic infusion.</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2018::jama.2018.14280::C009</t>
        </is>
      </c>
      <c r="B10" s="2" t="inlineStr">
        <is>
          <t>Neuromuscular-blockade percentages omit effective denominators</t>
        </is>
      </c>
      <c r="C10" s="2" t="inlineStr">
        <is>
          <t>DOC-004, Supplement 3, eTable 4, Neuromuscular blockade.</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2018::jama.2018.14280::C010</t>
        </is>
      </c>
      <c r="B11" s="3" t="inlineStr">
        <is>
          <t>Vasopressor-use percentages omit effective denominators</t>
        </is>
      </c>
      <c r="C11" s="3" t="inlineStr">
        <is>
          <t>DOC-004, Supplement 3, eTable 4, Use of vasopressors.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2018::jama.2018.14280::C011</t>
        </is>
      </c>
      <c r="B12" s="2" t="inlineStr">
        <is>
          <t>Mortality effect-measure wording conflicts with Table 2 and the SAP</t>
        </is>
      </c>
      <c r="C12" s="2" t="inlineStr">
        <is>
          <t>DOC-001 Statistical Analysis and Table 2/footnotes; DOC-003 SAP secondary outcomes.</t>
        </is>
      </c>
      <c r="D12" s="8" t="inlineStr"/>
      <c r="E12" s="8" t="inlineStr">
        <is>
          <t>internal_nonstatistical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2018::jama.2018.14280::C012</t>
        </is>
      </c>
      <c r="B13" s="3" t="inlineStr">
        <is>
          <t>ICU-mortality RR does not reproduce from printed risks</t>
        </is>
      </c>
      <c r="C13" s="3" t="inlineStr">
        <is>
          <t>DOC-001, Table 2, ICU mortality and footnote c.</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2018::jama.2018.14280::C013</t>
        </is>
      </c>
      <c r="B14" s="2" t="inlineStr">
        <is>
          <t>Hospital-mortality RR does not reproduce from printed risks</t>
        </is>
      </c>
      <c r="C14" s="2" t="inlineStr">
        <is>
          <t>DOC-001, Table 2, hospital mortality and footnote c.</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2018::jama.2018.14280::C014</t>
        </is>
      </c>
      <c r="B15" s="3" t="inlineStr">
        <is>
          <t>ARDS RR does not reproduce from printed risks</t>
        </is>
      </c>
      <c r="C15" s="3" t="inlineStr">
        <is>
          <t>DOC-001, Table 2, Development of ARDS and footnote c.</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2018::jama.2018.14280::C015</t>
        </is>
      </c>
      <c r="B16" s="2" t="inlineStr">
        <is>
          <t>Pneumonia RR does not reproduce from printed risks</t>
        </is>
      </c>
      <c r="C16" s="2" t="inlineStr">
        <is>
          <t>DOC-001, Table 2, Development of pneumonia and footnote c.</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2018::jama.2018.14280::C016</t>
        </is>
      </c>
      <c r="B17" s="3" t="inlineStr">
        <is>
          <t>Pneumothorax RR does not reproduce from printed risks</t>
        </is>
      </c>
      <c r="C17" s="3" t="inlineStr">
        <is>
          <t>DOC-001, Table 2, Pneumothorax and footnote c.</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2018::jama.2018.14280::C017</t>
        </is>
      </c>
      <c r="B18" s="2" t="inlineStr">
        <is>
          <t>Atelectasis RR does not reproduce from printed risks</t>
        </is>
      </c>
      <c r="C18" s="2" t="inlineStr">
        <is>
          <t>DOC-001, Table 2, Atelectasis and footnote c.</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row r="19" ht="76" customHeight="1">
      <c r="A19" s="3" t="inlineStr">
        <is>
          <t>2018::jama.2018.14280::C018</t>
        </is>
      </c>
      <c r="B19" s="3" t="inlineStr">
        <is>
          <t>Extrapulmonary-infection RR does not reproduce from printed risks</t>
        </is>
      </c>
      <c r="C19" s="3" t="inlineStr">
        <is>
          <t>DOC-001, Table 2, Extrapulmonary infection and footnote c.</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row>
    <row r="20" ht="76" customHeight="1">
      <c r="A20" s="2" t="inlineStr">
        <is>
          <t>2018::jama.2018.14280::C019</t>
        </is>
      </c>
      <c r="B20" s="2" t="inlineStr">
        <is>
          <t>Extrapulmonary-sepsis RR does not reproduce from printed risks</t>
        </is>
      </c>
      <c r="C20" s="2" t="inlineStr">
        <is>
          <t>DOC-001, Table 2, Extrapulmonary sepsis and footnote c.</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row>
    <row r="21" ht="76" customHeight="1">
      <c r="A21" s="3" t="inlineStr">
        <is>
          <t>2018::jama.2018.14280::C020</t>
        </is>
      </c>
      <c r="B21" s="3" t="inlineStr">
        <is>
          <t>Delirium RR does not reproduce from printed risks</t>
        </is>
      </c>
      <c r="C21" s="3" t="inlineStr">
        <is>
          <t>DOC-001, Table 2, Delirium and footnote c.</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row>
    <row r="22" ht="76" customHeight="1">
      <c r="A22" s="2" t="inlineStr">
        <is>
          <t>2018::jama.2018.14280::C021</t>
        </is>
      </c>
      <c r="B22" s="2" t="inlineStr">
        <is>
          <t>Tracheostomy RR does not reproduce from printed risks</t>
        </is>
      </c>
      <c r="C22" s="2" t="inlineStr">
        <is>
          <t>DOC-001, Table 2, Need for tracheostomy and footnote c.</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row>
    <row r="23" ht="76" customHeight="1">
      <c r="A23" s="3" t="inlineStr">
        <is>
          <t>2018::jama.2018.14280::C022</t>
        </is>
      </c>
      <c r="B23" s="3" t="inlineStr">
        <is>
          <t>The same subgroup intervals are labelled IQR and 95% CI</t>
        </is>
      </c>
      <c r="C23" s="3" t="inlineStr">
        <is>
          <t>DOC-001, Subgroups and Exploratory Analyses; DOC-004, Supplement 3 eTable 5.</t>
        </is>
      </c>
      <c r="D23" s="8" t="inlineStr"/>
      <c r="E23" s="8" t="inlineStr">
        <is>
          <t>internal_nonstatistical</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row>
    <row r="24" ht="76" customHeight="1">
      <c r="A24" s="2" t="inlineStr">
        <is>
          <t>2018::jama.2018.14280::C023</t>
        </is>
      </c>
      <c r="B24" s="2" t="inlineStr">
        <is>
          <t>Enrollment completion dates differ by two days</t>
        </is>
      </c>
      <c r="C24" s="2" t="inlineStr">
        <is>
          <t>DOC-001 abstract and Results/Patients; DOC-003 SAP abstract and introduction.</t>
        </is>
      </c>
      <c r="D24" s="8" t="inlineStr"/>
      <c r="E24" s="8" t="inlineStr">
        <is>
          <t>protocol_report</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row>
  </sheetData>
  <sheetProtection selectLockedCells="0" selectUnlockedCells="0" sheet="1" objects="0" insertRows="1" insertHyperlinks="1" autoFilter="0" scenarios="0" formatColumns="1" deleteColumns="1" insertColumns="1" pivotTables="1" deleteRows="1" formatCells="1" formatRows="1" sort="1"/>
  <autoFilter ref="A1:N24"/>
  <conditionalFormatting sqref="H2:H2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2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4" showDropDown="0" showInputMessage="1" showErrorMessage="1" allowBlank="1" errorTitle="Invalid option" error="Choose a listed value." promptTitle="Disposition" prompt="See Codebook for meanings." type="list" errorStyle="stop">
      <formula1>opt_disposition</formula1>
    </dataValidation>
    <dataValidation sqref="E2:E24" showDropDown="0" showInputMessage="1" showErrorMessage="1" allowBlank="1" errorTitle="Invalid option" error="Choose a listed value." promptTitle="Review domain" prompt="See Codebook for meanings." type="list" errorStyle="stop">
      <formula1>opt_domain</formula1>
    </dataValidation>
    <dataValidation sqref="F2:F24" showDropDown="0" showInputMessage="1" showErrorMessage="1" allowBlank="1" errorTitle="Invalid option" error="Choose a listed value." promptTitle="Complete" prompt="See Codebook for meanings." type="list" errorStyle="stop">
      <formula1>opt_reviewComplete</formula1>
    </dataValidation>
    <dataValidation sqref="H2:H2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4" showDropDown="0" showInputMessage="1" showErrorMessage="1" allowBlank="1" errorTitle="Invalid option" error="Choose a listed value." promptTitle="Substantiveness" prompt="See Codebook for meanings." type="list" errorStyle="stop">
      <formula1>opt_substantiveStatus</formula1>
    </dataValidation>
    <dataValidation sqref="J2:J24" showDropDown="0" showInputMessage="1" showErrorMessage="1" allowBlank="1" errorTitle="Invalid option" error="Choose a listed value." promptTitle="Downstream impact" prompt="See Codebook for meanings." type="list" errorStyle="stop">
      <formula1>opt_downstreamImpact</formula1>
    </dataValidation>
    <dataValidation sqref="K2:K2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N2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2018::jama.2018.14282::C001</t>
        </is>
      </c>
      <c r="B2" s="2" t="inlineStr">
        <is>
          <t>Standard-arm men percentage does not reconcile</t>
        </is>
      </c>
      <c r="C2" s="2" t="inlineStr">
        <is>
          <t>DOC-001 Table 1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2018::jama.2018.14282::C002</t>
        </is>
      </c>
      <c r="B3" s="3" t="inlineStr">
        <is>
          <t>Standard-arm women percentage does not reconcile</t>
        </is>
      </c>
      <c r="C3" s="3" t="inlineStr">
        <is>
          <t>DOC-001 Table 1 — PDF p. 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2018::jama.2018.14282::C003</t>
        </is>
      </c>
      <c r="B4" s="2" t="inlineStr">
        <is>
          <t>Standard-arm heart-failure percentage does not reconcile</t>
        </is>
      </c>
      <c r="C4" s="2" t="inlineStr">
        <is>
          <t>DOC-001 Table 1 — PDF p. 4</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2018::jama.2018.14282::C004</t>
        </is>
      </c>
      <c r="B5" s="3" t="inlineStr">
        <is>
          <t>High-flow liver-disease percentage conflicts with displayed count</t>
        </is>
      </c>
      <c r="C5" s="3" t="inlineStr">
        <is>
          <t>DOC-001 Table 1 — PDF p. 4</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2018::jama.2018.14282::C005</t>
        </is>
      </c>
      <c r="B6" s="2" t="inlineStr">
        <is>
          <t>Standard-arm kidney-disease percentage conflicts with displayed count</t>
        </is>
      </c>
      <c r="C6" s="2" t="inlineStr">
        <is>
          <t>DOC-001 Table 1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2018::jama.2018.14282::C006</t>
        </is>
      </c>
      <c r="B7" s="3" t="inlineStr">
        <is>
          <t>Standard-arm nontransplant immunosuppression percentage does not reconcile</t>
        </is>
      </c>
      <c r="C7" s="3" t="inlineStr">
        <is>
          <t>DOC-001 Table 1 — PDF p. 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2018::jama.2018.14282::C007</t>
        </is>
      </c>
      <c r="B8" s="2" t="inlineStr">
        <is>
          <t>High-flow ≥3-days-after-ICU-admission percentage does not reconcile</t>
        </is>
      </c>
      <c r="C8" s="2" t="inlineStr">
        <is>
          <t>DOC-001 Table 1 — PDF p. 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2018::jama.2018.14282::C008</t>
        </is>
      </c>
      <c r="B9" s="3" t="inlineStr">
        <is>
          <t>Standard-arm ≥3-days-after-ICU-admission percentage does not reconcile</t>
        </is>
      </c>
      <c r="C9" s="3" t="inlineStr">
        <is>
          <t>DOC-001 Table 1 — PDF p. 4</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2018::jama.2018.14282::C009</t>
        </is>
      </c>
      <c r="B10" s="2" t="inlineStr">
        <is>
          <t>Standard-arm vasopressor percentage does not reconcile</t>
        </is>
      </c>
      <c r="C10" s="2" t="inlineStr">
        <is>
          <t>DOC-001 Table 1 — PDF p. 4</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2018::jama.2018.14282::C010</t>
        </is>
      </c>
      <c r="B11" s="3" t="inlineStr">
        <is>
          <t>High-flow do-not-intubate percentage does not reconcile</t>
        </is>
      </c>
      <c r="C11" s="3" t="inlineStr">
        <is>
          <t>DOC-001 Table 1 — PDF p. 4</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2018::jama.2018.14282::C011</t>
        </is>
      </c>
      <c r="B12" s="2" t="inlineStr">
        <is>
          <t>High-flow do-not-resuscitate percentage does not reconcile</t>
        </is>
      </c>
      <c r="C12" s="2" t="inlineStr">
        <is>
          <t>DOC-001 Table 1 — PDF p. 4</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2018::jama.2018.14282::C012</t>
        </is>
      </c>
      <c r="B13" s="3" t="inlineStr">
        <is>
          <t>Standard-arm do-not-resuscitate percentage does not reconcile</t>
        </is>
      </c>
      <c r="C13" s="3" t="inlineStr">
        <is>
          <t>DOC-001 Table 1 — PDF p. 4</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2018::jama.2018.14282::C013</t>
        </is>
      </c>
      <c r="B14" s="2" t="inlineStr">
        <is>
          <t>Standard-arm unknown-goals percentage does not reconcile</t>
        </is>
      </c>
      <c r="C14" s="2" t="inlineStr">
        <is>
          <t>DOC-001 Table 1 — PDF p. 4</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2018::jama.2018.14282::C014</t>
        </is>
      </c>
      <c r="B15" s="3" t="inlineStr">
        <is>
          <t>High-flow pre-randomization standard-oxygen percentage does not reconcile</t>
        </is>
      </c>
      <c r="C15" s="3" t="inlineStr">
        <is>
          <t>DOC-001 Table 1 — PDF p. 4</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row r="16" ht="76" customHeight="1">
      <c r="A16" s="2" t="inlineStr">
        <is>
          <t>2018::jama.2018.14282::C015</t>
        </is>
      </c>
      <c r="B16" s="2" t="inlineStr">
        <is>
          <t>High-flow ICU-acquired-infection percentage does not reconcile</t>
        </is>
      </c>
      <c r="C16" s="2" t="inlineStr">
        <is>
          <t>DOC-001 Table 2 — PDF p. 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internal_nonstatistical",$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internal_nonstatistical",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IF(OR(AND($D16&lt;&gt;"",$D16&lt;&gt;"retain"),NOT(OR($E16="internal_nonstatistical",$E16="plan_material"))),"not_applicable","")</f>
        <v/>
      </c>
      <c r="L16" s="9">
        <f>IF(OR(AND($D16&lt;&gt;"",$D16&lt;&gt;"retain"),NOT(OR($E16="protocol_report"))),"not_applicable","")</f>
        <v/>
      </c>
      <c r="M16" s="10" t="inlineStr"/>
      <c r="N16" s="10" t="inlineStr"/>
    </row>
    <row r="17" ht="76" customHeight="1">
      <c r="A17" s="3" t="inlineStr">
        <is>
          <t>2018::jama.2018.14282::C016</t>
        </is>
      </c>
      <c r="B17" s="3" t="inlineStr">
        <is>
          <t>Standard-arm hospital-mortality percentage does not reconcile</t>
        </is>
      </c>
      <c r="C17" s="3" t="inlineStr">
        <is>
          <t>DOC-001 Table 2 — PDF p. 5</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internal_nonstatistical",$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internal_nonstatistical",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IF(OR(AND($D17&lt;&gt;"",$D17&lt;&gt;"retain"),NOT(OR($E17="internal_nonstatistical",$E17="plan_material"))),"not_applicable","")</f>
        <v/>
      </c>
      <c r="L17" s="9">
        <f>IF(OR(AND($D17&lt;&gt;"",$D17&lt;&gt;"retain"),NOT(OR($E17="protocol_report"))),"not_applicable","")</f>
        <v/>
      </c>
      <c r="M17" s="10" t="inlineStr"/>
      <c r="N17" s="10" t="inlineStr"/>
    </row>
    <row r="18" ht="76" customHeight="1">
      <c r="A18" s="2" t="inlineStr">
        <is>
          <t>2018::jama.2018.14282::C017</t>
        </is>
      </c>
      <c r="B18" s="2" t="inlineStr">
        <is>
          <t>Respiratory-rate confidence-interval endpoint differs between matched occurrences</t>
        </is>
      </c>
      <c r="C18" s="2" t="inlineStr">
        <is>
          <t>DOC-001 abstract — PDF p. 1; DOC-001 results — PDF p. 6</t>
        </is>
      </c>
      <c r="D18" s="8" t="inlineStr"/>
      <c r="E18" s="8" t="inlineStr">
        <is>
          <t>internal_nonstatistical</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internal_nonstatistical",$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internal_nonstatistical",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IF(OR(AND($D18&lt;&gt;"",$D18&lt;&gt;"retain"),NOT(OR($E18="internal_nonstatistical",$E18="plan_material"))),"not_applicable","")</f>
        <v/>
      </c>
      <c r="L18" s="9">
        <f>IF(OR(AND($D18&lt;&gt;"",$D18&lt;&gt;"retain"),NOT(OR($E18="protocol_report"))),"not_applicable","")</f>
        <v/>
      </c>
      <c r="M18" s="10" t="inlineStr"/>
      <c r="N18" s="10" t="inlineStr"/>
    </row>
    <row r="19" ht="76" customHeight="1">
      <c r="A19" s="3" t="inlineStr">
        <is>
          <t>2018::jama.2018.14282::C018</t>
        </is>
      </c>
      <c r="B19" s="3" t="inlineStr">
        <is>
          <t>Arm-attributed support-needs percentages use the overall-population denominator</t>
        </is>
      </c>
      <c r="C19" s="3" t="inlineStr">
        <is>
          <t>DOC-001 post hoc outcomes — PDF p. 6</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internal_nonstatistical",$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internal_nonstatistical",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IF(OR(AND($D19&lt;&gt;"",$D19&lt;&gt;"retain"),NOT(OR($E19="internal_nonstatistical",$E19="plan_material"))),"not_applicable","")</f>
        <v/>
      </c>
      <c r="L19" s="9">
        <f>IF(OR(AND($D19&lt;&gt;"",$D19&lt;&gt;"retain"),NOT(OR($E19="protocol_report"))),"not_applicable","")</f>
        <v/>
      </c>
      <c r="M19" s="10" t="inlineStr"/>
      <c r="N19" s="10" t="inlineStr"/>
    </row>
    <row r="20" ht="76" customHeight="1">
      <c r="A20" s="2" t="inlineStr">
        <is>
          <t>2018::jama.2018.14282::C019</t>
        </is>
      </c>
      <c r="B20" s="2" t="inlineStr">
        <is>
          <t>eTable high-flow invasive-MV percentage does not reconcile</t>
        </is>
      </c>
      <c r="C20" s="2" t="inlineStr">
        <is>
          <t>DOC-003 eTable — PDF p. 2</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internal_nonstatistical",$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internal_nonstatistical",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IF(OR(AND($D20&lt;&gt;"",$D20&lt;&gt;"retain"),NOT(OR($E20="internal_nonstatistical",$E20="plan_material"))),"not_applicable","")</f>
        <v/>
      </c>
      <c r="L20" s="9">
        <f>IF(OR(AND($D20&lt;&gt;"",$D20&lt;&gt;"retain"),NOT(OR($E20="protocol_report"))),"not_applicable","")</f>
        <v/>
      </c>
      <c r="M20" s="10" t="inlineStr"/>
      <c r="N20" s="10" t="inlineStr"/>
    </row>
    <row r="21" ht="76" customHeight="1">
      <c r="A21" s="3" t="inlineStr">
        <is>
          <t>2018::jama.2018.14282::C020</t>
        </is>
      </c>
      <c r="B21" s="3" t="inlineStr">
        <is>
          <t>eTable standard-arm invasive-MV percentage does not reconcile</t>
        </is>
      </c>
      <c r="C21" s="3" t="inlineStr">
        <is>
          <t>DOC-003 eTable — PDF p. 2</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internal_nonstatistical",$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internal_nonstatistical",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IF(OR(AND($D21&lt;&gt;"",$D21&lt;&gt;"retain"),NOT(OR($E21="internal_nonstatistical",$E21="plan_material"))),"not_applicable","")</f>
        <v/>
      </c>
      <c r="L21" s="9">
        <f>IF(OR(AND($D21&lt;&gt;"",$D21&lt;&gt;"retain"),NOT(OR($E21="protocol_report"))),"not_applicable","")</f>
        <v/>
      </c>
      <c r="M21" s="10" t="inlineStr"/>
      <c r="N21" s="10" t="inlineStr"/>
    </row>
    <row r="22" ht="76" customHeight="1">
      <c r="A22" s="2" t="inlineStr">
        <is>
          <t>2018::jama.2018.14282::C021</t>
        </is>
      </c>
      <c r="B22" s="2" t="inlineStr">
        <is>
          <t>eTable standard-oxygen-only percentage does not reconcile</t>
        </is>
      </c>
      <c r="C22" s="2" t="inlineStr">
        <is>
          <t>DOC-003 eTable — PDF p. 2</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internal_nonstatistical",$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internal_nonstatistical",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IF(OR(AND($D22&lt;&gt;"",$D22&lt;&gt;"retain"),NOT(OR($E22="internal_nonstatistical",$E22="plan_material"))),"not_applicable","")</f>
        <v/>
      </c>
      <c r="L22" s="9">
        <f>IF(OR(AND($D22&lt;&gt;"",$D22&lt;&gt;"retain"),NOT(OR($E22="protocol_report"))),"not_applicable","")</f>
        <v/>
      </c>
      <c r="M22" s="10" t="inlineStr"/>
      <c r="N22" s="10" t="inlineStr"/>
    </row>
    <row r="23" ht="76" customHeight="1">
      <c r="A23" s="3" t="inlineStr">
        <is>
          <t>2018::jama.2018.14282::C022</t>
        </is>
      </c>
      <c r="B23" s="3" t="inlineStr">
        <is>
          <t>IMV cumulative-incidence comparison has incompatible printed test labels</t>
        </is>
      </c>
      <c r="C23" s="3" t="inlineStr">
        <is>
          <t>DOC-001 methods — PDF p. 4; DOC-001 results — PDF p. 6; DOC-003 eFigure 1 — PDF p. 3</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internal_nonstatistical",$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internal_nonstatistical",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IF(OR(AND($D23&lt;&gt;"",$D23&lt;&gt;"retain"),NOT(OR($E23="internal_nonstatistical",$E23="plan_material"))),"not_applicable","")</f>
        <v/>
      </c>
      <c r="L23" s="9">
        <f>IF(OR(AND($D23&lt;&gt;"",$D23&lt;&gt;"retain"),NOT(OR($E23="protocol_report"))),"not_applicable","")</f>
        <v/>
      </c>
      <c r="M23" s="10" t="inlineStr"/>
      <c r="N23" s="10" t="inlineStr"/>
    </row>
    <row r="24" ht="76" customHeight="1">
      <c r="A24" s="2" t="inlineStr">
        <is>
          <t>2018::jama.2018.14282::C023</t>
        </is>
      </c>
      <c r="B24" s="2" t="inlineStr">
        <is>
          <t>Figure 3A mortality HR has a near-reciprocal orientation relative to Table 2</t>
        </is>
      </c>
      <c r="C24" s="2" t="inlineStr">
        <is>
          <t>DOC-001 Table 2 and narrative — PDF p. 5; DOC-001 Figure 3A — PDF p. 7</t>
        </is>
      </c>
      <c r="D24" s="8" t="inlineStr"/>
      <c r="E24" s="8" t="inlineStr">
        <is>
          <t>internal_nonstatistical</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internal_nonstatistical",$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internal_nonstatistical",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IF(OR(AND($D24&lt;&gt;"",$D24&lt;&gt;"retain"),NOT(OR($E24="internal_nonstatistical",$E24="plan_material"))),"not_applicable","")</f>
        <v/>
      </c>
      <c r="L24" s="9">
        <f>IF(OR(AND($D24&lt;&gt;"",$D24&lt;&gt;"retain"),NOT(OR($E24="protocol_report"))),"not_applicable","")</f>
        <v/>
      </c>
      <c r="M24" s="10" t="inlineStr"/>
      <c r="N24" s="10" t="inlineStr"/>
    </row>
    <row r="25" ht="76" customHeight="1">
      <c r="A25" s="3" t="inlineStr">
        <is>
          <t>2018::jama.2018.14282::C024</t>
        </is>
      </c>
      <c r="B25" s="3" t="inlineStr">
        <is>
          <t>Figure 3B IMV HR has a near-reciprocal orientation relative to Table 2</t>
        </is>
      </c>
      <c r="C25" s="3" t="inlineStr">
        <is>
          <t>DOC-001 Table 2 — PDF p. 5; DOC-001 narrative — PDF p. 6; DOC-001 Figure 3B — PDF p. 7</t>
        </is>
      </c>
      <c r="D25" s="8" t="inlineStr"/>
      <c r="E25" s="8" t="inlineStr">
        <is>
          <t>internal_nonstatistical</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internal_nonstatistical",$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internal_nonstatistical",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IF(OR(AND($D25&lt;&gt;"",$D25&lt;&gt;"retain"),NOT(OR($E25="internal_nonstatistical",$E25="plan_material"))),"not_applicable","")</f>
        <v/>
      </c>
      <c r="L25" s="9">
        <f>IF(OR(AND($D25&lt;&gt;"",$D25&lt;&gt;"retain"),NOT(OR($E25="protocol_report"))),"not_applicable","")</f>
        <v/>
      </c>
      <c r="M25" s="10" t="inlineStr"/>
      <c r="N25" s="10" t="inlineStr"/>
    </row>
    <row r="26" ht="76" customHeight="1">
      <c r="A26" s="2" t="inlineStr">
        <is>
          <t>2018::jama.2018.14282::C025</t>
        </is>
      </c>
      <c r="B26" s="2" t="inlineStr">
        <is>
          <t>Revised-superiority sample-size total conflicts with equal arm counts</t>
        </is>
      </c>
      <c r="C26" s="2" t="inlineStr">
        <is>
          <t>DOC-001 — PDF p. 3; DOC-002 completed published-protocol abstract sentence — PDF p. 91; DOC-002 statistical-plan comparator — PDF p. 103</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internal_nonstatistical",$E26="plan_material"))),K26&lt;&gt;"",K26&lt;&gt;"not_applicable"),AND(OR(AND($D26&lt;&gt;"",$D26&lt;&gt;"retain"),NOT(OR($E26="protocol_report"))),L26&lt;&gt;"",L26&lt;&gt;"not_applicable")),"CLEAR INACTIVE VALUES",IF(OR(COUNTIF(opt_disposition,D26)&lt;&gt;1,COUNTIF(opt_domain,E26)&lt;&gt;1,AND(D26="retain",E26="statistical_results",OR(OR(COUNTIF(opt_statisticalErrorStatus,H26)&lt;&gt;1,H26="not_applicable"),OR(COUNTIF(opt_substantiveStatus,I26)&lt;&gt;1,I26="not_applicable"))),AND(D26="retain",E26="internal_nonstatistical",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IF(OR(AND($D26&lt;&gt;"",$D26&lt;&gt;"retain"),NOT(OR($E26="internal_nonstatistical",$E26="plan_material"))),"not_applicable","")</f>
        <v/>
      </c>
      <c r="L26" s="9">
        <f>IF(OR(AND($D26&lt;&gt;"",$D26&lt;&gt;"retain"),NOT(OR($E26="protocol_report"))),"not_applicable","")</f>
        <v/>
      </c>
      <c r="M26" s="10" t="inlineStr"/>
      <c r="N26" s="10" t="inlineStr"/>
    </row>
    <row r="27" ht="76" customHeight="1">
      <c r="A27" s="3" t="inlineStr">
        <is>
          <t>2018::jama.2018.14282::C026</t>
        </is>
      </c>
      <c r="B27" s="3" t="inlineStr">
        <is>
          <t>Noninferiority bound/sign wording conflicts with its explanatory axis</t>
        </is>
      </c>
      <c r="C27" s="3" t="inlineStr">
        <is>
          <t>DOC-002 Figure 4 — PDF p. 40; DOC-002 — PDF p. 42</t>
        </is>
      </c>
      <c r="D27" s="8" t="inlineStr"/>
      <c r="E27" s="8" t="inlineStr">
        <is>
          <t>plan_material</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internal_nonstatistical",$E27="plan_material"))),K27&lt;&gt;"",K27&lt;&gt;"not_applicable"),AND(OR(AND($D27&lt;&gt;"",$D27&lt;&gt;"retain"),NOT(OR($E27="protocol_report"))),L27&lt;&gt;"",L27&lt;&gt;"not_applicable")),"CLEAR INACTIVE VALUES",IF(OR(COUNTIF(opt_disposition,D27)&lt;&gt;1,COUNTIF(opt_domain,E27)&lt;&gt;1,AND(D27="retain",E27="statistical_results",OR(OR(COUNTIF(opt_statisticalErrorStatus,H27)&lt;&gt;1,H27="not_applicable"),OR(COUNTIF(opt_substantiveStatus,I27)&lt;&gt;1,I27="not_applicable"))),AND(D27="retain",E27="internal_nonstatistical",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IF(OR(AND($D27&lt;&gt;"",$D27&lt;&gt;"retain"),NOT(OR($E27="internal_nonstatistical",$E27="plan_material"))),"not_applicable","")</f>
        <v/>
      </c>
      <c r="L27" s="9">
        <f>IF(OR(AND($D27&lt;&gt;"",$D27&lt;&gt;"retain"),NOT(OR($E27="protocol_report"))),"not_applicable","")</f>
        <v/>
      </c>
      <c r="M27" s="10" t="inlineStr"/>
      <c r="N27" s="10" t="inlineStr"/>
    </row>
    <row r="28" ht="76" customHeight="1">
      <c r="A28" s="2" t="inlineStr">
        <is>
          <t>2018::jama.2018.14282::C027</t>
        </is>
      </c>
      <c r="B28" s="2" t="inlineStr">
        <is>
          <t>Primary-hypothesis intervention is labelled NIV while plans identify HFNO</t>
        </is>
      </c>
      <c r="C28" s="2" t="inlineStr">
        <is>
          <t>DOC-002 — PDF p. 52; DOC-002 — PDF p. 104</t>
        </is>
      </c>
      <c r="D28" s="8" t="inlineStr"/>
      <c r="E28" s="8" t="inlineStr">
        <is>
          <t>plan_material</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internal_nonstatistical",$E28="plan_material"))),K28&lt;&gt;"",K28&lt;&gt;"not_applicable"),AND(OR(AND($D28&lt;&gt;"",$D28&lt;&gt;"retain"),NOT(OR($E28="protocol_report"))),L28&lt;&gt;"",L28&lt;&gt;"not_applicable")),"CLEAR INACTIVE VALUES",IF(OR(COUNTIF(opt_disposition,D28)&lt;&gt;1,COUNTIF(opt_domain,E28)&lt;&gt;1,AND(D28="retain",E28="statistical_results",OR(OR(COUNTIF(opt_statisticalErrorStatus,H28)&lt;&gt;1,H28="not_applicable"),OR(COUNTIF(opt_substantiveStatus,I28)&lt;&gt;1,I28="not_applicable"))),AND(D28="retain",E28="internal_nonstatistical",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IF(OR(AND($D28&lt;&gt;"",$D28&lt;&gt;"retain"),NOT(OR($E28="internal_nonstatistical",$E28="plan_material"))),"not_applicable","")</f>
        <v/>
      </c>
      <c r="L28" s="9">
        <f>IF(OR(AND($D28&lt;&gt;"",$D28&lt;&gt;"retain"),NOT(OR($E28="protocol_report"))),"not_applicable","")</f>
        <v/>
      </c>
      <c r="M28" s="10" t="inlineStr"/>
      <c r="N28" s="10" t="inlineStr"/>
    </row>
    <row r="29" ht="76" customHeight="1">
      <c r="A29" s="3" t="inlineStr">
        <is>
          <t>2018::jama.2018.14282::C028</t>
        </is>
      </c>
      <c r="B29" s="3" t="inlineStr">
        <is>
          <t>Planned primary outcome alternates between day-28 vital status and hospital death</t>
        </is>
      </c>
      <c r="C29" s="3" t="inlineStr">
        <is>
          <t>DOC-002 — PDF p. 54; DOC-002 — PDF p. 82; DOC-002 — PDF p. 104</t>
        </is>
      </c>
      <c r="D29" s="8" t="inlineStr"/>
      <c r="E29" s="8" t="inlineStr">
        <is>
          <t>plan_material</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internal_nonstatistical",$E29="plan_material"))),K29&lt;&gt;"",K29&lt;&gt;"not_applicable"),AND(OR(AND($D29&lt;&gt;"",$D29&lt;&gt;"retain"),NOT(OR($E29="protocol_report"))),L29&lt;&gt;"",L29&lt;&gt;"not_applicable")),"CLEAR INACTIVE VALUES",IF(OR(COUNTIF(opt_disposition,D29)&lt;&gt;1,COUNTIF(opt_domain,E29)&lt;&gt;1,AND(D29="retain",E29="statistical_results",OR(OR(COUNTIF(opt_statisticalErrorStatus,H29)&lt;&gt;1,H29="not_applicable"),OR(COUNTIF(opt_substantiveStatus,I29)&lt;&gt;1,I29="not_applicable"))),AND(D29="retain",E29="internal_nonstatistical",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IF(OR(AND($D29&lt;&gt;"",$D29&lt;&gt;"retain"),NOT(OR($E29="internal_nonstatistical",$E29="plan_material"))),"not_applicable","")</f>
        <v/>
      </c>
      <c r="L29" s="9">
        <f>IF(OR(AND($D29&lt;&gt;"",$D29&lt;&gt;"retain"),NOT(OR($E29="protocol_report"))),"not_applicable","")</f>
        <v/>
      </c>
      <c r="M29" s="10" t="inlineStr"/>
      <c r="N29" s="10" t="inlineStr"/>
    </row>
  </sheetData>
  <sheetProtection selectLockedCells="0" selectUnlockedCells="0" sheet="1" objects="0" insertRows="1" insertHyperlinks="1" autoFilter="0" scenarios="0" formatColumns="1" deleteColumns="1" insertColumns="1" pivotTables="1" deleteRows="1" formatCells="1" formatRows="1" sort="1"/>
  <autoFilter ref="A1:N29"/>
  <conditionalFormatting sqref="H2:H2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2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9" showDropDown="0" showInputMessage="1" showErrorMessage="1" allowBlank="1" errorTitle="Invalid option" error="Choose a listed value." promptTitle="Disposition" prompt="See Codebook for meanings." type="list" errorStyle="stop">
      <formula1>opt_disposition</formula1>
    </dataValidation>
    <dataValidation sqref="E2:E29" showDropDown="0" showInputMessage="1" showErrorMessage="1" allowBlank="1" errorTitle="Invalid option" error="Choose a listed value." promptTitle="Review domain" prompt="See Codebook for meanings." type="list" errorStyle="stop">
      <formula1>opt_domain</formula1>
    </dataValidation>
    <dataValidation sqref="F2:F29" showDropDown="0" showInputMessage="1" showErrorMessage="1" allowBlank="1" errorTitle="Invalid option" error="Choose a listed value." promptTitle="Complete" prompt="See Codebook for meanings." type="list" errorStyle="stop">
      <formula1>opt_reviewComplete</formula1>
    </dataValidation>
    <dataValidation sqref="H2:H2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9" showDropDown="0" showInputMessage="1" showErrorMessage="1" allowBlank="1" errorTitle="Invalid option" error="Choose a listed value." promptTitle="Substantiveness" prompt="See Codebook for meanings." type="list" errorStyle="stop">
      <formula1>opt_substantiveStatus</formula1>
    </dataValidation>
    <dataValidation sqref="J2:J29" showDropDown="0" showInputMessage="1" showErrorMessage="1" allowBlank="1" errorTitle="Invalid option" error="Choose a listed value." promptTitle="Downstream impact" prompt="See Codebook for meanings." type="list" errorStyle="stop">
      <formula1>opt_downstreamImpact</formula1>
    </dataValidation>
    <dataValidation sqref="K2:K2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2018::jama.2018.17075::C001</t>
        </is>
      </c>
      <c r="B2" s="2" t="inlineStr">
        <is>
          <t>Normothermia Injury Severity Score median is below its printed IQR lower endpoint</t>
        </is>
      </c>
      <c r="C2" s="2" t="inlineStr">
        <is>
          <t>jama_cooper_2018_oi_180132.pdf — PDF p. 5, Table 1, normothermia Injury Severity Score.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2018::jama.2018.17075::C002</t>
        </is>
      </c>
      <c r="B3" s="3" t="inlineStr">
        <is>
          <t>Primary risk difference has opposite signs in matched main-article locations</t>
        </is>
      </c>
      <c r="C3" s="3" t="inlineStr">
        <is>
          <t>jama_cooper_2018_oi_180132.pdf — PDF p. 1, abstract Results; PDF p. 5, Primary Outcome Results; PDF p. 7, Table 2 favorable outcome.</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2018::jama.2018.17075::C003</t>
        </is>
      </c>
      <c r="B4" s="2" t="inlineStr">
        <is>
          <t>Intracranial-bleeding effect and P-value reporting conflicts with matched evidence</t>
        </is>
      </c>
      <c r="C4" s="2" t="inlineStr">
        <is>
          <t>jama_cooper_2018_oi_180132.pdf — PDF p. 7, Table 2, new or increased intracranial bleeding; joi180132supp2_prod.pdf — PDF p. 10, eTable 6, same outcome; jama_cooper_2018_oi_180132.pdf — PDF p. 3, Statistical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2018::jama.2018.17075::C004</t>
        </is>
      </c>
      <c r="B5" s="3" t="inlineStr">
        <is>
          <t>Extracranial-bleeding effect and P-value reporting conflicts with matched evidence</t>
        </is>
      </c>
      <c r="C5" s="3" t="inlineStr">
        <is>
          <t>jama_cooper_2018_oi_180132.pdf — PDF p. 7, Table 2, new significant extracranial bleeding; joi180132supp2_prod.pdf — PDF p. 10, eTable 6, same outcome; jama_cooper_2018_oi_180132.pdf — PDF p. 3, Statistical Analysis.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2018::jama.2018.17075::C005</t>
        </is>
      </c>
      <c r="B6" s="2" t="inlineStr">
        <is>
          <t>As-treated evacuated-mass-lesion cell reverses count and percentage order</t>
        </is>
      </c>
      <c r="C6" s="2" t="inlineStr">
        <is>
          <t>joi180132supp2_prod.pdf — PDF p. 18, eTable 10, CT Marshall classification, evacuated mass lesion V, normothermia.</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2018::jama.2018.17075::C006</t>
        </is>
      </c>
      <c r="B7" s="3" t="inlineStr">
        <is>
          <t>As-treated non-evacuated-mass-lesion cell reverses count and percentage order</t>
        </is>
      </c>
      <c r="C7" s="3" t="inlineStr">
        <is>
          <t>joi180132supp2_prod.pdf — PDF p. 18, eTable 10, CT Marshall classification, non-evacuated mass lesion VI, normothermia.</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2018::jama.2018.17075::C007</t>
        </is>
      </c>
      <c r="B8" s="2" t="inlineStr">
        <is>
          <t>Adjusted odds-ratio confidence-interval string is malformed</t>
        </is>
      </c>
      <c r="C8" s="2" t="inlineStr">
        <is>
          <t>joi180132supp2_prod.pdf — PDF p. 22, post-hoc adequate-cooling Results, final sentence.</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2018::jama.2018.17075::C008</t>
        </is>
      </c>
      <c r="B9" s="3" t="inlineStr">
        <is>
          <t>Abstract male count conflicts with its percentage and Table 1 total</t>
        </is>
      </c>
      <c r="C9" s="3" t="inlineStr">
        <is>
          <t>jama_cooper_2018_oi_180132.pdf — PDF p. 1, abstract Results; PDF p. 5, Table 1, Men and Women rows.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N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2018::jama.2018.18020::C001</t>
        </is>
      </c>
      <c r="B2" s="2" t="inlineStr">
        <is>
          <t>Abstract sex percentage conflicts with the enrolled sex count</t>
        </is>
      </c>
      <c r="C2" s="2" t="inlineStr">
        <is>
          <t>jama_stunnenberg_2018_oi_180136.pdf — PDF p. 1, Abstract Results; jama_stunnenberg_2018_oi_180136.pdf — PDF p. 4, Baseline Data.</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2018::jama.2018.18020::C002</t>
        </is>
      </c>
      <c r="B3" s="3" t="inlineStr">
        <is>
          <t>INQoL IQR endpoints exceed the stated 0-to-100 scale</t>
        </is>
      </c>
      <c r="C3" s="3" t="inlineStr">
        <is>
          <t>jama_stunnenberg_2018_oi_180136.pdf — PDF p. 5, Table 1 and footnote f; jama_stunnenberg_2018_oi_180136.pdf — PDF p. 8, Table 2 footnote g.</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2018::jama.2018.18020::C003</t>
        </is>
      </c>
      <c r="B4" s="2" t="inlineStr">
        <is>
          <t>Table 2 secondary-outcome contrast header is opposite to the displayed effect signs</t>
        </is>
      </c>
      <c r="C4" s="2" t="inlineStr">
        <is>
          <t>jama_stunnenberg_2018_oi_180136.pdf — PDF p. 7, Table 2 header and change-score rows; jama_stunnenberg_2018_oi_180136.pdf — PDF p. 8, Table 2 footnotes.</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2018::jama.2018.18020::C004</t>
        </is>
      </c>
      <c r="B5" s="3" t="inlineStr">
        <is>
          <t>Placebo “Any” adverse-reaction percentage does not reconcile with the apparent denominator</t>
        </is>
      </c>
      <c r="C5" s="3" t="inlineStr">
        <is>
          <t>joi180136supp2_prod.pdf — PDF p. 6, eTable 4; jama_stunnenberg_2018_oi_180136.pdf — PDF p. 8, Adverse Events.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2018::jama.2018.18020::C005</t>
        </is>
      </c>
      <c r="B6" s="2" t="inlineStr">
        <is>
          <t>Bayesian parameter prose swaps mu_mex[i] and mu_plac[i] treatment labels</t>
        </is>
      </c>
      <c r="C6" s="2" t="inlineStr">
        <is>
          <t>joi180136supp2_prod.pdf — PDF p. 11, eMethods 2 code/dictionary; joi180136supp2_prod.pdf — PDF p. 13, eMethods 3 code; joi180136supp2_prod.pdf — PDF p. 14, eMethods 3 dictionary.</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2018::jama.2018.18020::C006</t>
        </is>
      </c>
      <c r="B7" s="3" t="inlineStr">
        <is>
          <t>diff_CLCN1 is described as an SCN4A contrast</t>
        </is>
      </c>
      <c r="C7" s="3" t="inlineStr">
        <is>
          <t>joi180136supp2_prod.pdf — PDF p. 13, eMethods 3 code; joi180136supp2_prod.pdf — PDF p. 14, parameter dictionary.</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2018::jama.2018.18020::C007</t>
        </is>
      </c>
      <c r="B8" s="2" t="inlineStr">
        <is>
          <t>sigma.mex is described as placebo-period variability</t>
        </is>
      </c>
      <c r="C8" s="2" t="inlineStr">
        <is>
          <t>joi180136supp2_prod.pdf — PDF p. 11, eMethods 2 code; joi180136supp2_prod.pdf — PDF p. 12, eMethods 2 dictionary; joi180136supp2_prod.pdf — PDF p. 13, eMethods 3 code; joi180136supp2_prod.pdf — PDF p. 14, eMethods 3 dictionary.</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2018::jama.2018.18020::C008</t>
        </is>
      </c>
      <c r="B9" s="3" t="inlineStr">
        <is>
          <t>Main text prints CLNC1 for the matched CLCN1 genotype subgroup</t>
        </is>
      </c>
      <c r="C9" s="3" t="inlineStr">
        <is>
          <t>jama_stunnenberg_2018_oi_180136.pdf — PDF p. 4, Primary Outcome; jama_stunnenberg_2018_oi_180136.pdf — PDF p. 5, Table 1/Figure 2; jama_stunnenberg_2018_oi_180136.pdf — PDF p. 6, Figure 3; joi180136supp2_prod.pdf — PDF p. 4, eTable 2 footnote.</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2018::jama.2018.18020::C009</t>
        </is>
      </c>
      <c r="B10" s="2" t="inlineStr">
        <is>
          <t>SF-36 mental-component P value conflicts with the dependent-t 95% CI</t>
        </is>
      </c>
      <c r="C10" s="2" t="inlineStr">
        <is>
          <t>jama_stunnenberg_2018_oi_180136.pdf — PDF p. 7, Table 2; jama_stunnenberg_2018_oi_180136.pdf — PDF p. 3, dependent-t method; jama_stunnenberg_2018_oi_180136.pdf — PDF p. 4, two-sided P-value convention.</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2018::jama.2018.18020::C010</t>
        </is>
      </c>
      <c r="B11" s="3" t="inlineStr">
        <is>
          <t>SCN4A fifth handgrip-action-myotonia P value conflicts with its 95% CI</t>
        </is>
      </c>
      <c r="C11" s="3" t="inlineStr">
        <is>
          <t>jama_stunnenberg_2018_oi_180136.pdf — PDF p. 7, Table 2 row; jama_stunnenberg_2018_oi_180136.pdf — PDF p. 8, Table 2 footnotes; jama_stunnenberg_2018_oi_180136.pdf — PDF p. 3, method; jama_stunnenberg_2018_oi_180136.pdf — PDF p. 4, sidedness.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2018::jama.2018.18020::C011</t>
        </is>
      </c>
      <c r="B12" s="2" t="inlineStr">
        <is>
          <t>SCN4A fifth transient-paresis estimate, interval, and P value do not form a compatible dependent-t result</t>
        </is>
      </c>
      <c r="C1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2018::jama.2018.18020::C012</t>
        </is>
      </c>
      <c r="B13" s="3" t="inlineStr">
        <is>
          <t>Myotonic-discharge P value conflicts with the dependent-t 95% CI</t>
        </is>
      </c>
      <c r="C13" s="3" t="inlineStr">
        <is>
          <t>jama_stunnenberg_2018_oi_180136.pdf — PDF p. 8, Table 2 continuation and footnotes; jama_stunnenberg_2018_oi_180136.pdf — PDF p. 3, dependent-t method; jama_stunnenberg_2018_oi_180136.pdf — PDF p. 4, two-sided convention.</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2018::jama.2018.18020::C013</t>
        </is>
      </c>
      <c r="B14" s="2" t="inlineStr">
        <is>
          <t>First handgrip placebo-period interval is reversed and excludes its estimate</t>
        </is>
      </c>
      <c r="C14" s="2" t="inlineStr">
        <is>
          <t>jama_stunnenberg_2018_oi_180136.pdf — PDF p. 7, Table 2 first-attempt handgrip action-myotonia placebo-period change.</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row r="15" ht="76" customHeight="1">
      <c r="A15" s="3" t="inlineStr">
        <is>
          <t>2018::jama.2018.18020::C014</t>
        </is>
      </c>
      <c r="B15" s="3" t="inlineStr">
        <is>
          <t>Mean Timed Up&amp;Go placebo-period estimate lies outside its interval</t>
        </is>
      </c>
      <c r="C15" s="3" t="inlineStr">
        <is>
          <t>jama_stunnenberg_2018_oi_180136.pdf — PDF p. 7, Table 2 mean Timed Up&amp;Go placebo-period change.</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internal_nonstatistical",$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internal_nonstatistical",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IF(OR(AND($D15&lt;&gt;"",$D15&lt;&gt;"retain"),NOT(OR($E15="internal_nonstatistical",$E15="plan_material"))),"not_applicable","")</f>
        <v/>
      </c>
      <c r="L15" s="9">
        <f>IF(OR(AND($D15&lt;&gt;"",$D15&lt;&gt;"retain"),NOT(OR($E15="protocol_report"))),"not_applicable","")</f>
        <v/>
      </c>
      <c r="M15" s="10" t="inlineStr"/>
      <c r="N15" s="10" t="inlineStr"/>
    </row>
  </sheetData>
  <sheetProtection selectLockedCells="0" selectUnlockedCells="0" sheet="1" objects="0" insertRows="1" insertHyperlinks="1" autoFilter="0" scenarios="0" formatColumns="1" deleteColumns="1" insertColumns="1" pivotTables="1" deleteRows="1" formatCells="1" formatRows="1" sort="1"/>
  <autoFilter ref="A1:N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N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2018::jama.2018.6496::C001</t>
        </is>
      </c>
      <c r="B2" s="2" t="inlineStr">
        <is>
          <t>Reverse-ordered confidence-interval endpoints for all-patient first-attempt duration</t>
        </is>
      </c>
      <c r="C2" s="2" t="inlineStr">
        <is>
          <t>DOC-001 Table 3 — PDF p. 7; DOC-003 eTable 1 — PDF p. 2; DOC-003 eTable 1 note — PDF p. 3; DOC-001 statistical-analysis methods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2018::jama.2018.6496::C002</t>
        </is>
      </c>
      <c r="B3" s="3" t="inlineStr">
        <is>
          <t>Two-patient ETT+stylet denominator difference across linked hypoxemia outcomes</t>
        </is>
      </c>
      <c r="C3" s="3" t="inlineStr">
        <is>
          <t>DOC-001 Table 3 — PDF p. 7; DOC-001 Table 5 — PDF p. 9; DOC-002 protocol secondary outcomes — PDF p. 9; DOC-002 analytic issues — PDF p. 21.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2018::jama.2018.6496::C003</t>
        </is>
      </c>
      <c r="B4" s="2" t="inlineStr">
        <is>
          <t>Protocol and published hypoxemia observation windows use different endpoint events</t>
        </is>
      </c>
      <c r="C4" s="2" t="inlineStr">
        <is>
          <t>DOC-002 protocol secondary outcomes — PDF p. 9; DOC-002 protocol measurement procedure — PDF p. 10; DOC-001 Table 3 — PDF p. 7; DOC-001 Table 5 — PDF p. 9; DOC-003 eTable 1 note — PDF p. 3; DOC-003 postintubation form — PDF p. 10.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2018::jama.2018.6496::C004</t>
        </is>
      </c>
      <c r="B5" s="3" t="inlineStr">
        <is>
          <t>Protocol and published first-attempt-duration measures use different endpoint events</t>
        </is>
      </c>
      <c r="C5" s="3" t="inlineStr">
        <is>
          <t>DOC-002 protocol — PDF p. 9; DOC-001 outcome methods — PDF p. 3; DOC-001 Table 3 — PDF p. 7; DOC-003 eTable 1 note — PDF p. 3; DOC-003 data form — PDF p. 10.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sheetData>
  <sheetProtection selectLockedCells="0" selectUnlockedCells="0" sheet="1" objects="0" insertRows="1" insertHyperlinks="1" autoFilter="0" scenarios="0" formatColumns="1" deleteColumns="1" insertColumns="1" pivotTables="1" deleteRows="1" formatCells="1" formatRows="1" sort="1"/>
  <autoFilter ref="A1:N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2018::jama.2018.8802::C001</t>
        </is>
      </c>
      <c r="B2" s="2" t="inlineStr">
        <is>
          <t>Table 1 CAD/previous-myocardial-infarction percentage does not reproduce</t>
        </is>
      </c>
      <c r="C2" s="2" t="inlineStr">
        <is>
          <t>jama_wang_2018_oi_180070.pdf — PDF p. 6, Table 1, CAD/previous myocardial infarction, intervention column and Patients, No. header.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2018::jama.2018.8802::C002</t>
        </is>
      </c>
      <c r="B3" s="3" t="inlineStr">
        <is>
          <t>LDL eligibility boundary differs between result labels and supplied measure definition</t>
        </is>
      </c>
      <c r="C3" s="3" t="inlineStr">
        <is>
          <t>jama_wang_2018_oi_180070.pdf — PDF p. 7, Table 2 lipid-lowering row; joi180070supp1_prod.pdf — PDF p. 15, definition; joi180070supp2_prod.pdf — PDF p. 3, eTable 1 definition; and joi180070supp2_prod.pdf — PDF p. 8, eTable 4 label.</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2018::jama.2018.8802::C003</t>
        </is>
      </c>
      <c r="B4" s="2" t="inlineStr">
        <is>
          <t>eTable 4 discharge-antithrombotics control percentage does not reproduce</t>
        </is>
      </c>
      <c r="C4" s="2" t="inlineStr">
        <is>
          <t>joi180070supp2_prod.pdf — PDF p. 8, eTable 4, Antithrombotics, control cell.</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2018::jama.2018.8802::C004</t>
        </is>
      </c>
      <c r="B5" s="3" t="inlineStr">
        <is>
          <t>eTable 4 AF-anticoagulation control percentage does not reproduce</t>
        </is>
      </c>
      <c r="C5" s="3" t="inlineStr">
        <is>
          <t>joi180070supp2_prod.pdf — PDF p. 8, eTable 4, Anticoagulation for Atrial Fibrillation, control cell.</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2018::jama.2018.8802::C005</t>
        </is>
      </c>
      <c r="B6" s="2" t="inlineStr">
        <is>
          <t>eTable 4 lipid-lowering control percentage does not reproduce</t>
        </is>
      </c>
      <c r="C6" s="2" t="inlineStr">
        <is>
          <t>joi180070supp2_prod.pdf — PDF p. 8, eTable 4, Lipid-lowering for LDL &gt;100 mg/dL, control cell.</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2018::jama.2018.8802::C006</t>
        </is>
      </c>
      <c r="B7" s="3" t="inlineStr">
        <is>
          <t>eTable 4 antidiabetic-medication control percentage does not reproduce</t>
        </is>
      </c>
      <c r="C7" s="3" t="inlineStr">
        <is>
          <t>joi180070supp2_prod.pdf — PDF p. 8, eTable 4, Antidiabetic Medication, control cell.</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2018::jama.2018.8802::C007</t>
        </is>
      </c>
      <c r="B8" s="2" t="inlineStr">
        <is>
          <t>baseline-survey patient total does not reconcile with stated per-cluster inclusion</t>
        </is>
      </c>
      <c r="C8"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2018::jama.2018.8802::C008</t>
        </is>
      </c>
      <c r="B9" s="3" t="inlineStr">
        <is>
          <t>in-hospital death absolute-difference CI and P value do not reconcile</t>
        </is>
      </c>
      <c r="C9" s="3" t="inlineStr">
        <is>
          <t>jama_wang_2018_oi_180070.pdf — PDF p. 8, Table 3 Death / In hospital row, absolute-difference and adjacent P-value columns; jama_wang_2018_oi_180070.pdf — PDF p. 4, data-analysis statements.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N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2018::jama.2018.9128::C001</t>
        </is>
      </c>
      <c r="B2" s="2" t="inlineStr">
        <is>
          <t>Intervention 3-month BMI-observation count differs across result displays</t>
        </is>
      </c>
      <c r="C2" s="2" t="inlineStr">
        <is>
          <t>DOC-001 Figure 1 — PDF p. 3; DOC-001 Figure 2 — PDF p. 7; DOC-003 eTable 1 — PDF p. 2.</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2018::jama.2018.9128::C002</t>
        </is>
      </c>
      <c r="B3" s="3" t="inlineStr">
        <is>
          <t>Control 3-month BMI-observation count differs across result displays</t>
        </is>
      </c>
      <c r="C3" s="3" t="inlineStr">
        <is>
          <t>DOC-001 Figure 1 — PDF p. 3; DOC-001 Figure 2 — PDF p. 7; DOC-003 eTable 1 — PDF p. 2.</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2018::jama.2018.9128::C003</t>
        </is>
      </c>
      <c r="B4" s="2" t="inlineStr">
        <is>
          <t>Intervention 9-month BMI-observation count differs across result displays</t>
        </is>
      </c>
      <c r="C4" s="2" t="inlineStr">
        <is>
          <t>DOC-001 Figure 1 — PDF p. 3; DOC-001 Figure 2 — PDF p. 7; DOC-003 eTable 1 — PDF p. 2.</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2018::jama.2018.9128::C004</t>
        </is>
      </c>
      <c r="B5" s="3" t="inlineStr">
        <is>
          <t>Intervention 12-month BMI-observation count differs across result displays</t>
        </is>
      </c>
      <c r="C5" s="3" t="inlineStr">
        <is>
          <t>DOC-001 Figure 1 — PDF p. 3; DOC-001 Figure 2 — PDF p. 7; DOC-003 eTable 1 — PDF p. 2.</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2018::jama.2018.9128::C005</t>
        </is>
      </c>
      <c r="B6" s="2" t="inlineStr">
        <is>
          <t>Control 12-month BMI-observation count differs across result displays</t>
        </is>
      </c>
      <c r="C6" s="2" t="inlineStr">
        <is>
          <t>DOC-001 Figure 1 — PDF p. 3; DOC-001 Figure 2 — PDF p. 7; DOC-003 eTable 1 — PDF p. 2.</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2018::jama.2018.9128::C006</t>
        </is>
      </c>
      <c r="B7" s="3" t="inlineStr">
        <is>
          <t>Intervention 24-month BMI-observation count differs across result displays</t>
        </is>
      </c>
      <c r="C7" s="3" t="inlineStr">
        <is>
          <t>DOC-001 Figure 1 — PDF p. 3; DOC-001 Figure 2 — PDF p. 7; DOC-003 eTable 1 — PDF p. 2.</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2018::jama.2018.9128::C007</t>
        </is>
      </c>
      <c r="B8" s="2" t="inlineStr">
        <is>
          <t>Control 24-month BMI-observation count differs across result displays</t>
        </is>
      </c>
      <c r="C8" s="2" t="inlineStr">
        <is>
          <t>DOC-001 Figure 1 — PDF p. 3; DOC-001 Figure 2 — PDF p. 7; DOC-003 eTable 1 — PDF p. 2.</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2018::jama.2018.9128::C008</t>
        </is>
      </c>
      <c r="B9" s="3" t="inlineStr">
        <is>
          <t>Intervention 36-month BMI-observation count differs across result displays</t>
        </is>
      </c>
      <c r="C9" s="3" t="inlineStr">
        <is>
          <t>DOC-001 Figure 1 — PDF p. 3; DOC-001 Figure 2 — PDF p. 7; DOC-003 eTable 1 — PDF p. 2.</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2018::jama.2018.9128::C009</t>
        </is>
      </c>
      <c r="B10" s="2" t="inlineStr">
        <is>
          <t>Final SAP says six assessment points but enumerates five</t>
        </is>
      </c>
      <c r="C10" s="2" t="inlineStr">
        <is>
          <t>DOC-002 final SAP — PDF p. 110; DOC-002 protocol schedule — PDF p. 15; DOC-001 Methods — PDF p. 4; DOC-003 eTable 1 — PDF p. 2.</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2018::jama.2018.9128::C010</t>
        </is>
      </c>
      <c r="B11" s="3" t="inlineStr">
        <is>
          <t>Revised protocol gives six points but lists seven including 48 months</t>
        </is>
      </c>
      <c r="C11" s="3" t="inlineStr">
        <is>
          <t>DOC-002 revised protocol — PDF p. 64; DOC-001 Methods — PDF p. 4; DOC-003 eTable 1 — PDF p.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2018::jama.2018.9128::C011</t>
        </is>
      </c>
      <c r="B12" s="2" t="inlineStr">
        <is>
          <t>Original protocol labels primary outcome as BMI percentile/BMI% while results use BMI kg/m²</t>
        </is>
      </c>
      <c r="C12" s="2" t="inlineStr">
        <is>
          <t>DOC-002 original protocol — PDF p. 16; DOC-002 final SAP — PDF p. 110; DOC-001 Outcomes — PDF p. 3; DOC-003 eTable 1 — PDF p. 2.</t>
        </is>
      </c>
      <c r="D12" s="8" t="inlineStr"/>
      <c r="E12" s="8" t="inlineStr">
        <is>
          <t>protocol_report</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row r="13" ht="76" customHeight="1">
      <c r="A13" s="3" t="inlineStr">
        <is>
          <t>2018::jama.2018.9128::C012</t>
        </is>
      </c>
      <c r="B13" s="3" t="inlineStr">
        <is>
          <t>Control-condition session count and duration differ across protocol versions and article</t>
        </is>
      </c>
      <c r="C13" s="3" t="inlineStr">
        <is>
          <t>DOC-002 original protocol — PDF p. 14; DOC-002 revised protocol — PDF p. 64; DOC-001 abstract — PDF p. 1; DOC-001 Methods — PDF p. 3.</t>
        </is>
      </c>
      <c r="D13" s="8" t="inlineStr"/>
      <c r="E13" s="8" t="inlineStr">
        <is>
          <t>protocol_report</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internal_nonstatistical",$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internal_nonstatistical",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IF(OR(AND($D13&lt;&gt;"",$D13&lt;&gt;"retain"),NOT(OR($E13="internal_nonstatistical",$E13="plan_material"))),"not_applicable","")</f>
        <v/>
      </c>
      <c r="L13" s="9">
        <f>IF(OR(AND($D13&lt;&gt;"",$D13&lt;&gt;"retain"),NOT(OR($E13="protocol_report"))),"not_applicable","")</f>
        <v/>
      </c>
      <c r="M13" s="10" t="inlineStr"/>
      <c r="N13" s="10" t="inlineStr"/>
    </row>
    <row r="14" ht="76" customHeight="1">
      <c r="A14" s="2" t="inlineStr">
        <is>
          <t>2018::jama.2018.9128::C013</t>
        </is>
      </c>
      <c r="B14" s="2" t="inlineStr">
        <is>
          <t>Control 9-month BMI-observation count differs across result displays</t>
        </is>
      </c>
      <c r="C14" s="2" t="inlineStr">
        <is>
          <t>DOC-001 Figure 1 — PDF p. 3; DOC-001 Figure 2 — PDF p. 7; DOC-003 eTable 1 — PDF p. 2.</t>
        </is>
      </c>
      <c r="D14" s="8" t="inlineStr"/>
      <c r="E14" s="8" t="inlineStr">
        <is>
          <t>internal_nonstatistical</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internal_nonstatistical",$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internal_nonstatistical",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IF(OR(AND($D14&lt;&gt;"",$D14&lt;&gt;"retain"),NOT(OR($E14="internal_nonstatistical",$E14="plan_material"))),"not_applicable","")</f>
        <v/>
      </c>
      <c r="L14" s="9">
        <f>IF(OR(AND($D14&lt;&gt;"",$D14&lt;&gt;"retain"),NOT(OR($E14="protocol_report"))),"not_applicable","")</f>
        <v/>
      </c>
      <c r="M14" s="10" t="inlineStr"/>
      <c r="N14" s="10" t="inlineStr"/>
    </row>
  </sheetData>
  <sheetProtection selectLockedCells="0" selectUnlockedCells="0" sheet="1" objects="0" insertRows="1" insertHyperlinks="1" autoFilter="0" scenarios="0" formatColumns="1" deleteColumns="1" insertColumns="1" pivotTables="1" deleteRows="1" formatCells="1" formatRows="1" sort="1"/>
  <autoFilter ref="A1:N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R12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0" customWidth="1" min="2" max="2"/>
    <col width="28" customWidth="1" min="3" max="3"/>
    <col width="18" customWidth="1" min="4" max="4"/>
    <col width="32" customWidth="1" min="5" max="5"/>
    <col width="12" customWidth="1" min="6" max="6"/>
    <col width="22" customWidth="1" min="7" max="7"/>
    <col width="18" customWidth="1" min="8" max="8"/>
    <col width="32" customWidth="1" min="9" max="9"/>
    <col width="18" customWidth="1" min="10" max="10"/>
    <col width="24" customWidth="1" min="11" max="11"/>
    <col width="18" customWidth="1" min="12" max="12"/>
    <col width="18" customWidth="1" min="13" max="13"/>
    <col width="18" customWidth="1" min="14" max="14"/>
    <col width="22" customWidth="1" min="15" max="15"/>
    <col width="18" customWidth="1" min="16" max="16"/>
    <col width="18" customWidth="1" min="17" max="17"/>
    <col width="32" customWidth="1" min="18" max="18"/>
  </cols>
  <sheetData>
    <row r="1" ht="40" customHeight="1">
      <c r="A1" s="1" t="inlineStr">
        <is>
          <t>Candidate key</t>
        </is>
      </c>
      <c r="B1" s="1" t="inlineStr">
        <is>
          <t>Paper</t>
        </is>
      </c>
      <c r="C1" s="1" t="inlineStr">
        <is>
          <t>Candidate title</t>
        </is>
      </c>
      <c r="D1" s="1" t="inlineStr">
        <is>
          <t>Checker result</t>
        </is>
      </c>
      <c r="E1" s="1" t="inlineStr">
        <is>
          <t>Checker comment</t>
        </is>
      </c>
      <c r="F1" s="1" t="inlineStr">
        <is>
          <t>Complete</t>
        </is>
      </c>
      <c r="G1" s="1" t="inlineStr">
        <is>
          <t>Validation hint</t>
        </is>
      </c>
      <c r="H1" s="1" t="inlineStr">
        <is>
          <t>Discussion resolution</t>
        </is>
      </c>
      <c r="I1" s="1" t="inlineStr">
        <is>
          <t>Resolution note</t>
        </is>
      </c>
      <c r="J1" s="1" t="inlineStr">
        <is>
          <t>Disposition</t>
        </is>
      </c>
      <c r="K1" s="1" t="inlineStr">
        <is>
          <t>Review domain</t>
        </is>
      </c>
      <c r="L1" s="5" t="inlineStr">
        <is>
          <t>Statistical error</t>
        </is>
      </c>
      <c r="M1" s="5" t="inlineStr">
        <is>
          <t>Substantiveness</t>
        </is>
      </c>
      <c r="N1" s="5" t="inlineStr">
        <is>
          <t>Downstream impact</t>
        </is>
      </c>
      <c r="O1" s="6" t="inlineStr">
        <is>
          <t>Internal or plan assessment</t>
        </is>
      </c>
      <c r="P1" s="7" t="inlineStr">
        <is>
          <t>Protocol interpretation</t>
        </is>
      </c>
      <c r="Q1" s="1" t="inlineStr">
        <is>
          <t>Related cluster (optional)</t>
        </is>
      </c>
      <c r="R1" s="1" t="inlineStr">
        <is>
          <t>Notes (optional)</t>
        </is>
      </c>
    </row>
    <row r="2" ht="76" customHeight="1">
      <c r="A2" s="2" t="inlineStr">
        <is>
          <t>2018::jama.2017.21906::C001</t>
        </is>
      </c>
      <c r="B2" s="2" t="inlineStr">
        <is>
          <t>jama.2017.21906</t>
        </is>
      </c>
      <c r="C2" s="2" t="inlineStr">
        <is>
          <t>In-hospital beta-blocker adjusted-risk-difference CI endpoint differs between Table 2 and narrative</t>
        </is>
      </c>
      <c r="D2" s="8" t="inlineStr"/>
      <c r="E2" s="11" t="inlineStr"/>
      <c r="F2" s="8" t="inlineStr">
        <is>
          <t>no</t>
        </is>
      </c>
      <c r="G2" s="2">
        <f>IF(OR(AND(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L2&lt;&gt;"",L2&lt;&gt;"not_applicable"),AND(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M2&lt;&gt;"",M2&lt;&gt;"not_applicable"),AND(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N2&lt;&gt;"",N2&lt;&gt;"not_applicable"),AND(OR(AND(IF($J2="",INDEX(primary_jama_2017_21906_disposition,MATCH($A2,primary_jama_2017_21906_key,0)),$J2)&lt;&gt;"",IF($J2="",INDEX(primary_jama_2017_21906_disposition,MATCH($A2,primary_jama_2017_21906_key,0)),$J2)&lt;&gt;"retain"),NOT(OR(IF($K2="",INDEX(primary_jama_2017_21906_domain,MATCH($A2,primary_jama_2017_21906_key,0)),$K2)="internal_nonstatistical",IF($K2="",INDEX(primary_jama_2017_21906_domain,MATCH($A2,primary_jama_2017_21906_key,0)),$K2)="plan_material"))),O2&lt;&gt;"",O2&lt;&gt;"not_applicable"),AND(OR(AND(IF($J2="",INDEX(primary_jama_2017_21906_disposition,MATCH($A2,primary_jama_2017_21906_key,0)),$J2)&lt;&gt;"",IF($J2="",INDEX(primary_jama_2017_21906_disposition,MATCH($A2,primary_jama_2017_21906_key,0)),$J2)&lt;&gt;"retain"),NOT(OR(IF($K2="",INDEX(primary_jama_2017_21906_domain,MATCH($A2,primary_jama_2017_21906_key,0)),$K2)="protocol_report"))),P2&lt;&gt;"",P2&lt;&gt;"not_applicable")),"CLEAR INACTIVE VALUES",IF(D2="","PENDING",IF(AND(D2&lt;&gt;"agree",LEN(TRIM(E2))=0),"COMMENT NEEDED",IF(F2="yes","CHECKED - see resolution","DRAFT"))))</f>
        <v/>
      </c>
      <c r="H2" s="8" t="inlineStr">
        <is>
          <t>pending</t>
        </is>
      </c>
      <c r="I2" s="11" t="inlineStr"/>
      <c r="J2" s="8" t="inlineStr"/>
      <c r="K2" s="8" t="inlineStr"/>
      <c r="L2" s="8">
        <f>IF(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not_applicable","")</f>
        <v/>
      </c>
      <c r="M2" s="8">
        <f>IF(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not_applicable","")</f>
        <v/>
      </c>
      <c r="N2" s="9">
        <f>IF(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not_applicable","")</f>
        <v/>
      </c>
      <c r="O2" s="8">
        <f>IF(OR(AND(IF($J2="",INDEX(primary_jama_2017_21906_disposition,MATCH($A2,primary_jama_2017_21906_key,0)),$J2)&lt;&gt;"",IF($J2="",INDEX(primary_jama_2017_21906_disposition,MATCH($A2,primary_jama_2017_21906_key,0)),$J2)&lt;&gt;"retain"),NOT(OR(IF($K2="",INDEX(primary_jama_2017_21906_domain,MATCH($A2,primary_jama_2017_21906_key,0)),$K2)="internal_nonstatistical",IF($K2="",INDEX(primary_jama_2017_21906_domain,MATCH($A2,primary_jama_2017_21906_key,0)),$K2)="plan_material"))),"not_applicable","")</f>
        <v/>
      </c>
      <c r="P2" s="9">
        <f>IF(OR(AND(IF($J2="",INDEX(primary_jama_2017_21906_disposition,MATCH($A2,primary_jama_2017_21906_key,0)),$J2)&lt;&gt;"",IF($J2="",INDEX(primary_jama_2017_21906_disposition,MATCH($A2,primary_jama_2017_21906_key,0)),$J2)&lt;&gt;"retain"),NOT(OR(IF($K2="",INDEX(primary_jama_2017_21906_domain,MATCH($A2,primary_jama_2017_21906_key,0)),$K2)="protocol_report"))),"not_applicable","")</f>
        <v/>
      </c>
      <c r="Q2" s="10" t="inlineStr"/>
      <c r="R2" s="10" t="inlineStr"/>
    </row>
    <row r="3" ht="76" customHeight="1">
      <c r="A3" s="3" t="inlineStr">
        <is>
          <t>2018::jama.2017.21906::C002</t>
        </is>
      </c>
      <c r="B3" s="3" t="inlineStr">
        <is>
          <t>jama.2017.21906</t>
        </is>
      </c>
      <c r="C3" s="3" t="inlineStr">
        <is>
          <t>Discharge beta-blocker adjusted point estimates differ between Table 2 and narrative</t>
        </is>
      </c>
      <c r="D3" s="8" t="inlineStr"/>
      <c r="E3" s="11" t="inlineStr"/>
      <c r="F3" s="8" t="inlineStr">
        <is>
          <t>no</t>
        </is>
      </c>
      <c r="G3" s="3">
        <f>IF(OR(AND(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L3&lt;&gt;"",L3&lt;&gt;"not_applicable"),AND(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M3&lt;&gt;"",M3&lt;&gt;"not_applicable"),AND(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N3&lt;&gt;"",N3&lt;&gt;"not_applicable"),AND(OR(AND(IF($J3="",INDEX(primary_jama_2017_21906_disposition,MATCH($A3,primary_jama_2017_21906_key,0)),$J3)&lt;&gt;"",IF($J3="",INDEX(primary_jama_2017_21906_disposition,MATCH($A3,primary_jama_2017_21906_key,0)),$J3)&lt;&gt;"retain"),NOT(OR(IF($K3="",INDEX(primary_jama_2017_21906_domain,MATCH($A3,primary_jama_2017_21906_key,0)),$K3)="internal_nonstatistical",IF($K3="",INDEX(primary_jama_2017_21906_domain,MATCH($A3,primary_jama_2017_21906_key,0)),$K3)="plan_material"))),O3&lt;&gt;"",O3&lt;&gt;"not_applicable"),AND(OR(AND(IF($J3="",INDEX(primary_jama_2017_21906_disposition,MATCH($A3,primary_jama_2017_21906_key,0)),$J3)&lt;&gt;"",IF($J3="",INDEX(primary_jama_2017_21906_disposition,MATCH($A3,primary_jama_2017_21906_key,0)),$J3)&lt;&gt;"retain"),NOT(OR(IF($K3="",INDEX(primary_jama_2017_21906_domain,MATCH($A3,primary_jama_2017_21906_key,0)),$K3)="protocol_report"))),P3&lt;&gt;"",P3&lt;&gt;"not_applicable")),"CLEAR INACTIVE VALUES",IF(D3="","PENDING",IF(AND(D3&lt;&gt;"agree",LEN(TRIM(E3))=0),"COMMENT NEEDED",IF(F3="yes","CHECKED - see resolution","DRAFT"))))</f>
        <v/>
      </c>
      <c r="H3" s="8" t="inlineStr">
        <is>
          <t>pending</t>
        </is>
      </c>
      <c r="I3" s="11" t="inlineStr"/>
      <c r="J3" s="8" t="inlineStr"/>
      <c r="K3" s="8" t="inlineStr"/>
      <c r="L3" s="8">
        <f>IF(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not_applicable","")</f>
        <v/>
      </c>
      <c r="M3" s="8">
        <f>IF(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not_applicable","")</f>
        <v/>
      </c>
      <c r="N3" s="9">
        <f>IF(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not_applicable","")</f>
        <v/>
      </c>
      <c r="O3" s="8">
        <f>IF(OR(AND(IF($J3="",INDEX(primary_jama_2017_21906_disposition,MATCH($A3,primary_jama_2017_21906_key,0)),$J3)&lt;&gt;"",IF($J3="",INDEX(primary_jama_2017_21906_disposition,MATCH($A3,primary_jama_2017_21906_key,0)),$J3)&lt;&gt;"retain"),NOT(OR(IF($K3="",INDEX(primary_jama_2017_21906_domain,MATCH($A3,primary_jama_2017_21906_key,0)),$K3)="internal_nonstatistical",IF($K3="",INDEX(primary_jama_2017_21906_domain,MATCH($A3,primary_jama_2017_21906_key,0)),$K3)="plan_material"))),"not_applicable","")</f>
        <v/>
      </c>
      <c r="P3" s="9">
        <f>IF(OR(AND(IF($J3="",INDEX(primary_jama_2017_21906_disposition,MATCH($A3,primary_jama_2017_21906_key,0)),$J3)&lt;&gt;"",IF($J3="",INDEX(primary_jama_2017_21906_disposition,MATCH($A3,primary_jama_2017_21906_key,0)),$J3)&lt;&gt;"retain"),NOT(OR(IF($K3="",INDEX(primary_jama_2017_21906_domain,MATCH($A3,primary_jama_2017_21906_key,0)),$K3)="protocol_report"))),"not_applicable","")</f>
        <v/>
      </c>
      <c r="Q3" s="10" t="inlineStr"/>
      <c r="R3" s="10" t="inlineStr"/>
    </row>
    <row r="4" ht="76" customHeight="1">
      <c r="A4" s="2" t="inlineStr">
        <is>
          <t>2018::jama.2017.21906::C003</t>
        </is>
      </c>
      <c r="B4" s="2" t="inlineStr">
        <is>
          <t>jama.2017.21906</t>
        </is>
      </c>
      <c r="C4" s="2" t="inlineStr">
        <is>
          <t>eTable 1 difference footnote names groups not displayed in the table</t>
        </is>
      </c>
      <c r="D4" s="8" t="inlineStr"/>
      <c r="E4" s="11" t="inlineStr"/>
      <c r="F4" s="8" t="inlineStr">
        <is>
          <t>no</t>
        </is>
      </c>
      <c r="G4" s="2">
        <f>IF(OR(AND(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L4&lt;&gt;"",L4&lt;&gt;"not_applicable"),AND(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M4&lt;&gt;"",M4&lt;&gt;"not_applicable"),AND(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N4&lt;&gt;"",N4&lt;&gt;"not_applicable"),AND(OR(AND(IF($J4="",INDEX(primary_jama_2017_21906_disposition,MATCH($A4,primary_jama_2017_21906_key,0)),$J4)&lt;&gt;"",IF($J4="",INDEX(primary_jama_2017_21906_disposition,MATCH($A4,primary_jama_2017_21906_key,0)),$J4)&lt;&gt;"retain"),NOT(OR(IF($K4="",INDEX(primary_jama_2017_21906_domain,MATCH($A4,primary_jama_2017_21906_key,0)),$K4)="internal_nonstatistical",IF($K4="",INDEX(primary_jama_2017_21906_domain,MATCH($A4,primary_jama_2017_21906_key,0)),$K4)="plan_material"))),O4&lt;&gt;"",O4&lt;&gt;"not_applicable"),AND(OR(AND(IF($J4="",INDEX(primary_jama_2017_21906_disposition,MATCH($A4,primary_jama_2017_21906_key,0)),$J4)&lt;&gt;"",IF($J4="",INDEX(primary_jama_2017_21906_disposition,MATCH($A4,primary_jama_2017_21906_key,0)),$J4)&lt;&gt;"retain"),NOT(OR(IF($K4="",INDEX(primary_jama_2017_21906_domain,MATCH($A4,primary_jama_2017_21906_key,0)),$K4)="protocol_report"))),P4&lt;&gt;"",P4&lt;&gt;"not_applicable")),"CLEAR INACTIVE VALUES",IF(D4="","PENDING",IF(AND(D4&lt;&gt;"agree",LEN(TRIM(E4))=0),"COMMENT NEEDED",IF(F4="yes","CHECKED - see resolution","DRAFT"))))</f>
        <v/>
      </c>
      <c r="H4" s="8" t="inlineStr">
        <is>
          <t>pending</t>
        </is>
      </c>
      <c r="I4" s="11" t="inlineStr"/>
      <c r="J4" s="8" t="inlineStr"/>
      <c r="K4" s="8" t="inlineStr"/>
      <c r="L4" s="8">
        <f>IF(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not_applicable","")</f>
        <v/>
      </c>
      <c r="M4" s="8">
        <f>IF(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not_applicable","")</f>
        <v/>
      </c>
      <c r="N4" s="9">
        <f>IF(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not_applicable","")</f>
        <v/>
      </c>
      <c r="O4" s="8">
        <f>IF(OR(AND(IF($J4="",INDEX(primary_jama_2017_21906_disposition,MATCH($A4,primary_jama_2017_21906_key,0)),$J4)&lt;&gt;"",IF($J4="",INDEX(primary_jama_2017_21906_disposition,MATCH($A4,primary_jama_2017_21906_key,0)),$J4)&lt;&gt;"retain"),NOT(OR(IF($K4="",INDEX(primary_jama_2017_21906_domain,MATCH($A4,primary_jama_2017_21906_key,0)),$K4)="internal_nonstatistical",IF($K4="",INDEX(primary_jama_2017_21906_domain,MATCH($A4,primary_jama_2017_21906_key,0)),$K4)="plan_material"))),"not_applicable","")</f>
        <v/>
      </c>
      <c r="P4" s="9">
        <f>IF(OR(AND(IF($J4="",INDEX(primary_jama_2017_21906_disposition,MATCH($A4,primary_jama_2017_21906_key,0)),$J4)&lt;&gt;"",IF($J4="",INDEX(primary_jama_2017_21906_disposition,MATCH($A4,primary_jama_2017_21906_key,0)),$J4)&lt;&gt;"retain"),NOT(OR(IF($K4="",INDEX(primary_jama_2017_21906_domain,MATCH($A4,primary_jama_2017_21906_key,0)),$K4)="protocol_report"))),"not_applicable","")</f>
        <v/>
      </c>
      <c r="Q4" s="10" t="inlineStr"/>
      <c r="R4" s="10" t="inlineStr"/>
    </row>
    <row r="5" ht="76" customHeight="1">
      <c r="A5" s="3" t="inlineStr">
        <is>
          <t>2018::jama.2017.21906::C004</t>
        </is>
      </c>
      <c r="B5" s="3" t="inlineStr">
        <is>
          <t>jama.2017.21906</t>
        </is>
      </c>
      <c r="C5" s="3" t="inlineStr">
        <is>
          <t>Reported prespecified age-subgroup boundaries differ from the supplied SAP</t>
        </is>
      </c>
      <c r="D5" s="8" t="inlineStr"/>
      <c r="E5" s="11" t="inlineStr"/>
      <c r="F5" s="8" t="inlineStr">
        <is>
          <t>no</t>
        </is>
      </c>
      <c r="G5" s="3">
        <f>IF(OR(AND(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L5&lt;&gt;"",L5&lt;&gt;"not_applicable"),AND(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M5&lt;&gt;"",M5&lt;&gt;"not_applicable"),AND(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N5&lt;&gt;"",N5&lt;&gt;"not_applicable"),AND(OR(AND(IF($J5="",INDEX(primary_jama_2017_21906_disposition,MATCH($A5,primary_jama_2017_21906_key,0)),$J5)&lt;&gt;"",IF($J5="",INDEX(primary_jama_2017_21906_disposition,MATCH($A5,primary_jama_2017_21906_key,0)),$J5)&lt;&gt;"retain"),NOT(OR(IF($K5="",INDEX(primary_jama_2017_21906_domain,MATCH($A5,primary_jama_2017_21906_key,0)),$K5)="internal_nonstatistical",IF($K5="",INDEX(primary_jama_2017_21906_domain,MATCH($A5,primary_jama_2017_21906_key,0)),$K5)="plan_material"))),O5&lt;&gt;"",O5&lt;&gt;"not_applicable"),AND(OR(AND(IF($J5="",INDEX(primary_jama_2017_21906_disposition,MATCH($A5,primary_jama_2017_21906_key,0)),$J5)&lt;&gt;"",IF($J5="",INDEX(primary_jama_2017_21906_disposition,MATCH($A5,primary_jama_2017_21906_key,0)),$J5)&lt;&gt;"retain"),NOT(OR(IF($K5="",INDEX(primary_jama_2017_21906_domain,MATCH($A5,primary_jama_2017_21906_key,0)),$K5)="protocol_report"))),P5&lt;&gt;"",P5&lt;&gt;"not_applicable")),"CLEAR INACTIVE VALUES",IF(D5="","PENDING",IF(AND(D5&lt;&gt;"agree",LEN(TRIM(E5))=0),"COMMENT NEEDED",IF(F5="yes","CHECKED - see resolution","DRAFT"))))</f>
        <v/>
      </c>
      <c r="H5" s="8" t="inlineStr">
        <is>
          <t>pending</t>
        </is>
      </c>
      <c r="I5" s="11" t="inlineStr"/>
      <c r="J5" s="8" t="inlineStr"/>
      <c r="K5" s="8" t="inlineStr"/>
      <c r="L5" s="8">
        <f>IF(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not_applicable","")</f>
        <v/>
      </c>
      <c r="M5" s="8">
        <f>IF(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not_applicable","")</f>
        <v/>
      </c>
      <c r="N5" s="9">
        <f>IF(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not_applicable","")</f>
        <v/>
      </c>
      <c r="O5" s="8">
        <f>IF(OR(AND(IF($J5="",INDEX(primary_jama_2017_21906_disposition,MATCH($A5,primary_jama_2017_21906_key,0)),$J5)&lt;&gt;"",IF($J5="",INDEX(primary_jama_2017_21906_disposition,MATCH($A5,primary_jama_2017_21906_key,0)),$J5)&lt;&gt;"retain"),NOT(OR(IF($K5="",INDEX(primary_jama_2017_21906_domain,MATCH($A5,primary_jama_2017_21906_key,0)),$K5)="internal_nonstatistical",IF($K5="",INDEX(primary_jama_2017_21906_domain,MATCH($A5,primary_jama_2017_21906_key,0)),$K5)="plan_material"))),"not_applicable","")</f>
        <v/>
      </c>
      <c r="P5" s="9">
        <f>IF(OR(AND(IF($J5="",INDEX(primary_jama_2017_21906_disposition,MATCH($A5,primary_jama_2017_21906_key,0)),$J5)&lt;&gt;"",IF($J5="",INDEX(primary_jama_2017_21906_disposition,MATCH($A5,primary_jama_2017_21906_key,0)),$J5)&lt;&gt;"retain"),NOT(OR(IF($K5="",INDEX(primary_jama_2017_21906_domain,MATCH($A5,primary_jama_2017_21906_key,0)),$K5)="protocol_report"))),"not_applicable","")</f>
        <v/>
      </c>
      <c r="Q5" s="10" t="inlineStr"/>
      <c r="R5" s="10" t="inlineStr"/>
    </row>
    <row r="6" ht="76" customHeight="1">
      <c r="A6" s="2" t="inlineStr">
        <is>
          <t>2018::jama.2017.21906::C005</t>
        </is>
      </c>
      <c r="B6" s="2" t="inlineStr">
        <is>
          <t>jama.2017.21906</t>
        </is>
      </c>
      <c r="C6" s="2" t="inlineStr">
        <is>
          <t>The named optimal in-hospital medication composite uses different component labels across final-result tables</t>
        </is>
      </c>
      <c r="D6" s="8" t="inlineStr"/>
      <c r="E6" s="11" t="inlineStr"/>
      <c r="F6" s="8" t="inlineStr">
        <is>
          <t>no</t>
        </is>
      </c>
      <c r="G6" s="2">
        <f>IF(OR(AND(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L6&lt;&gt;"",L6&lt;&gt;"not_applicable"),AND(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M6&lt;&gt;"",M6&lt;&gt;"not_applicable"),AND(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N6&lt;&gt;"",N6&lt;&gt;"not_applicable"),AND(OR(AND(IF($J6="",INDEX(primary_jama_2017_21906_disposition,MATCH($A6,primary_jama_2017_21906_key,0)),$J6)&lt;&gt;"",IF($J6="",INDEX(primary_jama_2017_21906_disposition,MATCH($A6,primary_jama_2017_21906_key,0)),$J6)&lt;&gt;"retain"),NOT(OR(IF($K6="",INDEX(primary_jama_2017_21906_domain,MATCH($A6,primary_jama_2017_21906_key,0)),$K6)="internal_nonstatistical",IF($K6="",INDEX(primary_jama_2017_21906_domain,MATCH($A6,primary_jama_2017_21906_key,0)),$K6)="plan_material"))),O6&lt;&gt;"",O6&lt;&gt;"not_applicable"),AND(OR(AND(IF($J6="",INDEX(primary_jama_2017_21906_disposition,MATCH($A6,primary_jama_2017_21906_key,0)),$J6)&lt;&gt;"",IF($J6="",INDEX(primary_jama_2017_21906_disposition,MATCH($A6,primary_jama_2017_21906_key,0)),$J6)&lt;&gt;"retain"),NOT(OR(IF($K6="",INDEX(primary_jama_2017_21906_domain,MATCH($A6,primary_jama_2017_21906_key,0)),$K6)="protocol_report"))),P6&lt;&gt;"",P6&lt;&gt;"not_applicable")),"CLEAR INACTIVE VALUES",IF(D6="","PENDING",IF(AND(D6&lt;&gt;"agree",LEN(TRIM(E6))=0),"COMMENT NEEDED",IF(F6="yes","CHECKED - see resolution","DRAFT"))))</f>
        <v/>
      </c>
      <c r="H6" s="8" t="inlineStr">
        <is>
          <t>pending</t>
        </is>
      </c>
      <c r="I6" s="11" t="inlineStr"/>
      <c r="J6" s="8" t="inlineStr"/>
      <c r="K6" s="8" t="inlineStr"/>
      <c r="L6" s="8">
        <f>IF(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not_applicable","")</f>
        <v/>
      </c>
      <c r="M6" s="8">
        <f>IF(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not_applicable","")</f>
        <v/>
      </c>
      <c r="N6" s="9">
        <f>IF(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not_applicable","")</f>
        <v/>
      </c>
      <c r="O6" s="8">
        <f>IF(OR(AND(IF($J6="",INDEX(primary_jama_2017_21906_disposition,MATCH($A6,primary_jama_2017_21906_key,0)),$J6)&lt;&gt;"",IF($J6="",INDEX(primary_jama_2017_21906_disposition,MATCH($A6,primary_jama_2017_21906_key,0)),$J6)&lt;&gt;"retain"),NOT(OR(IF($K6="",INDEX(primary_jama_2017_21906_domain,MATCH($A6,primary_jama_2017_21906_key,0)),$K6)="internal_nonstatistical",IF($K6="",INDEX(primary_jama_2017_21906_domain,MATCH($A6,primary_jama_2017_21906_key,0)),$K6)="plan_material"))),"not_applicable","")</f>
        <v/>
      </c>
      <c r="P6" s="9">
        <f>IF(OR(AND(IF($J6="",INDEX(primary_jama_2017_21906_disposition,MATCH($A6,primary_jama_2017_21906_key,0)),$J6)&lt;&gt;"",IF($J6="",INDEX(primary_jama_2017_21906_disposition,MATCH($A6,primary_jama_2017_21906_key,0)),$J6)&lt;&gt;"retain"),NOT(OR(IF($K6="",INDEX(primary_jama_2017_21906_domain,MATCH($A6,primary_jama_2017_21906_key,0)),$K6)="protocol_report"))),"not_applicable","")</f>
        <v/>
      </c>
      <c r="Q6" s="10" t="inlineStr"/>
      <c r="R6" s="10" t="inlineStr"/>
    </row>
    <row r="7" ht="76" customHeight="1">
      <c r="A7" s="3" t="inlineStr">
        <is>
          <t>2018::jama.2017.21906::C006</t>
        </is>
      </c>
      <c r="B7" s="3" t="inlineStr">
        <is>
          <t>jama.2017.21906</t>
        </is>
      </c>
      <c r="C7" s="3" t="inlineStr">
        <is>
          <t>Hospital-type subgroup is reported as prespecified but is absent from the supplied SAP subgroup list</t>
        </is>
      </c>
      <c r="D7" s="8" t="inlineStr"/>
      <c r="E7" s="11" t="inlineStr"/>
      <c r="F7" s="8" t="inlineStr">
        <is>
          <t>no</t>
        </is>
      </c>
      <c r="G7" s="3">
        <f>IF(OR(AND(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L7&lt;&gt;"",L7&lt;&gt;"not_applicable"),AND(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M7&lt;&gt;"",M7&lt;&gt;"not_applicable"),AND(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N7&lt;&gt;"",N7&lt;&gt;"not_applicable"),AND(OR(AND(IF($J7="",INDEX(primary_jama_2017_21906_disposition,MATCH($A7,primary_jama_2017_21906_key,0)),$J7)&lt;&gt;"",IF($J7="",INDEX(primary_jama_2017_21906_disposition,MATCH($A7,primary_jama_2017_21906_key,0)),$J7)&lt;&gt;"retain"),NOT(OR(IF($K7="",INDEX(primary_jama_2017_21906_domain,MATCH($A7,primary_jama_2017_21906_key,0)),$K7)="internal_nonstatistical",IF($K7="",INDEX(primary_jama_2017_21906_domain,MATCH($A7,primary_jama_2017_21906_key,0)),$K7)="plan_material"))),O7&lt;&gt;"",O7&lt;&gt;"not_applicable"),AND(OR(AND(IF($J7="",INDEX(primary_jama_2017_21906_disposition,MATCH($A7,primary_jama_2017_21906_key,0)),$J7)&lt;&gt;"",IF($J7="",INDEX(primary_jama_2017_21906_disposition,MATCH($A7,primary_jama_2017_21906_key,0)),$J7)&lt;&gt;"retain"),NOT(OR(IF($K7="",INDEX(primary_jama_2017_21906_domain,MATCH($A7,primary_jama_2017_21906_key,0)),$K7)="protocol_report"))),P7&lt;&gt;"",P7&lt;&gt;"not_applicable")),"CLEAR INACTIVE VALUES",IF(D7="","PENDING",IF(AND(D7&lt;&gt;"agree",LEN(TRIM(E7))=0),"COMMENT NEEDED",IF(F7="yes","CHECKED - see resolution","DRAFT"))))</f>
        <v/>
      </c>
      <c r="H7" s="8" t="inlineStr">
        <is>
          <t>pending</t>
        </is>
      </c>
      <c r="I7" s="11" t="inlineStr"/>
      <c r="J7" s="8" t="inlineStr"/>
      <c r="K7" s="8" t="inlineStr"/>
      <c r="L7" s="8">
        <f>IF(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not_applicable","")</f>
        <v/>
      </c>
      <c r="M7" s="8">
        <f>IF(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not_applicable","")</f>
        <v/>
      </c>
      <c r="N7" s="9">
        <f>IF(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not_applicable","")</f>
        <v/>
      </c>
      <c r="O7" s="8">
        <f>IF(OR(AND(IF($J7="",INDEX(primary_jama_2017_21906_disposition,MATCH($A7,primary_jama_2017_21906_key,0)),$J7)&lt;&gt;"",IF($J7="",INDEX(primary_jama_2017_21906_disposition,MATCH($A7,primary_jama_2017_21906_key,0)),$J7)&lt;&gt;"retain"),NOT(OR(IF($K7="",INDEX(primary_jama_2017_21906_domain,MATCH($A7,primary_jama_2017_21906_key,0)),$K7)="internal_nonstatistical",IF($K7="",INDEX(primary_jama_2017_21906_domain,MATCH($A7,primary_jama_2017_21906_key,0)),$K7)="plan_material"))),"not_applicable","")</f>
        <v/>
      </c>
      <c r="P7" s="9">
        <f>IF(OR(AND(IF($J7="",INDEX(primary_jama_2017_21906_disposition,MATCH($A7,primary_jama_2017_21906_key,0)),$J7)&lt;&gt;"",IF($J7="",INDEX(primary_jama_2017_21906_disposition,MATCH($A7,primary_jama_2017_21906_key,0)),$J7)&lt;&gt;"retain"),NOT(OR(IF($K7="",INDEX(primary_jama_2017_21906_domain,MATCH($A7,primary_jama_2017_21906_key,0)),$K7)="protocol_report"))),"not_applicable","")</f>
        <v/>
      </c>
      <c r="Q7" s="10" t="inlineStr"/>
      <c r="R7" s="10" t="inlineStr"/>
    </row>
    <row r="8" ht="76" customHeight="1">
      <c r="A8" s="2" t="inlineStr">
        <is>
          <t>2018::jama.2018.0156::C001</t>
        </is>
      </c>
      <c r="B8" s="2" t="inlineStr">
        <is>
          <t>jama.2018.0156</t>
        </is>
      </c>
      <c r="C8" s="2" t="inlineStr">
        <is>
          <t>Noninferiority narrative reverses the displayed bound direction</t>
        </is>
      </c>
      <c r="D8" s="8" t="inlineStr"/>
      <c r="E8" s="11" t="inlineStr"/>
      <c r="F8" s="8" t="inlineStr">
        <is>
          <t>no</t>
        </is>
      </c>
      <c r="G8" s="2">
        <f>IF(OR(AND(OR(AND(IF($J8="",INDEX(primary_jama_2018_0156_disposition,MATCH($A8,primary_jama_2018_0156_key,0)),$J8)&lt;&gt;"",IF($J8="",INDEX(primary_jama_2018_0156_disposition,MATCH($A8,primary_jama_2018_0156_key,0)),$J8)&lt;&gt;"retain"),NOT(OR(IF($K8="",INDEX(primary_jama_2018_0156_domain,MATCH($A8,primary_jama_2018_0156_key,0)),$K8)="statistical_results"))),L8&lt;&gt;"",L8&lt;&gt;"not_applicable"),AND(OR(AND(IF($J8="",INDEX(primary_jama_2018_0156_disposition,MATCH($A8,primary_jama_2018_0156_key,0)),$J8)&lt;&gt;"",IF($J8="",INDEX(primary_jama_2018_0156_disposition,MATCH($A8,primary_jama_2018_0156_key,0)),$J8)&lt;&gt;"retain"),NOT(OR(IF($K8="",INDEX(primary_jama_2018_0156_domain,MATCH($A8,primary_jama_2018_0156_key,0)),$K8)="statistical_results"))),M8&lt;&gt;"",M8&lt;&gt;"not_applicable"),AND(OR(AND(IF($J8="",INDEX(primary_jama_2018_0156_disposition,MATCH($A8,primary_jama_2018_0156_key,0)),$J8)&lt;&gt;"",IF($J8="",INDEX(primary_jama_2018_0156_disposition,MATCH($A8,primary_jama_2018_0156_key,0)),$J8)&lt;&gt;"retain"),NOT(OR(IF($K8="",INDEX(primary_jama_2018_0156_domain,MATCH($A8,primary_jama_2018_0156_key,0)),$K8)="statistical_results"))),N8&lt;&gt;"",N8&lt;&gt;"not_applicable"),AND(OR(AND(IF($J8="",INDEX(primary_jama_2018_0156_disposition,MATCH($A8,primary_jama_2018_0156_key,0)),$J8)&lt;&gt;"",IF($J8="",INDEX(primary_jama_2018_0156_disposition,MATCH($A8,primary_jama_2018_0156_key,0)),$J8)&lt;&gt;"retain"),NOT(OR(IF($K8="",INDEX(primary_jama_2018_0156_domain,MATCH($A8,primary_jama_2018_0156_key,0)),$K8)="internal_nonstatistical",IF($K8="",INDEX(primary_jama_2018_0156_domain,MATCH($A8,primary_jama_2018_0156_key,0)),$K8)="plan_material"))),O8&lt;&gt;"",O8&lt;&gt;"not_applicable"),AND(OR(AND(IF($J8="",INDEX(primary_jama_2018_0156_disposition,MATCH($A8,primary_jama_2018_0156_key,0)),$J8)&lt;&gt;"",IF($J8="",INDEX(primary_jama_2018_0156_disposition,MATCH($A8,primary_jama_2018_0156_key,0)),$J8)&lt;&gt;"retain"),NOT(OR(IF($K8="",INDEX(primary_jama_2018_0156_domain,MATCH($A8,primary_jama_2018_0156_key,0)),$K8)="protocol_report"))),P8&lt;&gt;"",P8&lt;&gt;"not_applicable")),"CLEAR INACTIVE VALUES",IF(D8="","PENDING",IF(AND(D8&lt;&gt;"agree",LEN(TRIM(E8))=0),"COMMENT NEEDED",IF(F8="yes","CHECKED - see resolution","DRAFT"))))</f>
        <v/>
      </c>
      <c r="H8" s="8" t="inlineStr">
        <is>
          <t>pending</t>
        </is>
      </c>
      <c r="I8" s="11" t="inlineStr"/>
      <c r="J8" s="8" t="inlineStr"/>
      <c r="K8" s="8" t="inlineStr"/>
      <c r="L8" s="8">
        <f>IF(OR(AND(IF($J8="",INDEX(primary_jama_2018_0156_disposition,MATCH($A8,primary_jama_2018_0156_key,0)),$J8)&lt;&gt;"",IF($J8="",INDEX(primary_jama_2018_0156_disposition,MATCH($A8,primary_jama_2018_0156_key,0)),$J8)&lt;&gt;"retain"),NOT(OR(IF($K8="",INDEX(primary_jama_2018_0156_domain,MATCH($A8,primary_jama_2018_0156_key,0)),$K8)="statistical_results"))),"not_applicable","")</f>
        <v/>
      </c>
      <c r="M8" s="8">
        <f>IF(OR(AND(IF($J8="",INDEX(primary_jama_2018_0156_disposition,MATCH($A8,primary_jama_2018_0156_key,0)),$J8)&lt;&gt;"",IF($J8="",INDEX(primary_jama_2018_0156_disposition,MATCH($A8,primary_jama_2018_0156_key,0)),$J8)&lt;&gt;"retain"),NOT(OR(IF($K8="",INDEX(primary_jama_2018_0156_domain,MATCH($A8,primary_jama_2018_0156_key,0)),$K8)="statistical_results"))),"not_applicable","")</f>
        <v/>
      </c>
      <c r="N8" s="9">
        <f>IF(OR(AND(IF($J8="",INDEX(primary_jama_2018_0156_disposition,MATCH($A8,primary_jama_2018_0156_key,0)),$J8)&lt;&gt;"",IF($J8="",INDEX(primary_jama_2018_0156_disposition,MATCH($A8,primary_jama_2018_0156_key,0)),$J8)&lt;&gt;"retain"),NOT(OR(IF($K8="",INDEX(primary_jama_2018_0156_domain,MATCH($A8,primary_jama_2018_0156_key,0)),$K8)="statistical_results"))),"not_applicable","")</f>
        <v/>
      </c>
      <c r="O8" s="8">
        <f>IF(OR(AND(IF($J8="",INDEX(primary_jama_2018_0156_disposition,MATCH($A8,primary_jama_2018_0156_key,0)),$J8)&lt;&gt;"",IF($J8="",INDEX(primary_jama_2018_0156_disposition,MATCH($A8,primary_jama_2018_0156_key,0)),$J8)&lt;&gt;"retain"),NOT(OR(IF($K8="",INDEX(primary_jama_2018_0156_domain,MATCH($A8,primary_jama_2018_0156_key,0)),$K8)="internal_nonstatistical",IF($K8="",INDEX(primary_jama_2018_0156_domain,MATCH($A8,primary_jama_2018_0156_key,0)),$K8)="plan_material"))),"not_applicable","")</f>
        <v/>
      </c>
      <c r="P8" s="9">
        <f>IF(OR(AND(IF($J8="",INDEX(primary_jama_2018_0156_disposition,MATCH($A8,primary_jama_2018_0156_key,0)),$J8)&lt;&gt;"",IF($J8="",INDEX(primary_jama_2018_0156_disposition,MATCH($A8,primary_jama_2018_0156_key,0)),$J8)&lt;&gt;"retain"),NOT(OR(IF($K8="",INDEX(primary_jama_2018_0156_domain,MATCH($A8,primary_jama_2018_0156_key,0)),$K8)="protocol_report"))),"not_applicable","")</f>
        <v/>
      </c>
      <c r="Q8" s="10" t="inlineStr"/>
      <c r="R8" s="10" t="inlineStr"/>
    </row>
    <row r="9" ht="76" customHeight="1">
      <c r="A9" s="3" t="inlineStr">
        <is>
          <t>2018::jama.2018.0156::C002</t>
        </is>
      </c>
      <c r="B9" s="3" t="inlineStr">
        <is>
          <t>jama.2018.0156</t>
        </is>
      </c>
      <c r="C9" s="3" t="inlineStr">
        <is>
          <t>Centre-5 pause contrast mixes a count outcome with seconds</t>
        </is>
      </c>
      <c r="D9" s="8" t="inlineStr"/>
      <c r="E9" s="11" t="inlineStr"/>
      <c r="F9" s="8" t="inlineStr">
        <is>
          <t>no</t>
        </is>
      </c>
      <c r="G9" s="3">
        <f>IF(OR(AND(OR(AND(IF($J9="",INDEX(primary_jama_2018_0156_disposition,MATCH($A9,primary_jama_2018_0156_key,0)),$J9)&lt;&gt;"",IF($J9="",INDEX(primary_jama_2018_0156_disposition,MATCH($A9,primary_jama_2018_0156_key,0)),$J9)&lt;&gt;"retain"),NOT(OR(IF($K9="",INDEX(primary_jama_2018_0156_domain,MATCH($A9,primary_jama_2018_0156_key,0)),$K9)="statistical_results"))),L9&lt;&gt;"",L9&lt;&gt;"not_applicable"),AND(OR(AND(IF($J9="",INDEX(primary_jama_2018_0156_disposition,MATCH($A9,primary_jama_2018_0156_key,0)),$J9)&lt;&gt;"",IF($J9="",INDEX(primary_jama_2018_0156_disposition,MATCH($A9,primary_jama_2018_0156_key,0)),$J9)&lt;&gt;"retain"),NOT(OR(IF($K9="",INDEX(primary_jama_2018_0156_domain,MATCH($A9,primary_jama_2018_0156_key,0)),$K9)="statistical_results"))),M9&lt;&gt;"",M9&lt;&gt;"not_applicable"),AND(OR(AND(IF($J9="",INDEX(primary_jama_2018_0156_disposition,MATCH($A9,primary_jama_2018_0156_key,0)),$J9)&lt;&gt;"",IF($J9="",INDEX(primary_jama_2018_0156_disposition,MATCH($A9,primary_jama_2018_0156_key,0)),$J9)&lt;&gt;"retain"),NOT(OR(IF($K9="",INDEX(primary_jama_2018_0156_domain,MATCH($A9,primary_jama_2018_0156_key,0)),$K9)="statistical_results"))),N9&lt;&gt;"",N9&lt;&gt;"not_applicable"),AND(OR(AND(IF($J9="",INDEX(primary_jama_2018_0156_disposition,MATCH($A9,primary_jama_2018_0156_key,0)),$J9)&lt;&gt;"",IF($J9="",INDEX(primary_jama_2018_0156_disposition,MATCH($A9,primary_jama_2018_0156_key,0)),$J9)&lt;&gt;"retain"),NOT(OR(IF($K9="",INDEX(primary_jama_2018_0156_domain,MATCH($A9,primary_jama_2018_0156_key,0)),$K9)="internal_nonstatistical",IF($K9="",INDEX(primary_jama_2018_0156_domain,MATCH($A9,primary_jama_2018_0156_key,0)),$K9)="plan_material"))),O9&lt;&gt;"",O9&lt;&gt;"not_applicable"),AND(OR(AND(IF($J9="",INDEX(primary_jama_2018_0156_disposition,MATCH($A9,primary_jama_2018_0156_key,0)),$J9)&lt;&gt;"",IF($J9="",INDEX(primary_jama_2018_0156_disposition,MATCH($A9,primary_jama_2018_0156_key,0)),$J9)&lt;&gt;"retain"),NOT(OR(IF($K9="",INDEX(primary_jama_2018_0156_domain,MATCH($A9,primary_jama_2018_0156_key,0)),$K9)="protocol_report"))),P9&lt;&gt;"",P9&lt;&gt;"not_applicable")),"CLEAR INACTIVE VALUES",IF(D9="","PENDING",IF(AND(D9&lt;&gt;"agree",LEN(TRIM(E9))=0),"COMMENT NEEDED",IF(F9="yes","CHECKED - see resolution","DRAFT"))))</f>
        <v/>
      </c>
      <c r="H9" s="8" t="inlineStr">
        <is>
          <t>pending</t>
        </is>
      </c>
      <c r="I9" s="11" t="inlineStr"/>
      <c r="J9" s="8" t="inlineStr"/>
      <c r="K9" s="8" t="inlineStr"/>
      <c r="L9" s="8">
        <f>IF(OR(AND(IF($J9="",INDEX(primary_jama_2018_0156_disposition,MATCH($A9,primary_jama_2018_0156_key,0)),$J9)&lt;&gt;"",IF($J9="",INDEX(primary_jama_2018_0156_disposition,MATCH($A9,primary_jama_2018_0156_key,0)),$J9)&lt;&gt;"retain"),NOT(OR(IF($K9="",INDEX(primary_jama_2018_0156_domain,MATCH($A9,primary_jama_2018_0156_key,0)),$K9)="statistical_results"))),"not_applicable","")</f>
        <v/>
      </c>
      <c r="M9" s="8">
        <f>IF(OR(AND(IF($J9="",INDEX(primary_jama_2018_0156_disposition,MATCH($A9,primary_jama_2018_0156_key,0)),$J9)&lt;&gt;"",IF($J9="",INDEX(primary_jama_2018_0156_disposition,MATCH($A9,primary_jama_2018_0156_key,0)),$J9)&lt;&gt;"retain"),NOT(OR(IF($K9="",INDEX(primary_jama_2018_0156_domain,MATCH($A9,primary_jama_2018_0156_key,0)),$K9)="statistical_results"))),"not_applicable","")</f>
        <v/>
      </c>
      <c r="N9" s="9">
        <f>IF(OR(AND(IF($J9="",INDEX(primary_jama_2018_0156_disposition,MATCH($A9,primary_jama_2018_0156_key,0)),$J9)&lt;&gt;"",IF($J9="",INDEX(primary_jama_2018_0156_disposition,MATCH($A9,primary_jama_2018_0156_key,0)),$J9)&lt;&gt;"retain"),NOT(OR(IF($K9="",INDEX(primary_jama_2018_0156_domain,MATCH($A9,primary_jama_2018_0156_key,0)),$K9)="statistical_results"))),"not_applicable","")</f>
        <v/>
      </c>
      <c r="O9" s="8">
        <f>IF(OR(AND(IF($J9="",INDEX(primary_jama_2018_0156_disposition,MATCH($A9,primary_jama_2018_0156_key,0)),$J9)&lt;&gt;"",IF($J9="",INDEX(primary_jama_2018_0156_disposition,MATCH($A9,primary_jama_2018_0156_key,0)),$J9)&lt;&gt;"retain"),NOT(OR(IF($K9="",INDEX(primary_jama_2018_0156_domain,MATCH($A9,primary_jama_2018_0156_key,0)),$K9)="internal_nonstatistical",IF($K9="",INDEX(primary_jama_2018_0156_domain,MATCH($A9,primary_jama_2018_0156_key,0)),$K9)="plan_material"))),"not_applicable","")</f>
        <v/>
      </c>
      <c r="P9" s="9">
        <f>IF(OR(AND(IF($J9="",INDEX(primary_jama_2018_0156_disposition,MATCH($A9,primary_jama_2018_0156_key,0)),$J9)&lt;&gt;"",IF($J9="",INDEX(primary_jama_2018_0156_disposition,MATCH($A9,primary_jama_2018_0156_key,0)),$J9)&lt;&gt;"retain"),NOT(OR(IF($K9="",INDEX(primary_jama_2018_0156_domain,MATCH($A9,primary_jama_2018_0156_key,0)),$K9)="protocol_report"))),"not_applicable","")</f>
        <v/>
      </c>
      <c r="Q9" s="10" t="inlineStr"/>
      <c r="R9" s="10" t="inlineStr"/>
    </row>
    <row r="10" ht="76" customHeight="1">
      <c r="A10" s="2" t="inlineStr">
        <is>
          <t>2018::jama.2018.0156::C003</t>
        </is>
      </c>
      <c r="B10" s="2" t="inlineStr">
        <is>
          <t>jama.2018.0156</t>
        </is>
      </c>
      <c r="C10" s="2" t="inlineStr">
        <is>
          <t>PP day-28 survival point difference does not round from the printed inputs</t>
        </is>
      </c>
      <c r="D10" s="8" t="inlineStr"/>
      <c r="E10" s="11" t="inlineStr"/>
      <c r="F10" s="8" t="inlineStr">
        <is>
          <t>no</t>
        </is>
      </c>
      <c r="G10" s="2">
        <f>IF(OR(AND(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L10&lt;&gt;"",L10&lt;&gt;"not_applicable"),AND(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M10&lt;&gt;"",M10&lt;&gt;"not_applicable"),AND(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N10&lt;&gt;"",N10&lt;&gt;"not_applicable"),AND(OR(AND(IF($J10="",INDEX(primary_jama_2018_0156_disposition,MATCH($A10,primary_jama_2018_0156_key,0)),$J10)&lt;&gt;"",IF($J10="",INDEX(primary_jama_2018_0156_disposition,MATCH($A10,primary_jama_2018_0156_key,0)),$J10)&lt;&gt;"retain"),NOT(OR(IF($K10="",INDEX(primary_jama_2018_0156_domain,MATCH($A10,primary_jama_2018_0156_key,0)),$K10)="internal_nonstatistical",IF($K10="",INDEX(primary_jama_2018_0156_domain,MATCH($A10,primary_jama_2018_0156_key,0)),$K10)="plan_material"))),O10&lt;&gt;"",O10&lt;&gt;"not_applicable"),AND(OR(AND(IF($J10="",INDEX(primary_jama_2018_0156_disposition,MATCH($A10,primary_jama_2018_0156_key,0)),$J10)&lt;&gt;"",IF($J10="",INDEX(primary_jama_2018_0156_disposition,MATCH($A10,primary_jama_2018_0156_key,0)),$J10)&lt;&gt;"retain"),NOT(OR(IF($K10="",INDEX(primary_jama_2018_0156_domain,MATCH($A10,primary_jama_2018_0156_key,0)),$K10)="protocol_report"))),P10&lt;&gt;"",P10&lt;&gt;"not_applicable")),"CLEAR INACTIVE VALUES",IF(D10="","PENDING",IF(AND(D10&lt;&gt;"agree",LEN(TRIM(E10))=0),"COMMENT NEEDED",IF(F10="yes","CHECKED - see resolution","DRAFT"))))</f>
        <v/>
      </c>
      <c r="H10" s="8" t="inlineStr">
        <is>
          <t>pending</t>
        </is>
      </c>
      <c r="I10" s="11" t="inlineStr"/>
      <c r="J10" s="8" t="inlineStr"/>
      <c r="K10" s="8" t="inlineStr"/>
      <c r="L10" s="8">
        <f>IF(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not_applicable","")</f>
        <v/>
      </c>
      <c r="M10" s="8">
        <f>IF(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not_applicable","")</f>
        <v/>
      </c>
      <c r="N10" s="9">
        <f>IF(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not_applicable","")</f>
        <v/>
      </c>
      <c r="O10" s="8">
        <f>IF(OR(AND(IF($J10="",INDEX(primary_jama_2018_0156_disposition,MATCH($A10,primary_jama_2018_0156_key,0)),$J10)&lt;&gt;"",IF($J10="",INDEX(primary_jama_2018_0156_disposition,MATCH($A10,primary_jama_2018_0156_key,0)),$J10)&lt;&gt;"retain"),NOT(OR(IF($K10="",INDEX(primary_jama_2018_0156_domain,MATCH($A10,primary_jama_2018_0156_key,0)),$K10)="internal_nonstatistical",IF($K10="",INDEX(primary_jama_2018_0156_domain,MATCH($A10,primary_jama_2018_0156_key,0)),$K10)="plan_material"))),"not_applicable","")</f>
        <v/>
      </c>
      <c r="P10" s="9">
        <f>IF(OR(AND(IF($J10="",INDEX(primary_jama_2018_0156_disposition,MATCH($A10,primary_jama_2018_0156_key,0)),$J10)&lt;&gt;"",IF($J10="",INDEX(primary_jama_2018_0156_disposition,MATCH($A10,primary_jama_2018_0156_key,0)),$J10)&lt;&gt;"retain"),NOT(OR(IF($K10="",INDEX(primary_jama_2018_0156_domain,MATCH($A10,primary_jama_2018_0156_key,0)),$K10)="protocol_report"))),"not_applicable","")</f>
        <v/>
      </c>
      <c r="Q10" s="10" t="inlineStr"/>
      <c r="R10" s="10" t="inlineStr"/>
    </row>
    <row r="11" ht="76" customHeight="1">
      <c r="A11" s="3" t="inlineStr">
        <is>
          <t>2018::jama.2018.0156::C004</t>
        </is>
      </c>
      <c r="B11" s="3" t="inlineStr">
        <is>
          <t>jama.2018.0156</t>
        </is>
      </c>
      <c r="C11" s="3" t="inlineStr">
        <is>
          <t>PP day-28 survival confidence interval has an unresolved scale/precision inconsistency</t>
        </is>
      </c>
      <c r="D11" s="8" t="inlineStr"/>
      <c r="E11" s="11" t="inlineStr"/>
      <c r="F11" s="8" t="inlineStr">
        <is>
          <t>no</t>
        </is>
      </c>
      <c r="G11" s="3">
        <f>IF(OR(AND(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L11&lt;&gt;"",L11&lt;&gt;"not_applicable"),AND(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M11&lt;&gt;"",M11&lt;&gt;"not_applicable"),AND(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N11&lt;&gt;"",N11&lt;&gt;"not_applicable"),AND(OR(AND(IF($J11="",INDEX(primary_jama_2018_0156_disposition,MATCH($A11,primary_jama_2018_0156_key,0)),$J11)&lt;&gt;"",IF($J11="",INDEX(primary_jama_2018_0156_disposition,MATCH($A11,primary_jama_2018_0156_key,0)),$J11)&lt;&gt;"retain"),NOT(OR(IF($K11="",INDEX(primary_jama_2018_0156_domain,MATCH($A11,primary_jama_2018_0156_key,0)),$K11)="internal_nonstatistical",IF($K11="",INDEX(primary_jama_2018_0156_domain,MATCH($A11,primary_jama_2018_0156_key,0)),$K11)="plan_material"))),O11&lt;&gt;"",O11&lt;&gt;"not_applicable"),AND(OR(AND(IF($J11="",INDEX(primary_jama_2018_0156_disposition,MATCH($A11,primary_jama_2018_0156_key,0)),$J11)&lt;&gt;"",IF($J11="",INDEX(primary_jama_2018_0156_disposition,MATCH($A11,primary_jama_2018_0156_key,0)),$J11)&lt;&gt;"retain"),NOT(OR(IF($K11="",INDEX(primary_jama_2018_0156_domain,MATCH($A11,primary_jama_2018_0156_key,0)),$K11)="protocol_report"))),P11&lt;&gt;"",P11&lt;&gt;"not_applicable")),"CLEAR INACTIVE VALUES",IF(D11="","PENDING",IF(AND(D11&lt;&gt;"agree",LEN(TRIM(E11))=0),"COMMENT NEEDED",IF(F11="yes","CHECKED - see resolution","DRAFT"))))</f>
        <v/>
      </c>
      <c r="H11" s="8" t="inlineStr">
        <is>
          <t>pending</t>
        </is>
      </c>
      <c r="I11" s="11" t="inlineStr"/>
      <c r="J11" s="8" t="inlineStr"/>
      <c r="K11" s="8" t="inlineStr"/>
      <c r="L11" s="8">
        <f>IF(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not_applicable","")</f>
        <v/>
      </c>
      <c r="M11" s="8">
        <f>IF(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not_applicable","")</f>
        <v/>
      </c>
      <c r="N11" s="9">
        <f>IF(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not_applicable","")</f>
        <v/>
      </c>
      <c r="O11" s="8">
        <f>IF(OR(AND(IF($J11="",INDEX(primary_jama_2018_0156_disposition,MATCH($A11,primary_jama_2018_0156_key,0)),$J11)&lt;&gt;"",IF($J11="",INDEX(primary_jama_2018_0156_disposition,MATCH($A11,primary_jama_2018_0156_key,0)),$J11)&lt;&gt;"retain"),NOT(OR(IF($K11="",INDEX(primary_jama_2018_0156_domain,MATCH($A11,primary_jama_2018_0156_key,0)),$K11)="internal_nonstatistical",IF($K11="",INDEX(primary_jama_2018_0156_domain,MATCH($A11,primary_jama_2018_0156_key,0)),$K11)="plan_material"))),"not_applicable","")</f>
        <v/>
      </c>
      <c r="P11" s="9">
        <f>IF(OR(AND(IF($J11="",INDEX(primary_jama_2018_0156_disposition,MATCH($A11,primary_jama_2018_0156_key,0)),$J11)&lt;&gt;"",IF($J11="",INDEX(primary_jama_2018_0156_disposition,MATCH($A11,primary_jama_2018_0156_key,0)),$J11)&lt;&gt;"retain"),NOT(OR(IF($K11="",INDEX(primary_jama_2018_0156_domain,MATCH($A11,primary_jama_2018_0156_key,0)),$K11)="protocol_report"))),"not_applicable","")</f>
        <v/>
      </c>
      <c r="Q11" s="10" t="inlineStr"/>
      <c r="R11" s="10" t="inlineStr"/>
    </row>
    <row r="12" ht="76" customHeight="1">
      <c r="A12" s="2" t="inlineStr">
        <is>
          <t>2018::jama.2018.0156::C005</t>
        </is>
      </c>
      <c r="B12" s="2" t="inlineStr">
        <is>
          <t>jama.2018.0156</t>
        </is>
      </c>
      <c r="C12" s="2" t="inlineStr">
        <is>
          <t>PP ROSC ETI percentage conflicts with its count, denominator, and signed difference</t>
        </is>
      </c>
      <c r="D12" s="8" t="inlineStr"/>
      <c r="E12" s="11" t="inlineStr"/>
      <c r="F12" s="8" t="inlineStr">
        <is>
          <t>no</t>
        </is>
      </c>
      <c r="G12" s="2">
        <f>IF(OR(AND(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L12&lt;&gt;"",L12&lt;&gt;"not_applicable"),AND(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M12&lt;&gt;"",M12&lt;&gt;"not_applicable"),AND(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N12&lt;&gt;"",N12&lt;&gt;"not_applicable"),AND(OR(AND(IF($J12="",INDEX(primary_jama_2018_0156_disposition,MATCH($A12,primary_jama_2018_0156_key,0)),$J12)&lt;&gt;"",IF($J12="",INDEX(primary_jama_2018_0156_disposition,MATCH($A12,primary_jama_2018_0156_key,0)),$J12)&lt;&gt;"retain"),NOT(OR(IF($K12="",INDEX(primary_jama_2018_0156_domain,MATCH($A12,primary_jama_2018_0156_key,0)),$K12)="internal_nonstatistical",IF($K12="",INDEX(primary_jama_2018_0156_domain,MATCH($A12,primary_jama_2018_0156_key,0)),$K12)="plan_material"))),O12&lt;&gt;"",O12&lt;&gt;"not_applicable"),AND(OR(AND(IF($J12="",INDEX(primary_jama_2018_0156_disposition,MATCH($A12,primary_jama_2018_0156_key,0)),$J12)&lt;&gt;"",IF($J12="",INDEX(primary_jama_2018_0156_disposition,MATCH($A12,primary_jama_2018_0156_key,0)),$J12)&lt;&gt;"retain"),NOT(OR(IF($K12="",INDEX(primary_jama_2018_0156_domain,MATCH($A12,primary_jama_2018_0156_key,0)),$K12)="protocol_report"))),P12&lt;&gt;"",P12&lt;&gt;"not_applicable")),"CLEAR INACTIVE VALUES",IF(D12="","PENDING",IF(AND(D12&lt;&gt;"agree",LEN(TRIM(E12))=0),"COMMENT NEEDED",IF(F12="yes","CHECKED - see resolution","DRAFT"))))</f>
        <v/>
      </c>
      <c r="H12" s="8" t="inlineStr">
        <is>
          <t>pending</t>
        </is>
      </c>
      <c r="I12" s="11" t="inlineStr"/>
      <c r="J12" s="8" t="inlineStr"/>
      <c r="K12" s="8" t="inlineStr"/>
      <c r="L12" s="8">
        <f>IF(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not_applicable","")</f>
        <v/>
      </c>
      <c r="M12" s="8">
        <f>IF(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not_applicable","")</f>
        <v/>
      </c>
      <c r="N12" s="9">
        <f>IF(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not_applicable","")</f>
        <v/>
      </c>
      <c r="O12" s="8">
        <f>IF(OR(AND(IF($J12="",INDEX(primary_jama_2018_0156_disposition,MATCH($A12,primary_jama_2018_0156_key,0)),$J12)&lt;&gt;"",IF($J12="",INDEX(primary_jama_2018_0156_disposition,MATCH($A12,primary_jama_2018_0156_key,0)),$J12)&lt;&gt;"retain"),NOT(OR(IF($K12="",INDEX(primary_jama_2018_0156_domain,MATCH($A12,primary_jama_2018_0156_key,0)),$K12)="internal_nonstatistical",IF($K12="",INDEX(primary_jama_2018_0156_domain,MATCH($A12,primary_jama_2018_0156_key,0)),$K12)="plan_material"))),"not_applicable","")</f>
        <v/>
      </c>
      <c r="P12" s="9">
        <f>IF(OR(AND(IF($J12="",INDEX(primary_jama_2018_0156_disposition,MATCH($A12,primary_jama_2018_0156_key,0)),$J12)&lt;&gt;"",IF($J12="",INDEX(primary_jama_2018_0156_disposition,MATCH($A12,primary_jama_2018_0156_key,0)),$J12)&lt;&gt;"retain"),NOT(OR(IF($K12="",INDEX(primary_jama_2018_0156_domain,MATCH($A12,primary_jama_2018_0156_key,0)),$K12)="protocol_report"))),"not_applicable","")</f>
        <v/>
      </c>
      <c r="Q12" s="10" t="inlineStr"/>
      <c r="R12" s="10" t="inlineStr"/>
    </row>
    <row r="13" ht="76" customHeight="1">
      <c r="A13" s="3" t="inlineStr">
        <is>
          <t>2018::jama.2018.0156::C006</t>
        </is>
      </c>
      <c r="B13" s="3" t="inlineStr">
        <is>
          <t>jama.2018.0156</t>
        </is>
      </c>
      <c r="C13" s="3" t="inlineStr">
        <is>
          <t>Main article and eTable report different contributing-centre counts</t>
        </is>
      </c>
      <c r="D13" s="8" t="inlineStr"/>
      <c r="E13" s="11" t="inlineStr"/>
      <c r="F13" s="8" t="inlineStr">
        <is>
          <t>no</t>
        </is>
      </c>
      <c r="G13" s="3">
        <f>IF(OR(AND(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L13&lt;&gt;"",L13&lt;&gt;"not_applicable"),AND(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M13&lt;&gt;"",M13&lt;&gt;"not_applicable"),AND(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N13&lt;&gt;"",N13&lt;&gt;"not_applicable"),AND(OR(AND(IF($J13="",INDEX(primary_jama_2018_0156_disposition,MATCH($A13,primary_jama_2018_0156_key,0)),$J13)&lt;&gt;"",IF($J13="",INDEX(primary_jama_2018_0156_disposition,MATCH($A13,primary_jama_2018_0156_key,0)),$J13)&lt;&gt;"retain"),NOT(OR(IF($K13="",INDEX(primary_jama_2018_0156_domain,MATCH($A13,primary_jama_2018_0156_key,0)),$K13)="internal_nonstatistical",IF($K13="",INDEX(primary_jama_2018_0156_domain,MATCH($A13,primary_jama_2018_0156_key,0)),$K13)="plan_material"))),O13&lt;&gt;"",O13&lt;&gt;"not_applicable"),AND(OR(AND(IF($J13="",INDEX(primary_jama_2018_0156_disposition,MATCH($A13,primary_jama_2018_0156_key,0)),$J13)&lt;&gt;"",IF($J13="",INDEX(primary_jama_2018_0156_disposition,MATCH($A13,primary_jama_2018_0156_key,0)),$J13)&lt;&gt;"retain"),NOT(OR(IF($K13="",INDEX(primary_jama_2018_0156_domain,MATCH($A13,primary_jama_2018_0156_key,0)),$K13)="protocol_report"))),P13&lt;&gt;"",P13&lt;&gt;"not_applicable")),"CLEAR INACTIVE VALUES",IF(D13="","PENDING",IF(AND(D13&lt;&gt;"agree",LEN(TRIM(E13))=0),"COMMENT NEEDED",IF(F13="yes","CHECKED - see resolution","DRAFT"))))</f>
        <v/>
      </c>
      <c r="H13" s="8" t="inlineStr">
        <is>
          <t>pending</t>
        </is>
      </c>
      <c r="I13" s="11" t="inlineStr"/>
      <c r="J13" s="8" t="inlineStr"/>
      <c r="K13" s="8" t="inlineStr"/>
      <c r="L13" s="8">
        <f>IF(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not_applicable","")</f>
        <v/>
      </c>
      <c r="M13" s="8">
        <f>IF(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not_applicable","")</f>
        <v/>
      </c>
      <c r="N13" s="9">
        <f>IF(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not_applicable","")</f>
        <v/>
      </c>
      <c r="O13" s="8">
        <f>IF(OR(AND(IF($J13="",INDEX(primary_jama_2018_0156_disposition,MATCH($A13,primary_jama_2018_0156_key,0)),$J13)&lt;&gt;"",IF($J13="",INDEX(primary_jama_2018_0156_disposition,MATCH($A13,primary_jama_2018_0156_key,0)),$J13)&lt;&gt;"retain"),NOT(OR(IF($K13="",INDEX(primary_jama_2018_0156_domain,MATCH($A13,primary_jama_2018_0156_key,0)),$K13)="internal_nonstatistical",IF($K13="",INDEX(primary_jama_2018_0156_domain,MATCH($A13,primary_jama_2018_0156_key,0)),$K13)="plan_material"))),"not_applicable","")</f>
        <v/>
      </c>
      <c r="P13" s="9">
        <f>IF(OR(AND(IF($J13="",INDEX(primary_jama_2018_0156_disposition,MATCH($A13,primary_jama_2018_0156_key,0)),$J13)&lt;&gt;"",IF($J13="",INDEX(primary_jama_2018_0156_disposition,MATCH($A13,primary_jama_2018_0156_key,0)),$J13)&lt;&gt;"retain"),NOT(OR(IF($K13="",INDEX(primary_jama_2018_0156_domain,MATCH($A13,primary_jama_2018_0156_key,0)),$K13)="protocol_report"))),"not_applicable","")</f>
        <v/>
      </c>
      <c r="Q13" s="10" t="inlineStr"/>
      <c r="R13" s="10" t="inlineStr"/>
    </row>
    <row r="14" ht="76" customHeight="1">
      <c r="A14" s="2" t="inlineStr">
        <is>
          <t>2018::jama.2018.0156::C007</t>
        </is>
      </c>
      <c r="B14" s="2" t="inlineStr">
        <is>
          <t>jama.2018.0156</t>
        </is>
      </c>
      <c r="C14" s="2" t="inlineStr">
        <is>
          <t>Published primary-endpoint description omits the amended baseline-disability qualification</t>
        </is>
      </c>
      <c r="D14" s="8" t="inlineStr"/>
      <c r="E14" s="11" t="inlineStr"/>
      <c r="F14" s="8" t="inlineStr">
        <is>
          <t>no</t>
        </is>
      </c>
      <c r="G14" s="2">
        <f>IF(OR(AND(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L14&lt;&gt;"",L14&lt;&gt;"not_applicable"),AND(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M14&lt;&gt;"",M14&lt;&gt;"not_applicable"),AND(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N14&lt;&gt;"",N14&lt;&gt;"not_applicable"),AND(OR(AND(IF($J14="",INDEX(primary_jama_2018_0156_disposition,MATCH($A14,primary_jama_2018_0156_key,0)),$J14)&lt;&gt;"",IF($J14="",INDEX(primary_jama_2018_0156_disposition,MATCH($A14,primary_jama_2018_0156_key,0)),$J14)&lt;&gt;"retain"),NOT(OR(IF($K14="",INDEX(primary_jama_2018_0156_domain,MATCH($A14,primary_jama_2018_0156_key,0)),$K14)="internal_nonstatistical",IF($K14="",INDEX(primary_jama_2018_0156_domain,MATCH($A14,primary_jama_2018_0156_key,0)),$K14)="plan_material"))),O14&lt;&gt;"",O14&lt;&gt;"not_applicable"),AND(OR(AND(IF($J14="",INDEX(primary_jama_2018_0156_disposition,MATCH($A14,primary_jama_2018_0156_key,0)),$J14)&lt;&gt;"",IF($J14="",INDEX(primary_jama_2018_0156_disposition,MATCH($A14,primary_jama_2018_0156_key,0)),$J14)&lt;&gt;"retain"),NOT(OR(IF($K14="",INDEX(primary_jama_2018_0156_domain,MATCH($A14,primary_jama_2018_0156_key,0)),$K14)="protocol_report"))),P14&lt;&gt;"",P14&lt;&gt;"not_applicable")),"CLEAR INACTIVE VALUES",IF(D14="","PENDING",IF(AND(D14&lt;&gt;"agree",LEN(TRIM(E14))=0),"COMMENT NEEDED",IF(F14="yes","CHECKED - see resolution","DRAFT"))))</f>
        <v/>
      </c>
      <c r="H14" s="8" t="inlineStr">
        <is>
          <t>pending</t>
        </is>
      </c>
      <c r="I14" s="11" t="inlineStr"/>
      <c r="J14" s="8" t="inlineStr"/>
      <c r="K14" s="8" t="inlineStr"/>
      <c r="L14" s="8">
        <f>IF(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not_applicable","")</f>
        <v/>
      </c>
      <c r="M14" s="8">
        <f>IF(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not_applicable","")</f>
        <v/>
      </c>
      <c r="N14" s="9">
        <f>IF(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not_applicable","")</f>
        <v/>
      </c>
      <c r="O14" s="8">
        <f>IF(OR(AND(IF($J14="",INDEX(primary_jama_2018_0156_disposition,MATCH($A14,primary_jama_2018_0156_key,0)),$J14)&lt;&gt;"",IF($J14="",INDEX(primary_jama_2018_0156_disposition,MATCH($A14,primary_jama_2018_0156_key,0)),$J14)&lt;&gt;"retain"),NOT(OR(IF($K14="",INDEX(primary_jama_2018_0156_domain,MATCH($A14,primary_jama_2018_0156_key,0)),$K14)="internal_nonstatistical",IF($K14="",INDEX(primary_jama_2018_0156_domain,MATCH($A14,primary_jama_2018_0156_key,0)),$K14)="plan_material"))),"not_applicable","")</f>
        <v/>
      </c>
      <c r="P14" s="9">
        <f>IF(OR(AND(IF($J14="",INDEX(primary_jama_2018_0156_disposition,MATCH($A14,primary_jama_2018_0156_key,0)),$J14)&lt;&gt;"",IF($J14="",INDEX(primary_jama_2018_0156_disposition,MATCH($A14,primary_jama_2018_0156_key,0)),$J14)&lt;&gt;"retain"),NOT(OR(IF($K14="",INDEX(primary_jama_2018_0156_domain,MATCH($A14,primary_jama_2018_0156_key,0)),$K14)="protocol_report"))),"not_applicable","")</f>
        <v/>
      </c>
      <c r="Q14" s="10" t="inlineStr"/>
      <c r="R14" s="10" t="inlineStr"/>
    </row>
    <row r="15" ht="76" customHeight="1">
      <c r="A15" s="3" t="inlineStr">
        <is>
          <t>2018::jama.2018.0156::C008</t>
        </is>
      </c>
      <c r="B15" s="3" t="inlineStr">
        <is>
          <t>jama.2018.0156</t>
        </is>
      </c>
      <c r="C15" s="3" t="inlineStr">
        <is>
          <t>Protocol composite technique-failure definition cannot reconcile with the article’s smaller ETI failure count if they are the same endpoint</t>
        </is>
      </c>
      <c r="D15" s="8" t="inlineStr"/>
      <c r="E15" s="11" t="inlineStr"/>
      <c r="F15" s="8" t="inlineStr">
        <is>
          <t>no</t>
        </is>
      </c>
      <c r="G15" s="3">
        <f>IF(OR(AND(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L15&lt;&gt;"",L15&lt;&gt;"not_applicable"),AND(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M15&lt;&gt;"",M15&lt;&gt;"not_applicable"),AND(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N15&lt;&gt;"",N15&lt;&gt;"not_applicable"),AND(OR(AND(IF($J15="",INDEX(primary_jama_2018_0156_disposition,MATCH($A15,primary_jama_2018_0156_key,0)),$J15)&lt;&gt;"",IF($J15="",INDEX(primary_jama_2018_0156_disposition,MATCH($A15,primary_jama_2018_0156_key,0)),$J15)&lt;&gt;"retain"),NOT(OR(IF($K15="",INDEX(primary_jama_2018_0156_domain,MATCH($A15,primary_jama_2018_0156_key,0)),$K15)="internal_nonstatistical",IF($K15="",INDEX(primary_jama_2018_0156_domain,MATCH($A15,primary_jama_2018_0156_key,0)),$K15)="plan_material"))),O15&lt;&gt;"",O15&lt;&gt;"not_applicable"),AND(OR(AND(IF($J15="",INDEX(primary_jama_2018_0156_disposition,MATCH($A15,primary_jama_2018_0156_key,0)),$J15)&lt;&gt;"",IF($J15="",INDEX(primary_jama_2018_0156_disposition,MATCH($A15,primary_jama_2018_0156_key,0)),$J15)&lt;&gt;"retain"),NOT(OR(IF($K15="",INDEX(primary_jama_2018_0156_domain,MATCH($A15,primary_jama_2018_0156_key,0)),$K15)="protocol_report"))),P15&lt;&gt;"",P15&lt;&gt;"not_applicable")),"CLEAR INACTIVE VALUES",IF(D15="","PENDING",IF(AND(D15&lt;&gt;"agree",LEN(TRIM(E15))=0),"COMMENT NEEDED",IF(F15="yes","CHECKED - see resolution","DRAFT"))))</f>
        <v/>
      </c>
      <c r="H15" s="8" t="inlineStr">
        <is>
          <t>pending</t>
        </is>
      </c>
      <c r="I15" s="11" t="inlineStr"/>
      <c r="J15" s="8" t="inlineStr"/>
      <c r="K15" s="8" t="inlineStr"/>
      <c r="L15" s="8">
        <f>IF(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not_applicable","")</f>
        <v/>
      </c>
      <c r="M15" s="8">
        <f>IF(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not_applicable","")</f>
        <v/>
      </c>
      <c r="N15" s="9">
        <f>IF(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not_applicable","")</f>
        <v/>
      </c>
      <c r="O15" s="8">
        <f>IF(OR(AND(IF($J15="",INDEX(primary_jama_2018_0156_disposition,MATCH($A15,primary_jama_2018_0156_key,0)),$J15)&lt;&gt;"",IF($J15="",INDEX(primary_jama_2018_0156_disposition,MATCH($A15,primary_jama_2018_0156_key,0)),$J15)&lt;&gt;"retain"),NOT(OR(IF($K15="",INDEX(primary_jama_2018_0156_domain,MATCH($A15,primary_jama_2018_0156_key,0)),$K15)="internal_nonstatistical",IF($K15="",INDEX(primary_jama_2018_0156_domain,MATCH($A15,primary_jama_2018_0156_key,0)),$K15)="plan_material"))),"not_applicable","")</f>
        <v/>
      </c>
      <c r="P15" s="9">
        <f>IF(OR(AND(IF($J15="",INDEX(primary_jama_2018_0156_disposition,MATCH($A15,primary_jama_2018_0156_key,0)),$J15)&lt;&gt;"",IF($J15="",INDEX(primary_jama_2018_0156_disposition,MATCH($A15,primary_jama_2018_0156_key,0)),$J15)&lt;&gt;"retain"),NOT(OR(IF($K15="",INDEX(primary_jama_2018_0156_domain,MATCH($A15,primary_jama_2018_0156_key,0)),$K15)="protocol_report"))),"not_applicable","")</f>
        <v/>
      </c>
      <c r="Q15" s="10" t="inlineStr"/>
      <c r="R15" s="10" t="inlineStr"/>
    </row>
    <row r="16" ht="76" customHeight="1">
      <c r="A16" s="2" t="inlineStr">
        <is>
          <t>2018::jama.2018.0948::C001</t>
        </is>
      </c>
      <c r="B16" s="2" t="inlineStr">
        <is>
          <t>jama.2018.0948</t>
        </is>
      </c>
      <c r="C16" s="2" t="inlineStr">
        <is>
          <t>Inclusive versus exclusive fluid threshold in the SCD definition</t>
        </is>
      </c>
      <c r="D16" s="8" t="inlineStr"/>
      <c r="E16" s="11" t="inlineStr"/>
      <c r="F16" s="8" t="inlineStr">
        <is>
          <t>no</t>
        </is>
      </c>
      <c r="G16" s="2">
        <f>IF(OR(AND(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L16&lt;&gt;"",L16&lt;&gt;"not_applicable"),AND(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M16&lt;&gt;"",M16&lt;&gt;"not_applicable"),AND(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N16&lt;&gt;"",N16&lt;&gt;"not_applicable"),AND(OR(AND(IF($J16="",INDEX(primary_jama_2018_0948_disposition,MATCH($A16,primary_jama_2018_0948_key,0)),$J16)&lt;&gt;"",IF($J16="",INDEX(primary_jama_2018_0948_disposition,MATCH($A16,primary_jama_2018_0948_key,0)),$J16)&lt;&gt;"retain"),NOT(OR(IF($K16="",INDEX(primary_jama_2018_0948_domain,MATCH($A16,primary_jama_2018_0948_key,0)),$K16)="internal_nonstatistical",IF($K16="",INDEX(primary_jama_2018_0948_domain,MATCH($A16,primary_jama_2018_0948_key,0)),$K16)="plan_material"))),O16&lt;&gt;"",O16&lt;&gt;"not_applicable"),AND(OR(AND(IF($J16="",INDEX(primary_jama_2018_0948_disposition,MATCH($A16,primary_jama_2018_0948_key,0)),$J16)&lt;&gt;"",IF($J16="",INDEX(primary_jama_2018_0948_disposition,MATCH($A16,primary_jama_2018_0948_key,0)),$J16)&lt;&gt;"retain"),NOT(OR(IF($K16="",INDEX(primary_jama_2018_0948_domain,MATCH($A16,primary_jama_2018_0948_key,0)),$K16)="protocol_report"))),P16&lt;&gt;"",P16&lt;&gt;"not_applicable")),"CLEAR INACTIVE VALUES",IF(D16="","PENDING",IF(AND(D16&lt;&gt;"agree",LEN(TRIM(E16))=0),"COMMENT NEEDED",IF(F16="yes","CHECKED - see resolution","DRAFT"))))</f>
        <v/>
      </c>
      <c r="H16" s="8" t="inlineStr">
        <is>
          <t>pending</t>
        </is>
      </c>
      <c r="I16" s="11" t="inlineStr"/>
      <c r="J16" s="8" t="inlineStr"/>
      <c r="K16" s="8" t="inlineStr"/>
      <c r="L16" s="8">
        <f>IF(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not_applicable","")</f>
        <v/>
      </c>
      <c r="M16" s="8">
        <f>IF(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not_applicable","")</f>
        <v/>
      </c>
      <c r="N16" s="9">
        <f>IF(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not_applicable","")</f>
        <v/>
      </c>
      <c r="O16" s="8">
        <f>IF(OR(AND(IF($J16="",INDEX(primary_jama_2018_0948_disposition,MATCH($A16,primary_jama_2018_0948_key,0)),$J16)&lt;&gt;"",IF($J16="",INDEX(primary_jama_2018_0948_disposition,MATCH($A16,primary_jama_2018_0948_key,0)),$J16)&lt;&gt;"retain"),NOT(OR(IF($K16="",INDEX(primary_jama_2018_0948_domain,MATCH($A16,primary_jama_2018_0948_key,0)),$K16)="internal_nonstatistical",IF($K16="",INDEX(primary_jama_2018_0948_domain,MATCH($A16,primary_jama_2018_0948_key,0)),$K16)="plan_material"))),"not_applicable","")</f>
        <v/>
      </c>
      <c r="P16" s="9">
        <f>IF(OR(AND(IF($J16="",INDEX(primary_jama_2018_0948_disposition,MATCH($A16,primary_jama_2018_0948_key,0)),$J16)&lt;&gt;"",IF($J16="",INDEX(primary_jama_2018_0948_disposition,MATCH($A16,primary_jama_2018_0948_key,0)),$J16)&lt;&gt;"retain"),NOT(OR(IF($K16="",INDEX(primary_jama_2018_0948_domain,MATCH($A16,primary_jama_2018_0948_key,0)),$K16)="protocol_report"))),"not_applicable","")</f>
        <v/>
      </c>
      <c r="Q16" s="10" t="inlineStr"/>
      <c r="R16" s="10" t="inlineStr"/>
    </row>
    <row r="17" ht="76" customHeight="1">
      <c r="A17" s="3" t="inlineStr">
        <is>
          <t>2018::jama.2018.0948::C002</t>
        </is>
      </c>
      <c r="B17" s="3" t="inlineStr">
        <is>
          <t>jama.2018.0948</t>
        </is>
      </c>
      <c r="C17" s="3" t="inlineStr">
        <is>
          <t>Mortality absolute-risk-reduction percent/unit conflict</t>
        </is>
      </c>
      <c r="D17" s="8" t="inlineStr"/>
      <c r="E17" s="11" t="inlineStr"/>
      <c r="F17" s="8" t="inlineStr">
        <is>
          <t>no</t>
        </is>
      </c>
      <c r="G17" s="3">
        <f>IF(OR(AND(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L17&lt;&gt;"",L17&lt;&gt;"not_applicable"),AND(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M17&lt;&gt;"",M17&lt;&gt;"not_applicable"),AND(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N17&lt;&gt;"",N17&lt;&gt;"not_applicable"),AND(OR(AND(IF($J17="",INDEX(primary_jama_2018_0948_disposition,MATCH($A17,primary_jama_2018_0948_key,0)),$J17)&lt;&gt;"",IF($J17="",INDEX(primary_jama_2018_0948_disposition,MATCH($A17,primary_jama_2018_0948_key,0)),$J17)&lt;&gt;"retain"),NOT(OR(IF($K17="",INDEX(primary_jama_2018_0948_domain,MATCH($A17,primary_jama_2018_0948_key,0)),$K17)="internal_nonstatistical",IF($K17="",INDEX(primary_jama_2018_0948_domain,MATCH($A17,primary_jama_2018_0948_key,0)),$K17)="plan_material"))),O17&lt;&gt;"",O17&lt;&gt;"not_applicable"),AND(OR(AND(IF($J17="",INDEX(primary_jama_2018_0948_disposition,MATCH($A17,primary_jama_2018_0948_key,0)),$J17)&lt;&gt;"",IF($J17="",INDEX(primary_jama_2018_0948_disposition,MATCH($A17,primary_jama_2018_0948_key,0)),$J17)&lt;&gt;"retain"),NOT(OR(IF($K17="",INDEX(primary_jama_2018_0948_domain,MATCH($A17,primary_jama_2018_0948_key,0)),$K17)="protocol_report"))),P17&lt;&gt;"",P17&lt;&gt;"not_applicable")),"CLEAR INACTIVE VALUES",IF(D17="","PENDING",IF(AND(D17&lt;&gt;"agree",LEN(TRIM(E17))=0),"COMMENT NEEDED",IF(F17="yes","CHECKED - see resolution","DRAFT"))))</f>
        <v/>
      </c>
      <c r="H17" s="8" t="inlineStr">
        <is>
          <t>pending</t>
        </is>
      </c>
      <c r="I17" s="11" t="inlineStr"/>
      <c r="J17" s="8" t="inlineStr"/>
      <c r="K17" s="8" t="inlineStr"/>
      <c r="L17" s="8">
        <f>IF(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not_applicable","")</f>
        <v/>
      </c>
      <c r="M17" s="8">
        <f>IF(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not_applicable","")</f>
        <v/>
      </c>
      <c r="N17" s="9">
        <f>IF(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not_applicable","")</f>
        <v/>
      </c>
      <c r="O17" s="8">
        <f>IF(OR(AND(IF($J17="",INDEX(primary_jama_2018_0948_disposition,MATCH($A17,primary_jama_2018_0948_key,0)),$J17)&lt;&gt;"",IF($J17="",INDEX(primary_jama_2018_0948_disposition,MATCH($A17,primary_jama_2018_0948_key,0)),$J17)&lt;&gt;"retain"),NOT(OR(IF($K17="",INDEX(primary_jama_2018_0948_domain,MATCH($A17,primary_jama_2018_0948_key,0)),$K17)="internal_nonstatistical",IF($K17="",INDEX(primary_jama_2018_0948_domain,MATCH($A17,primary_jama_2018_0948_key,0)),$K17)="plan_material"))),"not_applicable","")</f>
        <v/>
      </c>
      <c r="P17" s="9">
        <f>IF(OR(AND(IF($J17="",INDEX(primary_jama_2018_0948_disposition,MATCH($A17,primary_jama_2018_0948_key,0)),$J17)&lt;&gt;"",IF($J17="",INDEX(primary_jama_2018_0948_disposition,MATCH($A17,primary_jama_2018_0948_key,0)),$J17)&lt;&gt;"retain"),NOT(OR(IF($K17="",INDEX(primary_jama_2018_0948_domain,MATCH($A17,primary_jama_2018_0948_key,0)),$K17)="protocol_report"))),"not_applicable","")</f>
        <v/>
      </c>
      <c r="Q17" s="10" t="inlineStr"/>
      <c r="R17" s="10" t="inlineStr"/>
    </row>
    <row r="18" ht="76" customHeight="1">
      <c r="A18" s="2" t="inlineStr">
        <is>
          <t>2018::jama.2018.0948::C003</t>
        </is>
      </c>
      <c r="B18" s="2" t="inlineStr">
        <is>
          <t>jama.2018.0948</t>
        </is>
      </c>
      <c r="C18" s="2" t="inlineStr">
        <is>
          <t>Cardiac-arrest events assigned incompatible resuscitation-scale categories</t>
        </is>
      </c>
      <c r="D18" s="8" t="inlineStr"/>
      <c r="E18" s="11" t="inlineStr"/>
      <c r="F18" s="8" t="inlineStr">
        <is>
          <t>no</t>
        </is>
      </c>
      <c r="G18" s="2">
        <f>IF(OR(AND(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L18&lt;&gt;"",L18&lt;&gt;"not_applicable"),AND(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M18&lt;&gt;"",M18&lt;&gt;"not_applicable"),AND(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N18&lt;&gt;"",N18&lt;&gt;"not_applicable"),AND(OR(AND(IF($J18="",INDEX(primary_jama_2018_0948_disposition,MATCH($A18,primary_jama_2018_0948_key,0)),$J18)&lt;&gt;"",IF($J18="",INDEX(primary_jama_2018_0948_disposition,MATCH($A18,primary_jama_2018_0948_key,0)),$J18)&lt;&gt;"retain"),NOT(OR(IF($K18="",INDEX(primary_jama_2018_0948_domain,MATCH($A18,primary_jama_2018_0948_key,0)),$K18)="internal_nonstatistical",IF($K18="",INDEX(primary_jama_2018_0948_domain,MATCH($A18,primary_jama_2018_0948_key,0)),$K18)="plan_material"))),O18&lt;&gt;"",O18&lt;&gt;"not_applicable"),AND(OR(AND(IF($J18="",INDEX(primary_jama_2018_0948_disposition,MATCH($A18,primary_jama_2018_0948_key,0)),$J18)&lt;&gt;"",IF($J18="",INDEX(primary_jama_2018_0948_disposition,MATCH($A18,primary_jama_2018_0948_key,0)),$J18)&lt;&gt;"retain"),NOT(OR(IF($K18="",INDEX(primary_jama_2018_0948_domain,MATCH($A18,primary_jama_2018_0948_key,0)),$K18)="protocol_report"))),P18&lt;&gt;"",P18&lt;&gt;"not_applicable")),"CLEAR INACTIVE VALUES",IF(D18="","PENDING",IF(AND(D18&lt;&gt;"agree",LEN(TRIM(E18))=0),"COMMENT NEEDED",IF(F18="yes","CHECKED - see resolution","DRAFT"))))</f>
        <v/>
      </c>
      <c r="H18" s="8" t="inlineStr">
        <is>
          <t>pending</t>
        </is>
      </c>
      <c r="I18" s="11" t="inlineStr"/>
      <c r="J18" s="8" t="inlineStr"/>
      <c r="K18" s="8" t="inlineStr"/>
      <c r="L18" s="8">
        <f>IF(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not_applicable","")</f>
        <v/>
      </c>
      <c r="M18" s="8">
        <f>IF(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not_applicable","")</f>
        <v/>
      </c>
      <c r="N18" s="9">
        <f>IF(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not_applicable","")</f>
        <v/>
      </c>
      <c r="O18" s="8">
        <f>IF(OR(AND(IF($J18="",INDEX(primary_jama_2018_0948_disposition,MATCH($A18,primary_jama_2018_0948_key,0)),$J18)&lt;&gt;"",IF($J18="",INDEX(primary_jama_2018_0948_disposition,MATCH($A18,primary_jama_2018_0948_key,0)),$J18)&lt;&gt;"retain"),NOT(OR(IF($K18="",INDEX(primary_jama_2018_0948_domain,MATCH($A18,primary_jama_2018_0948_key,0)),$K18)="internal_nonstatistical",IF($K18="",INDEX(primary_jama_2018_0948_domain,MATCH($A18,primary_jama_2018_0948_key,0)),$K18)="plan_material"))),"not_applicable","")</f>
        <v/>
      </c>
      <c r="P18" s="9">
        <f>IF(OR(AND(IF($J18="",INDEX(primary_jama_2018_0948_disposition,MATCH($A18,primary_jama_2018_0948_key,0)),$J18)&lt;&gt;"",IF($J18="",INDEX(primary_jama_2018_0948_disposition,MATCH($A18,primary_jama_2018_0948_key,0)),$J18)&lt;&gt;"retain"),NOT(OR(IF($K18="",INDEX(primary_jama_2018_0948_domain,MATCH($A18,primary_jama_2018_0948_key,0)),$K18)="protocol_report"))),"not_applicable","")</f>
        <v/>
      </c>
      <c r="Q18" s="10" t="inlineStr"/>
      <c r="R18" s="10" t="inlineStr"/>
    </row>
    <row r="19" ht="76" customHeight="1">
      <c r="A19" s="3" t="inlineStr">
        <is>
          <t>2018::jama.2018.0948::C004</t>
        </is>
      </c>
      <c r="B19" s="3" t="inlineStr">
        <is>
          <t>jama.2018.0948</t>
        </is>
      </c>
      <c r="C19" s="3" t="inlineStr">
        <is>
          <t>Preventability threshold excludes and includes rating 4</t>
        </is>
      </c>
      <c r="D19" s="8" t="inlineStr"/>
      <c r="E19" s="11" t="inlineStr"/>
      <c r="F19" s="8" t="inlineStr">
        <is>
          <t>no</t>
        </is>
      </c>
      <c r="G19" s="3">
        <f>IF(OR(AND(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L19&lt;&gt;"",L19&lt;&gt;"not_applicable"),AND(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M19&lt;&gt;"",M19&lt;&gt;"not_applicable"),AND(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N19&lt;&gt;"",N19&lt;&gt;"not_applicable"),AND(OR(AND(IF($J19="",INDEX(primary_jama_2018_0948_disposition,MATCH($A19,primary_jama_2018_0948_key,0)),$J19)&lt;&gt;"",IF($J19="",INDEX(primary_jama_2018_0948_disposition,MATCH($A19,primary_jama_2018_0948_key,0)),$J19)&lt;&gt;"retain"),NOT(OR(IF($K19="",INDEX(primary_jama_2018_0948_domain,MATCH($A19,primary_jama_2018_0948_key,0)),$K19)="internal_nonstatistical",IF($K19="",INDEX(primary_jama_2018_0948_domain,MATCH($A19,primary_jama_2018_0948_key,0)),$K19)="plan_material"))),O19&lt;&gt;"",O19&lt;&gt;"not_applicable"),AND(OR(AND(IF($J19="",INDEX(primary_jama_2018_0948_disposition,MATCH($A19,primary_jama_2018_0948_key,0)),$J19)&lt;&gt;"",IF($J19="",INDEX(primary_jama_2018_0948_disposition,MATCH($A19,primary_jama_2018_0948_key,0)),$J19)&lt;&gt;"retain"),NOT(OR(IF($K19="",INDEX(primary_jama_2018_0948_domain,MATCH($A19,primary_jama_2018_0948_key,0)),$K19)="protocol_report"))),P19&lt;&gt;"",P19&lt;&gt;"not_applicable")),"CLEAR INACTIVE VALUES",IF(D19="","PENDING",IF(AND(D19&lt;&gt;"agree",LEN(TRIM(E19))=0),"COMMENT NEEDED",IF(F19="yes","CHECKED - see resolution","DRAFT"))))</f>
        <v/>
      </c>
      <c r="H19" s="8" t="inlineStr">
        <is>
          <t>pending</t>
        </is>
      </c>
      <c r="I19" s="11" t="inlineStr"/>
      <c r="J19" s="8" t="inlineStr"/>
      <c r="K19" s="8" t="inlineStr"/>
      <c r="L19" s="8">
        <f>IF(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not_applicable","")</f>
        <v/>
      </c>
      <c r="M19" s="8">
        <f>IF(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not_applicable","")</f>
        <v/>
      </c>
      <c r="N19" s="9">
        <f>IF(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not_applicable","")</f>
        <v/>
      </c>
      <c r="O19" s="8">
        <f>IF(OR(AND(IF($J19="",INDEX(primary_jama_2018_0948_disposition,MATCH($A19,primary_jama_2018_0948_key,0)),$J19)&lt;&gt;"",IF($J19="",INDEX(primary_jama_2018_0948_disposition,MATCH($A19,primary_jama_2018_0948_key,0)),$J19)&lt;&gt;"retain"),NOT(OR(IF($K19="",INDEX(primary_jama_2018_0948_domain,MATCH($A19,primary_jama_2018_0948_key,0)),$K19)="internal_nonstatistical",IF($K19="",INDEX(primary_jama_2018_0948_domain,MATCH($A19,primary_jama_2018_0948_key,0)),$K19)="plan_material"))),"not_applicable","")</f>
        <v/>
      </c>
      <c r="P19" s="9">
        <f>IF(OR(AND(IF($J19="",INDEX(primary_jama_2018_0948_disposition,MATCH($A19,primary_jama_2018_0948_key,0)),$J19)&lt;&gt;"",IF($J19="",INDEX(primary_jama_2018_0948_disposition,MATCH($A19,primary_jama_2018_0948_key,0)),$J19)&lt;&gt;"retain"),NOT(OR(IF($K19="",INDEX(primary_jama_2018_0948_domain,MATCH($A19,primary_jama_2018_0948_key,0)),$K19)="protocol_report"))),"not_applicable","")</f>
        <v/>
      </c>
      <c r="Q19" s="10" t="inlineStr"/>
      <c r="R19" s="10" t="inlineStr"/>
    </row>
    <row r="20" ht="76" customHeight="1">
      <c r="A20" s="2" t="inlineStr">
        <is>
          <t>2018::jama.2018.0948::C005</t>
        </is>
      </c>
      <c r="B20" s="2" t="inlineStr">
        <is>
          <t>jama.2018.0948</t>
        </is>
      </c>
      <c r="C20" s="2" t="inlineStr">
        <is>
          <t>The same SCDE reference count is labelled annual and two-year</t>
        </is>
      </c>
      <c r="D20" s="8" t="inlineStr"/>
      <c r="E20" s="11" t="inlineStr"/>
      <c r="F20" s="8" t="inlineStr">
        <is>
          <t>no</t>
        </is>
      </c>
      <c r="G20" s="2">
        <f>IF(OR(AND(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L20&lt;&gt;"",L20&lt;&gt;"not_applicable"),AND(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M20&lt;&gt;"",M20&lt;&gt;"not_applicable"),AND(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N20&lt;&gt;"",N20&lt;&gt;"not_applicable"),AND(OR(AND(IF($J20="",INDEX(primary_jama_2018_0948_disposition,MATCH($A20,primary_jama_2018_0948_key,0)),$J20)&lt;&gt;"",IF($J20="",INDEX(primary_jama_2018_0948_disposition,MATCH($A20,primary_jama_2018_0948_key,0)),$J20)&lt;&gt;"retain"),NOT(OR(IF($K20="",INDEX(primary_jama_2018_0948_domain,MATCH($A20,primary_jama_2018_0948_key,0)),$K20)="internal_nonstatistical",IF($K20="",INDEX(primary_jama_2018_0948_domain,MATCH($A20,primary_jama_2018_0948_key,0)),$K20)="plan_material"))),O20&lt;&gt;"",O20&lt;&gt;"not_applicable"),AND(OR(AND(IF($J20="",INDEX(primary_jama_2018_0948_disposition,MATCH($A20,primary_jama_2018_0948_key,0)),$J20)&lt;&gt;"",IF($J20="",INDEX(primary_jama_2018_0948_disposition,MATCH($A20,primary_jama_2018_0948_key,0)),$J20)&lt;&gt;"retain"),NOT(OR(IF($K20="",INDEX(primary_jama_2018_0948_domain,MATCH($A20,primary_jama_2018_0948_key,0)),$K20)="protocol_report"))),P20&lt;&gt;"",P20&lt;&gt;"not_applicable")),"CLEAR INACTIVE VALUES",IF(D20="","PENDING",IF(AND(D20&lt;&gt;"agree",LEN(TRIM(E20))=0),"COMMENT NEEDED",IF(F20="yes","CHECKED - see resolution","DRAFT"))))</f>
        <v/>
      </c>
      <c r="H20" s="8" t="inlineStr">
        <is>
          <t>pending</t>
        </is>
      </c>
      <c r="I20" s="11" t="inlineStr"/>
      <c r="J20" s="8" t="inlineStr"/>
      <c r="K20" s="8" t="inlineStr"/>
      <c r="L20" s="8">
        <f>IF(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not_applicable","")</f>
        <v/>
      </c>
      <c r="M20" s="8">
        <f>IF(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not_applicable","")</f>
        <v/>
      </c>
      <c r="N20" s="9">
        <f>IF(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not_applicable","")</f>
        <v/>
      </c>
      <c r="O20" s="8">
        <f>IF(OR(AND(IF($J20="",INDEX(primary_jama_2018_0948_disposition,MATCH($A20,primary_jama_2018_0948_key,0)),$J20)&lt;&gt;"",IF($J20="",INDEX(primary_jama_2018_0948_disposition,MATCH($A20,primary_jama_2018_0948_key,0)),$J20)&lt;&gt;"retain"),NOT(OR(IF($K20="",INDEX(primary_jama_2018_0948_domain,MATCH($A20,primary_jama_2018_0948_key,0)),$K20)="internal_nonstatistical",IF($K20="",INDEX(primary_jama_2018_0948_domain,MATCH($A20,primary_jama_2018_0948_key,0)),$K20)="plan_material"))),"not_applicable","")</f>
        <v/>
      </c>
      <c r="P20" s="9">
        <f>IF(OR(AND(IF($J20="",INDEX(primary_jama_2018_0948_disposition,MATCH($A20,primary_jama_2018_0948_key,0)),$J20)&lt;&gt;"",IF($J20="",INDEX(primary_jama_2018_0948_disposition,MATCH($A20,primary_jama_2018_0948_key,0)),$J20)&lt;&gt;"retain"),NOT(OR(IF($K20="",INDEX(primary_jama_2018_0948_domain,MATCH($A20,primary_jama_2018_0948_key,0)),$K20)="protocol_report"))),"not_applicable","")</f>
        <v/>
      </c>
      <c r="Q20" s="10" t="inlineStr"/>
      <c r="R20" s="10" t="inlineStr"/>
    </row>
    <row r="21" ht="76" customHeight="1">
      <c r="A21" s="3" t="inlineStr">
        <is>
          <t>2018::jama.2018.0948::C006</t>
        </is>
      </c>
      <c r="B21" s="3" t="inlineStr">
        <is>
          <t>jama.2018.0948</t>
        </is>
      </c>
      <c r="C21" s="3" t="inlineStr">
        <is>
          <t>Stat-call absolute reduction does not reproduce from the printed inputs</t>
        </is>
      </c>
      <c r="D21" s="8" t="inlineStr"/>
      <c r="E21" s="11" t="inlineStr"/>
      <c r="F21" s="8" t="inlineStr">
        <is>
          <t>no</t>
        </is>
      </c>
      <c r="G21" s="3">
        <f>IF(OR(AND(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L21&lt;&gt;"",L21&lt;&gt;"not_applicable"),AND(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M21&lt;&gt;"",M21&lt;&gt;"not_applicable"),AND(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N21&lt;&gt;"",N21&lt;&gt;"not_applicable"),AND(OR(AND(IF($J21="",INDEX(primary_jama_2018_0948_disposition,MATCH($A21,primary_jama_2018_0948_key,0)),$J21)&lt;&gt;"",IF($J21="",INDEX(primary_jama_2018_0948_disposition,MATCH($A21,primary_jama_2018_0948_key,0)),$J21)&lt;&gt;"retain"),NOT(OR(IF($K21="",INDEX(primary_jama_2018_0948_domain,MATCH($A21,primary_jama_2018_0948_key,0)),$K21)="internal_nonstatistical",IF($K21="",INDEX(primary_jama_2018_0948_domain,MATCH($A21,primary_jama_2018_0948_key,0)),$K21)="plan_material"))),O21&lt;&gt;"",O21&lt;&gt;"not_applicable"),AND(OR(AND(IF($J21="",INDEX(primary_jama_2018_0948_disposition,MATCH($A21,primary_jama_2018_0948_key,0)),$J21)&lt;&gt;"",IF($J21="",INDEX(primary_jama_2018_0948_disposition,MATCH($A21,primary_jama_2018_0948_key,0)),$J21)&lt;&gt;"retain"),NOT(OR(IF($K21="",INDEX(primary_jama_2018_0948_domain,MATCH($A21,primary_jama_2018_0948_key,0)),$K21)="protocol_report"))),P21&lt;&gt;"",P21&lt;&gt;"not_applicable")),"CLEAR INACTIVE VALUES",IF(D21="","PENDING",IF(AND(D21&lt;&gt;"agree",LEN(TRIM(E21))=0),"COMMENT NEEDED",IF(F21="yes","CHECKED - see resolution","DRAFT"))))</f>
        <v/>
      </c>
      <c r="H21" s="8" t="inlineStr">
        <is>
          <t>pending</t>
        </is>
      </c>
      <c r="I21" s="11" t="inlineStr"/>
      <c r="J21" s="8" t="inlineStr"/>
      <c r="K21" s="8" t="inlineStr"/>
      <c r="L21" s="8">
        <f>IF(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not_applicable","")</f>
        <v/>
      </c>
      <c r="M21" s="8">
        <f>IF(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not_applicable","")</f>
        <v/>
      </c>
      <c r="N21" s="9">
        <f>IF(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not_applicable","")</f>
        <v/>
      </c>
      <c r="O21" s="8">
        <f>IF(OR(AND(IF($J21="",INDEX(primary_jama_2018_0948_disposition,MATCH($A21,primary_jama_2018_0948_key,0)),$J21)&lt;&gt;"",IF($J21="",INDEX(primary_jama_2018_0948_disposition,MATCH($A21,primary_jama_2018_0948_key,0)),$J21)&lt;&gt;"retain"),NOT(OR(IF($K21="",INDEX(primary_jama_2018_0948_domain,MATCH($A21,primary_jama_2018_0948_key,0)),$K21)="internal_nonstatistical",IF($K21="",INDEX(primary_jama_2018_0948_domain,MATCH($A21,primary_jama_2018_0948_key,0)),$K21)="plan_material"))),"not_applicable","")</f>
        <v/>
      </c>
      <c r="P21" s="9">
        <f>IF(OR(AND(IF($J21="",INDEX(primary_jama_2018_0948_disposition,MATCH($A21,primary_jama_2018_0948_key,0)),$J21)&lt;&gt;"",IF($J21="",INDEX(primary_jama_2018_0948_disposition,MATCH($A21,primary_jama_2018_0948_key,0)),$J21)&lt;&gt;"retain"),NOT(OR(IF($K21="",INDEX(primary_jama_2018_0948_domain,MATCH($A21,primary_jama_2018_0948_key,0)),$K21)="protocol_report"))),"not_applicable","")</f>
        <v/>
      </c>
      <c r="Q21" s="10" t="inlineStr"/>
      <c r="R21" s="10" t="inlineStr"/>
    </row>
    <row r="22" ht="76" customHeight="1">
      <c r="A22" s="2" t="inlineStr">
        <is>
          <t>2018::jama.2018.0948::C007</t>
        </is>
      </c>
      <c r="B22" s="2" t="inlineStr">
        <is>
          <t>jama.2018.0948</t>
        </is>
      </c>
      <c r="C22" s="2" t="inlineStr">
        <is>
          <t>Urgent PICU admission rates do not match the printed counts and denominators at conventional rounding</t>
        </is>
      </c>
      <c r="D22" s="8" t="inlineStr"/>
      <c r="E22" s="11" t="inlineStr"/>
      <c r="F22" s="8" t="inlineStr">
        <is>
          <t>no</t>
        </is>
      </c>
      <c r="G22" s="2">
        <f>IF(OR(AND(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L22&lt;&gt;"",L22&lt;&gt;"not_applicable"),AND(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M22&lt;&gt;"",M22&lt;&gt;"not_applicable"),AND(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N22&lt;&gt;"",N22&lt;&gt;"not_applicable"),AND(OR(AND(IF($J22="",INDEX(primary_jama_2018_0948_disposition,MATCH($A22,primary_jama_2018_0948_key,0)),$J22)&lt;&gt;"",IF($J22="",INDEX(primary_jama_2018_0948_disposition,MATCH($A22,primary_jama_2018_0948_key,0)),$J22)&lt;&gt;"retain"),NOT(OR(IF($K22="",INDEX(primary_jama_2018_0948_domain,MATCH($A22,primary_jama_2018_0948_key,0)),$K22)="internal_nonstatistical",IF($K22="",INDEX(primary_jama_2018_0948_domain,MATCH($A22,primary_jama_2018_0948_key,0)),$K22)="plan_material"))),O22&lt;&gt;"",O22&lt;&gt;"not_applicable"),AND(OR(AND(IF($J22="",INDEX(primary_jama_2018_0948_disposition,MATCH($A22,primary_jama_2018_0948_key,0)),$J22)&lt;&gt;"",IF($J22="",INDEX(primary_jama_2018_0948_disposition,MATCH($A22,primary_jama_2018_0948_key,0)),$J22)&lt;&gt;"retain"),NOT(OR(IF($K22="",INDEX(primary_jama_2018_0948_domain,MATCH($A22,primary_jama_2018_0948_key,0)),$K22)="protocol_report"))),P22&lt;&gt;"",P22&lt;&gt;"not_applicable")),"CLEAR INACTIVE VALUES",IF(D22="","PENDING",IF(AND(D22&lt;&gt;"agree",LEN(TRIM(E22))=0),"COMMENT NEEDED",IF(F22="yes","CHECKED - see resolution","DRAFT"))))</f>
        <v/>
      </c>
      <c r="H22" s="8" t="inlineStr">
        <is>
          <t>pending</t>
        </is>
      </c>
      <c r="I22" s="11" t="inlineStr"/>
      <c r="J22" s="8" t="inlineStr"/>
      <c r="K22" s="8" t="inlineStr"/>
      <c r="L22" s="8">
        <f>IF(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not_applicable","")</f>
        <v/>
      </c>
      <c r="M22" s="8">
        <f>IF(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not_applicable","")</f>
        <v/>
      </c>
      <c r="N22" s="9">
        <f>IF(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not_applicable","")</f>
        <v/>
      </c>
      <c r="O22" s="8">
        <f>IF(OR(AND(IF($J22="",INDEX(primary_jama_2018_0948_disposition,MATCH($A22,primary_jama_2018_0948_key,0)),$J22)&lt;&gt;"",IF($J22="",INDEX(primary_jama_2018_0948_disposition,MATCH($A22,primary_jama_2018_0948_key,0)),$J22)&lt;&gt;"retain"),NOT(OR(IF($K22="",INDEX(primary_jama_2018_0948_domain,MATCH($A22,primary_jama_2018_0948_key,0)),$K22)="internal_nonstatistical",IF($K22="",INDEX(primary_jama_2018_0948_domain,MATCH($A22,primary_jama_2018_0948_key,0)),$K22)="plan_material"))),"not_applicable","")</f>
        <v/>
      </c>
      <c r="P22" s="9">
        <f>IF(OR(AND(IF($J22="",INDEX(primary_jama_2018_0948_disposition,MATCH($A22,primary_jama_2018_0948_key,0)),$J22)&lt;&gt;"",IF($J22="",INDEX(primary_jama_2018_0948_disposition,MATCH($A22,primary_jama_2018_0948_key,0)),$J22)&lt;&gt;"retain"),NOT(OR(IF($K22="",INDEX(primary_jama_2018_0948_domain,MATCH($A22,primary_jama_2018_0948_key,0)),$K22)="protocol_report"))),"not_applicable","")</f>
        <v/>
      </c>
      <c r="Q22" s="10" t="inlineStr"/>
      <c r="R22" s="10" t="inlineStr"/>
    </row>
    <row r="23" ht="76" customHeight="1">
      <c r="A23" s="3" t="inlineStr">
        <is>
          <t>2018::jama.2018.14280::C001</t>
        </is>
      </c>
      <c r="B23" s="3" t="inlineStr">
        <is>
          <t>jama.2018.14280</t>
        </is>
      </c>
      <c r="C23" s="3" t="inlineStr">
        <is>
          <t>Reversed endpoint in the eTable 2 PEEP interquartile range</t>
        </is>
      </c>
      <c r="D23" s="8" t="inlineStr"/>
      <c r="E23" s="11" t="inlineStr"/>
      <c r="F23" s="8" t="inlineStr">
        <is>
          <t>no</t>
        </is>
      </c>
      <c r="G23" s="3">
        <f>IF(OR(AND(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L23&lt;&gt;"",L23&lt;&gt;"not_applicable"),AND(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M23&lt;&gt;"",M23&lt;&gt;"not_applicable"),AND(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N23&lt;&gt;"",N23&lt;&gt;"not_applicable"),AND(OR(AND(IF($J23="",INDEX(primary_jama_2018_14280_disposition,MATCH($A23,primary_jama_2018_14280_key,0)),$J23)&lt;&gt;"",IF($J23="",INDEX(primary_jama_2018_14280_disposition,MATCH($A23,primary_jama_2018_14280_key,0)),$J23)&lt;&gt;"retain"),NOT(OR(IF($K23="",INDEX(primary_jama_2018_14280_domain,MATCH($A23,primary_jama_2018_14280_key,0)),$K23)="internal_nonstatistical",IF($K23="",INDEX(primary_jama_2018_14280_domain,MATCH($A23,primary_jama_2018_14280_key,0)),$K23)="plan_material"))),O23&lt;&gt;"",O23&lt;&gt;"not_applicable"),AND(OR(AND(IF($J23="",INDEX(primary_jama_2018_14280_disposition,MATCH($A23,primary_jama_2018_14280_key,0)),$J23)&lt;&gt;"",IF($J23="",INDEX(primary_jama_2018_14280_disposition,MATCH($A23,primary_jama_2018_14280_key,0)),$J23)&lt;&gt;"retain"),NOT(OR(IF($K23="",INDEX(primary_jama_2018_14280_domain,MATCH($A23,primary_jama_2018_14280_key,0)),$K23)="protocol_report"))),P23&lt;&gt;"",P23&lt;&gt;"not_applicable")),"CLEAR INACTIVE VALUES",IF(D23="","PENDING",IF(AND(D23&lt;&gt;"agree",LEN(TRIM(E23))=0),"COMMENT NEEDED",IF(F23="yes","CHECKED - see resolution","DRAFT"))))</f>
        <v/>
      </c>
      <c r="H23" s="8" t="inlineStr">
        <is>
          <t>pending</t>
        </is>
      </c>
      <c r="I23" s="11" t="inlineStr"/>
      <c r="J23" s="8" t="inlineStr"/>
      <c r="K23" s="8" t="inlineStr"/>
      <c r="L23" s="8">
        <f>IF(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not_applicable","")</f>
        <v/>
      </c>
      <c r="M23" s="8">
        <f>IF(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not_applicable","")</f>
        <v/>
      </c>
      <c r="N23" s="9">
        <f>IF(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not_applicable","")</f>
        <v/>
      </c>
      <c r="O23" s="8">
        <f>IF(OR(AND(IF($J23="",INDEX(primary_jama_2018_14280_disposition,MATCH($A23,primary_jama_2018_14280_key,0)),$J23)&lt;&gt;"",IF($J23="",INDEX(primary_jama_2018_14280_disposition,MATCH($A23,primary_jama_2018_14280_key,0)),$J23)&lt;&gt;"retain"),NOT(OR(IF($K23="",INDEX(primary_jama_2018_14280_domain,MATCH($A23,primary_jama_2018_14280_key,0)),$K23)="internal_nonstatistical",IF($K23="",INDEX(primary_jama_2018_14280_domain,MATCH($A23,primary_jama_2018_14280_key,0)),$K23)="plan_material"))),"not_applicable","")</f>
        <v/>
      </c>
      <c r="P23" s="9">
        <f>IF(OR(AND(IF($J23="",INDEX(primary_jama_2018_14280_disposition,MATCH($A23,primary_jama_2018_14280_key,0)),$J23)&lt;&gt;"",IF($J23="",INDEX(primary_jama_2018_14280_disposition,MATCH($A23,primary_jama_2018_14280_key,0)),$J23)&lt;&gt;"retain"),NOT(OR(IF($K23="",INDEX(primary_jama_2018_14280_domain,MATCH($A23,primary_jama_2018_14280_key,0)),$K23)="protocol_report"))),"not_applicable","")</f>
        <v/>
      </c>
      <c r="Q23" s="10" t="inlineStr"/>
      <c r="R23" s="10" t="inlineStr"/>
    </row>
    <row r="24" ht="76" customHeight="1">
      <c r="A24" s="2" t="inlineStr">
        <is>
          <t>2018::jama.2018.14280::C002</t>
        </is>
      </c>
      <c r="B24" s="2" t="inlineStr">
        <is>
          <t>jama.2018.14280</t>
        </is>
      </c>
      <c r="C24" s="2" t="inlineStr">
        <is>
          <t>At-risk-for-ARDS percentages use undisclosed denominators</t>
        </is>
      </c>
      <c r="D24" s="8" t="inlineStr"/>
      <c r="E24" s="11" t="inlineStr"/>
      <c r="F24" s="8" t="inlineStr">
        <is>
          <t>no</t>
        </is>
      </c>
      <c r="G24" s="2">
        <f>IF(OR(AND(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L24&lt;&gt;"",L24&lt;&gt;"not_applicable"),AND(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M24&lt;&gt;"",M24&lt;&gt;"not_applicable"),AND(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N24&lt;&gt;"",N24&lt;&gt;"not_applicable"),AND(OR(AND(IF($J24="",INDEX(primary_jama_2018_14280_disposition,MATCH($A24,primary_jama_2018_14280_key,0)),$J24)&lt;&gt;"",IF($J24="",INDEX(primary_jama_2018_14280_disposition,MATCH($A24,primary_jama_2018_14280_key,0)),$J24)&lt;&gt;"retain"),NOT(OR(IF($K24="",INDEX(primary_jama_2018_14280_domain,MATCH($A24,primary_jama_2018_14280_key,0)),$K24)="internal_nonstatistical",IF($K24="",INDEX(primary_jama_2018_14280_domain,MATCH($A24,primary_jama_2018_14280_key,0)),$K24)="plan_material"))),O24&lt;&gt;"",O24&lt;&gt;"not_applicable"),AND(OR(AND(IF($J24="",INDEX(primary_jama_2018_14280_disposition,MATCH($A24,primary_jama_2018_14280_key,0)),$J24)&lt;&gt;"",IF($J24="",INDEX(primary_jama_2018_14280_disposition,MATCH($A24,primary_jama_2018_14280_key,0)),$J24)&lt;&gt;"retain"),NOT(OR(IF($K24="",INDEX(primary_jama_2018_14280_domain,MATCH($A24,primary_jama_2018_14280_key,0)),$K24)="protocol_report"))),P24&lt;&gt;"",P24&lt;&gt;"not_applicable")),"CLEAR INACTIVE VALUES",IF(D24="","PENDING",IF(AND(D24&lt;&gt;"agree",LEN(TRIM(E24))=0),"COMMENT NEEDED",IF(F24="yes","CHECKED - see resolution","DRAFT"))))</f>
        <v/>
      </c>
      <c r="H24" s="8" t="inlineStr">
        <is>
          <t>pending</t>
        </is>
      </c>
      <c r="I24" s="11" t="inlineStr"/>
      <c r="J24" s="8" t="inlineStr"/>
      <c r="K24" s="8" t="inlineStr"/>
      <c r="L24" s="8">
        <f>IF(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not_applicable","")</f>
        <v/>
      </c>
      <c r="M24" s="8">
        <f>IF(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not_applicable","")</f>
        <v/>
      </c>
      <c r="N24" s="9">
        <f>IF(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not_applicable","")</f>
        <v/>
      </c>
      <c r="O24" s="8">
        <f>IF(OR(AND(IF($J24="",INDEX(primary_jama_2018_14280_disposition,MATCH($A24,primary_jama_2018_14280_key,0)),$J24)&lt;&gt;"",IF($J24="",INDEX(primary_jama_2018_14280_disposition,MATCH($A24,primary_jama_2018_14280_key,0)),$J24)&lt;&gt;"retain"),NOT(OR(IF($K24="",INDEX(primary_jama_2018_14280_domain,MATCH($A24,primary_jama_2018_14280_key,0)),$K24)="internal_nonstatistical",IF($K24="",INDEX(primary_jama_2018_14280_domain,MATCH($A24,primary_jama_2018_14280_key,0)),$K24)="plan_material"))),"not_applicable","")</f>
        <v/>
      </c>
      <c r="P24" s="9">
        <f>IF(OR(AND(IF($J24="",INDEX(primary_jama_2018_14280_disposition,MATCH($A24,primary_jama_2018_14280_key,0)),$J24)&lt;&gt;"",IF($J24="",INDEX(primary_jama_2018_14280_disposition,MATCH($A24,primary_jama_2018_14280_key,0)),$J24)&lt;&gt;"retain"),NOT(OR(IF($K24="",INDEX(primary_jama_2018_14280_domain,MATCH($A24,primary_jama_2018_14280_key,0)),$K24)="protocol_report"))),"not_applicable","")</f>
        <v/>
      </c>
      <c r="Q24" s="10" t="inlineStr"/>
      <c r="R24" s="10" t="inlineStr"/>
    </row>
    <row r="25" ht="76" customHeight="1">
      <c r="A25" s="3" t="inlineStr">
        <is>
          <t>2018::jama.2018.14280::C003</t>
        </is>
      </c>
      <c r="B25" s="3" t="inlineStr">
        <is>
          <t>jama.2018.14280</t>
        </is>
      </c>
      <c r="C25" s="3" t="inlineStr">
        <is>
          <t>Septic-shock percentages use undisclosed denominators</t>
        </is>
      </c>
      <c r="D25" s="8" t="inlineStr"/>
      <c r="E25" s="11" t="inlineStr"/>
      <c r="F25" s="8" t="inlineStr">
        <is>
          <t>no</t>
        </is>
      </c>
      <c r="G25" s="3">
        <f>IF(OR(AND(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L25&lt;&gt;"",L25&lt;&gt;"not_applicable"),AND(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M25&lt;&gt;"",M25&lt;&gt;"not_applicable"),AND(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N25&lt;&gt;"",N25&lt;&gt;"not_applicable"),AND(OR(AND(IF($J25="",INDEX(primary_jama_2018_14280_disposition,MATCH($A25,primary_jama_2018_14280_key,0)),$J25)&lt;&gt;"",IF($J25="",INDEX(primary_jama_2018_14280_disposition,MATCH($A25,primary_jama_2018_14280_key,0)),$J25)&lt;&gt;"retain"),NOT(OR(IF($K25="",INDEX(primary_jama_2018_14280_domain,MATCH($A25,primary_jama_2018_14280_key,0)),$K25)="internal_nonstatistical",IF($K25="",INDEX(primary_jama_2018_14280_domain,MATCH($A25,primary_jama_2018_14280_key,0)),$K25)="plan_material"))),O25&lt;&gt;"",O25&lt;&gt;"not_applicable"),AND(OR(AND(IF($J25="",INDEX(primary_jama_2018_14280_disposition,MATCH($A25,primary_jama_2018_14280_key,0)),$J25)&lt;&gt;"",IF($J25="",INDEX(primary_jama_2018_14280_disposition,MATCH($A25,primary_jama_2018_14280_key,0)),$J25)&lt;&gt;"retain"),NOT(OR(IF($K25="",INDEX(primary_jama_2018_14280_domain,MATCH($A25,primary_jama_2018_14280_key,0)),$K25)="protocol_report"))),P25&lt;&gt;"",P25&lt;&gt;"not_applicable")),"CLEAR INACTIVE VALUES",IF(D25="","PENDING",IF(AND(D25&lt;&gt;"agree",LEN(TRIM(E25))=0),"COMMENT NEEDED",IF(F25="yes","CHECKED - see resolution","DRAFT"))))</f>
        <v/>
      </c>
      <c r="H25" s="8" t="inlineStr">
        <is>
          <t>pending</t>
        </is>
      </c>
      <c r="I25" s="11" t="inlineStr"/>
      <c r="J25" s="8" t="inlineStr"/>
      <c r="K25" s="8" t="inlineStr"/>
      <c r="L25" s="8">
        <f>IF(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not_applicable","")</f>
        <v/>
      </c>
      <c r="M25" s="8">
        <f>IF(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not_applicable","")</f>
        <v/>
      </c>
      <c r="N25" s="9">
        <f>IF(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not_applicable","")</f>
        <v/>
      </c>
      <c r="O25" s="8">
        <f>IF(OR(AND(IF($J25="",INDEX(primary_jama_2018_14280_disposition,MATCH($A25,primary_jama_2018_14280_key,0)),$J25)&lt;&gt;"",IF($J25="",INDEX(primary_jama_2018_14280_disposition,MATCH($A25,primary_jama_2018_14280_key,0)),$J25)&lt;&gt;"retain"),NOT(OR(IF($K25="",INDEX(primary_jama_2018_14280_domain,MATCH($A25,primary_jama_2018_14280_key,0)),$K25)="internal_nonstatistical",IF($K25="",INDEX(primary_jama_2018_14280_domain,MATCH($A25,primary_jama_2018_14280_key,0)),$K25)="plan_material"))),"not_applicable","")</f>
        <v/>
      </c>
      <c r="P25" s="9">
        <f>IF(OR(AND(IF($J25="",INDEX(primary_jama_2018_14280_disposition,MATCH($A25,primary_jama_2018_14280_key,0)),$J25)&lt;&gt;"",IF($J25="",INDEX(primary_jama_2018_14280_disposition,MATCH($A25,primary_jama_2018_14280_key,0)),$J25)&lt;&gt;"retain"),NOT(OR(IF($K25="",INDEX(primary_jama_2018_14280_domain,MATCH($A25,primary_jama_2018_14280_key,0)),$K25)="protocol_report"))),"not_applicable","")</f>
        <v/>
      </c>
      <c r="Q25" s="10" t="inlineStr"/>
      <c r="R25" s="10" t="inlineStr"/>
    </row>
    <row r="26" ht="76" customHeight="1">
      <c r="A26" s="2" t="inlineStr">
        <is>
          <t>2018::jama.2018.14280::C004</t>
        </is>
      </c>
      <c r="B26" s="2" t="inlineStr">
        <is>
          <t>jama.2018.14280</t>
        </is>
      </c>
      <c r="C26" s="2" t="inlineStr">
        <is>
          <t>Tobacco-use categories use undisclosed denominators</t>
        </is>
      </c>
      <c r="D26" s="8" t="inlineStr"/>
      <c r="E26" s="11" t="inlineStr"/>
      <c r="F26" s="8" t="inlineStr">
        <is>
          <t>no</t>
        </is>
      </c>
      <c r="G26" s="2">
        <f>IF(OR(AND(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L26&lt;&gt;"",L26&lt;&gt;"not_applicable"),AND(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M26&lt;&gt;"",M26&lt;&gt;"not_applicable"),AND(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N26&lt;&gt;"",N26&lt;&gt;"not_applicable"),AND(OR(AND(IF($J26="",INDEX(primary_jama_2018_14280_disposition,MATCH($A26,primary_jama_2018_14280_key,0)),$J26)&lt;&gt;"",IF($J26="",INDEX(primary_jama_2018_14280_disposition,MATCH($A26,primary_jama_2018_14280_key,0)),$J26)&lt;&gt;"retain"),NOT(OR(IF($K26="",INDEX(primary_jama_2018_14280_domain,MATCH($A26,primary_jama_2018_14280_key,0)),$K26)="internal_nonstatistical",IF($K26="",INDEX(primary_jama_2018_14280_domain,MATCH($A26,primary_jama_2018_14280_key,0)),$K26)="plan_material"))),O26&lt;&gt;"",O26&lt;&gt;"not_applicable"),AND(OR(AND(IF($J26="",INDEX(primary_jama_2018_14280_disposition,MATCH($A26,primary_jama_2018_14280_key,0)),$J26)&lt;&gt;"",IF($J26="",INDEX(primary_jama_2018_14280_disposition,MATCH($A26,primary_jama_2018_14280_key,0)),$J26)&lt;&gt;"retain"),NOT(OR(IF($K26="",INDEX(primary_jama_2018_14280_domain,MATCH($A26,primary_jama_2018_14280_key,0)),$K26)="protocol_report"))),P26&lt;&gt;"",P26&lt;&gt;"not_applicable")),"CLEAR INACTIVE VALUES",IF(D26="","PENDING",IF(AND(D26&lt;&gt;"agree",LEN(TRIM(E26))=0),"COMMENT NEEDED",IF(F26="yes","CHECKED - see resolution","DRAFT"))))</f>
        <v/>
      </c>
      <c r="H26" s="8" t="inlineStr">
        <is>
          <t>pending</t>
        </is>
      </c>
      <c r="I26" s="11" t="inlineStr"/>
      <c r="J26" s="8" t="inlineStr"/>
      <c r="K26" s="8" t="inlineStr"/>
      <c r="L26" s="8">
        <f>IF(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not_applicable","")</f>
        <v/>
      </c>
      <c r="M26" s="8">
        <f>IF(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not_applicable","")</f>
        <v/>
      </c>
      <c r="N26" s="9">
        <f>IF(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not_applicable","")</f>
        <v/>
      </c>
      <c r="O26" s="8">
        <f>IF(OR(AND(IF($J26="",INDEX(primary_jama_2018_14280_disposition,MATCH($A26,primary_jama_2018_14280_key,0)),$J26)&lt;&gt;"",IF($J26="",INDEX(primary_jama_2018_14280_disposition,MATCH($A26,primary_jama_2018_14280_key,0)),$J26)&lt;&gt;"retain"),NOT(OR(IF($K26="",INDEX(primary_jama_2018_14280_domain,MATCH($A26,primary_jama_2018_14280_key,0)),$K26)="internal_nonstatistical",IF($K26="",INDEX(primary_jama_2018_14280_domain,MATCH($A26,primary_jama_2018_14280_key,0)),$K26)="plan_material"))),"not_applicable","")</f>
        <v/>
      </c>
      <c r="P26" s="9">
        <f>IF(OR(AND(IF($J26="",INDEX(primary_jama_2018_14280_disposition,MATCH($A26,primary_jama_2018_14280_key,0)),$J26)&lt;&gt;"",IF($J26="",INDEX(primary_jama_2018_14280_disposition,MATCH($A26,primary_jama_2018_14280_key,0)),$J26)&lt;&gt;"retain"),NOT(OR(IF($K26="",INDEX(primary_jama_2018_14280_domain,MATCH($A26,primary_jama_2018_14280_key,0)),$K26)="protocol_report"))),"not_applicable","")</f>
        <v/>
      </c>
      <c r="Q26" s="10" t="inlineStr"/>
      <c r="R26" s="10" t="inlineStr"/>
    </row>
    <row r="27" ht="76" customHeight="1">
      <c r="A27" s="3" t="inlineStr">
        <is>
          <t>2018::jama.2018.14280::C005</t>
        </is>
      </c>
      <c r="B27" s="3" t="inlineStr">
        <is>
          <t>jama.2018.14280</t>
        </is>
      </c>
      <c r="C27" s="3" t="inlineStr">
        <is>
          <t>Alcohol-use categories use undisclosed denominators</t>
        </is>
      </c>
      <c r="D27" s="8" t="inlineStr"/>
      <c r="E27" s="11" t="inlineStr"/>
      <c r="F27" s="8" t="inlineStr">
        <is>
          <t>no</t>
        </is>
      </c>
      <c r="G27" s="3">
        <f>IF(OR(AND(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L27&lt;&gt;"",L27&lt;&gt;"not_applicable"),AND(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M27&lt;&gt;"",M27&lt;&gt;"not_applicable"),AND(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N27&lt;&gt;"",N27&lt;&gt;"not_applicable"),AND(OR(AND(IF($J27="",INDEX(primary_jama_2018_14280_disposition,MATCH($A27,primary_jama_2018_14280_key,0)),$J27)&lt;&gt;"",IF($J27="",INDEX(primary_jama_2018_14280_disposition,MATCH($A27,primary_jama_2018_14280_key,0)),$J27)&lt;&gt;"retain"),NOT(OR(IF($K27="",INDEX(primary_jama_2018_14280_domain,MATCH($A27,primary_jama_2018_14280_key,0)),$K27)="internal_nonstatistical",IF($K27="",INDEX(primary_jama_2018_14280_domain,MATCH($A27,primary_jama_2018_14280_key,0)),$K27)="plan_material"))),O27&lt;&gt;"",O27&lt;&gt;"not_applicable"),AND(OR(AND(IF($J27="",INDEX(primary_jama_2018_14280_disposition,MATCH($A27,primary_jama_2018_14280_key,0)),$J27)&lt;&gt;"",IF($J27="",INDEX(primary_jama_2018_14280_disposition,MATCH($A27,primary_jama_2018_14280_key,0)),$J27)&lt;&gt;"retain"),NOT(OR(IF($K27="",INDEX(primary_jama_2018_14280_domain,MATCH($A27,primary_jama_2018_14280_key,0)),$K27)="protocol_report"))),P27&lt;&gt;"",P27&lt;&gt;"not_applicable")),"CLEAR INACTIVE VALUES",IF(D27="","PENDING",IF(AND(D27&lt;&gt;"agree",LEN(TRIM(E27))=0),"COMMENT NEEDED",IF(F27="yes","CHECKED - see resolution","DRAFT"))))</f>
        <v/>
      </c>
      <c r="H27" s="8" t="inlineStr">
        <is>
          <t>pending</t>
        </is>
      </c>
      <c r="I27" s="11" t="inlineStr"/>
      <c r="J27" s="8" t="inlineStr"/>
      <c r="K27" s="8" t="inlineStr"/>
      <c r="L27" s="8">
        <f>IF(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not_applicable","")</f>
        <v/>
      </c>
      <c r="M27" s="8">
        <f>IF(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not_applicable","")</f>
        <v/>
      </c>
      <c r="N27" s="9">
        <f>IF(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not_applicable","")</f>
        <v/>
      </c>
      <c r="O27" s="8">
        <f>IF(OR(AND(IF($J27="",INDEX(primary_jama_2018_14280_disposition,MATCH($A27,primary_jama_2018_14280_key,0)),$J27)&lt;&gt;"",IF($J27="",INDEX(primary_jama_2018_14280_disposition,MATCH($A27,primary_jama_2018_14280_key,0)),$J27)&lt;&gt;"retain"),NOT(OR(IF($K27="",INDEX(primary_jama_2018_14280_domain,MATCH($A27,primary_jama_2018_14280_key,0)),$K27)="internal_nonstatistical",IF($K27="",INDEX(primary_jama_2018_14280_domain,MATCH($A27,primary_jama_2018_14280_key,0)),$K27)="plan_material"))),"not_applicable","")</f>
        <v/>
      </c>
      <c r="P27" s="9">
        <f>IF(OR(AND(IF($J27="",INDEX(primary_jama_2018_14280_disposition,MATCH($A27,primary_jama_2018_14280_key,0)),$J27)&lt;&gt;"",IF($J27="",INDEX(primary_jama_2018_14280_disposition,MATCH($A27,primary_jama_2018_14280_key,0)),$J27)&lt;&gt;"retain"),NOT(OR(IF($K27="",INDEX(primary_jama_2018_14280_domain,MATCH($A27,primary_jama_2018_14280_key,0)),$K27)="protocol_report"))),"not_applicable","")</f>
        <v/>
      </c>
      <c r="Q27" s="10" t="inlineStr"/>
      <c r="R27" s="10" t="inlineStr"/>
    </row>
    <row r="28" ht="76" customHeight="1">
      <c r="A28" s="2" t="inlineStr">
        <is>
          <t>2018::jama.2018.14280::C006</t>
        </is>
      </c>
      <c r="B28" s="2" t="inlineStr">
        <is>
          <t>jama.2018.14280</t>
        </is>
      </c>
      <c r="C28" s="2" t="inlineStr">
        <is>
          <t>ICU-admission categories use undisclosed denominators</t>
        </is>
      </c>
      <c r="D28" s="8" t="inlineStr"/>
      <c r="E28" s="11" t="inlineStr"/>
      <c r="F28" s="8" t="inlineStr">
        <is>
          <t>no</t>
        </is>
      </c>
      <c r="G28" s="2">
        <f>IF(OR(AND(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L28&lt;&gt;"",L28&lt;&gt;"not_applicable"),AND(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M28&lt;&gt;"",M28&lt;&gt;"not_applicable"),AND(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N28&lt;&gt;"",N28&lt;&gt;"not_applicable"),AND(OR(AND(IF($J28="",INDEX(primary_jama_2018_14280_disposition,MATCH($A28,primary_jama_2018_14280_key,0)),$J28)&lt;&gt;"",IF($J28="",INDEX(primary_jama_2018_14280_disposition,MATCH($A28,primary_jama_2018_14280_key,0)),$J28)&lt;&gt;"retain"),NOT(OR(IF($K28="",INDEX(primary_jama_2018_14280_domain,MATCH($A28,primary_jama_2018_14280_key,0)),$K28)="internal_nonstatistical",IF($K28="",INDEX(primary_jama_2018_14280_domain,MATCH($A28,primary_jama_2018_14280_key,0)),$K28)="plan_material"))),O28&lt;&gt;"",O28&lt;&gt;"not_applicable"),AND(OR(AND(IF($J28="",INDEX(primary_jama_2018_14280_disposition,MATCH($A28,primary_jama_2018_14280_key,0)),$J28)&lt;&gt;"",IF($J28="",INDEX(primary_jama_2018_14280_disposition,MATCH($A28,primary_jama_2018_14280_key,0)),$J28)&lt;&gt;"retain"),NOT(OR(IF($K28="",INDEX(primary_jama_2018_14280_domain,MATCH($A28,primary_jama_2018_14280_key,0)),$K28)="protocol_report"))),P28&lt;&gt;"",P28&lt;&gt;"not_applicable")),"CLEAR INACTIVE VALUES",IF(D28="","PENDING",IF(AND(D28&lt;&gt;"agree",LEN(TRIM(E28))=0),"COMMENT NEEDED",IF(F28="yes","CHECKED - see resolution","DRAFT"))))</f>
        <v/>
      </c>
      <c r="H28" s="8" t="inlineStr">
        <is>
          <t>pending</t>
        </is>
      </c>
      <c r="I28" s="11" t="inlineStr"/>
      <c r="J28" s="8" t="inlineStr"/>
      <c r="K28" s="8" t="inlineStr"/>
      <c r="L28" s="8">
        <f>IF(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not_applicable","")</f>
        <v/>
      </c>
      <c r="M28" s="8">
        <f>IF(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not_applicable","")</f>
        <v/>
      </c>
      <c r="N28" s="9">
        <f>IF(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not_applicable","")</f>
        <v/>
      </c>
      <c r="O28" s="8">
        <f>IF(OR(AND(IF($J28="",INDEX(primary_jama_2018_14280_disposition,MATCH($A28,primary_jama_2018_14280_key,0)),$J28)&lt;&gt;"",IF($J28="",INDEX(primary_jama_2018_14280_disposition,MATCH($A28,primary_jama_2018_14280_key,0)),$J28)&lt;&gt;"retain"),NOT(OR(IF($K28="",INDEX(primary_jama_2018_14280_domain,MATCH($A28,primary_jama_2018_14280_key,0)),$K28)="internal_nonstatistical",IF($K28="",INDEX(primary_jama_2018_14280_domain,MATCH($A28,primary_jama_2018_14280_key,0)),$K28)="plan_material"))),"not_applicable","")</f>
        <v/>
      </c>
      <c r="P28" s="9">
        <f>IF(OR(AND(IF($J28="",INDEX(primary_jama_2018_14280_disposition,MATCH($A28,primary_jama_2018_14280_key,0)),$J28)&lt;&gt;"",IF($J28="",INDEX(primary_jama_2018_14280_disposition,MATCH($A28,primary_jama_2018_14280_key,0)),$J28)&lt;&gt;"retain"),NOT(OR(IF($K28="",INDEX(primary_jama_2018_14280_domain,MATCH($A28,primary_jama_2018_14280_key,0)),$K28)="protocol_report"))),"not_applicable","")</f>
        <v/>
      </c>
      <c r="Q28" s="10" t="inlineStr"/>
      <c r="R28" s="10" t="inlineStr"/>
    </row>
    <row r="29" ht="76" customHeight="1">
      <c r="A29" s="3" t="inlineStr">
        <is>
          <t>2018::jama.2018.14280::C007</t>
        </is>
      </c>
      <c r="B29" s="3" t="inlineStr">
        <is>
          <t>jama.2018.14280</t>
        </is>
      </c>
      <c r="C29" s="3" t="inlineStr">
        <is>
          <t>Sedative-infusion percentages omit effective denominators</t>
        </is>
      </c>
      <c r="D29" s="8" t="inlineStr"/>
      <c r="E29" s="11" t="inlineStr"/>
      <c r="F29" s="8" t="inlineStr">
        <is>
          <t>no</t>
        </is>
      </c>
      <c r="G29" s="3">
        <f>IF(OR(AND(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L29&lt;&gt;"",L29&lt;&gt;"not_applicable"),AND(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M29&lt;&gt;"",M29&lt;&gt;"not_applicable"),AND(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N29&lt;&gt;"",N29&lt;&gt;"not_applicable"),AND(OR(AND(IF($J29="",INDEX(primary_jama_2018_14280_disposition,MATCH($A29,primary_jama_2018_14280_key,0)),$J29)&lt;&gt;"",IF($J29="",INDEX(primary_jama_2018_14280_disposition,MATCH($A29,primary_jama_2018_14280_key,0)),$J29)&lt;&gt;"retain"),NOT(OR(IF($K29="",INDEX(primary_jama_2018_14280_domain,MATCH($A29,primary_jama_2018_14280_key,0)),$K29)="internal_nonstatistical",IF($K29="",INDEX(primary_jama_2018_14280_domain,MATCH($A29,primary_jama_2018_14280_key,0)),$K29)="plan_material"))),O29&lt;&gt;"",O29&lt;&gt;"not_applicable"),AND(OR(AND(IF($J29="",INDEX(primary_jama_2018_14280_disposition,MATCH($A29,primary_jama_2018_14280_key,0)),$J29)&lt;&gt;"",IF($J29="",INDEX(primary_jama_2018_14280_disposition,MATCH($A29,primary_jama_2018_14280_key,0)),$J29)&lt;&gt;"retain"),NOT(OR(IF($K29="",INDEX(primary_jama_2018_14280_domain,MATCH($A29,primary_jama_2018_14280_key,0)),$K29)="protocol_report"))),P29&lt;&gt;"",P29&lt;&gt;"not_applicable")),"CLEAR INACTIVE VALUES",IF(D29="","PENDING",IF(AND(D29&lt;&gt;"agree",LEN(TRIM(E29))=0),"COMMENT NEEDED",IF(F29="yes","CHECKED - see resolution","DRAFT"))))</f>
        <v/>
      </c>
      <c r="H29" s="8" t="inlineStr">
        <is>
          <t>pending</t>
        </is>
      </c>
      <c r="I29" s="11" t="inlineStr"/>
      <c r="J29" s="8" t="inlineStr"/>
      <c r="K29" s="8" t="inlineStr"/>
      <c r="L29" s="8">
        <f>IF(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not_applicable","")</f>
        <v/>
      </c>
      <c r="M29" s="8">
        <f>IF(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not_applicable","")</f>
        <v/>
      </c>
      <c r="N29" s="9">
        <f>IF(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not_applicable","")</f>
        <v/>
      </c>
      <c r="O29" s="8">
        <f>IF(OR(AND(IF($J29="",INDEX(primary_jama_2018_14280_disposition,MATCH($A29,primary_jama_2018_14280_key,0)),$J29)&lt;&gt;"",IF($J29="",INDEX(primary_jama_2018_14280_disposition,MATCH($A29,primary_jama_2018_14280_key,0)),$J29)&lt;&gt;"retain"),NOT(OR(IF($K29="",INDEX(primary_jama_2018_14280_domain,MATCH($A29,primary_jama_2018_14280_key,0)),$K29)="internal_nonstatistical",IF($K29="",INDEX(primary_jama_2018_14280_domain,MATCH($A29,primary_jama_2018_14280_key,0)),$K29)="plan_material"))),"not_applicable","")</f>
        <v/>
      </c>
      <c r="P29" s="9">
        <f>IF(OR(AND(IF($J29="",INDEX(primary_jama_2018_14280_disposition,MATCH($A29,primary_jama_2018_14280_key,0)),$J29)&lt;&gt;"",IF($J29="",INDEX(primary_jama_2018_14280_disposition,MATCH($A29,primary_jama_2018_14280_key,0)),$J29)&lt;&gt;"retain"),NOT(OR(IF($K29="",INDEX(primary_jama_2018_14280_domain,MATCH($A29,primary_jama_2018_14280_key,0)),$K29)="protocol_report"))),"not_applicable","")</f>
        <v/>
      </c>
      <c r="Q29" s="10" t="inlineStr"/>
      <c r="R29" s="10" t="inlineStr"/>
    </row>
    <row r="30" ht="76" customHeight="1">
      <c r="A30" s="2" t="inlineStr">
        <is>
          <t>2018::jama.2018.14280::C008</t>
        </is>
      </c>
      <c r="B30" s="2" t="inlineStr">
        <is>
          <t>jama.2018.14280</t>
        </is>
      </c>
      <c r="C30" s="2" t="inlineStr">
        <is>
          <t>Analgesic-infusion percentages omit effective denominators</t>
        </is>
      </c>
      <c r="D30" s="8" t="inlineStr"/>
      <c r="E30" s="11" t="inlineStr"/>
      <c r="F30" s="8" t="inlineStr">
        <is>
          <t>no</t>
        </is>
      </c>
      <c r="G30" s="2">
        <f>IF(OR(AND(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L30&lt;&gt;"",L30&lt;&gt;"not_applicable"),AND(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M30&lt;&gt;"",M30&lt;&gt;"not_applicable"),AND(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N30&lt;&gt;"",N30&lt;&gt;"not_applicable"),AND(OR(AND(IF($J30="",INDEX(primary_jama_2018_14280_disposition,MATCH($A30,primary_jama_2018_14280_key,0)),$J30)&lt;&gt;"",IF($J30="",INDEX(primary_jama_2018_14280_disposition,MATCH($A30,primary_jama_2018_14280_key,0)),$J30)&lt;&gt;"retain"),NOT(OR(IF($K30="",INDEX(primary_jama_2018_14280_domain,MATCH($A30,primary_jama_2018_14280_key,0)),$K30)="internal_nonstatistical",IF($K30="",INDEX(primary_jama_2018_14280_domain,MATCH($A30,primary_jama_2018_14280_key,0)),$K30)="plan_material"))),O30&lt;&gt;"",O30&lt;&gt;"not_applicable"),AND(OR(AND(IF($J30="",INDEX(primary_jama_2018_14280_disposition,MATCH($A30,primary_jama_2018_14280_key,0)),$J30)&lt;&gt;"",IF($J30="",INDEX(primary_jama_2018_14280_disposition,MATCH($A30,primary_jama_2018_14280_key,0)),$J30)&lt;&gt;"retain"),NOT(OR(IF($K30="",INDEX(primary_jama_2018_14280_domain,MATCH($A30,primary_jama_2018_14280_key,0)),$K30)="protocol_report"))),P30&lt;&gt;"",P30&lt;&gt;"not_applicable")),"CLEAR INACTIVE VALUES",IF(D30="","PENDING",IF(AND(D30&lt;&gt;"agree",LEN(TRIM(E30))=0),"COMMENT NEEDED",IF(F30="yes","CHECKED - see resolution","DRAFT"))))</f>
        <v/>
      </c>
      <c r="H30" s="8" t="inlineStr">
        <is>
          <t>pending</t>
        </is>
      </c>
      <c r="I30" s="11" t="inlineStr"/>
      <c r="J30" s="8" t="inlineStr"/>
      <c r="K30" s="8" t="inlineStr"/>
      <c r="L30" s="8">
        <f>IF(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not_applicable","")</f>
        <v/>
      </c>
      <c r="M30" s="8">
        <f>IF(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not_applicable","")</f>
        <v/>
      </c>
      <c r="N30" s="9">
        <f>IF(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not_applicable","")</f>
        <v/>
      </c>
      <c r="O30" s="8">
        <f>IF(OR(AND(IF($J30="",INDEX(primary_jama_2018_14280_disposition,MATCH($A30,primary_jama_2018_14280_key,0)),$J30)&lt;&gt;"",IF($J30="",INDEX(primary_jama_2018_14280_disposition,MATCH($A30,primary_jama_2018_14280_key,0)),$J30)&lt;&gt;"retain"),NOT(OR(IF($K30="",INDEX(primary_jama_2018_14280_domain,MATCH($A30,primary_jama_2018_14280_key,0)),$K30)="internal_nonstatistical",IF($K30="",INDEX(primary_jama_2018_14280_domain,MATCH($A30,primary_jama_2018_14280_key,0)),$K30)="plan_material"))),"not_applicable","")</f>
        <v/>
      </c>
      <c r="P30" s="9">
        <f>IF(OR(AND(IF($J30="",INDEX(primary_jama_2018_14280_disposition,MATCH($A30,primary_jama_2018_14280_key,0)),$J30)&lt;&gt;"",IF($J30="",INDEX(primary_jama_2018_14280_disposition,MATCH($A30,primary_jama_2018_14280_key,0)),$J30)&lt;&gt;"retain"),NOT(OR(IF($K30="",INDEX(primary_jama_2018_14280_domain,MATCH($A30,primary_jama_2018_14280_key,0)),$K30)="protocol_report"))),"not_applicable","")</f>
        <v/>
      </c>
      <c r="Q30" s="10" t="inlineStr"/>
      <c r="R30" s="10" t="inlineStr"/>
    </row>
    <row r="31" ht="76" customHeight="1">
      <c r="A31" s="3" t="inlineStr">
        <is>
          <t>2018::jama.2018.14280::C009</t>
        </is>
      </c>
      <c r="B31" s="3" t="inlineStr">
        <is>
          <t>jama.2018.14280</t>
        </is>
      </c>
      <c r="C31" s="3" t="inlineStr">
        <is>
          <t>Neuromuscular-blockade percentages omit effective denominators</t>
        </is>
      </c>
      <c r="D31" s="8" t="inlineStr"/>
      <c r="E31" s="11" t="inlineStr"/>
      <c r="F31" s="8" t="inlineStr">
        <is>
          <t>no</t>
        </is>
      </c>
      <c r="G31" s="3">
        <f>IF(OR(AND(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L31&lt;&gt;"",L31&lt;&gt;"not_applicable"),AND(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M31&lt;&gt;"",M31&lt;&gt;"not_applicable"),AND(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N31&lt;&gt;"",N31&lt;&gt;"not_applicable"),AND(OR(AND(IF($J31="",INDEX(primary_jama_2018_14280_disposition,MATCH($A31,primary_jama_2018_14280_key,0)),$J31)&lt;&gt;"",IF($J31="",INDEX(primary_jama_2018_14280_disposition,MATCH($A31,primary_jama_2018_14280_key,0)),$J31)&lt;&gt;"retain"),NOT(OR(IF($K31="",INDEX(primary_jama_2018_14280_domain,MATCH($A31,primary_jama_2018_14280_key,0)),$K31)="internal_nonstatistical",IF($K31="",INDEX(primary_jama_2018_14280_domain,MATCH($A31,primary_jama_2018_14280_key,0)),$K31)="plan_material"))),O31&lt;&gt;"",O31&lt;&gt;"not_applicable"),AND(OR(AND(IF($J31="",INDEX(primary_jama_2018_14280_disposition,MATCH($A31,primary_jama_2018_14280_key,0)),$J31)&lt;&gt;"",IF($J31="",INDEX(primary_jama_2018_14280_disposition,MATCH($A31,primary_jama_2018_14280_key,0)),$J31)&lt;&gt;"retain"),NOT(OR(IF($K31="",INDEX(primary_jama_2018_14280_domain,MATCH($A31,primary_jama_2018_14280_key,0)),$K31)="protocol_report"))),P31&lt;&gt;"",P31&lt;&gt;"not_applicable")),"CLEAR INACTIVE VALUES",IF(D31="","PENDING",IF(AND(D31&lt;&gt;"agree",LEN(TRIM(E31))=0),"COMMENT NEEDED",IF(F31="yes","CHECKED - see resolution","DRAFT"))))</f>
        <v/>
      </c>
      <c r="H31" s="8" t="inlineStr">
        <is>
          <t>pending</t>
        </is>
      </c>
      <c r="I31" s="11" t="inlineStr"/>
      <c r="J31" s="8" t="inlineStr"/>
      <c r="K31" s="8" t="inlineStr"/>
      <c r="L31" s="8">
        <f>IF(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not_applicable","")</f>
        <v/>
      </c>
      <c r="M31" s="8">
        <f>IF(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not_applicable","")</f>
        <v/>
      </c>
      <c r="N31" s="9">
        <f>IF(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not_applicable","")</f>
        <v/>
      </c>
      <c r="O31" s="8">
        <f>IF(OR(AND(IF($J31="",INDEX(primary_jama_2018_14280_disposition,MATCH($A31,primary_jama_2018_14280_key,0)),$J31)&lt;&gt;"",IF($J31="",INDEX(primary_jama_2018_14280_disposition,MATCH($A31,primary_jama_2018_14280_key,0)),$J31)&lt;&gt;"retain"),NOT(OR(IF($K31="",INDEX(primary_jama_2018_14280_domain,MATCH($A31,primary_jama_2018_14280_key,0)),$K31)="internal_nonstatistical",IF($K31="",INDEX(primary_jama_2018_14280_domain,MATCH($A31,primary_jama_2018_14280_key,0)),$K31)="plan_material"))),"not_applicable","")</f>
        <v/>
      </c>
      <c r="P31" s="9">
        <f>IF(OR(AND(IF($J31="",INDEX(primary_jama_2018_14280_disposition,MATCH($A31,primary_jama_2018_14280_key,0)),$J31)&lt;&gt;"",IF($J31="",INDEX(primary_jama_2018_14280_disposition,MATCH($A31,primary_jama_2018_14280_key,0)),$J31)&lt;&gt;"retain"),NOT(OR(IF($K31="",INDEX(primary_jama_2018_14280_domain,MATCH($A31,primary_jama_2018_14280_key,0)),$K31)="protocol_report"))),"not_applicable","")</f>
        <v/>
      </c>
      <c r="Q31" s="10" t="inlineStr"/>
      <c r="R31" s="10" t="inlineStr"/>
    </row>
    <row r="32" ht="76" customHeight="1">
      <c r="A32" s="2" t="inlineStr">
        <is>
          <t>2018::jama.2018.14280::C010</t>
        </is>
      </c>
      <c r="B32" s="2" t="inlineStr">
        <is>
          <t>jama.2018.14280</t>
        </is>
      </c>
      <c r="C32" s="2" t="inlineStr">
        <is>
          <t>Vasopressor-use percentages omit effective denominators</t>
        </is>
      </c>
      <c r="D32" s="8" t="inlineStr"/>
      <c r="E32" s="11" t="inlineStr"/>
      <c r="F32" s="8" t="inlineStr">
        <is>
          <t>no</t>
        </is>
      </c>
      <c r="G32" s="2">
        <f>IF(OR(AND(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L32&lt;&gt;"",L32&lt;&gt;"not_applicable"),AND(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M32&lt;&gt;"",M32&lt;&gt;"not_applicable"),AND(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N32&lt;&gt;"",N32&lt;&gt;"not_applicable"),AND(OR(AND(IF($J32="",INDEX(primary_jama_2018_14280_disposition,MATCH($A32,primary_jama_2018_14280_key,0)),$J32)&lt;&gt;"",IF($J32="",INDEX(primary_jama_2018_14280_disposition,MATCH($A32,primary_jama_2018_14280_key,0)),$J32)&lt;&gt;"retain"),NOT(OR(IF($K32="",INDEX(primary_jama_2018_14280_domain,MATCH($A32,primary_jama_2018_14280_key,0)),$K32)="internal_nonstatistical",IF($K32="",INDEX(primary_jama_2018_14280_domain,MATCH($A32,primary_jama_2018_14280_key,0)),$K32)="plan_material"))),O32&lt;&gt;"",O32&lt;&gt;"not_applicable"),AND(OR(AND(IF($J32="",INDEX(primary_jama_2018_14280_disposition,MATCH($A32,primary_jama_2018_14280_key,0)),$J32)&lt;&gt;"",IF($J32="",INDEX(primary_jama_2018_14280_disposition,MATCH($A32,primary_jama_2018_14280_key,0)),$J32)&lt;&gt;"retain"),NOT(OR(IF($K32="",INDEX(primary_jama_2018_14280_domain,MATCH($A32,primary_jama_2018_14280_key,0)),$K32)="protocol_report"))),P32&lt;&gt;"",P32&lt;&gt;"not_applicable")),"CLEAR INACTIVE VALUES",IF(D32="","PENDING",IF(AND(D32&lt;&gt;"agree",LEN(TRIM(E32))=0),"COMMENT NEEDED",IF(F32="yes","CHECKED - see resolution","DRAFT"))))</f>
        <v/>
      </c>
      <c r="H32" s="8" t="inlineStr">
        <is>
          <t>pending</t>
        </is>
      </c>
      <c r="I32" s="11" t="inlineStr"/>
      <c r="J32" s="8" t="inlineStr"/>
      <c r="K32" s="8" t="inlineStr"/>
      <c r="L32" s="8">
        <f>IF(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not_applicable","")</f>
        <v/>
      </c>
      <c r="M32" s="8">
        <f>IF(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not_applicable","")</f>
        <v/>
      </c>
      <c r="N32" s="9">
        <f>IF(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not_applicable","")</f>
        <v/>
      </c>
      <c r="O32" s="8">
        <f>IF(OR(AND(IF($J32="",INDEX(primary_jama_2018_14280_disposition,MATCH($A32,primary_jama_2018_14280_key,0)),$J32)&lt;&gt;"",IF($J32="",INDEX(primary_jama_2018_14280_disposition,MATCH($A32,primary_jama_2018_14280_key,0)),$J32)&lt;&gt;"retain"),NOT(OR(IF($K32="",INDEX(primary_jama_2018_14280_domain,MATCH($A32,primary_jama_2018_14280_key,0)),$K32)="internal_nonstatistical",IF($K32="",INDEX(primary_jama_2018_14280_domain,MATCH($A32,primary_jama_2018_14280_key,0)),$K32)="plan_material"))),"not_applicable","")</f>
        <v/>
      </c>
      <c r="P32" s="9">
        <f>IF(OR(AND(IF($J32="",INDEX(primary_jama_2018_14280_disposition,MATCH($A32,primary_jama_2018_14280_key,0)),$J32)&lt;&gt;"",IF($J32="",INDEX(primary_jama_2018_14280_disposition,MATCH($A32,primary_jama_2018_14280_key,0)),$J32)&lt;&gt;"retain"),NOT(OR(IF($K32="",INDEX(primary_jama_2018_14280_domain,MATCH($A32,primary_jama_2018_14280_key,0)),$K32)="protocol_report"))),"not_applicable","")</f>
        <v/>
      </c>
      <c r="Q32" s="10" t="inlineStr"/>
      <c r="R32" s="10" t="inlineStr"/>
    </row>
    <row r="33" ht="76" customHeight="1">
      <c r="A33" s="3" t="inlineStr">
        <is>
          <t>2018::jama.2018.14280::C011</t>
        </is>
      </c>
      <c r="B33" s="3" t="inlineStr">
        <is>
          <t>jama.2018.14280</t>
        </is>
      </c>
      <c r="C33" s="3" t="inlineStr">
        <is>
          <t>Mortality effect-measure wording conflicts with Table 2 and the SAP</t>
        </is>
      </c>
      <c r="D33" s="8" t="inlineStr"/>
      <c r="E33" s="11" t="inlineStr"/>
      <c r="F33" s="8" t="inlineStr">
        <is>
          <t>no</t>
        </is>
      </c>
      <c r="G33" s="3">
        <f>IF(OR(AND(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L33&lt;&gt;"",L33&lt;&gt;"not_applicable"),AND(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M33&lt;&gt;"",M33&lt;&gt;"not_applicable"),AND(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N33&lt;&gt;"",N33&lt;&gt;"not_applicable"),AND(OR(AND(IF($J33="",INDEX(primary_jama_2018_14280_disposition,MATCH($A33,primary_jama_2018_14280_key,0)),$J33)&lt;&gt;"",IF($J33="",INDEX(primary_jama_2018_14280_disposition,MATCH($A33,primary_jama_2018_14280_key,0)),$J33)&lt;&gt;"retain"),NOT(OR(IF($K33="",INDEX(primary_jama_2018_14280_domain,MATCH($A33,primary_jama_2018_14280_key,0)),$K33)="internal_nonstatistical",IF($K33="",INDEX(primary_jama_2018_14280_domain,MATCH($A33,primary_jama_2018_14280_key,0)),$K33)="plan_material"))),O33&lt;&gt;"",O33&lt;&gt;"not_applicable"),AND(OR(AND(IF($J33="",INDEX(primary_jama_2018_14280_disposition,MATCH($A33,primary_jama_2018_14280_key,0)),$J33)&lt;&gt;"",IF($J33="",INDEX(primary_jama_2018_14280_disposition,MATCH($A33,primary_jama_2018_14280_key,0)),$J33)&lt;&gt;"retain"),NOT(OR(IF($K33="",INDEX(primary_jama_2018_14280_domain,MATCH($A33,primary_jama_2018_14280_key,0)),$K33)="protocol_report"))),P33&lt;&gt;"",P33&lt;&gt;"not_applicable")),"CLEAR INACTIVE VALUES",IF(D33="","PENDING",IF(AND(D33&lt;&gt;"agree",LEN(TRIM(E33))=0),"COMMENT NEEDED",IF(F33="yes","CHECKED - see resolution","DRAFT"))))</f>
        <v/>
      </c>
      <c r="H33" s="8" t="inlineStr">
        <is>
          <t>pending</t>
        </is>
      </c>
      <c r="I33" s="11" t="inlineStr"/>
      <c r="J33" s="8" t="inlineStr"/>
      <c r="K33" s="8" t="inlineStr"/>
      <c r="L33" s="8">
        <f>IF(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not_applicable","")</f>
        <v/>
      </c>
      <c r="M33" s="8">
        <f>IF(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not_applicable","")</f>
        <v/>
      </c>
      <c r="N33" s="9">
        <f>IF(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not_applicable","")</f>
        <v/>
      </c>
      <c r="O33" s="8">
        <f>IF(OR(AND(IF($J33="",INDEX(primary_jama_2018_14280_disposition,MATCH($A33,primary_jama_2018_14280_key,0)),$J33)&lt;&gt;"",IF($J33="",INDEX(primary_jama_2018_14280_disposition,MATCH($A33,primary_jama_2018_14280_key,0)),$J33)&lt;&gt;"retain"),NOT(OR(IF($K33="",INDEX(primary_jama_2018_14280_domain,MATCH($A33,primary_jama_2018_14280_key,0)),$K33)="internal_nonstatistical",IF($K33="",INDEX(primary_jama_2018_14280_domain,MATCH($A33,primary_jama_2018_14280_key,0)),$K33)="plan_material"))),"not_applicable","")</f>
        <v/>
      </c>
      <c r="P33" s="9">
        <f>IF(OR(AND(IF($J33="",INDEX(primary_jama_2018_14280_disposition,MATCH($A33,primary_jama_2018_14280_key,0)),$J33)&lt;&gt;"",IF($J33="",INDEX(primary_jama_2018_14280_disposition,MATCH($A33,primary_jama_2018_14280_key,0)),$J33)&lt;&gt;"retain"),NOT(OR(IF($K33="",INDEX(primary_jama_2018_14280_domain,MATCH($A33,primary_jama_2018_14280_key,0)),$K33)="protocol_report"))),"not_applicable","")</f>
        <v/>
      </c>
      <c r="Q33" s="10" t="inlineStr"/>
      <c r="R33" s="10" t="inlineStr"/>
    </row>
    <row r="34" ht="76" customHeight="1">
      <c r="A34" s="2" t="inlineStr">
        <is>
          <t>2018::jama.2018.14280::C012</t>
        </is>
      </c>
      <c r="B34" s="2" t="inlineStr">
        <is>
          <t>jama.2018.14280</t>
        </is>
      </c>
      <c r="C34" s="2" t="inlineStr">
        <is>
          <t>ICU-mortality RR does not reproduce from printed risks</t>
        </is>
      </c>
      <c r="D34" s="8" t="inlineStr"/>
      <c r="E34" s="11" t="inlineStr"/>
      <c r="F34" s="8" t="inlineStr">
        <is>
          <t>no</t>
        </is>
      </c>
      <c r="G34" s="2">
        <f>IF(OR(AND(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L34&lt;&gt;"",L34&lt;&gt;"not_applicable"),AND(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M34&lt;&gt;"",M34&lt;&gt;"not_applicable"),AND(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N34&lt;&gt;"",N34&lt;&gt;"not_applicable"),AND(OR(AND(IF($J34="",INDEX(primary_jama_2018_14280_disposition,MATCH($A34,primary_jama_2018_14280_key,0)),$J34)&lt;&gt;"",IF($J34="",INDEX(primary_jama_2018_14280_disposition,MATCH($A34,primary_jama_2018_14280_key,0)),$J34)&lt;&gt;"retain"),NOT(OR(IF($K34="",INDEX(primary_jama_2018_14280_domain,MATCH($A34,primary_jama_2018_14280_key,0)),$K34)="internal_nonstatistical",IF($K34="",INDEX(primary_jama_2018_14280_domain,MATCH($A34,primary_jama_2018_14280_key,0)),$K34)="plan_material"))),O34&lt;&gt;"",O34&lt;&gt;"not_applicable"),AND(OR(AND(IF($J34="",INDEX(primary_jama_2018_14280_disposition,MATCH($A34,primary_jama_2018_14280_key,0)),$J34)&lt;&gt;"",IF($J34="",INDEX(primary_jama_2018_14280_disposition,MATCH($A34,primary_jama_2018_14280_key,0)),$J34)&lt;&gt;"retain"),NOT(OR(IF($K34="",INDEX(primary_jama_2018_14280_domain,MATCH($A34,primary_jama_2018_14280_key,0)),$K34)="protocol_report"))),P34&lt;&gt;"",P34&lt;&gt;"not_applicable")),"CLEAR INACTIVE VALUES",IF(D34="","PENDING",IF(AND(D34&lt;&gt;"agree",LEN(TRIM(E34))=0),"COMMENT NEEDED",IF(F34="yes","CHECKED - see resolution","DRAFT"))))</f>
        <v/>
      </c>
      <c r="H34" s="8" t="inlineStr">
        <is>
          <t>pending</t>
        </is>
      </c>
      <c r="I34" s="11" t="inlineStr"/>
      <c r="J34" s="8" t="inlineStr"/>
      <c r="K34" s="8" t="inlineStr"/>
      <c r="L34" s="8">
        <f>IF(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not_applicable","")</f>
        <v/>
      </c>
      <c r="M34" s="8">
        <f>IF(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not_applicable","")</f>
        <v/>
      </c>
      <c r="N34" s="9">
        <f>IF(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not_applicable","")</f>
        <v/>
      </c>
      <c r="O34" s="8">
        <f>IF(OR(AND(IF($J34="",INDEX(primary_jama_2018_14280_disposition,MATCH($A34,primary_jama_2018_14280_key,0)),$J34)&lt;&gt;"",IF($J34="",INDEX(primary_jama_2018_14280_disposition,MATCH($A34,primary_jama_2018_14280_key,0)),$J34)&lt;&gt;"retain"),NOT(OR(IF($K34="",INDEX(primary_jama_2018_14280_domain,MATCH($A34,primary_jama_2018_14280_key,0)),$K34)="internal_nonstatistical",IF($K34="",INDEX(primary_jama_2018_14280_domain,MATCH($A34,primary_jama_2018_14280_key,0)),$K34)="plan_material"))),"not_applicable","")</f>
        <v/>
      </c>
      <c r="P34" s="9">
        <f>IF(OR(AND(IF($J34="",INDEX(primary_jama_2018_14280_disposition,MATCH($A34,primary_jama_2018_14280_key,0)),$J34)&lt;&gt;"",IF($J34="",INDEX(primary_jama_2018_14280_disposition,MATCH($A34,primary_jama_2018_14280_key,0)),$J34)&lt;&gt;"retain"),NOT(OR(IF($K34="",INDEX(primary_jama_2018_14280_domain,MATCH($A34,primary_jama_2018_14280_key,0)),$K34)="protocol_report"))),"not_applicable","")</f>
        <v/>
      </c>
      <c r="Q34" s="10" t="inlineStr"/>
      <c r="R34" s="10" t="inlineStr"/>
    </row>
    <row r="35" ht="76" customHeight="1">
      <c r="A35" s="3" t="inlineStr">
        <is>
          <t>2018::jama.2018.14280::C013</t>
        </is>
      </c>
      <c r="B35" s="3" t="inlineStr">
        <is>
          <t>jama.2018.14280</t>
        </is>
      </c>
      <c r="C35" s="3" t="inlineStr">
        <is>
          <t>Hospital-mortality RR does not reproduce from printed risks</t>
        </is>
      </c>
      <c r="D35" s="8" t="inlineStr"/>
      <c r="E35" s="11" t="inlineStr"/>
      <c r="F35" s="8" t="inlineStr">
        <is>
          <t>no</t>
        </is>
      </c>
      <c r="G35" s="3">
        <f>IF(OR(AND(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L35&lt;&gt;"",L35&lt;&gt;"not_applicable"),AND(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M35&lt;&gt;"",M35&lt;&gt;"not_applicable"),AND(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N35&lt;&gt;"",N35&lt;&gt;"not_applicable"),AND(OR(AND(IF($J35="",INDEX(primary_jama_2018_14280_disposition,MATCH($A35,primary_jama_2018_14280_key,0)),$J35)&lt;&gt;"",IF($J35="",INDEX(primary_jama_2018_14280_disposition,MATCH($A35,primary_jama_2018_14280_key,0)),$J35)&lt;&gt;"retain"),NOT(OR(IF($K35="",INDEX(primary_jama_2018_14280_domain,MATCH($A35,primary_jama_2018_14280_key,0)),$K35)="internal_nonstatistical",IF($K35="",INDEX(primary_jama_2018_14280_domain,MATCH($A35,primary_jama_2018_14280_key,0)),$K35)="plan_material"))),O35&lt;&gt;"",O35&lt;&gt;"not_applicable"),AND(OR(AND(IF($J35="",INDEX(primary_jama_2018_14280_disposition,MATCH($A35,primary_jama_2018_14280_key,0)),$J35)&lt;&gt;"",IF($J35="",INDEX(primary_jama_2018_14280_disposition,MATCH($A35,primary_jama_2018_14280_key,0)),$J35)&lt;&gt;"retain"),NOT(OR(IF($K35="",INDEX(primary_jama_2018_14280_domain,MATCH($A35,primary_jama_2018_14280_key,0)),$K35)="protocol_report"))),P35&lt;&gt;"",P35&lt;&gt;"not_applicable")),"CLEAR INACTIVE VALUES",IF(D35="","PENDING",IF(AND(D35&lt;&gt;"agree",LEN(TRIM(E35))=0),"COMMENT NEEDED",IF(F35="yes","CHECKED - see resolution","DRAFT"))))</f>
        <v/>
      </c>
      <c r="H35" s="8" t="inlineStr">
        <is>
          <t>pending</t>
        </is>
      </c>
      <c r="I35" s="11" t="inlineStr"/>
      <c r="J35" s="8" t="inlineStr"/>
      <c r="K35" s="8" t="inlineStr"/>
      <c r="L35" s="8">
        <f>IF(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not_applicable","")</f>
        <v/>
      </c>
      <c r="M35" s="8">
        <f>IF(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not_applicable","")</f>
        <v/>
      </c>
      <c r="N35" s="9">
        <f>IF(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not_applicable","")</f>
        <v/>
      </c>
      <c r="O35" s="8">
        <f>IF(OR(AND(IF($J35="",INDEX(primary_jama_2018_14280_disposition,MATCH($A35,primary_jama_2018_14280_key,0)),$J35)&lt;&gt;"",IF($J35="",INDEX(primary_jama_2018_14280_disposition,MATCH($A35,primary_jama_2018_14280_key,0)),$J35)&lt;&gt;"retain"),NOT(OR(IF($K35="",INDEX(primary_jama_2018_14280_domain,MATCH($A35,primary_jama_2018_14280_key,0)),$K35)="internal_nonstatistical",IF($K35="",INDEX(primary_jama_2018_14280_domain,MATCH($A35,primary_jama_2018_14280_key,0)),$K35)="plan_material"))),"not_applicable","")</f>
        <v/>
      </c>
      <c r="P35" s="9">
        <f>IF(OR(AND(IF($J35="",INDEX(primary_jama_2018_14280_disposition,MATCH($A35,primary_jama_2018_14280_key,0)),$J35)&lt;&gt;"",IF($J35="",INDEX(primary_jama_2018_14280_disposition,MATCH($A35,primary_jama_2018_14280_key,0)),$J35)&lt;&gt;"retain"),NOT(OR(IF($K35="",INDEX(primary_jama_2018_14280_domain,MATCH($A35,primary_jama_2018_14280_key,0)),$K35)="protocol_report"))),"not_applicable","")</f>
        <v/>
      </c>
      <c r="Q35" s="10" t="inlineStr"/>
      <c r="R35" s="10" t="inlineStr"/>
    </row>
    <row r="36" ht="76" customHeight="1">
      <c r="A36" s="2" t="inlineStr">
        <is>
          <t>2018::jama.2018.14280::C014</t>
        </is>
      </c>
      <c r="B36" s="2" t="inlineStr">
        <is>
          <t>jama.2018.14280</t>
        </is>
      </c>
      <c r="C36" s="2" t="inlineStr">
        <is>
          <t>ARDS RR does not reproduce from printed risks</t>
        </is>
      </c>
      <c r="D36" s="8" t="inlineStr"/>
      <c r="E36" s="11" t="inlineStr"/>
      <c r="F36" s="8" t="inlineStr">
        <is>
          <t>no</t>
        </is>
      </c>
      <c r="G36" s="2">
        <f>IF(OR(AND(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L36&lt;&gt;"",L36&lt;&gt;"not_applicable"),AND(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M36&lt;&gt;"",M36&lt;&gt;"not_applicable"),AND(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N36&lt;&gt;"",N36&lt;&gt;"not_applicable"),AND(OR(AND(IF($J36="",INDEX(primary_jama_2018_14280_disposition,MATCH($A36,primary_jama_2018_14280_key,0)),$J36)&lt;&gt;"",IF($J36="",INDEX(primary_jama_2018_14280_disposition,MATCH($A36,primary_jama_2018_14280_key,0)),$J36)&lt;&gt;"retain"),NOT(OR(IF($K36="",INDEX(primary_jama_2018_14280_domain,MATCH($A36,primary_jama_2018_14280_key,0)),$K36)="internal_nonstatistical",IF($K36="",INDEX(primary_jama_2018_14280_domain,MATCH($A36,primary_jama_2018_14280_key,0)),$K36)="plan_material"))),O36&lt;&gt;"",O36&lt;&gt;"not_applicable"),AND(OR(AND(IF($J36="",INDEX(primary_jama_2018_14280_disposition,MATCH($A36,primary_jama_2018_14280_key,0)),$J36)&lt;&gt;"",IF($J36="",INDEX(primary_jama_2018_14280_disposition,MATCH($A36,primary_jama_2018_14280_key,0)),$J36)&lt;&gt;"retain"),NOT(OR(IF($K36="",INDEX(primary_jama_2018_14280_domain,MATCH($A36,primary_jama_2018_14280_key,0)),$K36)="protocol_report"))),P36&lt;&gt;"",P36&lt;&gt;"not_applicable")),"CLEAR INACTIVE VALUES",IF(D36="","PENDING",IF(AND(D36&lt;&gt;"agree",LEN(TRIM(E36))=0),"COMMENT NEEDED",IF(F36="yes","CHECKED - see resolution","DRAFT"))))</f>
        <v/>
      </c>
      <c r="H36" s="8" t="inlineStr">
        <is>
          <t>pending</t>
        </is>
      </c>
      <c r="I36" s="11" t="inlineStr"/>
      <c r="J36" s="8" t="inlineStr"/>
      <c r="K36" s="8" t="inlineStr"/>
      <c r="L36" s="8">
        <f>IF(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not_applicable","")</f>
        <v/>
      </c>
      <c r="M36" s="8">
        <f>IF(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not_applicable","")</f>
        <v/>
      </c>
      <c r="N36" s="9">
        <f>IF(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not_applicable","")</f>
        <v/>
      </c>
      <c r="O36" s="8">
        <f>IF(OR(AND(IF($J36="",INDEX(primary_jama_2018_14280_disposition,MATCH($A36,primary_jama_2018_14280_key,0)),$J36)&lt;&gt;"",IF($J36="",INDEX(primary_jama_2018_14280_disposition,MATCH($A36,primary_jama_2018_14280_key,0)),$J36)&lt;&gt;"retain"),NOT(OR(IF($K36="",INDEX(primary_jama_2018_14280_domain,MATCH($A36,primary_jama_2018_14280_key,0)),$K36)="internal_nonstatistical",IF($K36="",INDEX(primary_jama_2018_14280_domain,MATCH($A36,primary_jama_2018_14280_key,0)),$K36)="plan_material"))),"not_applicable","")</f>
        <v/>
      </c>
      <c r="P36" s="9">
        <f>IF(OR(AND(IF($J36="",INDEX(primary_jama_2018_14280_disposition,MATCH($A36,primary_jama_2018_14280_key,0)),$J36)&lt;&gt;"",IF($J36="",INDEX(primary_jama_2018_14280_disposition,MATCH($A36,primary_jama_2018_14280_key,0)),$J36)&lt;&gt;"retain"),NOT(OR(IF($K36="",INDEX(primary_jama_2018_14280_domain,MATCH($A36,primary_jama_2018_14280_key,0)),$K36)="protocol_report"))),"not_applicable","")</f>
        <v/>
      </c>
      <c r="Q36" s="10" t="inlineStr"/>
      <c r="R36" s="10" t="inlineStr"/>
    </row>
    <row r="37" ht="76" customHeight="1">
      <c r="A37" s="3" t="inlineStr">
        <is>
          <t>2018::jama.2018.14280::C015</t>
        </is>
      </c>
      <c r="B37" s="3" t="inlineStr">
        <is>
          <t>jama.2018.14280</t>
        </is>
      </c>
      <c r="C37" s="3" t="inlineStr">
        <is>
          <t>Pneumonia RR does not reproduce from printed risks</t>
        </is>
      </c>
      <c r="D37" s="8" t="inlineStr"/>
      <c r="E37" s="11" t="inlineStr"/>
      <c r="F37" s="8" t="inlineStr">
        <is>
          <t>no</t>
        </is>
      </c>
      <c r="G37" s="3">
        <f>IF(OR(AND(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L37&lt;&gt;"",L37&lt;&gt;"not_applicable"),AND(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M37&lt;&gt;"",M37&lt;&gt;"not_applicable"),AND(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N37&lt;&gt;"",N37&lt;&gt;"not_applicable"),AND(OR(AND(IF($J37="",INDEX(primary_jama_2018_14280_disposition,MATCH($A37,primary_jama_2018_14280_key,0)),$J37)&lt;&gt;"",IF($J37="",INDEX(primary_jama_2018_14280_disposition,MATCH($A37,primary_jama_2018_14280_key,0)),$J37)&lt;&gt;"retain"),NOT(OR(IF($K37="",INDEX(primary_jama_2018_14280_domain,MATCH($A37,primary_jama_2018_14280_key,0)),$K37)="internal_nonstatistical",IF($K37="",INDEX(primary_jama_2018_14280_domain,MATCH($A37,primary_jama_2018_14280_key,0)),$K37)="plan_material"))),O37&lt;&gt;"",O37&lt;&gt;"not_applicable"),AND(OR(AND(IF($J37="",INDEX(primary_jama_2018_14280_disposition,MATCH($A37,primary_jama_2018_14280_key,0)),$J37)&lt;&gt;"",IF($J37="",INDEX(primary_jama_2018_14280_disposition,MATCH($A37,primary_jama_2018_14280_key,0)),$J37)&lt;&gt;"retain"),NOT(OR(IF($K37="",INDEX(primary_jama_2018_14280_domain,MATCH($A37,primary_jama_2018_14280_key,0)),$K37)="protocol_report"))),P37&lt;&gt;"",P37&lt;&gt;"not_applicable")),"CLEAR INACTIVE VALUES",IF(D37="","PENDING",IF(AND(D37&lt;&gt;"agree",LEN(TRIM(E37))=0),"COMMENT NEEDED",IF(F37="yes","CHECKED - see resolution","DRAFT"))))</f>
        <v/>
      </c>
      <c r="H37" s="8" t="inlineStr">
        <is>
          <t>pending</t>
        </is>
      </c>
      <c r="I37" s="11" t="inlineStr"/>
      <c r="J37" s="8" t="inlineStr"/>
      <c r="K37" s="8" t="inlineStr"/>
      <c r="L37" s="8">
        <f>IF(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not_applicable","")</f>
        <v/>
      </c>
      <c r="M37" s="8">
        <f>IF(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not_applicable","")</f>
        <v/>
      </c>
      <c r="N37" s="9">
        <f>IF(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not_applicable","")</f>
        <v/>
      </c>
      <c r="O37" s="8">
        <f>IF(OR(AND(IF($J37="",INDEX(primary_jama_2018_14280_disposition,MATCH($A37,primary_jama_2018_14280_key,0)),$J37)&lt;&gt;"",IF($J37="",INDEX(primary_jama_2018_14280_disposition,MATCH($A37,primary_jama_2018_14280_key,0)),$J37)&lt;&gt;"retain"),NOT(OR(IF($K37="",INDEX(primary_jama_2018_14280_domain,MATCH($A37,primary_jama_2018_14280_key,0)),$K37)="internal_nonstatistical",IF($K37="",INDEX(primary_jama_2018_14280_domain,MATCH($A37,primary_jama_2018_14280_key,0)),$K37)="plan_material"))),"not_applicable","")</f>
        <v/>
      </c>
      <c r="P37" s="9">
        <f>IF(OR(AND(IF($J37="",INDEX(primary_jama_2018_14280_disposition,MATCH($A37,primary_jama_2018_14280_key,0)),$J37)&lt;&gt;"",IF($J37="",INDEX(primary_jama_2018_14280_disposition,MATCH($A37,primary_jama_2018_14280_key,0)),$J37)&lt;&gt;"retain"),NOT(OR(IF($K37="",INDEX(primary_jama_2018_14280_domain,MATCH($A37,primary_jama_2018_14280_key,0)),$K37)="protocol_report"))),"not_applicable","")</f>
        <v/>
      </c>
      <c r="Q37" s="10" t="inlineStr"/>
      <c r="R37" s="10" t="inlineStr"/>
    </row>
    <row r="38" ht="76" customHeight="1">
      <c r="A38" s="2" t="inlineStr">
        <is>
          <t>2018::jama.2018.14280::C016</t>
        </is>
      </c>
      <c r="B38" s="2" t="inlineStr">
        <is>
          <t>jama.2018.14280</t>
        </is>
      </c>
      <c r="C38" s="2" t="inlineStr">
        <is>
          <t>Pneumothorax RR does not reproduce from printed risks</t>
        </is>
      </c>
      <c r="D38" s="8" t="inlineStr"/>
      <c r="E38" s="11" t="inlineStr"/>
      <c r="F38" s="8" t="inlineStr">
        <is>
          <t>no</t>
        </is>
      </c>
      <c r="G38" s="2">
        <f>IF(OR(AND(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L38&lt;&gt;"",L38&lt;&gt;"not_applicable"),AND(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M38&lt;&gt;"",M38&lt;&gt;"not_applicable"),AND(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N38&lt;&gt;"",N38&lt;&gt;"not_applicable"),AND(OR(AND(IF($J38="",INDEX(primary_jama_2018_14280_disposition,MATCH($A38,primary_jama_2018_14280_key,0)),$J38)&lt;&gt;"",IF($J38="",INDEX(primary_jama_2018_14280_disposition,MATCH($A38,primary_jama_2018_14280_key,0)),$J38)&lt;&gt;"retain"),NOT(OR(IF($K38="",INDEX(primary_jama_2018_14280_domain,MATCH($A38,primary_jama_2018_14280_key,0)),$K38)="internal_nonstatistical",IF($K38="",INDEX(primary_jama_2018_14280_domain,MATCH($A38,primary_jama_2018_14280_key,0)),$K38)="plan_material"))),O38&lt;&gt;"",O38&lt;&gt;"not_applicable"),AND(OR(AND(IF($J38="",INDEX(primary_jama_2018_14280_disposition,MATCH($A38,primary_jama_2018_14280_key,0)),$J38)&lt;&gt;"",IF($J38="",INDEX(primary_jama_2018_14280_disposition,MATCH($A38,primary_jama_2018_14280_key,0)),$J38)&lt;&gt;"retain"),NOT(OR(IF($K38="",INDEX(primary_jama_2018_14280_domain,MATCH($A38,primary_jama_2018_14280_key,0)),$K38)="protocol_report"))),P38&lt;&gt;"",P38&lt;&gt;"not_applicable")),"CLEAR INACTIVE VALUES",IF(D38="","PENDING",IF(AND(D38&lt;&gt;"agree",LEN(TRIM(E38))=0),"COMMENT NEEDED",IF(F38="yes","CHECKED - see resolution","DRAFT"))))</f>
        <v/>
      </c>
      <c r="H38" s="8" t="inlineStr">
        <is>
          <t>pending</t>
        </is>
      </c>
      <c r="I38" s="11" t="inlineStr"/>
      <c r="J38" s="8" t="inlineStr"/>
      <c r="K38" s="8" t="inlineStr"/>
      <c r="L38" s="8">
        <f>IF(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not_applicable","")</f>
        <v/>
      </c>
      <c r="M38" s="8">
        <f>IF(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not_applicable","")</f>
        <v/>
      </c>
      <c r="N38" s="9">
        <f>IF(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not_applicable","")</f>
        <v/>
      </c>
      <c r="O38" s="8">
        <f>IF(OR(AND(IF($J38="",INDEX(primary_jama_2018_14280_disposition,MATCH($A38,primary_jama_2018_14280_key,0)),$J38)&lt;&gt;"",IF($J38="",INDEX(primary_jama_2018_14280_disposition,MATCH($A38,primary_jama_2018_14280_key,0)),$J38)&lt;&gt;"retain"),NOT(OR(IF($K38="",INDEX(primary_jama_2018_14280_domain,MATCH($A38,primary_jama_2018_14280_key,0)),$K38)="internal_nonstatistical",IF($K38="",INDEX(primary_jama_2018_14280_domain,MATCH($A38,primary_jama_2018_14280_key,0)),$K38)="plan_material"))),"not_applicable","")</f>
        <v/>
      </c>
      <c r="P38" s="9">
        <f>IF(OR(AND(IF($J38="",INDEX(primary_jama_2018_14280_disposition,MATCH($A38,primary_jama_2018_14280_key,0)),$J38)&lt;&gt;"",IF($J38="",INDEX(primary_jama_2018_14280_disposition,MATCH($A38,primary_jama_2018_14280_key,0)),$J38)&lt;&gt;"retain"),NOT(OR(IF($K38="",INDEX(primary_jama_2018_14280_domain,MATCH($A38,primary_jama_2018_14280_key,0)),$K38)="protocol_report"))),"not_applicable","")</f>
        <v/>
      </c>
      <c r="Q38" s="10" t="inlineStr"/>
      <c r="R38" s="10" t="inlineStr"/>
    </row>
    <row r="39" ht="76" customHeight="1">
      <c r="A39" s="3" t="inlineStr">
        <is>
          <t>2018::jama.2018.14280::C017</t>
        </is>
      </c>
      <c r="B39" s="3" t="inlineStr">
        <is>
          <t>jama.2018.14280</t>
        </is>
      </c>
      <c r="C39" s="3" t="inlineStr">
        <is>
          <t>Atelectasis RR does not reproduce from printed risks</t>
        </is>
      </c>
      <c r="D39" s="8" t="inlineStr"/>
      <c r="E39" s="11" t="inlineStr"/>
      <c r="F39" s="8" t="inlineStr">
        <is>
          <t>no</t>
        </is>
      </c>
      <c r="G39" s="3">
        <f>IF(OR(AND(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L39&lt;&gt;"",L39&lt;&gt;"not_applicable"),AND(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M39&lt;&gt;"",M39&lt;&gt;"not_applicable"),AND(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N39&lt;&gt;"",N39&lt;&gt;"not_applicable"),AND(OR(AND(IF($J39="",INDEX(primary_jama_2018_14280_disposition,MATCH($A39,primary_jama_2018_14280_key,0)),$J39)&lt;&gt;"",IF($J39="",INDEX(primary_jama_2018_14280_disposition,MATCH($A39,primary_jama_2018_14280_key,0)),$J39)&lt;&gt;"retain"),NOT(OR(IF($K39="",INDEX(primary_jama_2018_14280_domain,MATCH($A39,primary_jama_2018_14280_key,0)),$K39)="internal_nonstatistical",IF($K39="",INDEX(primary_jama_2018_14280_domain,MATCH($A39,primary_jama_2018_14280_key,0)),$K39)="plan_material"))),O39&lt;&gt;"",O39&lt;&gt;"not_applicable"),AND(OR(AND(IF($J39="",INDEX(primary_jama_2018_14280_disposition,MATCH($A39,primary_jama_2018_14280_key,0)),$J39)&lt;&gt;"",IF($J39="",INDEX(primary_jama_2018_14280_disposition,MATCH($A39,primary_jama_2018_14280_key,0)),$J39)&lt;&gt;"retain"),NOT(OR(IF($K39="",INDEX(primary_jama_2018_14280_domain,MATCH($A39,primary_jama_2018_14280_key,0)),$K39)="protocol_report"))),P39&lt;&gt;"",P39&lt;&gt;"not_applicable")),"CLEAR INACTIVE VALUES",IF(D39="","PENDING",IF(AND(D39&lt;&gt;"agree",LEN(TRIM(E39))=0),"COMMENT NEEDED",IF(F39="yes","CHECKED - see resolution","DRAFT"))))</f>
        <v/>
      </c>
      <c r="H39" s="8" t="inlineStr">
        <is>
          <t>pending</t>
        </is>
      </c>
      <c r="I39" s="11" t="inlineStr"/>
      <c r="J39" s="8" t="inlineStr"/>
      <c r="K39" s="8" t="inlineStr"/>
      <c r="L39" s="8">
        <f>IF(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not_applicable","")</f>
        <v/>
      </c>
      <c r="M39" s="8">
        <f>IF(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not_applicable","")</f>
        <v/>
      </c>
      <c r="N39" s="9">
        <f>IF(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not_applicable","")</f>
        <v/>
      </c>
      <c r="O39" s="8">
        <f>IF(OR(AND(IF($J39="",INDEX(primary_jama_2018_14280_disposition,MATCH($A39,primary_jama_2018_14280_key,0)),$J39)&lt;&gt;"",IF($J39="",INDEX(primary_jama_2018_14280_disposition,MATCH($A39,primary_jama_2018_14280_key,0)),$J39)&lt;&gt;"retain"),NOT(OR(IF($K39="",INDEX(primary_jama_2018_14280_domain,MATCH($A39,primary_jama_2018_14280_key,0)),$K39)="internal_nonstatistical",IF($K39="",INDEX(primary_jama_2018_14280_domain,MATCH($A39,primary_jama_2018_14280_key,0)),$K39)="plan_material"))),"not_applicable","")</f>
        <v/>
      </c>
      <c r="P39" s="9">
        <f>IF(OR(AND(IF($J39="",INDEX(primary_jama_2018_14280_disposition,MATCH($A39,primary_jama_2018_14280_key,0)),$J39)&lt;&gt;"",IF($J39="",INDEX(primary_jama_2018_14280_disposition,MATCH($A39,primary_jama_2018_14280_key,0)),$J39)&lt;&gt;"retain"),NOT(OR(IF($K39="",INDEX(primary_jama_2018_14280_domain,MATCH($A39,primary_jama_2018_14280_key,0)),$K39)="protocol_report"))),"not_applicable","")</f>
        <v/>
      </c>
      <c r="Q39" s="10" t="inlineStr"/>
      <c r="R39" s="10" t="inlineStr"/>
    </row>
    <row r="40" ht="76" customHeight="1">
      <c r="A40" s="2" t="inlineStr">
        <is>
          <t>2018::jama.2018.14280::C018</t>
        </is>
      </c>
      <c r="B40" s="2" t="inlineStr">
        <is>
          <t>jama.2018.14280</t>
        </is>
      </c>
      <c r="C40" s="2" t="inlineStr">
        <is>
          <t>Extrapulmonary-infection RR does not reproduce from printed risks</t>
        </is>
      </c>
      <c r="D40" s="8" t="inlineStr"/>
      <c r="E40" s="11" t="inlineStr"/>
      <c r="F40" s="8" t="inlineStr">
        <is>
          <t>no</t>
        </is>
      </c>
      <c r="G40" s="2">
        <f>IF(OR(AND(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L40&lt;&gt;"",L40&lt;&gt;"not_applicable"),AND(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M40&lt;&gt;"",M40&lt;&gt;"not_applicable"),AND(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N40&lt;&gt;"",N40&lt;&gt;"not_applicable"),AND(OR(AND(IF($J40="",INDEX(primary_jama_2018_14280_disposition,MATCH($A40,primary_jama_2018_14280_key,0)),$J40)&lt;&gt;"",IF($J40="",INDEX(primary_jama_2018_14280_disposition,MATCH($A40,primary_jama_2018_14280_key,0)),$J40)&lt;&gt;"retain"),NOT(OR(IF($K40="",INDEX(primary_jama_2018_14280_domain,MATCH($A40,primary_jama_2018_14280_key,0)),$K40)="internal_nonstatistical",IF($K40="",INDEX(primary_jama_2018_14280_domain,MATCH($A40,primary_jama_2018_14280_key,0)),$K40)="plan_material"))),O40&lt;&gt;"",O40&lt;&gt;"not_applicable"),AND(OR(AND(IF($J40="",INDEX(primary_jama_2018_14280_disposition,MATCH($A40,primary_jama_2018_14280_key,0)),$J40)&lt;&gt;"",IF($J40="",INDEX(primary_jama_2018_14280_disposition,MATCH($A40,primary_jama_2018_14280_key,0)),$J40)&lt;&gt;"retain"),NOT(OR(IF($K40="",INDEX(primary_jama_2018_14280_domain,MATCH($A40,primary_jama_2018_14280_key,0)),$K40)="protocol_report"))),P40&lt;&gt;"",P40&lt;&gt;"not_applicable")),"CLEAR INACTIVE VALUES",IF(D40="","PENDING",IF(AND(D40&lt;&gt;"agree",LEN(TRIM(E40))=0),"COMMENT NEEDED",IF(F40="yes","CHECKED - see resolution","DRAFT"))))</f>
        <v/>
      </c>
      <c r="H40" s="8" t="inlineStr">
        <is>
          <t>pending</t>
        </is>
      </c>
      <c r="I40" s="11" t="inlineStr"/>
      <c r="J40" s="8" t="inlineStr"/>
      <c r="K40" s="8" t="inlineStr"/>
      <c r="L40" s="8">
        <f>IF(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not_applicable","")</f>
        <v/>
      </c>
      <c r="M40" s="8">
        <f>IF(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not_applicable","")</f>
        <v/>
      </c>
      <c r="N40" s="9">
        <f>IF(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not_applicable","")</f>
        <v/>
      </c>
      <c r="O40" s="8">
        <f>IF(OR(AND(IF($J40="",INDEX(primary_jama_2018_14280_disposition,MATCH($A40,primary_jama_2018_14280_key,0)),$J40)&lt;&gt;"",IF($J40="",INDEX(primary_jama_2018_14280_disposition,MATCH($A40,primary_jama_2018_14280_key,0)),$J40)&lt;&gt;"retain"),NOT(OR(IF($K40="",INDEX(primary_jama_2018_14280_domain,MATCH($A40,primary_jama_2018_14280_key,0)),$K40)="internal_nonstatistical",IF($K40="",INDEX(primary_jama_2018_14280_domain,MATCH($A40,primary_jama_2018_14280_key,0)),$K40)="plan_material"))),"not_applicable","")</f>
        <v/>
      </c>
      <c r="P40" s="9">
        <f>IF(OR(AND(IF($J40="",INDEX(primary_jama_2018_14280_disposition,MATCH($A40,primary_jama_2018_14280_key,0)),$J40)&lt;&gt;"",IF($J40="",INDEX(primary_jama_2018_14280_disposition,MATCH($A40,primary_jama_2018_14280_key,0)),$J40)&lt;&gt;"retain"),NOT(OR(IF($K40="",INDEX(primary_jama_2018_14280_domain,MATCH($A40,primary_jama_2018_14280_key,0)),$K40)="protocol_report"))),"not_applicable","")</f>
        <v/>
      </c>
      <c r="Q40" s="10" t="inlineStr"/>
      <c r="R40" s="10" t="inlineStr"/>
    </row>
    <row r="41" ht="76" customHeight="1">
      <c r="A41" s="3" t="inlineStr">
        <is>
          <t>2018::jama.2018.14280::C019</t>
        </is>
      </c>
      <c r="B41" s="3" t="inlineStr">
        <is>
          <t>jama.2018.14280</t>
        </is>
      </c>
      <c r="C41" s="3" t="inlineStr">
        <is>
          <t>Extrapulmonary-sepsis RR does not reproduce from printed risks</t>
        </is>
      </c>
      <c r="D41" s="8" t="inlineStr"/>
      <c r="E41" s="11" t="inlineStr"/>
      <c r="F41" s="8" t="inlineStr">
        <is>
          <t>no</t>
        </is>
      </c>
      <c r="G41" s="3">
        <f>IF(OR(AND(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L41&lt;&gt;"",L41&lt;&gt;"not_applicable"),AND(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M41&lt;&gt;"",M41&lt;&gt;"not_applicable"),AND(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N41&lt;&gt;"",N41&lt;&gt;"not_applicable"),AND(OR(AND(IF($J41="",INDEX(primary_jama_2018_14280_disposition,MATCH($A41,primary_jama_2018_14280_key,0)),$J41)&lt;&gt;"",IF($J41="",INDEX(primary_jama_2018_14280_disposition,MATCH($A41,primary_jama_2018_14280_key,0)),$J41)&lt;&gt;"retain"),NOT(OR(IF($K41="",INDEX(primary_jama_2018_14280_domain,MATCH($A41,primary_jama_2018_14280_key,0)),$K41)="internal_nonstatistical",IF($K41="",INDEX(primary_jama_2018_14280_domain,MATCH($A41,primary_jama_2018_14280_key,0)),$K41)="plan_material"))),O41&lt;&gt;"",O41&lt;&gt;"not_applicable"),AND(OR(AND(IF($J41="",INDEX(primary_jama_2018_14280_disposition,MATCH($A41,primary_jama_2018_14280_key,0)),$J41)&lt;&gt;"",IF($J41="",INDEX(primary_jama_2018_14280_disposition,MATCH($A41,primary_jama_2018_14280_key,0)),$J41)&lt;&gt;"retain"),NOT(OR(IF($K41="",INDEX(primary_jama_2018_14280_domain,MATCH($A41,primary_jama_2018_14280_key,0)),$K41)="protocol_report"))),P41&lt;&gt;"",P41&lt;&gt;"not_applicable")),"CLEAR INACTIVE VALUES",IF(D41="","PENDING",IF(AND(D41&lt;&gt;"agree",LEN(TRIM(E41))=0),"COMMENT NEEDED",IF(F41="yes","CHECKED - see resolution","DRAFT"))))</f>
        <v/>
      </c>
      <c r="H41" s="8" t="inlineStr">
        <is>
          <t>pending</t>
        </is>
      </c>
      <c r="I41" s="11" t="inlineStr"/>
      <c r="J41" s="8" t="inlineStr"/>
      <c r="K41" s="8" t="inlineStr"/>
      <c r="L41" s="8">
        <f>IF(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not_applicable","")</f>
        <v/>
      </c>
      <c r="M41" s="8">
        <f>IF(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not_applicable","")</f>
        <v/>
      </c>
      <c r="N41" s="9">
        <f>IF(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not_applicable","")</f>
        <v/>
      </c>
      <c r="O41" s="8">
        <f>IF(OR(AND(IF($J41="",INDEX(primary_jama_2018_14280_disposition,MATCH($A41,primary_jama_2018_14280_key,0)),$J41)&lt;&gt;"",IF($J41="",INDEX(primary_jama_2018_14280_disposition,MATCH($A41,primary_jama_2018_14280_key,0)),$J41)&lt;&gt;"retain"),NOT(OR(IF($K41="",INDEX(primary_jama_2018_14280_domain,MATCH($A41,primary_jama_2018_14280_key,0)),$K41)="internal_nonstatistical",IF($K41="",INDEX(primary_jama_2018_14280_domain,MATCH($A41,primary_jama_2018_14280_key,0)),$K41)="plan_material"))),"not_applicable","")</f>
        <v/>
      </c>
      <c r="P41" s="9">
        <f>IF(OR(AND(IF($J41="",INDEX(primary_jama_2018_14280_disposition,MATCH($A41,primary_jama_2018_14280_key,0)),$J41)&lt;&gt;"",IF($J41="",INDEX(primary_jama_2018_14280_disposition,MATCH($A41,primary_jama_2018_14280_key,0)),$J41)&lt;&gt;"retain"),NOT(OR(IF($K41="",INDEX(primary_jama_2018_14280_domain,MATCH($A41,primary_jama_2018_14280_key,0)),$K41)="protocol_report"))),"not_applicable","")</f>
        <v/>
      </c>
      <c r="Q41" s="10" t="inlineStr"/>
      <c r="R41" s="10" t="inlineStr"/>
    </row>
    <row r="42" ht="76" customHeight="1">
      <c r="A42" s="2" t="inlineStr">
        <is>
          <t>2018::jama.2018.14280::C020</t>
        </is>
      </c>
      <c r="B42" s="2" t="inlineStr">
        <is>
          <t>jama.2018.14280</t>
        </is>
      </c>
      <c r="C42" s="2" t="inlineStr">
        <is>
          <t>Delirium RR does not reproduce from printed risks</t>
        </is>
      </c>
      <c r="D42" s="8" t="inlineStr"/>
      <c r="E42" s="11" t="inlineStr"/>
      <c r="F42" s="8" t="inlineStr">
        <is>
          <t>no</t>
        </is>
      </c>
      <c r="G42" s="2">
        <f>IF(OR(AND(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L42&lt;&gt;"",L42&lt;&gt;"not_applicable"),AND(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M42&lt;&gt;"",M42&lt;&gt;"not_applicable"),AND(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N42&lt;&gt;"",N42&lt;&gt;"not_applicable"),AND(OR(AND(IF($J42="",INDEX(primary_jama_2018_14280_disposition,MATCH($A42,primary_jama_2018_14280_key,0)),$J42)&lt;&gt;"",IF($J42="",INDEX(primary_jama_2018_14280_disposition,MATCH($A42,primary_jama_2018_14280_key,0)),$J42)&lt;&gt;"retain"),NOT(OR(IF($K42="",INDEX(primary_jama_2018_14280_domain,MATCH($A42,primary_jama_2018_14280_key,0)),$K42)="internal_nonstatistical",IF($K42="",INDEX(primary_jama_2018_14280_domain,MATCH($A42,primary_jama_2018_14280_key,0)),$K42)="plan_material"))),O42&lt;&gt;"",O42&lt;&gt;"not_applicable"),AND(OR(AND(IF($J42="",INDEX(primary_jama_2018_14280_disposition,MATCH($A42,primary_jama_2018_14280_key,0)),$J42)&lt;&gt;"",IF($J42="",INDEX(primary_jama_2018_14280_disposition,MATCH($A42,primary_jama_2018_14280_key,0)),$J42)&lt;&gt;"retain"),NOT(OR(IF($K42="",INDEX(primary_jama_2018_14280_domain,MATCH($A42,primary_jama_2018_14280_key,0)),$K42)="protocol_report"))),P42&lt;&gt;"",P42&lt;&gt;"not_applicable")),"CLEAR INACTIVE VALUES",IF(D42="","PENDING",IF(AND(D42&lt;&gt;"agree",LEN(TRIM(E42))=0),"COMMENT NEEDED",IF(F42="yes","CHECKED - see resolution","DRAFT"))))</f>
        <v/>
      </c>
      <c r="H42" s="8" t="inlineStr">
        <is>
          <t>pending</t>
        </is>
      </c>
      <c r="I42" s="11" t="inlineStr"/>
      <c r="J42" s="8" t="inlineStr"/>
      <c r="K42" s="8" t="inlineStr"/>
      <c r="L42" s="8">
        <f>IF(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not_applicable","")</f>
        <v/>
      </c>
      <c r="M42" s="8">
        <f>IF(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not_applicable","")</f>
        <v/>
      </c>
      <c r="N42" s="9">
        <f>IF(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not_applicable","")</f>
        <v/>
      </c>
      <c r="O42" s="8">
        <f>IF(OR(AND(IF($J42="",INDEX(primary_jama_2018_14280_disposition,MATCH($A42,primary_jama_2018_14280_key,0)),$J42)&lt;&gt;"",IF($J42="",INDEX(primary_jama_2018_14280_disposition,MATCH($A42,primary_jama_2018_14280_key,0)),$J42)&lt;&gt;"retain"),NOT(OR(IF($K42="",INDEX(primary_jama_2018_14280_domain,MATCH($A42,primary_jama_2018_14280_key,0)),$K42)="internal_nonstatistical",IF($K42="",INDEX(primary_jama_2018_14280_domain,MATCH($A42,primary_jama_2018_14280_key,0)),$K42)="plan_material"))),"not_applicable","")</f>
        <v/>
      </c>
      <c r="P42" s="9">
        <f>IF(OR(AND(IF($J42="",INDEX(primary_jama_2018_14280_disposition,MATCH($A42,primary_jama_2018_14280_key,0)),$J42)&lt;&gt;"",IF($J42="",INDEX(primary_jama_2018_14280_disposition,MATCH($A42,primary_jama_2018_14280_key,0)),$J42)&lt;&gt;"retain"),NOT(OR(IF($K42="",INDEX(primary_jama_2018_14280_domain,MATCH($A42,primary_jama_2018_14280_key,0)),$K42)="protocol_report"))),"not_applicable","")</f>
        <v/>
      </c>
      <c r="Q42" s="10" t="inlineStr"/>
      <c r="R42" s="10" t="inlineStr"/>
    </row>
    <row r="43" ht="76" customHeight="1">
      <c r="A43" s="3" t="inlineStr">
        <is>
          <t>2018::jama.2018.14280::C021</t>
        </is>
      </c>
      <c r="B43" s="3" t="inlineStr">
        <is>
          <t>jama.2018.14280</t>
        </is>
      </c>
      <c r="C43" s="3" t="inlineStr">
        <is>
          <t>Tracheostomy RR does not reproduce from printed risks</t>
        </is>
      </c>
      <c r="D43" s="8" t="inlineStr"/>
      <c r="E43" s="11" t="inlineStr"/>
      <c r="F43" s="8" t="inlineStr">
        <is>
          <t>no</t>
        </is>
      </c>
      <c r="G43" s="3">
        <f>IF(OR(AND(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L43&lt;&gt;"",L43&lt;&gt;"not_applicable"),AND(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M43&lt;&gt;"",M43&lt;&gt;"not_applicable"),AND(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N43&lt;&gt;"",N43&lt;&gt;"not_applicable"),AND(OR(AND(IF($J43="",INDEX(primary_jama_2018_14280_disposition,MATCH($A43,primary_jama_2018_14280_key,0)),$J43)&lt;&gt;"",IF($J43="",INDEX(primary_jama_2018_14280_disposition,MATCH($A43,primary_jama_2018_14280_key,0)),$J43)&lt;&gt;"retain"),NOT(OR(IF($K43="",INDEX(primary_jama_2018_14280_domain,MATCH($A43,primary_jama_2018_14280_key,0)),$K43)="internal_nonstatistical",IF($K43="",INDEX(primary_jama_2018_14280_domain,MATCH($A43,primary_jama_2018_14280_key,0)),$K43)="plan_material"))),O43&lt;&gt;"",O43&lt;&gt;"not_applicable"),AND(OR(AND(IF($J43="",INDEX(primary_jama_2018_14280_disposition,MATCH($A43,primary_jama_2018_14280_key,0)),$J43)&lt;&gt;"",IF($J43="",INDEX(primary_jama_2018_14280_disposition,MATCH($A43,primary_jama_2018_14280_key,0)),$J43)&lt;&gt;"retain"),NOT(OR(IF($K43="",INDEX(primary_jama_2018_14280_domain,MATCH($A43,primary_jama_2018_14280_key,0)),$K43)="protocol_report"))),P43&lt;&gt;"",P43&lt;&gt;"not_applicable")),"CLEAR INACTIVE VALUES",IF(D43="","PENDING",IF(AND(D43&lt;&gt;"agree",LEN(TRIM(E43))=0),"COMMENT NEEDED",IF(F43="yes","CHECKED - see resolution","DRAFT"))))</f>
        <v/>
      </c>
      <c r="H43" s="8" t="inlineStr">
        <is>
          <t>pending</t>
        </is>
      </c>
      <c r="I43" s="11" t="inlineStr"/>
      <c r="J43" s="8" t="inlineStr"/>
      <c r="K43" s="8" t="inlineStr"/>
      <c r="L43" s="8">
        <f>IF(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not_applicable","")</f>
        <v/>
      </c>
      <c r="M43" s="8">
        <f>IF(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not_applicable","")</f>
        <v/>
      </c>
      <c r="N43" s="9">
        <f>IF(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not_applicable","")</f>
        <v/>
      </c>
      <c r="O43" s="8">
        <f>IF(OR(AND(IF($J43="",INDEX(primary_jama_2018_14280_disposition,MATCH($A43,primary_jama_2018_14280_key,0)),$J43)&lt;&gt;"",IF($J43="",INDEX(primary_jama_2018_14280_disposition,MATCH($A43,primary_jama_2018_14280_key,0)),$J43)&lt;&gt;"retain"),NOT(OR(IF($K43="",INDEX(primary_jama_2018_14280_domain,MATCH($A43,primary_jama_2018_14280_key,0)),$K43)="internal_nonstatistical",IF($K43="",INDEX(primary_jama_2018_14280_domain,MATCH($A43,primary_jama_2018_14280_key,0)),$K43)="plan_material"))),"not_applicable","")</f>
        <v/>
      </c>
      <c r="P43" s="9">
        <f>IF(OR(AND(IF($J43="",INDEX(primary_jama_2018_14280_disposition,MATCH($A43,primary_jama_2018_14280_key,0)),$J43)&lt;&gt;"",IF($J43="",INDEX(primary_jama_2018_14280_disposition,MATCH($A43,primary_jama_2018_14280_key,0)),$J43)&lt;&gt;"retain"),NOT(OR(IF($K43="",INDEX(primary_jama_2018_14280_domain,MATCH($A43,primary_jama_2018_14280_key,0)),$K43)="protocol_report"))),"not_applicable","")</f>
        <v/>
      </c>
      <c r="Q43" s="10" t="inlineStr"/>
      <c r="R43" s="10" t="inlineStr"/>
    </row>
    <row r="44" ht="76" customHeight="1">
      <c r="A44" s="2" t="inlineStr">
        <is>
          <t>2018::jama.2018.14280::C022</t>
        </is>
      </c>
      <c r="B44" s="2" t="inlineStr">
        <is>
          <t>jama.2018.14280</t>
        </is>
      </c>
      <c r="C44" s="2" t="inlineStr">
        <is>
          <t>The same subgroup intervals are labelled IQR and 95% CI</t>
        </is>
      </c>
      <c r="D44" s="8" t="inlineStr"/>
      <c r="E44" s="11" t="inlineStr"/>
      <c r="F44" s="8" t="inlineStr">
        <is>
          <t>no</t>
        </is>
      </c>
      <c r="G44" s="2">
        <f>IF(OR(AND(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L44&lt;&gt;"",L44&lt;&gt;"not_applicable"),AND(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M44&lt;&gt;"",M44&lt;&gt;"not_applicable"),AND(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N44&lt;&gt;"",N44&lt;&gt;"not_applicable"),AND(OR(AND(IF($J44="",INDEX(primary_jama_2018_14280_disposition,MATCH($A44,primary_jama_2018_14280_key,0)),$J44)&lt;&gt;"",IF($J44="",INDEX(primary_jama_2018_14280_disposition,MATCH($A44,primary_jama_2018_14280_key,0)),$J44)&lt;&gt;"retain"),NOT(OR(IF($K44="",INDEX(primary_jama_2018_14280_domain,MATCH($A44,primary_jama_2018_14280_key,0)),$K44)="internal_nonstatistical",IF($K44="",INDEX(primary_jama_2018_14280_domain,MATCH($A44,primary_jama_2018_14280_key,0)),$K44)="plan_material"))),O44&lt;&gt;"",O44&lt;&gt;"not_applicable"),AND(OR(AND(IF($J44="",INDEX(primary_jama_2018_14280_disposition,MATCH($A44,primary_jama_2018_14280_key,0)),$J44)&lt;&gt;"",IF($J44="",INDEX(primary_jama_2018_14280_disposition,MATCH($A44,primary_jama_2018_14280_key,0)),$J44)&lt;&gt;"retain"),NOT(OR(IF($K44="",INDEX(primary_jama_2018_14280_domain,MATCH($A44,primary_jama_2018_14280_key,0)),$K44)="protocol_report"))),P44&lt;&gt;"",P44&lt;&gt;"not_applicable")),"CLEAR INACTIVE VALUES",IF(D44="","PENDING",IF(AND(D44&lt;&gt;"agree",LEN(TRIM(E44))=0),"COMMENT NEEDED",IF(F44="yes","CHECKED - see resolution","DRAFT"))))</f>
        <v/>
      </c>
      <c r="H44" s="8" t="inlineStr">
        <is>
          <t>pending</t>
        </is>
      </c>
      <c r="I44" s="11" t="inlineStr"/>
      <c r="J44" s="8" t="inlineStr"/>
      <c r="K44" s="8" t="inlineStr"/>
      <c r="L44" s="8">
        <f>IF(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not_applicable","")</f>
        <v/>
      </c>
      <c r="M44" s="8">
        <f>IF(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not_applicable","")</f>
        <v/>
      </c>
      <c r="N44" s="9">
        <f>IF(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not_applicable","")</f>
        <v/>
      </c>
      <c r="O44" s="8">
        <f>IF(OR(AND(IF($J44="",INDEX(primary_jama_2018_14280_disposition,MATCH($A44,primary_jama_2018_14280_key,0)),$J44)&lt;&gt;"",IF($J44="",INDEX(primary_jama_2018_14280_disposition,MATCH($A44,primary_jama_2018_14280_key,0)),$J44)&lt;&gt;"retain"),NOT(OR(IF($K44="",INDEX(primary_jama_2018_14280_domain,MATCH($A44,primary_jama_2018_14280_key,0)),$K44)="internal_nonstatistical",IF($K44="",INDEX(primary_jama_2018_14280_domain,MATCH($A44,primary_jama_2018_14280_key,0)),$K44)="plan_material"))),"not_applicable","")</f>
        <v/>
      </c>
      <c r="P44" s="9">
        <f>IF(OR(AND(IF($J44="",INDEX(primary_jama_2018_14280_disposition,MATCH($A44,primary_jama_2018_14280_key,0)),$J44)&lt;&gt;"",IF($J44="",INDEX(primary_jama_2018_14280_disposition,MATCH($A44,primary_jama_2018_14280_key,0)),$J44)&lt;&gt;"retain"),NOT(OR(IF($K44="",INDEX(primary_jama_2018_14280_domain,MATCH($A44,primary_jama_2018_14280_key,0)),$K44)="protocol_report"))),"not_applicable","")</f>
        <v/>
      </c>
      <c r="Q44" s="10" t="inlineStr"/>
      <c r="R44" s="10" t="inlineStr"/>
    </row>
    <row r="45" ht="76" customHeight="1">
      <c r="A45" s="3" t="inlineStr">
        <is>
          <t>2018::jama.2018.14280::C023</t>
        </is>
      </c>
      <c r="B45" s="3" t="inlineStr">
        <is>
          <t>jama.2018.14280</t>
        </is>
      </c>
      <c r="C45" s="3" t="inlineStr">
        <is>
          <t>Enrollment completion dates differ by two days</t>
        </is>
      </c>
      <c r="D45" s="8" t="inlineStr"/>
      <c r="E45" s="11" t="inlineStr"/>
      <c r="F45" s="8" t="inlineStr">
        <is>
          <t>no</t>
        </is>
      </c>
      <c r="G45" s="3">
        <f>IF(OR(AND(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L45&lt;&gt;"",L45&lt;&gt;"not_applicable"),AND(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M45&lt;&gt;"",M45&lt;&gt;"not_applicable"),AND(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N45&lt;&gt;"",N45&lt;&gt;"not_applicable"),AND(OR(AND(IF($J45="",INDEX(primary_jama_2018_14280_disposition,MATCH($A45,primary_jama_2018_14280_key,0)),$J45)&lt;&gt;"",IF($J45="",INDEX(primary_jama_2018_14280_disposition,MATCH($A45,primary_jama_2018_14280_key,0)),$J45)&lt;&gt;"retain"),NOT(OR(IF($K45="",INDEX(primary_jama_2018_14280_domain,MATCH($A45,primary_jama_2018_14280_key,0)),$K45)="internal_nonstatistical",IF($K45="",INDEX(primary_jama_2018_14280_domain,MATCH($A45,primary_jama_2018_14280_key,0)),$K45)="plan_material"))),O45&lt;&gt;"",O45&lt;&gt;"not_applicable"),AND(OR(AND(IF($J45="",INDEX(primary_jama_2018_14280_disposition,MATCH($A45,primary_jama_2018_14280_key,0)),$J45)&lt;&gt;"",IF($J45="",INDEX(primary_jama_2018_14280_disposition,MATCH($A45,primary_jama_2018_14280_key,0)),$J45)&lt;&gt;"retain"),NOT(OR(IF($K45="",INDEX(primary_jama_2018_14280_domain,MATCH($A45,primary_jama_2018_14280_key,0)),$K45)="protocol_report"))),P45&lt;&gt;"",P45&lt;&gt;"not_applicable")),"CLEAR INACTIVE VALUES",IF(D45="","PENDING",IF(AND(D45&lt;&gt;"agree",LEN(TRIM(E45))=0),"COMMENT NEEDED",IF(F45="yes","CHECKED - see resolution","DRAFT"))))</f>
        <v/>
      </c>
      <c r="H45" s="8" t="inlineStr">
        <is>
          <t>pending</t>
        </is>
      </c>
      <c r="I45" s="11" t="inlineStr"/>
      <c r="J45" s="8" t="inlineStr"/>
      <c r="K45" s="8" t="inlineStr"/>
      <c r="L45" s="8">
        <f>IF(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not_applicable","")</f>
        <v/>
      </c>
      <c r="M45" s="8">
        <f>IF(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not_applicable","")</f>
        <v/>
      </c>
      <c r="N45" s="9">
        <f>IF(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not_applicable","")</f>
        <v/>
      </c>
      <c r="O45" s="8">
        <f>IF(OR(AND(IF($J45="",INDEX(primary_jama_2018_14280_disposition,MATCH($A45,primary_jama_2018_14280_key,0)),$J45)&lt;&gt;"",IF($J45="",INDEX(primary_jama_2018_14280_disposition,MATCH($A45,primary_jama_2018_14280_key,0)),$J45)&lt;&gt;"retain"),NOT(OR(IF($K45="",INDEX(primary_jama_2018_14280_domain,MATCH($A45,primary_jama_2018_14280_key,0)),$K45)="internal_nonstatistical",IF($K45="",INDEX(primary_jama_2018_14280_domain,MATCH($A45,primary_jama_2018_14280_key,0)),$K45)="plan_material"))),"not_applicable","")</f>
        <v/>
      </c>
      <c r="P45" s="9">
        <f>IF(OR(AND(IF($J45="",INDEX(primary_jama_2018_14280_disposition,MATCH($A45,primary_jama_2018_14280_key,0)),$J45)&lt;&gt;"",IF($J45="",INDEX(primary_jama_2018_14280_disposition,MATCH($A45,primary_jama_2018_14280_key,0)),$J45)&lt;&gt;"retain"),NOT(OR(IF($K45="",INDEX(primary_jama_2018_14280_domain,MATCH($A45,primary_jama_2018_14280_key,0)),$K45)="protocol_report"))),"not_applicable","")</f>
        <v/>
      </c>
      <c r="Q45" s="10" t="inlineStr"/>
      <c r="R45" s="10" t="inlineStr"/>
    </row>
    <row r="46" ht="76" customHeight="1">
      <c r="A46" s="2" t="inlineStr">
        <is>
          <t>2018::jama.2018.14282::C001</t>
        </is>
      </c>
      <c r="B46" s="2" t="inlineStr">
        <is>
          <t>jama.2018.14282</t>
        </is>
      </c>
      <c r="C46" s="2" t="inlineStr">
        <is>
          <t>Standard-arm men percentage does not reconcile</t>
        </is>
      </c>
      <c r="D46" s="8" t="inlineStr"/>
      <c r="E46" s="11" t="inlineStr"/>
      <c r="F46" s="8" t="inlineStr">
        <is>
          <t>no</t>
        </is>
      </c>
      <c r="G46" s="2">
        <f>IF(OR(AND(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L46&lt;&gt;"",L46&lt;&gt;"not_applicable"),AND(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M46&lt;&gt;"",M46&lt;&gt;"not_applicable"),AND(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N46&lt;&gt;"",N46&lt;&gt;"not_applicable"),AND(OR(AND(IF($J46="",INDEX(primary_jama_2018_14282_disposition,MATCH($A46,primary_jama_2018_14282_key,0)),$J46)&lt;&gt;"",IF($J46="",INDEX(primary_jama_2018_14282_disposition,MATCH($A46,primary_jama_2018_14282_key,0)),$J46)&lt;&gt;"retain"),NOT(OR(IF($K46="",INDEX(primary_jama_2018_14282_domain,MATCH($A46,primary_jama_2018_14282_key,0)),$K46)="internal_nonstatistical",IF($K46="",INDEX(primary_jama_2018_14282_domain,MATCH($A46,primary_jama_2018_14282_key,0)),$K46)="plan_material"))),O46&lt;&gt;"",O46&lt;&gt;"not_applicable"),AND(OR(AND(IF($J46="",INDEX(primary_jama_2018_14282_disposition,MATCH($A46,primary_jama_2018_14282_key,0)),$J46)&lt;&gt;"",IF($J46="",INDEX(primary_jama_2018_14282_disposition,MATCH($A46,primary_jama_2018_14282_key,0)),$J46)&lt;&gt;"retain"),NOT(OR(IF($K46="",INDEX(primary_jama_2018_14282_domain,MATCH($A46,primary_jama_2018_14282_key,0)),$K46)="protocol_report"))),P46&lt;&gt;"",P46&lt;&gt;"not_applicable")),"CLEAR INACTIVE VALUES",IF(D46="","PENDING",IF(AND(D46&lt;&gt;"agree",LEN(TRIM(E46))=0),"COMMENT NEEDED",IF(F46="yes","CHECKED - see resolution","DRAFT"))))</f>
        <v/>
      </c>
      <c r="H46" s="8" t="inlineStr">
        <is>
          <t>pending</t>
        </is>
      </c>
      <c r="I46" s="11" t="inlineStr"/>
      <c r="J46" s="8" t="inlineStr"/>
      <c r="K46" s="8" t="inlineStr"/>
      <c r="L46" s="8">
        <f>IF(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not_applicable","")</f>
        <v/>
      </c>
      <c r="M46" s="8">
        <f>IF(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not_applicable","")</f>
        <v/>
      </c>
      <c r="N46" s="9">
        <f>IF(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not_applicable","")</f>
        <v/>
      </c>
      <c r="O46" s="8">
        <f>IF(OR(AND(IF($J46="",INDEX(primary_jama_2018_14282_disposition,MATCH($A46,primary_jama_2018_14282_key,0)),$J46)&lt;&gt;"",IF($J46="",INDEX(primary_jama_2018_14282_disposition,MATCH($A46,primary_jama_2018_14282_key,0)),$J46)&lt;&gt;"retain"),NOT(OR(IF($K46="",INDEX(primary_jama_2018_14282_domain,MATCH($A46,primary_jama_2018_14282_key,0)),$K46)="internal_nonstatistical",IF($K46="",INDEX(primary_jama_2018_14282_domain,MATCH($A46,primary_jama_2018_14282_key,0)),$K46)="plan_material"))),"not_applicable","")</f>
        <v/>
      </c>
      <c r="P46" s="9">
        <f>IF(OR(AND(IF($J46="",INDEX(primary_jama_2018_14282_disposition,MATCH($A46,primary_jama_2018_14282_key,0)),$J46)&lt;&gt;"",IF($J46="",INDEX(primary_jama_2018_14282_disposition,MATCH($A46,primary_jama_2018_14282_key,0)),$J46)&lt;&gt;"retain"),NOT(OR(IF($K46="",INDEX(primary_jama_2018_14282_domain,MATCH($A46,primary_jama_2018_14282_key,0)),$K46)="protocol_report"))),"not_applicable","")</f>
        <v/>
      </c>
      <c r="Q46" s="10" t="inlineStr"/>
      <c r="R46" s="10" t="inlineStr"/>
    </row>
    <row r="47" ht="76" customHeight="1">
      <c r="A47" s="3" t="inlineStr">
        <is>
          <t>2018::jama.2018.14282::C002</t>
        </is>
      </c>
      <c r="B47" s="3" t="inlineStr">
        <is>
          <t>jama.2018.14282</t>
        </is>
      </c>
      <c r="C47" s="3" t="inlineStr">
        <is>
          <t>Standard-arm women percentage does not reconcile</t>
        </is>
      </c>
      <c r="D47" s="8" t="inlineStr"/>
      <c r="E47" s="11" t="inlineStr"/>
      <c r="F47" s="8" t="inlineStr">
        <is>
          <t>no</t>
        </is>
      </c>
      <c r="G47" s="3">
        <f>IF(OR(AND(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L47&lt;&gt;"",L47&lt;&gt;"not_applicable"),AND(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M47&lt;&gt;"",M47&lt;&gt;"not_applicable"),AND(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N47&lt;&gt;"",N47&lt;&gt;"not_applicable"),AND(OR(AND(IF($J47="",INDEX(primary_jama_2018_14282_disposition,MATCH($A47,primary_jama_2018_14282_key,0)),$J47)&lt;&gt;"",IF($J47="",INDEX(primary_jama_2018_14282_disposition,MATCH($A47,primary_jama_2018_14282_key,0)),$J47)&lt;&gt;"retain"),NOT(OR(IF($K47="",INDEX(primary_jama_2018_14282_domain,MATCH($A47,primary_jama_2018_14282_key,0)),$K47)="internal_nonstatistical",IF($K47="",INDEX(primary_jama_2018_14282_domain,MATCH($A47,primary_jama_2018_14282_key,0)),$K47)="plan_material"))),O47&lt;&gt;"",O47&lt;&gt;"not_applicable"),AND(OR(AND(IF($J47="",INDEX(primary_jama_2018_14282_disposition,MATCH($A47,primary_jama_2018_14282_key,0)),$J47)&lt;&gt;"",IF($J47="",INDEX(primary_jama_2018_14282_disposition,MATCH($A47,primary_jama_2018_14282_key,0)),$J47)&lt;&gt;"retain"),NOT(OR(IF($K47="",INDEX(primary_jama_2018_14282_domain,MATCH($A47,primary_jama_2018_14282_key,0)),$K47)="protocol_report"))),P47&lt;&gt;"",P47&lt;&gt;"not_applicable")),"CLEAR INACTIVE VALUES",IF(D47="","PENDING",IF(AND(D47&lt;&gt;"agree",LEN(TRIM(E47))=0),"COMMENT NEEDED",IF(F47="yes","CHECKED - see resolution","DRAFT"))))</f>
        <v/>
      </c>
      <c r="H47" s="8" t="inlineStr">
        <is>
          <t>pending</t>
        </is>
      </c>
      <c r="I47" s="11" t="inlineStr"/>
      <c r="J47" s="8" t="inlineStr"/>
      <c r="K47" s="8" t="inlineStr"/>
      <c r="L47" s="8">
        <f>IF(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not_applicable","")</f>
        <v/>
      </c>
      <c r="M47" s="8">
        <f>IF(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not_applicable","")</f>
        <v/>
      </c>
      <c r="N47" s="9">
        <f>IF(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not_applicable","")</f>
        <v/>
      </c>
      <c r="O47" s="8">
        <f>IF(OR(AND(IF($J47="",INDEX(primary_jama_2018_14282_disposition,MATCH($A47,primary_jama_2018_14282_key,0)),$J47)&lt;&gt;"",IF($J47="",INDEX(primary_jama_2018_14282_disposition,MATCH($A47,primary_jama_2018_14282_key,0)),$J47)&lt;&gt;"retain"),NOT(OR(IF($K47="",INDEX(primary_jama_2018_14282_domain,MATCH($A47,primary_jama_2018_14282_key,0)),$K47)="internal_nonstatistical",IF($K47="",INDEX(primary_jama_2018_14282_domain,MATCH($A47,primary_jama_2018_14282_key,0)),$K47)="plan_material"))),"not_applicable","")</f>
        <v/>
      </c>
      <c r="P47" s="9">
        <f>IF(OR(AND(IF($J47="",INDEX(primary_jama_2018_14282_disposition,MATCH($A47,primary_jama_2018_14282_key,0)),$J47)&lt;&gt;"",IF($J47="",INDEX(primary_jama_2018_14282_disposition,MATCH($A47,primary_jama_2018_14282_key,0)),$J47)&lt;&gt;"retain"),NOT(OR(IF($K47="",INDEX(primary_jama_2018_14282_domain,MATCH($A47,primary_jama_2018_14282_key,0)),$K47)="protocol_report"))),"not_applicable","")</f>
        <v/>
      </c>
      <c r="Q47" s="10" t="inlineStr"/>
      <c r="R47" s="10" t="inlineStr"/>
    </row>
    <row r="48" ht="76" customHeight="1">
      <c r="A48" s="2" t="inlineStr">
        <is>
          <t>2018::jama.2018.14282::C003</t>
        </is>
      </c>
      <c r="B48" s="2" t="inlineStr">
        <is>
          <t>jama.2018.14282</t>
        </is>
      </c>
      <c r="C48" s="2" t="inlineStr">
        <is>
          <t>Standard-arm heart-failure percentage does not reconcile</t>
        </is>
      </c>
      <c r="D48" s="8" t="inlineStr"/>
      <c r="E48" s="11" t="inlineStr"/>
      <c r="F48" s="8" t="inlineStr">
        <is>
          <t>no</t>
        </is>
      </c>
      <c r="G48" s="2">
        <f>IF(OR(AND(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L48&lt;&gt;"",L48&lt;&gt;"not_applicable"),AND(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M48&lt;&gt;"",M48&lt;&gt;"not_applicable"),AND(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N48&lt;&gt;"",N48&lt;&gt;"not_applicable"),AND(OR(AND(IF($J48="",INDEX(primary_jama_2018_14282_disposition,MATCH($A48,primary_jama_2018_14282_key,0)),$J48)&lt;&gt;"",IF($J48="",INDEX(primary_jama_2018_14282_disposition,MATCH($A48,primary_jama_2018_14282_key,0)),$J48)&lt;&gt;"retain"),NOT(OR(IF($K48="",INDEX(primary_jama_2018_14282_domain,MATCH($A48,primary_jama_2018_14282_key,0)),$K48)="internal_nonstatistical",IF($K48="",INDEX(primary_jama_2018_14282_domain,MATCH($A48,primary_jama_2018_14282_key,0)),$K48)="plan_material"))),O48&lt;&gt;"",O48&lt;&gt;"not_applicable"),AND(OR(AND(IF($J48="",INDEX(primary_jama_2018_14282_disposition,MATCH($A48,primary_jama_2018_14282_key,0)),$J48)&lt;&gt;"",IF($J48="",INDEX(primary_jama_2018_14282_disposition,MATCH($A48,primary_jama_2018_14282_key,0)),$J48)&lt;&gt;"retain"),NOT(OR(IF($K48="",INDEX(primary_jama_2018_14282_domain,MATCH($A48,primary_jama_2018_14282_key,0)),$K48)="protocol_report"))),P48&lt;&gt;"",P48&lt;&gt;"not_applicable")),"CLEAR INACTIVE VALUES",IF(D48="","PENDING",IF(AND(D48&lt;&gt;"agree",LEN(TRIM(E48))=0),"COMMENT NEEDED",IF(F48="yes","CHECKED - see resolution","DRAFT"))))</f>
        <v/>
      </c>
      <c r="H48" s="8" t="inlineStr">
        <is>
          <t>pending</t>
        </is>
      </c>
      <c r="I48" s="11" t="inlineStr"/>
      <c r="J48" s="8" t="inlineStr"/>
      <c r="K48" s="8" t="inlineStr"/>
      <c r="L48" s="8">
        <f>IF(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not_applicable","")</f>
        <v/>
      </c>
      <c r="M48" s="8">
        <f>IF(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not_applicable","")</f>
        <v/>
      </c>
      <c r="N48" s="9">
        <f>IF(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not_applicable","")</f>
        <v/>
      </c>
      <c r="O48" s="8">
        <f>IF(OR(AND(IF($J48="",INDEX(primary_jama_2018_14282_disposition,MATCH($A48,primary_jama_2018_14282_key,0)),$J48)&lt;&gt;"",IF($J48="",INDEX(primary_jama_2018_14282_disposition,MATCH($A48,primary_jama_2018_14282_key,0)),$J48)&lt;&gt;"retain"),NOT(OR(IF($K48="",INDEX(primary_jama_2018_14282_domain,MATCH($A48,primary_jama_2018_14282_key,0)),$K48)="internal_nonstatistical",IF($K48="",INDEX(primary_jama_2018_14282_domain,MATCH($A48,primary_jama_2018_14282_key,0)),$K48)="plan_material"))),"not_applicable","")</f>
        <v/>
      </c>
      <c r="P48" s="9">
        <f>IF(OR(AND(IF($J48="",INDEX(primary_jama_2018_14282_disposition,MATCH($A48,primary_jama_2018_14282_key,0)),$J48)&lt;&gt;"",IF($J48="",INDEX(primary_jama_2018_14282_disposition,MATCH($A48,primary_jama_2018_14282_key,0)),$J48)&lt;&gt;"retain"),NOT(OR(IF($K48="",INDEX(primary_jama_2018_14282_domain,MATCH($A48,primary_jama_2018_14282_key,0)),$K48)="protocol_report"))),"not_applicable","")</f>
        <v/>
      </c>
      <c r="Q48" s="10" t="inlineStr"/>
      <c r="R48" s="10" t="inlineStr"/>
    </row>
    <row r="49" ht="76" customHeight="1">
      <c r="A49" s="3" t="inlineStr">
        <is>
          <t>2018::jama.2018.14282::C004</t>
        </is>
      </c>
      <c r="B49" s="3" t="inlineStr">
        <is>
          <t>jama.2018.14282</t>
        </is>
      </c>
      <c r="C49" s="3" t="inlineStr">
        <is>
          <t>High-flow liver-disease percentage conflicts with displayed count</t>
        </is>
      </c>
      <c r="D49" s="8" t="inlineStr"/>
      <c r="E49" s="11" t="inlineStr"/>
      <c r="F49" s="8" t="inlineStr">
        <is>
          <t>no</t>
        </is>
      </c>
      <c r="G49" s="3">
        <f>IF(OR(AND(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L49&lt;&gt;"",L49&lt;&gt;"not_applicable"),AND(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M49&lt;&gt;"",M49&lt;&gt;"not_applicable"),AND(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N49&lt;&gt;"",N49&lt;&gt;"not_applicable"),AND(OR(AND(IF($J49="",INDEX(primary_jama_2018_14282_disposition,MATCH($A49,primary_jama_2018_14282_key,0)),$J49)&lt;&gt;"",IF($J49="",INDEX(primary_jama_2018_14282_disposition,MATCH($A49,primary_jama_2018_14282_key,0)),$J49)&lt;&gt;"retain"),NOT(OR(IF($K49="",INDEX(primary_jama_2018_14282_domain,MATCH($A49,primary_jama_2018_14282_key,0)),$K49)="internal_nonstatistical",IF($K49="",INDEX(primary_jama_2018_14282_domain,MATCH($A49,primary_jama_2018_14282_key,0)),$K49)="plan_material"))),O49&lt;&gt;"",O49&lt;&gt;"not_applicable"),AND(OR(AND(IF($J49="",INDEX(primary_jama_2018_14282_disposition,MATCH($A49,primary_jama_2018_14282_key,0)),$J49)&lt;&gt;"",IF($J49="",INDEX(primary_jama_2018_14282_disposition,MATCH($A49,primary_jama_2018_14282_key,0)),$J49)&lt;&gt;"retain"),NOT(OR(IF($K49="",INDEX(primary_jama_2018_14282_domain,MATCH($A49,primary_jama_2018_14282_key,0)),$K49)="protocol_report"))),P49&lt;&gt;"",P49&lt;&gt;"not_applicable")),"CLEAR INACTIVE VALUES",IF(D49="","PENDING",IF(AND(D49&lt;&gt;"agree",LEN(TRIM(E49))=0),"COMMENT NEEDED",IF(F49="yes","CHECKED - see resolution","DRAFT"))))</f>
        <v/>
      </c>
      <c r="H49" s="8" t="inlineStr">
        <is>
          <t>pending</t>
        </is>
      </c>
      <c r="I49" s="11" t="inlineStr"/>
      <c r="J49" s="8" t="inlineStr"/>
      <c r="K49" s="8" t="inlineStr"/>
      <c r="L49" s="8">
        <f>IF(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not_applicable","")</f>
        <v/>
      </c>
      <c r="M49" s="8">
        <f>IF(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not_applicable","")</f>
        <v/>
      </c>
      <c r="N49" s="9">
        <f>IF(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not_applicable","")</f>
        <v/>
      </c>
      <c r="O49" s="8">
        <f>IF(OR(AND(IF($J49="",INDEX(primary_jama_2018_14282_disposition,MATCH($A49,primary_jama_2018_14282_key,0)),$J49)&lt;&gt;"",IF($J49="",INDEX(primary_jama_2018_14282_disposition,MATCH($A49,primary_jama_2018_14282_key,0)),$J49)&lt;&gt;"retain"),NOT(OR(IF($K49="",INDEX(primary_jama_2018_14282_domain,MATCH($A49,primary_jama_2018_14282_key,0)),$K49)="internal_nonstatistical",IF($K49="",INDEX(primary_jama_2018_14282_domain,MATCH($A49,primary_jama_2018_14282_key,0)),$K49)="plan_material"))),"not_applicable","")</f>
        <v/>
      </c>
      <c r="P49" s="9">
        <f>IF(OR(AND(IF($J49="",INDEX(primary_jama_2018_14282_disposition,MATCH($A49,primary_jama_2018_14282_key,0)),$J49)&lt;&gt;"",IF($J49="",INDEX(primary_jama_2018_14282_disposition,MATCH($A49,primary_jama_2018_14282_key,0)),$J49)&lt;&gt;"retain"),NOT(OR(IF($K49="",INDEX(primary_jama_2018_14282_domain,MATCH($A49,primary_jama_2018_14282_key,0)),$K49)="protocol_report"))),"not_applicable","")</f>
        <v/>
      </c>
      <c r="Q49" s="10" t="inlineStr"/>
      <c r="R49" s="10" t="inlineStr"/>
    </row>
    <row r="50" ht="76" customHeight="1">
      <c r="A50" s="2" t="inlineStr">
        <is>
          <t>2018::jama.2018.14282::C005</t>
        </is>
      </c>
      <c r="B50" s="2" t="inlineStr">
        <is>
          <t>jama.2018.14282</t>
        </is>
      </c>
      <c r="C50" s="2" t="inlineStr">
        <is>
          <t>Standard-arm kidney-disease percentage conflicts with displayed count</t>
        </is>
      </c>
      <c r="D50" s="8" t="inlineStr"/>
      <c r="E50" s="11" t="inlineStr"/>
      <c r="F50" s="8" t="inlineStr">
        <is>
          <t>no</t>
        </is>
      </c>
      <c r="G50" s="2">
        <f>IF(OR(AND(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L50&lt;&gt;"",L50&lt;&gt;"not_applicable"),AND(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M50&lt;&gt;"",M50&lt;&gt;"not_applicable"),AND(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N50&lt;&gt;"",N50&lt;&gt;"not_applicable"),AND(OR(AND(IF($J50="",INDEX(primary_jama_2018_14282_disposition,MATCH($A50,primary_jama_2018_14282_key,0)),$J50)&lt;&gt;"",IF($J50="",INDEX(primary_jama_2018_14282_disposition,MATCH($A50,primary_jama_2018_14282_key,0)),$J50)&lt;&gt;"retain"),NOT(OR(IF($K50="",INDEX(primary_jama_2018_14282_domain,MATCH($A50,primary_jama_2018_14282_key,0)),$K50)="internal_nonstatistical",IF($K50="",INDEX(primary_jama_2018_14282_domain,MATCH($A50,primary_jama_2018_14282_key,0)),$K50)="plan_material"))),O50&lt;&gt;"",O50&lt;&gt;"not_applicable"),AND(OR(AND(IF($J50="",INDEX(primary_jama_2018_14282_disposition,MATCH($A50,primary_jama_2018_14282_key,0)),$J50)&lt;&gt;"",IF($J50="",INDEX(primary_jama_2018_14282_disposition,MATCH($A50,primary_jama_2018_14282_key,0)),$J50)&lt;&gt;"retain"),NOT(OR(IF($K50="",INDEX(primary_jama_2018_14282_domain,MATCH($A50,primary_jama_2018_14282_key,0)),$K50)="protocol_report"))),P50&lt;&gt;"",P50&lt;&gt;"not_applicable")),"CLEAR INACTIVE VALUES",IF(D50="","PENDING",IF(AND(D50&lt;&gt;"agree",LEN(TRIM(E50))=0),"COMMENT NEEDED",IF(F50="yes","CHECKED - see resolution","DRAFT"))))</f>
        <v/>
      </c>
      <c r="H50" s="8" t="inlineStr">
        <is>
          <t>pending</t>
        </is>
      </c>
      <c r="I50" s="11" t="inlineStr"/>
      <c r="J50" s="8" t="inlineStr"/>
      <c r="K50" s="8" t="inlineStr"/>
      <c r="L50" s="8">
        <f>IF(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not_applicable","")</f>
        <v/>
      </c>
      <c r="M50" s="8">
        <f>IF(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not_applicable","")</f>
        <v/>
      </c>
      <c r="N50" s="9">
        <f>IF(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not_applicable","")</f>
        <v/>
      </c>
      <c r="O50" s="8">
        <f>IF(OR(AND(IF($J50="",INDEX(primary_jama_2018_14282_disposition,MATCH($A50,primary_jama_2018_14282_key,0)),$J50)&lt;&gt;"",IF($J50="",INDEX(primary_jama_2018_14282_disposition,MATCH($A50,primary_jama_2018_14282_key,0)),$J50)&lt;&gt;"retain"),NOT(OR(IF($K50="",INDEX(primary_jama_2018_14282_domain,MATCH($A50,primary_jama_2018_14282_key,0)),$K50)="internal_nonstatistical",IF($K50="",INDEX(primary_jama_2018_14282_domain,MATCH($A50,primary_jama_2018_14282_key,0)),$K50)="plan_material"))),"not_applicable","")</f>
        <v/>
      </c>
      <c r="P50" s="9">
        <f>IF(OR(AND(IF($J50="",INDEX(primary_jama_2018_14282_disposition,MATCH($A50,primary_jama_2018_14282_key,0)),$J50)&lt;&gt;"",IF($J50="",INDEX(primary_jama_2018_14282_disposition,MATCH($A50,primary_jama_2018_14282_key,0)),$J50)&lt;&gt;"retain"),NOT(OR(IF($K50="",INDEX(primary_jama_2018_14282_domain,MATCH($A50,primary_jama_2018_14282_key,0)),$K50)="protocol_report"))),"not_applicable","")</f>
        <v/>
      </c>
      <c r="Q50" s="10" t="inlineStr"/>
      <c r="R50" s="10" t="inlineStr"/>
    </row>
    <row r="51" ht="76" customHeight="1">
      <c r="A51" s="3" t="inlineStr">
        <is>
          <t>2018::jama.2018.14282::C006</t>
        </is>
      </c>
      <c r="B51" s="3" t="inlineStr">
        <is>
          <t>jama.2018.14282</t>
        </is>
      </c>
      <c r="C51" s="3" t="inlineStr">
        <is>
          <t>Standard-arm nontransplant immunosuppression percentage does not reconcile</t>
        </is>
      </c>
      <c r="D51" s="8" t="inlineStr"/>
      <c r="E51" s="11" t="inlineStr"/>
      <c r="F51" s="8" t="inlineStr">
        <is>
          <t>no</t>
        </is>
      </c>
      <c r="G51" s="3">
        <f>IF(OR(AND(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L51&lt;&gt;"",L51&lt;&gt;"not_applicable"),AND(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M51&lt;&gt;"",M51&lt;&gt;"not_applicable"),AND(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N51&lt;&gt;"",N51&lt;&gt;"not_applicable"),AND(OR(AND(IF($J51="",INDEX(primary_jama_2018_14282_disposition,MATCH($A51,primary_jama_2018_14282_key,0)),$J51)&lt;&gt;"",IF($J51="",INDEX(primary_jama_2018_14282_disposition,MATCH($A51,primary_jama_2018_14282_key,0)),$J51)&lt;&gt;"retain"),NOT(OR(IF($K51="",INDEX(primary_jama_2018_14282_domain,MATCH($A51,primary_jama_2018_14282_key,0)),$K51)="internal_nonstatistical",IF($K51="",INDEX(primary_jama_2018_14282_domain,MATCH($A51,primary_jama_2018_14282_key,0)),$K51)="plan_material"))),O51&lt;&gt;"",O51&lt;&gt;"not_applicable"),AND(OR(AND(IF($J51="",INDEX(primary_jama_2018_14282_disposition,MATCH($A51,primary_jama_2018_14282_key,0)),$J51)&lt;&gt;"",IF($J51="",INDEX(primary_jama_2018_14282_disposition,MATCH($A51,primary_jama_2018_14282_key,0)),$J51)&lt;&gt;"retain"),NOT(OR(IF($K51="",INDEX(primary_jama_2018_14282_domain,MATCH($A51,primary_jama_2018_14282_key,0)),$K51)="protocol_report"))),P51&lt;&gt;"",P51&lt;&gt;"not_applicable")),"CLEAR INACTIVE VALUES",IF(D51="","PENDING",IF(AND(D51&lt;&gt;"agree",LEN(TRIM(E51))=0),"COMMENT NEEDED",IF(F51="yes","CHECKED - see resolution","DRAFT"))))</f>
        <v/>
      </c>
      <c r="H51" s="8" t="inlineStr">
        <is>
          <t>pending</t>
        </is>
      </c>
      <c r="I51" s="11" t="inlineStr"/>
      <c r="J51" s="8" t="inlineStr"/>
      <c r="K51" s="8" t="inlineStr"/>
      <c r="L51" s="8">
        <f>IF(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not_applicable","")</f>
        <v/>
      </c>
      <c r="M51" s="8">
        <f>IF(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not_applicable","")</f>
        <v/>
      </c>
      <c r="N51" s="9">
        <f>IF(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not_applicable","")</f>
        <v/>
      </c>
      <c r="O51" s="8">
        <f>IF(OR(AND(IF($J51="",INDEX(primary_jama_2018_14282_disposition,MATCH($A51,primary_jama_2018_14282_key,0)),$J51)&lt;&gt;"",IF($J51="",INDEX(primary_jama_2018_14282_disposition,MATCH($A51,primary_jama_2018_14282_key,0)),$J51)&lt;&gt;"retain"),NOT(OR(IF($K51="",INDEX(primary_jama_2018_14282_domain,MATCH($A51,primary_jama_2018_14282_key,0)),$K51)="internal_nonstatistical",IF($K51="",INDEX(primary_jama_2018_14282_domain,MATCH($A51,primary_jama_2018_14282_key,0)),$K51)="plan_material"))),"not_applicable","")</f>
        <v/>
      </c>
      <c r="P51" s="9">
        <f>IF(OR(AND(IF($J51="",INDEX(primary_jama_2018_14282_disposition,MATCH($A51,primary_jama_2018_14282_key,0)),$J51)&lt;&gt;"",IF($J51="",INDEX(primary_jama_2018_14282_disposition,MATCH($A51,primary_jama_2018_14282_key,0)),$J51)&lt;&gt;"retain"),NOT(OR(IF($K51="",INDEX(primary_jama_2018_14282_domain,MATCH($A51,primary_jama_2018_14282_key,0)),$K51)="protocol_report"))),"not_applicable","")</f>
        <v/>
      </c>
      <c r="Q51" s="10" t="inlineStr"/>
      <c r="R51" s="10" t="inlineStr"/>
    </row>
    <row r="52" ht="76" customHeight="1">
      <c r="A52" s="2" t="inlineStr">
        <is>
          <t>2018::jama.2018.14282::C007</t>
        </is>
      </c>
      <c r="B52" s="2" t="inlineStr">
        <is>
          <t>jama.2018.14282</t>
        </is>
      </c>
      <c r="C52" s="2" t="inlineStr">
        <is>
          <t>High-flow ≥3-days-after-ICU-admission percentage does not reconcile</t>
        </is>
      </c>
      <c r="D52" s="8" t="inlineStr"/>
      <c r="E52" s="11" t="inlineStr"/>
      <c r="F52" s="8" t="inlineStr">
        <is>
          <t>no</t>
        </is>
      </c>
      <c r="G52" s="2">
        <f>IF(OR(AND(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L52&lt;&gt;"",L52&lt;&gt;"not_applicable"),AND(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M52&lt;&gt;"",M52&lt;&gt;"not_applicable"),AND(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N52&lt;&gt;"",N52&lt;&gt;"not_applicable"),AND(OR(AND(IF($J52="",INDEX(primary_jama_2018_14282_disposition,MATCH($A52,primary_jama_2018_14282_key,0)),$J52)&lt;&gt;"",IF($J52="",INDEX(primary_jama_2018_14282_disposition,MATCH($A52,primary_jama_2018_14282_key,0)),$J52)&lt;&gt;"retain"),NOT(OR(IF($K52="",INDEX(primary_jama_2018_14282_domain,MATCH($A52,primary_jama_2018_14282_key,0)),$K52)="internal_nonstatistical",IF($K52="",INDEX(primary_jama_2018_14282_domain,MATCH($A52,primary_jama_2018_14282_key,0)),$K52)="plan_material"))),O52&lt;&gt;"",O52&lt;&gt;"not_applicable"),AND(OR(AND(IF($J52="",INDEX(primary_jama_2018_14282_disposition,MATCH($A52,primary_jama_2018_14282_key,0)),$J52)&lt;&gt;"",IF($J52="",INDEX(primary_jama_2018_14282_disposition,MATCH($A52,primary_jama_2018_14282_key,0)),$J52)&lt;&gt;"retain"),NOT(OR(IF($K52="",INDEX(primary_jama_2018_14282_domain,MATCH($A52,primary_jama_2018_14282_key,0)),$K52)="protocol_report"))),P52&lt;&gt;"",P52&lt;&gt;"not_applicable")),"CLEAR INACTIVE VALUES",IF(D52="","PENDING",IF(AND(D52&lt;&gt;"agree",LEN(TRIM(E52))=0),"COMMENT NEEDED",IF(F52="yes","CHECKED - see resolution","DRAFT"))))</f>
        <v/>
      </c>
      <c r="H52" s="8" t="inlineStr">
        <is>
          <t>pending</t>
        </is>
      </c>
      <c r="I52" s="11" t="inlineStr"/>
      <c r="J52" s="8" t="inlineStr"/>
      <c r="K52" s="8" t="inlineStr"/>
      <c r="L52" s="8">
        <f>IF(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not_applicable","")</f>
        <v/>
      </c>
      <c r="M52" s="8">
        <f>IF(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not_applicable","")</f>
        <v/>
      </c>
      <c r="N52" s="9">
        <f>IF(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not_applicable","")</f>
        <v/>
      </c>
      <c r="O52" s="8">
        <f>IF(OR(AND(IF($J52="",INDEX(primary_jama_2018_14282_disposition,MATCH($A52,primary_jama_2018_14282_key,0)),$J52)&lt;&gt;"",IF($J52="",INDEX(primary_jama_2018_14282_disposition,MATCH($A52,primary_jama_2018_14282_key,0)),$J52)&lt;&gt;"retain"),NOT(OR(IF($K52="",INDEX(primary_jama_2018_14282_domain,MATCH($A52,primary_jama_2018_14282_key,0)),$K52)="internal_nonstatistical",IF($K52="",INDEX(primary_jama_2018_14282_domain,MATCH($A52,primary_jama_2018_14282_key,0)),$K52)="plan_material"))),"not_applicable","")</f>
        <v/>
      </c>
      <c r="P52" s="9">
        <f>IF(OR(AND(IF($J52="",INDEX(primary_jama_2018_14282_disposition,MATCH($A52,primary_jama_2018_14282_key,0)),$J52)&lt;&gt;"",IF($J52="",INDEX(primary_jama_2018_14282_disposition,MATCH($A52,primary_jama_2018_14282_key,0)),$J52)&lt;&gt;"retain"),NOT(OR(IF($K52="",INDEX(primary_jama_2018_14282_domain,MATCH($A52,primary_jama_2018_14282_key,0)),$K52)="protocol_report"))),"not_applicable","")</f>
        <v/>
      </c>
      <c r="Q52" s="10" t="inlineStr"/>
      <c r="R52" s="10" t="inlineStr"/>
    </row>
    <row r="53" ht="76" customHeight="1">
      <c r="A53" s="3" t="inlineStr">
        <is>
          <t>2018::jama.2018.14282::C008</t>
        </is>
      </c>
      <c r="B53" s="3" t="inlineStr">
        <is>
          <t>jama.2018.14282</t>
        </is>
      </c>
      <c r="C53" s="3" t="inlineStr">
        <is>
          <t>Standard-arm ≥3-days-after-ICU-admission percentage does not reconcile</t>
        </is>
      </c>
      <c r="D53" s="8" t="inlineStr"/>
      <c r="E53" s="11" t="inlineStr"/>
      <c r="F53" s="8" t="inlineStr">
        <is>
          <t>no</t>
        </is>
      </c>
      <c r="G53" s="3">
        <f>IF(OR(AND(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L53&lt;&gt;"",L53&lt;&gt;"not_applicable"),AND(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M53&lt;&gt;"",M53&lt;&gt;"not_applicable"),AND(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N53&lt;&gt;"",N53&lt;&gt;"not_applicable"),AND(OR(AND(IF($J53="",INDEX(primary_jama_2018_14282_disposition,MATCH($A53,primary_jama_2018_14282_key,0)),$J53)&lt;&gt;"",IF($J53="",INDEX(primary_jama_2018_14282_disposition,MATCH($A53,primary_jama_2018_14282_key,0)),$J53)&lt;&gt;"retain"),NOT(OR(IF($K53="",INDEX(primary_jama_2018_14282_domain,MATCH($A53,primary_jama_2018_14282_key,0)),$K53)="internal_nonstatistical",IF($K53="",INDEX(primary_jama_2018_14282_domain,MATCH($A53,primary_jama_2018_14282_key,0)),$K53)="plan_material"))),O53&lt;&gt;"",O53&lt;&gt;"not_applicable"),AND(OR(AND(IF($J53="",INDEX(primary_jama_2018_14282_disposition,MATCH($A53,primary_jama_2018_14282_key,0)),$J53)&lt;&gt;"",IF($J53="",INDEX(primary_jama_2018_14282_disposition,MATCH($A53,primary_jama_2018_14282_key,0)),$J53)&lt;&gt;"retain"),NOT(OR(IF($K53="",INDEX(primary_jama_2018_14282_domain,MATCH($A53,primary_jama_2018_14282_key,0)),$K53)="protocol_report"))),P53&lt;&gt;"",P53&lt;&gt;"not_applicable")),"CLEAR INACTIVE VALUES",IF(D53="","PENDING",IF(AND(D53&lt;&gt;"agree",LEN(TRIM(E53))=0),"COMMENT NEEDED",IF(F53="yes","CHECKED - see resolution","DRAFT"))))</f>
        <v/>
      </c>
      <c r="H53" s="8" t="inlineStr">
        <is>
          <t>pending</t>
        </is>
      </c>
      <c r="I53" s="11" t="inlineStr"/>
      <c r="J53" s="8" t="inlineStr"/>
      <c r="K53" s="8" t="inlineStr"/>
      <c r="L53" s="8">
        <f>IF(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not_applicable","")</f>
        <v/>
      </c>
      <c r="M53" s="8">
        <f>IF(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not_applicable","")</f>
        <v/>
      </c>
      <c r="N53" s="9">
        <f>IF(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not_applicable","")</f>
        <v/>
      </c>
      <c r="O53" s="8">
        <f>IF(OR(AND(IF($J53="",INDEX(primary_jama_2018_14282_disposition,MATCH($A53,primary_jama_2018_14282_key,0)),$J53)&lt;&gt;"",IF($J53="",INDEX(primary_jama_2018_14282_disposition,MATCH($A53,primary_jama_2018_14282_key,0)),$J53)&lt;&gt;"retain"),NOT(OR(IF($K53="",INDEX(primary_jama_2018_14282_domain,MATCH($A53,primary_jama_2018_14282_key,0)),$K53)="internal_nonstatistical",IF($K53="",INDEX(primary_jama_2018_14282_domain,MATCH($A53,primary_jama_2018_14282_key,0)),$K53)="plan_material"))),"not_applicable","")</f>
        <v/>
      </c>
      <c r="P53" s="9">
        <f>IF(OR(AND(IF($J53="",INDEX(primary_jama_2018_14282_disposition,MATCH($A53,primary_jama_2018_14282_key,0)),$J53)&lt;&gt;"",IF($J53="",INDEX(primary_jama_2018_14282_disposition,MATCH($A53,primary_jama_2018_14282_key,0)),$J53)&lt;&gt;"retain"),NOT(OR(IF($K53="",INDEX(primary_jama_2018_14282_domain,MATCH($A53,primary_jama_2018_14282_key,0)),$K53)="protocol_report"))),"not_applicable","")</f>
        <v/>
      </c>
      <c r="Q53" s="10" t="inlineStr"/>
      <c r="R53" s="10" t="inlineStr"/>
    </row>
    <row r="54" ht="76" customHeight="1">
      <c r="A54" s="2" t="inlineStr">
        <is>
          <t>2018::jama.2018.14282::C009</t>
        </is>
      </c>
      <c r="B54" s="2" t="inlineStr">
        <is>
          <t>jama.2018.14282</t>
        </is>
      </c>
      <c r="C54" s="2" t="inlineStr">
        <is>
          <t>Standard-arm vasopressor percentage does not reconcile</t>
        </is>
      </c>
      <c r="D54" s="8" t="inlineStr"/>
      <c r="E54" s="11" t="inlineStr"/>
      <c r="F54" s="8" t="inlineStr">
        <is>
          <t>no</t>
        </is>
      </c>
      <c r="G54" s="2">
        <f>IF(OR(AND(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L54&lt;&gt;"",L54&lt;&gt;"not_applicable"),AND(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M54&lt;&gt;"",M54&lt;&gt;"not_applicable"),AND(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N54&lt;&gt;"",N54&lt;&gt;"not_applicable"),AND(OR(AND(IF($J54="",INDEX(primary_jama_2018_14282_disposition,MATCH($A54,primary_jama_2018_14282_key,0)),$J54)&lt;&gt;"",IF($J54="",INDEX(primary_jama_2018_14282_disposition,MATCH($A54,primary_jama_2018_14282_key,0)),$J54)&lt;&gt;"retain"),NOT(OR(IF($K54="",INDEX(primary_jama_2018_14282_domain,MATCH($A54,primary_jama_2018_14282_key,0)),$K54)="internal_nonstatistical",IF($K54="",INDEX(primary_jama_2018_14282_domain,MATCH($A54,primary_jama_2018_14282_key,0)),$K54)="plan_material"))),O54&lt;&gt;"",O54&lt;&gt;"not_applicable"),AND(OR(AND(IF($J54="",INDEX(primary_jama_2018_14282_disposition,MATCH($A54,primary_jama_2018_14282_key,0)),$J54)&lt;&gt;"",IF($J54="",INDEX(primary_jama_2018_14282_disposition,MATCH($A54,primary_jama_2018_14282_key,0)),$J54)&lt;&gt;"retain"),NOT(OR(IF($K54="",INDEX(primary_jama_2018_14282_domain,MATCH($A54,primary_jama_2018_14282_key,0)),$K54)="protocol_report"))),P54&lt;&gt;"",P54&lt;&gt;"not_applicable")),"CLEAR INACTIVE VALUES",IF(D54="","PENDING",IF(AND(D54&lt;&gt;"agree",LEN(TRIM(E54))=0),"COMMENT NEEDED",IF(F54="yes","CHECKED - see resolution","DRAFT"))))</f>
        <v/>
      </c>
      <c r="H54" s="8" t="inlineStr">
        <is>
          <t>pending</t>
        </is>
      </c>
      <c r="I54" s="11" t="inlineStr"/>
      <c r="J54" s="8" t="inlineStr"/>
      <c r="K54" s="8" t="inlineStr"/>
      <c r="L54" s="8">
        <f>IF(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not_applicable","")</f>
        <v/>
      </c>
      <c r="M54" s="8">
        <f>IF(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not_applicable","")</f>
        <v/>
      </c>
      <c r="N54" s="9">
        <f>IF(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not_applicable","")</f>
        <v/>
      </c>
      <c r="O54" s="8">
        <f>IF(OR(AND(IF($J54="",INDEX(primary_jama_2018_14282_disposition,MATCH($A54,primary_jama_2018_14282_key,0)),$J54)&lt;&gt;"",IF($J54="",INDEX(primary_jama_2018_14282_disposition,MATCH($A54,primary_jama_2018_14282_key,0)),$J54)&lt;&gt;"retain"),NOT(OR(IF($K54="",INDEX(primary_jama_2018_14282_domain,MATCH($A54,primary_jama_2018_14282_key,0)),$K54)="internal_nonstatistical",IF($K54="",INDEX(primary_jama_2018_14282_domain,MATCH($A54,primary_jama_2018_14282_key,0)),$K54)="plan_material"))),"not_applicable","")</f>
        <v/>
      </c>
      <c r="P54" s="9">
        <f>IF(OR(AND(IF($J54="",INDEX(primary_jama_2018_14282_disposition,MATCH($A54,primary_jama_2018_14282_key,0)),$J54)&lt;&gt;"",IF($J54="",INDEX(primary_jama_2018_14282_disposition,MATCH($A54,primary_jama_2018_14282_key,0)),$J54)&lt;&gt;"retain"),NOT(OR(IF($K54="",INDEX(primary_jama_2018_14282_domain,MATCH($A54,primary_jama_2018_14282_key,0)),$K54)="protocol_report"))),"not_applicable","")</f>
        <v/>
      </c>
      <c r="Q54" s="10" t="inlineStr"/>
      <c r="R54" s="10" t="inlineStr"/>
    </row>
    <row r="55" ht="76" customHeight="1">
      <c r="A55" s="3" t="inlineStr">
        <is>
          <t>2018::jama.2018.14282::C010</t>
        </is>
      </c>
      <c r="B55" s="3" t="inlineStr">
        <is>
          <t>jama.2018.14282</t>
        </is>
      </c>
      <c r="C55" s="3" t="inlineStr">
        <is>
          <t>High-flow do-not-intubate percentage does not reconcile</t>
        </is>
      </c>
      <c r="D55" s="8" t="inlineStr"/>
      <c r="E55" s="11" t="inlineStr"/>
      <c r="F55" s="8" t="inlineStr">
        <is>
          <t>no</t>
        </is>
      </c>
      <c r="G55" s="3">
        <f>IF(OR(AND(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L55&lt;&gt;"",L55&lt;&gt;"not_applicable"),AND(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M55&lt;&gt;"",M55&lt;&gt;"not_applicable"),AND(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N55&lt;&gt;"",N55&lt;&gt;"not_applicable"),AND(OR(AND(IF($J55="",INDEX(primary_jama_2018_14282_disposition,MATCH($A55,primary_jama_2018_14282_key,0)),$J55)&lt;&gt;"",IF($J55="",INDEX(primary_jama_2018_14282_disposition,MATCH($A55,primary_jama_2018_14282_key,0)),$J55)&lt;&gt;"retain"),NOT(OR(IF($K55="",INDEX(primary_jama_2018_14282_domain,MATCH($A55,primary_jama_2018_14282_key,0)),$K55)="internal_nonstatistical",IF($K55="",INDEX(primary_jama_2018_14282_domain,MATCH($A55,primary_jama_2018_14282_key,0)),$K55)="plan_material"))),O55&lt;&gt;"",O55&lt;&gt;"not_applicable"),AND(OR(AND(IF($J55="",INDEX(primary_jama_2018_14282_disposition,MATCH($A55,primary_jama_2018_14282_key,0)),$J55)&lt;&gt;"",IF($J55="",INDEX(primary_jama_2018_14282_disposition,MATCH($A55,primary_jama_2018_14282_key,0)),$J55)&lt;&gt;"retain"),NOT(OR(IF($K55="",INDEX(primary_jama_2018_14282_domain,MATCH($A55,primary_jama_2018_14282_key,0)),$K55)="protocol_report"))),P55&lt;&gt;"",P55&lt;&gt;"not_applicable")),"CLEAR INACTIVE VALUES",IF(D55="","PENDING",IF(AND(D55&lt;&gt;"agree",LEN(TRIM(E55))=0),"COMMENT NEEDED",IF(F55="yes","CHECKED - see resolution","DRAFT"))))</f>
        <v/>
      </c>
      <c r="H55" s="8" t="inlineStr">
        <is>
          <t>pending</t>
        </is>
      </c>
      <c r="I55" s="11" t="inlineStr"/>
      <c r="J55" s="8" t="inlineStr"/>
      <c r="K55" s="8" t="inlineStr"/>
      <c r="L55" s="8">
        <f>IF(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not_applicable","")</f>
        <v/>
      </c>
      <c r="M55" s="8">
        <f>IF(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not_applicable","")</f>
        <v/>
      </c>
      <c r="N55" s="9">
        <f>IF(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not_applicable","")</f>
        <v/>
      </c>
      <c r="O55" s="8">
        <f>IF(OR(AND(IF($J55="",INDEX(primary_jama_2018_14282_disposition,MATCH($A55,primary_jama_2018_14282_key,0)),$J55)&lt;&gt;"",IF($J55="",INDEX(primary_jama_2018_14282_disposition,MATCH($A55,primary_jama_2018_14282_key,0)),$J55)&lt;&gt;"retain"),NOT(OR(IF($K55="",INDEX(primary_jama_2018_14282_domain,MATCH($A55,primary_jama_2018_14282_key,0)),$K55)="internal_nonstatistical",IF($K55="",INDEX(primary_jama_2018_14282_domain,MATCH($A55,primary_jama_2018_14282_key,0)),$K55)="plan_material"))),"not_applicable","")</f>
        <v/>
      </c>
      <c r="P55" s="9">
        <f>IF(OR(AND(IF($J55="",INDEX(primary_jama_2018_14282_disposition,MATCH($A55,primary_jama_2018_14282_key,0)),$J55)&lt;&gt;"",IF($J55="",INDEX(primary_jama_2018_14282_disposition,MATCH($A55,primary_jama_2018_14282_key,0)),$J55)&lt;&gt;"retain"),NOT(OR(IF($K55="",INDEX(primary_jama_2018_14282_domain,MATCH($A55,primary_jama_2018_14282_key,0)),$K55)="protocol_report"))),"not_applicable","")</f>
        <v/>
      </c>
      <c r="Q55" s="10" t="inlineStr"/>
      <c r="R55" s="10" t="inlineStr"/>
    </row>
    <row r="56" ht="76" customHeight="1">
      <c r="A56" s="2" t="inlineStr">
        <is>
          <t>2018::jama.2018.14282::C011</t>
        </is>
      </c>
      <c r="B56" s="2" t="inlineStr">
        <is>
          <t>jama.2018.14282</t>
        </is>
      </c>
      <c r="C56" s="2" t="inlineStr">
        <is>
          <t>High-flow do-not-resuscitate percentage does not reconcile</t>
        </is>
      </c>
      <c r="D56" s="8" t="inlineStr"/>
      <c r="E56" s="11" t="inlineStr"/>
      <c r="F56" s="8" t="inlineStr">
        <is>
          <t>no</t>
        </is>
      </c>
      <c r="G56" s="2">
        <f>IF(OR(AND(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L56&lt;&gt;"",L56&lt;&gt;"not_applicable"),AND(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M56&lt;&gt;"",M56&lt;&gt;"not_applicable"),AND(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N56&lt;&gt;"",N56&lt;&gt;"not_applicable"),AND(OR(AND(IF($J56="",INDEX(primary_jama_2018_14282_disposition,MATCH($A56,primary_jama_2018_14282_key,0)),$J56)&lt;&gt;"",IF($J56="",INDEX(primary_jama_2018_14282_disposition,MATCH($A56,primary_jama_2018_14282_key,0)),$J56)&lt;&gt;"retain"),NOT(OR(IF($K56="",INDEX(primary_jama_2018_14282_domain,MATCH($A56,primary_jama_2018_14282_key,0)),$K56)="internal_nonstatistical",IF($K56="",INDEX(primary_jama_2018_14282_domain,MATCH($A56,primary_jama_2018_14282_key,0)),$K56)="plan_material"))),O56&lt;&gt;"",O56&lt;&gt;"not_applicable"),AND(OR(AND(IF($J56="",INDEX(primary_jama_2018_14282_disposition,MATCH($A56,primary_jama_2018_14282_key,0)),$J56)&lt;&gt;"",IF($J56="",INDEX(primary_jama_2018_14282_disposition,MATCH($A56,primary_jama_2018_14282_key,0)),$J56)&lt;&gt;"retain"),NOT(OR(IF($K56="",INDEX(primary_jama_2018_14282_domain,MATCH($A56,primary_jama_2018_14282_key,0)),$K56)="protocol_report"))),P56&lt;&gt;"",P56&lt;&gt;"not_applicable")),"CLEAR INACTIVE VALUES",IF(D56="","PENDING",IF(AND(D56&lt;&gt;"agree",LEN(TRIM(E56))=0),"COMMENT NEEDED",IF(F56="yes","CHECKED - see resolution","DRAFT"))))</f>
        <v/>
      </c>
      <c r="H56" s="8" t="inlineStr">
        <is>
          <t>pending</t>
        </is>
      </c>
      <c r="I56" s="11" t="inlineStr"/>
      <c r="J56" s="8" t="inlineStr"/>
      <c r="K56" s="8" t="inlineStr"/>
      <c r="L56" s="8">
        <f>IF(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not_applicable","")</f>
        <v/>
      </c>
      <c r="M56" s="8">
        <f>IF(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not_applicable","")</f>
        <v/>
      </c>
      <c r="N56" s="9">
        <f>IF(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not_applicable","")</f>
        <v/>
      </c>
      <c r="O56" s="8">
        <f>IF(OR(AND(IF($J56="",INDEX(primary_jama_2018_14282_disposition,MATCH($A56,primary_jama_2018_14282_key,0)),$J56)&lt;&gt;"",IF($J56="",INDEX(primary_jama_2018_14282_disposition,MATCH($A56,primary_jama_2018_14282_key,0)),$J56)&lt;&gt;"retain"),NOT(OR(IF($K56="",INDEX(primary_jama_2018_14282_domain,MATCH($A56,primary_jama_2018_14282_key,0)),$K56)="internal_nonstatistical",IF($K56="",INDEX(primary_jama_2018_14282_domain,MATCH($A56,primary_jama_2018_14282_key,0)),$K56)="plan_material"))),"not_applicable","")</f>
        <v/>
      </c>
      <c r="P56" s="9">
        <f>IF(OR(AND(IF($J56="",INDEX(primary_jama_2018_14282_disposition,MATCH($A56,primary_jama_2018_14282_key,0)),$J56)&lt;&gt;"",IF($J56="",INDEX(primary_jama_2018_14282_disposition,MATCH($A56,primary_jama_2018_14282_key,0)),$J56)&lt;&gt;"retain"),NOT(OR(IF($K56="",INDEX(primary_jama_2018_14282_domain,MATCH($A56,primary_jama_2018_14282_key,0)),$K56)="protocol_report"))),"not_applicable","")</f>
        <v/>
      </c>
      <c r="Q56" s="10" t="inlineStr"/>
      <c r="R56" s="10" t="inlineStr"/>
    </row>
    <row r="57" ht="76" customHeight="1">
      <c r="A57" s="3" t="inlineStr">
        <is>
          <t>2018::jama.2018.14282::C012</t>
        </is>
      </c>
      <c r="B57" s="3" t="inlineStr">
        <is>
          <t>jama.2018.14282</t>
        </is>
      </c>
      <c r="C57" s="3" t="inlineStr">
        <is>
          <t>Standard-arm do-not-resuscitate percentage does not reconcile</t>
        </is>
      </c>
      <c r="D57" s="8" t="inlineStr"/>
      <c r="E57" s="11" t="inlineStr"/>
      <c r="F57" s="8" t="inlineStr">
        <is>
          <t>no</t>
        </is>
      </c>
      <c r="G57" s="3">
        <f>IF(OR(AND(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L57&lt;&gt;"",L57&lt;&gt;"not_applicable"),AND(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M57&lt;&gt;"",M57&lt;&gt;"not_applicable"),AND(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N57&lt;&gt;"",N57&lt;&gt;"not_applicable"),AND(OR(AND(IF($J57="",INDEX(primary_jama_2018_14282_disposition,MATCH($A57,primary_jama_2018_14282_key,0)),$J57)&lt;&gt;"",IF($J57="",INDEX(primary_jama_2018_14282_disposition,MATCH($A57,primary_jama_2018_14282_key,0)),$J57)&lt;&gt;"retain"),NOT(OR(IF($K57="",INDEX(primary_jama_2018_14282_domain,MATCH($A57,primary_jama_2018_14282_key,0)),$K57)="internal_nonstatistical",IF($K57="",INDEX(primary_jama_2018_14282_domain,MATCH($A57,primary_jama_2018_14282_key,0)),$K57)="plan_material"))),O57&lt;&gt;"",O57&lt;&gt;"not_applicable"),AND(OR(AND(IF($J57="",INDEX(primary_jama_2018_14282_disposition,MATCH($A57,primary_jama_2018_14282_key,0)),$J57)&lt;&gt;"",IF($J57="",INDEX(primary_jama_2018_14282_disposition,MATCH($A57,primary_jama_2018_14282_key,0)),$J57)&lt;&gt;"retain"),NOT(OR(IF($K57="",INDEX(primary_jama_2018_14282_domain,MATCH($A57,primary_jama_2018_14282_key,0)),$K57)="protocol_report"))),P57&lt;&gt;"",P57&lt;&gt;"not_applicable")),"CLEAR INACTIVE VALUES",IF(D57="","PENDING",IF(AND(D57&lt;&gt;"agree",LEN(TRIM(E57))=0),"COMMENT NEEDED",IF(F57="yes","CHECKED - see resolution","DRAFT"))))</f>
        <v/>
      </c>
      <c r="H57" s="8" t="inlineStr">
        <is>
          <t>pending</t>
        </is>
      </c>
      <c r="I57" s="11" t="inlineStr"/>
      <c r="J57" s="8" t="inlineStr"/>
      <c r="K57" s="8" t="inlineStr"/>
      <c r="L57" s="8">
        <f>IF(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not_applicable","")</f>
        <v/>
      </c>
      <c r="M57" s="8">
        <f>IF(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not_applicable","")</f>
        <v/>
      </c>
      <c r="N57" s="9">
        <f>IF(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not_applicable","")</f>
        <v/>
      </c>
      <c r="O57" s="8">
        <f>IF(OR(AND(IF($J57="",INDEX(primary_jama_2018_14282_disposition,MATCH($A57,primary_jama_2018_14282_key,0)),$J57)&lt;&gt;"",IF($J57="",INDEX(primary_jama_2018_14282_disposition,MATCH($A57,primary_jama_2018_14282_key,0)),$J57)&lt;&gt;"retain"),NOT(OR(IF($K57="",INDEX(primary_jama_2018_14282_domain,MATCH($A57,primary_jama_2018_14282_key,0)),$K57)="internal_nonstatistical",IF($K57="",INDEX(primary_jama_2018_14282_domain,MATCH($A57,primary_jama_2018_14282_key,0)),$K57)="plan_material"))),"not_applicable","")</f>
        <v/>
      </c>
      <c r="P57" s="9">
        <f>IF(OR(AND(IF($J57="",INDEX(primary_jama_2018_14282_disposition,MATCH($A57,primary_jama_2018_14282_key,0)),$J57)&lt;&gt;"",IF($J57="",INDEX(primary_jama_2018_14282_disposition,MATCH($A57,primary_jama_2018_14282_key,0)),$J57)&lt;&gt;"retain"),NOT(OR(IF($K57="",INDEX(primary_jama_2018_14282_domain,MATCH($A57,primary_jama_2018_14282_key,0)),$K57)="protocol_report"))),"not_applicable","")</f>
        <v/>
      </c>
      <c r="Q57" s="10" t="inlineStr"/>
      <c r="R57" s="10" t="inlineStr"/>
    </row>
    <row r="58" ht="76" customHeight="1">
      <c r="A58" s="2" t="inlineStr">
        <is>
          <t>2018::jama.2018.14282::C013</t>
        </is>
      </c>
      <c r="B58" s="2" t="inlineStr">
        <is>
          <t>jama.2018.14282</t>
        </is>
      </c>
      <c r="C58" s="2" t="inlineStr">
        <is>
          <t>Standard-arm unknown-goals percentage does not reconcile</t>
        </is>
      </c>
      <c r="D58" s="8" t="inlineStr"/>
      <c r="E58" s="11" t="inlineStr"/>
      <c r="F58" s="8" t="inlineStr">
        <is>
          <t>no</t>
        </is>
      </c>
      <c r="G58" s="2">
        <f>IF(OR(AND(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L58&lt;&gt;"",L58&lt;&gt;"not_applicable"),AND(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M58&lt;&gt;"",M58&lt;&gt;"not_applicable"),AND(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N58&lt;&gt;"",N58&lt;&gt;"not_applicable"),AND(OR(AND(IF($J58="",INDEX(primary_jama_2018_14282_disposition,MATCH($A58,primary_jama_2018_14282_key,0)),$J58)&lt;&gt;"",IF($J58="",INDEX(primary_jama_2018_14282_disposition,MATCH($A58,primary_jama_2018_14282_key,0)),$J58)&lt;&gt;"retain"),NOT(OR(IF($K58="",INDEX(primary_jama_2018_14282_domain,MATCH($A58,primary_jama_2018_14282_key,0)),$K58)="internal_nonstatistical",IF($K58="",INDEX(primary_jama_2018_14282_domain,MATCH($A58,primary_jama_2018_14282_key,0)),$K58)="plan_material"))),O58&lt;&gt;"",O58&lt;&gt;"not_applicable"),AND(OR(AND(IF($J58="",INDEX(primary_jama_2018_14282_disposition,MATCH($A58,primary_jama_2018_14282_key,0)),$J58)&lt;&gt;"",IF($J58="",INDEX(primary_jama_2018_14282_disposition,MATCH($A58,primary_jama_2018_14282_key,0)),$J58)&lt;&gt;"retain"),NOT(OR(IF($K58="",INDEX(primary_jama_2018_14282_domain,MATCH($A58,primary_jama_2018_14282_key,0)),$K58)="protocol_report"))),P58&lt;&gt;"",P58&lt;&gt;"not_applicable")),"CLEAR INACTIVE VALUES",IF(D58="","PENDING",IF(AND(D58&lt;&gt;"agree",LEN(TRIM(E58))=0),"COMMENT NEEDED",IF(F58="yes","CHECKED - see resolution","DRAFT"))))</f>
        <v/>
      </c>
      <c r="H58" s="8" t="inlineStr">
        <is>
          <t>pending</t>
        </is>
      </c>
      <c r="I58" s="11" t="inlineStr"/>
      <c r="J58" s="8" t="inlineStr"/>
      <c r="K58" s="8" t="inlineStr"/>
      <c r="L58" s="8">
        <f>IF(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not_applicable","")</f>
        <v/>
      </c>
      <c r="M58" s="8">
        <f>IF(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not_applicable","")</f>
        <v/>
      </c>
      <c r="N58" s="9">
        <f>IF(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not_applicable","")</f>
        <v/>
      </c>
      <c r="O58" s="8">
        <f>IF(OR(AND(IF($J58="",INDEX(primary_jama_2018_14282_disposition,MATCH($A58,primary_jama_2018_14282_key,0)),$J58)&lt;&gt;"",IF($J58="",INDEX(primary_jama_2018_14282_disposition,MATCH($A58,primary_jama_2018_14282_key,0)),$J58)&lt;&gt;"retain"),NOT(OR(IF($K58="",INDEX(primary_jama_2018_14282_domain,MATCH($A58,primary_jama_2018_14282_key,0)),$K58)="internal_nonstatistical",IF($K58="",INDEX(primary_jama_2018_14282_domain,MATCH($A58,primary_jama_2018_14282_key,0)),$K58)="plan_material"))),"not_applicable","")</f>
        <v/>
      </c>
      <c r="P58" s="9">
        <f>IF(OR(AND(IF($J58="",INDEX(primary_jama_2018_14282_disposition,MATCH($A58,primary_jama_2018_14282_key,0)),$J58)&lt;&gt;"",IF($J58="",INDEX(primary_jama_2018_14282_disposition,MATCH($A58,primary_jama_2018_14282_key,0)),$J58)&lt;&gt;"retain"),NOT(OR(IF($K58="",INDEX(primary_jama_2018_14282_domain,MATCH($A58,primary_jama_2018_14282_key,0)),$K58)="protocol_report"))),"not_applicable","")</f>
        <v/>
      </c>
      <c r="Q58" s="10" t="inlineStr"/>
      <c r="R58" s="10" t="inlineStr"/>
    </row>
    <row r="59" ht="76" customHeight="1">
      <c r="A59" s="3" t="inlineStr">
        <is>
          <t>2018::jama.2018.14282::C014</t>
        </is>
      </c>
      <c r="B59" s="3" t="inlineStr">
        <is>
          <t>jama.2018.14282</t>
        </is>
      </c>
      <c r="C59" s="3" t="inlineStr">
        <is>
          <t>High-flow pre-randomization standard-oxygen percentage does not reconcile</t>
        </is>
      </c>
      <c r="D59" s="8" t="inlineStr"/>
      <c r="E59" s="11" t="inlineStr"/>
      <c r="F59" s="8" t="inlineStr">
        <is>
          <t>no</t>
        </is>
      </c>
      <c r="G59" s="3">
        <f>IF(OR(AND(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L59&lt;&gt;"",L59&lt;&gt;"not_applicable"),AND(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M59&lt;&gt;"",M59&lt;&gt;"not_applicable"),AND(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N59&lt;&gt;"",N59&lt;&gt;"not_applicable"),AND(OR(AND(IF($J59="",INDEX(primary_jama_2018_14282_disposition,MATCH($A59,primary_jama_2018_14282_key,0)),$J59)&lt;&gt;"",IF($J59="",INDEX(primary_jama_2018_14282_disposition,MATCH($A59,primary_jama_2018_14282_key,0)),$J59)&lt;&gt;"retain"),NOT(OR(IF($K59="",INDEX(primary_jama_2018_14282_domain,MATCH($A59,primary_jama_2018_14282_key,0)),$K59)="internal_nonstatistical",IF($K59="",INDEX(primary_jama_2018_14282_domain,MATCH($A59,primary_jama_2018_14282_key,0)),$K59)="plan_material"))),O59&lt;&gt;"",O59&lt;&gt;"not_applicable"),AND(OR(AND(IF($J59="",INDEX(primary_jama_2018_14282_disposition,MATCH($A59,primary_jama_2018_14282_key,0)),$J59)&lt;&gt;"",IF($J59="",INDEX(primary_jama_2018_14282_disposition,MATCH($A59,primary_jama_2018_14282_key,0)),$J59)&lt;&gt;"retain"),NOT(OR(IF($K59="",INDEX(primary_jama_2018_14282_domain,MATCH($A59,primary_jama_2018_14282_key,0)),$K59)="protocol_report"))),P59&lt;&gt;"",P59&lt;&gt;"not_applicable")),"CLEAR INACTIVE VALUES",IF(D59="","PENDING",IF(AND(D59&lt;&gt;"agree",LEN(TRIM(E59))=0),"COMMENT NEEDED",IF(F59="yes","CHECKED - see resolution","DRAFT"))))</f>
        <v/>
      </c>
      <c r="H59" s="8" t="inlineStr">
        <is>
          <t>pending</t>
        </is>
      </c>
      <c r="I59" s="11" t="inlineStr"/>
      <c r="J59" s="8" t="inlineStr"/>
      <c r="K59" s="8" t="inlineStr"/>
      <c r="L59" s="8">
        <f>IF(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not_applicable","")</f>
        <v/>
      </c>
      <c r="M59" s="8">
        <f>IF(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not_applicable","")</f>
        <v/>
      </c>
      <c r="N59" s="9">
        <f>IF(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not_applicable","")</f>
        <v/>
      </c>
      <c r="O59" s="8">
        <f>IF(OR(AND(IF($J59="",INDEX(primary_jama_2018_14282_disposition,MATCH($A59,primary_jama_2018_14282_key,0)),$J59)&lt;&gt;"",IF($J59="",INDEX(primary_jama_2018_14282_disposition,MATCH($A59,primary_jama_2018_14282_key,0)),$J59)&lt;&gt;"retain"),NOT(OR(IF($K59="",INDEX(primary_jama_2018_14282_domain,MATCH($A59,primary_jama_2018_14282_key,0)),$K59)="internal_nonstatistical",IF($K59="",INDEX(primary_jama_2018_14282_domain,MATCH($A59,primary_jama_2018_14282_key,0)),$K59)="plan_material"))),"not_applicable","")</f>
        <v/>
      </c>
      <c r="P59" s="9">
        <f>IF(OR(AND(IF($J59="",INDEX(primary_jama_2018_14282_disposition,MATCH($A59,primary_jama_2018_14282_key,0)),$J59)&lt;&gt;"",IF($J59="",INDEX(primary_jama_2018_14282_disposition,MATCH($A59,primary_jama_2018_14282_key,0)),$J59)&lt;&gt;"retain"),NOT(OR(IF($K59="",INDEX(primary_jama_2018_14282_domain,MATCH($A59,primary_jama_2018_14282_key,0)),$K59)="protocol_report"))),"not_applicable","")</f>
        <v/>
      </c>
      <c r="Q59" s="10" t="inlineStr"/>
      <c r="R59" s="10" t="inlineStr"/>
    </row>
    <row r="60" ht="76" customHeight="1">
      <c r="A60" s="2" t="inlineStr">
        <is>
          <t>2018::jama.2018.14282::C015</t>
        </is>
      </c>
      <c r="B60" s="2" t="inlineStr">
        <is>
          <t>jama.2018.14282</t>
        </is>
      </c>
      <c r="C60" s="2" t="inlineStr">
        <is>
          <t>High-flow ICU-acquired-infection percentage does not reconcile</t>
        </is>
      </c>
      <c r="D60" s="8" t="inlineStr"/>
      <c r="E60" s="11" t="inlineStr"/>
      <c r="F60" s="8" t="inlineStr">
        <is>
          <t>no</t>
        </is>
      </c>
      <c r="G60" s="2">
        <f>IF(OR(AND(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L60&lt;&gt;"",L60&lt;&gt;"not_applicable"),AND(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M60&lt;&gt;"",M60&lt;&gt;"not_applicable"),AND(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N60&lt;&gt;"",N60&lt;&gt;"not_applicable"),AND(OR(AND(IF($J60="",INDEX(primary_jama_2018_14282_disposition,MATCH($A60,primary_jama_2018_14282_key,0)),$J60)&lt;&gt;"",IF($J60="",INDEX(primary_jama_2018_14282_disposition,MATCH($A60,primary_jama_2018_14282_key,0)),$J60)&lt;&gt;"retain"),NOT(OR(IF($K60="",INDEX(primary_jama_2018_14282_domain,MATCH($A60,primary_jama_2018_14282_key,0)),$K60)="internal_nonstatistical",IF($K60="",INDEX(primary_jama_2018_14282_domain,MATCH($A60,primary_jama_2018_14282_key,0)),$K60)="plan_material"))),O60&lt;&gt;"",O60&lt;&gt;"not_applicable"),AND(OR(AND(IF($J60="",INDEX(primary_jama_2018_14282_disposition,MATCH($A60,primary_jama_2018_14282_key,0)),$J60)&lt;&gt;"",IF($J60="",INDEX(primary_jama_2018_14282_disposition,MATCH($A60,primary_jama_2018_14282_key,0)),$J60)&lt;&gt;"retain"),NOT(OR(IF($K60="",INDEX(primary_jama_2018_14282_domain,MATCH($A60,primary_jama_2018_14282_key,0)),$K60)="protocol_report"))),P60&lt;&gt;"",P60&lt;&gt;"not_applicable")),"CLEAR INACTIVE VALUES",IF(D60="","PENDING",IF(AND(D60&lt;&gt;"agree",LEN(TRIM(E60))=0),"COMMENT NEEDED",IF(F60="yes","CHECKED - see resolution","DRAFT"))))</f>
        <v/>
      </c>
      <c r="H60" s="8" t="inlineStr">
        <is>
          <t>pending</t>
        </is>
      </c>
      <c r="I60" s="11" t="inlineStr"/>
      <c r="J60" s="8" t="inlineStr"/>
      <c r="K60" s="8" t="inlineStr"/>
      <c r="L60" s="8">
        <f>IF(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not_applicable","")</f>
        <v/>
      </c>
      <c r="M60" s="8">
        <f>IF(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not_applicable","")</f>
        <v/>
      </c>
      <c r="N60" s="9">
        <f>IF(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not_applicable","")</f>
        <v/>
      </c>
      <c r="O60" s="8">
        <f>IF(OR(AND(IF($J60="",INDEX(primary_jama_2018_14282_disposition,MATCH($A60,primary_jama_2018_14282_key,0)),$J60)&lt;&gt;"",IF($J60="",INDEX(primary_jama_2018_14282_disposition,MATCH($A60,primary_jama_2018_14282_key,0)),$J60)&lt;&gt;"retain"),NOT(OR(IF($K60="",INDEX(primary_jama_2018_14282_domain,MATCH($A60,primary_jama_2018_14282_key,0)),$K60)="internal_nonstatistical",IF($K60="",INDEX(primary_jama_2018_14282_domain,MATCH($A60,primary_jama_2018_14282_key,0)),$K60)="plan_material"))),"not_applicable","")</f>
        <v/>
      </c>
      <c r="P60" s="9">
        <f>IF(OR(AND(IF($J60="",INDEX(primary_jama_2018_14282_disposition,MATCH($A60,primary_jama_2018_14282_key,0)),$J60)&lt;&gt;"",IF($J60="",INDEX(primary_jama_2018_14282_disposition,MATCH($A60,primary_jama_2018_14282_key,0)),$J60)&lt;&gt;"retain"),NOT(OR(IF($K60="",INDEX(primary_jama_2018_14282_domain,MATCH($A60,primary_jama_2018_14282_key,0)),$K60)="protocol_report"))),"not_applicable","")</f>
        <v/>
      </c>
      <c r="Q60" s="10" t="inlineStr"/>
      <c r="R60" s="10" t="inlineStr"/>
    </row>
    <row r="61" ht="76" customHeight="1">
      <c r="A61" s="3" t="inlineStr">
        <is>
          <t>2018::jama.2018.14282::C016</t>
        </is>
      </c>
      <c r="B61" s="3" t="inlineStr">
        <is>
          <t>jama.2018.14282</t>
        </is>
      </c>
      <c r="C61" s="3" t="inlineStr">
        <is>
          <t>Standard-arm hospital-mortality percentage does not reconcile</t>
        </is>
      </c>
      <c r="D61" s="8" t="inlineStr"/>
      <c r="E61" s="11" t="inlineStr"/>
      <c r="F61" s="8" t="inlineStr">
        <is>
          <t>no</t>
        </is>
      </c>
      <c r="G61" s="3">
        <f>IF(OR(AND(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L61&lt;&gt;"",L61&lt;&gt;"not_applicable"),AND(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M61&lt;&gt;"",M61&lt;&gt;"not_applicable"),AND(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N61&lt;&gt;"",N61&lt;&gt;"not_applicable"),AND(OR(AND(IF($J61="",INDEX(primary_jama_2018_14282_disposition,MATCH($A61,primary_jama_2018_14282_key,0)),$J61)&lt;&gt;"",IF($J61="",INDEX(primary_jama_2018_14282_disposition,MATCH($A61,primary_jama_2018_14282_key,0)),$J61)&lt;&gt;"retain"),NOT(OR(IF($K61="",INDEX(primary_jama_2018_14282_domain,MATCH($A61,primary_jama_2018_14282_key,0)),$K61)="internal_nonstatistical",IF($K61="",INDEX(primary_jama_2018_14282_domain,MATCH($A61,primary_jama_2018_14282_key,0)),$K61)="plan_material"))),O61&lt;&gt;"",O61&lt;&gt;"not_applicable"),AND(OR(AND(IF($J61="",INDEX(primary_jama_2018_14282_disposition,MATCH($A61,primary_jama_2018_14282_key,0)),$J61)&lt;&gt;"",IF($J61="",INDEX(primary_jama_2018_14282_disposition,MATCH($A61,primary_jama_2018_14282_key,0)),$J61)&lt;&gt;"retain"),NOT(OR(IF($K61="",INDEX(primary_jama_2018_14282_domain,MATCH($A61,primary_jama_2018_14282_key,0)),$K61)="protocol_report"))),P61&lt;&gt;"",P61&lt;&gt;"not_applicable")),"CLEAR INACTIVE VALUES",IF(D61="","PENDING",IF(AND(D61&lt;&gt;"agree",LEN(TRIM(E61))=0),"COMMENT NEEDED",IF(F61="yes","CHECKED - see resolution","DRAFT"))))</f>
        <v/>
      </c>
      <c r="H61" s="8" t="inlineStr">
        <is>
          <t>pending</t>
        </is>
      </c>
      <c r="I61" s="11" t="inlineStr"/>
      <c r="J61" s="8" t="inlineStr"/>
      <c r="K61" s="8" t="inlineStr"/>
      <c r="L61" s="8">
        <f>IF(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not_applicable","")</f>
        <v/>
      </c>
      <c r="M61" s="8">
        <f>IF(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not_applicable","")</f>
        <v/>
      </c>
      <c r="N61" s="9">
        <f>IF(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not_applicable","")</f>
        <v/>
      </c>
      <c r="O61" s="8">
        <f>IF(OR(AND(IF($J61="",INDEX(primary_jama_2018_14282_disposition,MATCH($A61,primary_jama_2018_14282_key,0)),$J61)&lt;&gt;"",IF($J61="",INDEX(primary_jama_2018_14282_disposition,MATCH($A61,primary_jama_2018_14282_key,0)),$J61)&lt;&gt;"retain"),NOT(OR(IF($K61="",INDEX(primary_jama_2018_14282_domain,MATCH($A61,primary_jama_2018_14282_key,0)),$K61)="internal_nonstatistical",IF($K61="",INDEX(primary_jama_2018_14282_domain,MATCH($A61,primary_jama_2018_14282_key,0)),$K61)="plan_material"))),"not_applicable","")</f>
        <v/>
      </c>
      <c r="P61" s="9">
        <f>IF(OR(AND(IF($J61="",INDEX(primary_jama_2018_14282_disposition,MATCH($A61,primary_jama_2018_14282_key,0)),$J61)&lt;&gt;"",IF($J61="",INDEX(primary_jama_2018_14282_disposition,MATCH($A61,primary_jama_2018_14282_key,0)),$J61)&lt;&gt;"retain"),NOT(OR(IF($K61="",INDEX(primary_jama_2018_14282_domain,MATCH($A61,primary_jama_2018_14282_key,0)),$K61)="protocol_report"))),"not_applicable","")</f>
        <v/>
      </c>
      <c r="Q61" s="10" t="inlineStr"/>
      <c r="R61" s="10" t="inlineStr"/>
    </row>
    <row r="62" ht="76" customHeight="1">
      <c r="A62" s="2" t="inlineStr">
        <is>
          <t>2018::jama.2018.14282::C017</t>
        </is>
      </c>
      <c r="B62" s="2" t="inlineStr">
        <is>
          <t>jama.2018.14282</t>
        </is>
      </c>
      <c r="C62" s="2" t="inlineStr">
        <is>
          <t>Respiratory-rate confidence-interval endpoint differs between matched occurrences</t>
        </is>
      </c>
      <c r="D62" s="8" t="inlineStr"/>
      <c r="E62" s="11" t="inlineStr"/>
      <c r="F62" s="8" t="inlineStr">
        <is>
          <t>no</t>
        </is>
      </c>
      <c r="G62" s="2">
        <f>IF(OR(AND(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L62&lt;&gt;"",L62&lt;&gt;"not_applicable"),AND(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M62&lt;&gt;"",M62&lt;&gt;"not_applicable"),AND(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N62&lt;&gt;"",N62&lt;&gt;"not_applicable"),AND(OR(AND(IF($J62="",INDEX(primary_jama_2018_14282_disposition,MATCH($A62,primary_jama_2018_14282_key,0)),$J62)&lt;&gt;"",IF($J62="",INDEX(primary_jama_2018_14282_disposition,MATCH($A62,primary_jama_2018_14282_key,0)),$J62)&lt;&gt;"retain"),NOT(OR(IF($K62="",INDEX(primary_jama_2018_14282_domain,MATCH($A62,primary_jama_2018_14282_key,0)),$K62)="internal_nonstatistical",IF($K62="",INDEX(primary_jama_2018_14282_domain,MATCH($A62,primary_jama_2018_14282_key,0)),$K62)="plan_material"))),O62&lt;&gt;"",O62&lt;&gt;"not_applicable"),AND(OR(AND(IF($J62="",INDEX(primary_jama_2018_14282_disposition,MATCH($A62,primary_jama_2018_14282_key,0)),$J62)&lt;&gt;"",IF($J62="",INDEX(primary_jama_2018_14282_disposition,MATCH($A62,primary_jama_2018_14282_key,0)),$J62)&lt;&gt;"retain"),NOT(OR(IF($K62="",INDEX(primary_jama_2018_14282_domain,MATCH($A62,primary_jama_2018_14282_key,0)),$K62)="protocol_report"))),P62&lt;&gt;"",P62&lt;&gt;"not_applicable")),"CLEAR INACTIVE VALUES",IF(D62="","PENDING",IF(AND(D62&lt;&gt;"agree",LEN(TRIM(E62))=0),"COMMENT NEEDED",IF(F62="yes","CHECKED - see resolution","DRAFT"))))</f>
        <v/>
      </c>
      <c r="H62" s="8" t="inlineStr">
        <is>
          <t>pending</t>
        </is>
      </c>
      <c r="I62" s="11" t="inlineStr"/>
      <c r="J62" s="8" t="inlineStr"/>
      <c r="K62" s="8" t="inlineStr"/>
      <c r="L62" s="8">
        <f>IF(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not_applicable","")</f>
        <v/>
      </c>
      <c r="M62" s="8">
        <f>IF(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not_applicable","")</f>
        <v/>
      </c>
      <c r="N62" s="9">
        <f>IF(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not_applicable","")</f>
        <v/>
      </c>
      <c r="O62" s="8">
        <f>IF(OR(AND(IF($J62="",INDEX(primary_jama_2018_14282_disposition,MATCH($A62,primary_jama_2018_14282_key,0)),$J62)&lt;&gt;"",IF($J62="",INDEX(primary_jama_2018_14282_disposition,MATCH($A62,primary_jama_2018_14282_key,0)),$J62)&lt;&gt;"retain"),NOT(OR(IF($K62="",INDEX(primary_jama_2018_14282_domain,MATCH($A62,primary_jama_2018_14282_key,0)),$K62)="internal_nonstatistical",IF($K62="",INDEX(primary_jama_2018_14282_domain,MATCH($A62,primary_jama_2018_14282_key,0)),$K62)="plan_material"))),"not_applicable","")</f>
        <v/>
      </c>
      <c r="P62" s="9">
        <f>IF(OR(AND(IF($J62="",INDEX(primary_jama_2018_14282_disposition,MATCH($A62,primary_jama_2018_14282_key,0)),$J62)&lt;&gt;"",IF($J62="",INDEX(primary_jama_2018_14282_disposition,MATCH($A62,primary_jama_2018_14282_key,0)),$J62)&lt;&gt;"retain"),NOT(OR(IF($K62="",INDEX(primary_jama_2018_14282_domain,MATCH($A62,primary_jama_2018_14282_key,0)),$K62)="protocol_report"))),"not_applicable","")</f>
        <v/>
      </c>
      <c r="Q62" s="10" t="inlineStr"/>
      <c r="R62" s="10" t="inlineStr"/>
    </row>
    <row r="63" ht="76" customHeight="1">
      <c r="A63" s="3" t="inlineStr">
        <is>
          <t>2018::jama.2018.14282::C018</t>
        </is>
      </c>
      <c r="B63" s="3" t="inlineStr">
        <is>
          <t>jama.2018.14282</t>
        </is>
      </c>
      <c r="C63" s="3" t="inlineStr">
        <is>
          <t>Arm-attributed support-needs percentages use the overall-population denominator</t>
        </is>
      </c>
      <c r="D63" s="8" t="inlineStr"/>
      <c r="E63" s="11" t="inlineStr"/>
      <c r="F63" s="8" t="inlineStr">
        <is>
          <t>no</t>
        </is>
      </c>
      <c r="G63" s="3">
        <f>IF(OR(AND(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L63&lt;&gt;"",L63&lt;&gt;"not_applicable"),AND(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M63&lt;&gt;"",M63&lt;&gt;"not_applicable"),AND(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N63&lt;&gt;"",N63&lt;&gt;"not_applicable"),AND(OR(AND(IF($J63="",INDEX(primary_jama_2018_14282_disposition,MATCH($A63,primary_jama_2018_14282_key,0)),$J63)&lt;&gt;"",IF($J63="",INDEX(primary_jama_2018_14282_disposition,MATCH($A63,primary_jama_2018_14282_key,0)),$J63)&lt;&gt;"retain"),NOT(OR(IF($K63="",INDEX(primary_jama_2018_14282_domain,MATCH($A63,primary_jama_2018_14282_key,0)),$K63)="internal_nonstatistical",IF($K63="",INDEX(primary_jama_2018_14282_domain,MATCH($A63,primary_jama_2018_14282_key,0)),$K63)="plan_material"))),O63&lt;&gt;"",O63&lt;&gt;"not_applicable"),AND(OR(AND(IF($J63="",INDEX(primary_jama_2018_14282_disposition,MATCH($A63,primary_jama_2018_14282_key,0)),$J63)&lt;&gt;"",IF($J63="",INDEX(primary_jama_2018_14282_disposition,MATCH($A63,primary_jama_2018_14282_key,0)),$J63)&lt;&gt;"retain"),NOT(OR(IF($K63="",INDEX(primary_jama_2018_14282_domain,MATCH($A63,primary_jama_2018_14282_key,0)),$K63)="protocol_report"))),P63&lt;&gt;"",P63&lt;&gt;"not_applicable")),"CLEAR INACTIVE VALUES",IF(D63="","PENDING",IF(AND(D63&lt;&gt;"agree",LEN(TRIM(E63))=0),"COMMENT NEEDED",IF(F63="yes","CHECKED - see resolution","DRAFT"))))</f>
        <v/>
      </c>
      <c r="H63" s="8" t="inlineStr">
        <is>
          <t>pending</t>
        </is>
      </c>
      <c r="I63" s="11" t="inlineStr"/>
      <c r="J63" s="8" t="inlineStr"/>
      <c r="K63" s="8" t="inlineStr"/>
      <c r="L63" s="8">
        <f>IF(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not_applicable","")</f>
        <v/>
      </c>
      <c r="M63" s="8">
        <f>IF(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not_applicable","")</f>
        <v/>
      </c>
      <c r="N63" s="9">
        <f>IF(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not_applicable","")</f>
        <v/>
      </c>
      <c r="O63" s="8">
        <f>IF(OR(AND(IF($J63="",INDEX(primary_jama_2018_14282_disposition,MATCH($A63,primary_jama_2018_14282_key,0)),$J63)&lt;&gt;"",IF($J63="",INDEX(primary_jama_2018_14282_disposition,MATCH($A63,primary_jama_2018_14282_key,0)),$J63)&lt;&gt;"retain"),NOT(OR(IF($K63="",INDEX(primary_jama_2018_14282_domain,MATCH($A63,primary_jama_2018_14282_key,0)),$K63)="internal_nonstatistical",IF($K63="",INDEX(primary_jama_2018_14282_domain,MATCH($A63,primary_jama_2018_14282_key,0)),$K63)="plan_material"))),"not_applicable","")</f>
        <v/>
      </c>
      <c r="P63" s="9">
        <f>IF(OR(AND(IF($J63="",INDEX(primary_jama_2018_14282_disposition,MATCH($A63,primary_jama_2018_14282_key,0)),$J63)&lt;&gt;"",IF($J63="",INDEX(primary_jama_2018_14282_disposition,MATCH($A63,primary_jama_2018_14282_key,0)),$J63)&lt;&gt;"retain"),NOT(OR(IF($K63="",INDEX(primary_jama_2018_14282_domain,MATCH($A63,primary_jama_2018_14282_key,0)),$K63)="protocol_report"))),"not_applicable","")</f>
        <v/>
      </c>
      <c r="Q63" s="10" t="inlineStr"/>
      <c r="R63" s="10" t="inlineStr"/>
    </row>
    <row r="64" ht="76" customHeight="1">
      <c r="A64" s="2" t="inlineStr">
        <is>
          <t>2018::jama.2018.14282::C019</t>
        </is>
      </c>
      <c r="B64" s="2" t="inlineStr">
        <is>
          <t>jama.2018.14282</t>
        </is>
      </c>
      <c r="C64" s="2" t="inlineStr">
        <is>
          <t>eTable high-flow invasive-MV percentage does not reconcile</t>
        </is>
      </c>
      <c r="D64" s="8" t="inlineStr"/>
      <c r="E64" s="11" t="inlineStr"/>
      <c r="F64" s="8" t="inlineStr">
        <is>
          <t>no</t>
        </is>
      </c>
      <c r="G64" s="2">
        <f>IF(OR(AND(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L64&lt;&gt;"",L64&lt;&gt;"not_applicable"),AND(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M64&lt;&gt;"",M64&lt;&gt;"not_applicable"),AND(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N64&lt;&gt;"",N64&lt;&gt;"not_applicable"),AND(OR(AND(IF($J64="",INDEX(primary_jama_2018_14282_disposition,MATCH($A64,primary_jama_2018_14282_key,0)),$J64)&lt;&gt;"",IF($J64="",INDEX(primary_jama_2018_14282_disposition,MATCH($A64,primary_jama_2018_14282_key,0)),$J64)&lt;&gt;"retain"),NOT(OR(IF($K64="",INDEX(primary_jama_2018_14282_domain,MATCH($A64,primary_jama_2018_14282_key,0)),$K64)="internal_nonstatistical",IF($K64="",INDEX(primary_jama_2018_14282_domain,MATCH($A64,primary_jama_2018_14282_key,0)),$K64)="plan_material"))),O64&lt;&gt;"",O64&lt;&gt;"not_applicable"),AND(OR(AND(IF($J64="",INDEX(primary_jama_2018_14282_disposition,MATCH($A64,primary_jama_2018_14282_key,0)),$J64)&lt;&gt;"",IF($J64="",INDEX(primary_jama_2018_14282_disposition,MATCH($A64,primary_jama_2018_14282_key,0)),$J64)&lt;&gt;"retain"),NOT(OR(IF($K64="",INDEX(primary_jama_2018_14282_domain,MATCH($A64,primary_jama_2018_14282_key,0)),$K64)="protocol_report"))),P64&lt;&gt;"",P64&lt;&gt;"not_applicable")),"CLEAR INACTIVE VALUES",IF(D64="","PENDING",IF(AND(D64&lt;&gt;"agree",LEN(TRIM(E64))=0),"COMMENT NEEDED",IF(F64="yes","CHECKED - see resolution","DRAFT"))))</f>
        <v/>
      </c>
      <c r="H64" s="8" t="inlineStr">
        <is>
          <t>pending</t>
        </is>
      </c>
      <c r="I64" s="11" t="inlineStr"/>
      <c r="J64" s="8" t="inlineStr"/>
      <c r="K64" s="8" t="inlineStr"/>
      <c r="L64" s="8">
        <f>IF(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not_applicable","")</f>
        <v/>
      </c>
      <c r="M64" s="8">
        <f>IF(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not_applicable","")</f>
        <v/>
      </c>
      <c r="N64" s="9">
        <f>IF(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not_applicable","")</f>
        <v/>
      </c>
      <c r="O64" s="8">
        <f>IF(OR(AND(IF($J64="",INDEX(primary_jama_2018_14282_disposition,MATCH($A64,primary_jama_2018_14282_key,0)),$J64)&lt;&gt;"",IF($J64="",INDEX(primary_jama_2018_14282_disposition,MATCH($A64,primary_jama_2018_14282_key,0)),$J64)&lt;&gt;"retain"),NOT(OR(IF($K64="",INDEX(primary_jama_2018_14282_domain,MATCH($A64,primary_jama_2018_14282_key,0)),$K64)="internal_nonstatistical",IF($K64="",INDEX(primary_jama_2018_14282_domain,MATCH($A64,primary_jama_2018_14282_key,0)),$K64)="plan_material"))),"not_applicable","")</f>
        <v/>
      </c>
      <c r="P64" s="9">
        <f>IF(OR(AND(IF($J64="",INDEX(primary_jama_2018_14282_disposition,MATCH($A64,primary_jama_2018_14282_key,0)),$J64)&lt;&gt;"",IF($J64="",INDEX(primary_jama_2018_14282_disposition,MATCH($A64,primary_jama_2018_14282_key,0)),$J64)&lt;&gt;"retain"),NOT(OR(IF($K64="",INDEX(primary_jama_2018_14282_domain,MATCH($A64,primary_jama_2018_14282_key,0)),$K64)="protocol_report"))),"not_applicable","")</f>
        <v/>
      </c>
      <c r="Q64" s="10" t="inlineStr"/>
      <c r="R64" s="10" t="inlineStr"/>
    </row>
    <row r="65" ht="76" customHeight="1">
      <c r="A65" s="3" t="inlineStr">
        <is>
          <t>2018::jama.2018.14282::C020</t>
        </is>
      </c>
      <c r="B65" s="3" t="inlineStr">
        <is>
          <t>jama.2018.14282</t>
        </is>
      </c>
      <c r="C65" s="3" t="inlineStr">
        <is>
          <t>eTable standard-arm invasive-MV percentage does not reconcile</t>
        </is>
      </c>
      <c r="D65" s="8" t="inlineStr"/>
      <c r="E65" s="11" t="inlineStr"/>
      <c r="F65" s="8" t="inlineStr">
        <is>
          <t>no</t>
        </is>
      </c>
      <c r="G65" s="3">
        <f>IF(OR(AND(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L65&lt;&gt;"",L65&lt;&gt;"not_applicable"),AND(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M65&lt;&gt;"",M65&lt;&gt;"not_applicable"),AND(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N65&lt;&gt;"",N65&lt;&gt;"not_applicable"),AND(OR(AND(IF($J65="",INDEX(primary_jama_2018_14282_disposition,MATCH($A65,primary_jama_2018_14282_key,0)),$J65)&lt;&gt;"",IF($J65="",INDEX(primary_jama_2018_14282_disposition,MATCH($A65,primary_jama_2018_14282_key,0)),$J65)&lt;&gt;"retain"),NOT(OR(IF($K65="",INDEX(primary_jama_2018_14282_domain,MATCH($A65,primary_jama_2018_14282_key,0)),$K65)="internal_nonstatistical",IF($K65="",INDEX(primary_jama_2018_14282_domain,MATCH($A65,primary_jama_2018_14282_key,0)),$K65)="plan_material"))),O65&lt;&gt;"",O65&lt;&gt;"not_applicable"),AND(OR(AND(IF($J65="",INDEX(primary_jama_2018_14282_disposition,MATCH($A65,primary_jama_2018_14282_key,0)),$J65)&lt;&gt;"",IF($J65="",INDEX(primary_jama_2018_14282_disposition,MATCH($A65,primary_jama_2018_14282_key,0)),$J65)&lt;&gt;"retain"),NOT(OR(IF($K65="",INDEX(primary_jama_2018_14282_domain,MATCH($A65,primary_jama_2018_14282_key,0)),$K65)="protocol_report"))),P65&lt;&gt;"",P65&lt;&gt;"not_applicable")),"CLEAR INACTIVE VALUES",IF(D65="","PENDING",IF(AND(D65&lt;&gt;"agree",LEN(TRIM(E65))=0),"COMMENT NEEDED",IF(F65="yes","CHECKED - see resolution","DRAFT"))))</f>
        <v/>
      </c>
      <c r="H65" s="8" t="inlineStr">
        <is>
          <t>pending</t>
        </is>
      </c>
      <c r="I65" s="11" t="inlineStr"/>
      <c r="J65" s="8" t="inlineStr"/>
      <c r="K65" s="8" t="inlineStr"/>
      <c r="L65" s="8">
        <f>IF(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not_applicable","")</f>
        <v/>
      </c>
      <c r="M65" s="8">
        <f>IF(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not_applicable","")</f>
        <v/>
      </c>
      <c r="N65" s="9">
        <f>IF(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not_applicable","")</f>
        <v/>
      </c>
      <c r="O65" s="8">
        <f>IF(OR(AND(IF($J65="",INDEX(primary_jama_2018_14282_disposition,MATCH($A65,primary_jama_2018_14282_key,0)),$J65)&lt;&gt;"",IF($J65="",INDEX(primary_jama_2018_14282_disposition,MATCH($A65,primary_jama_2018_14282_key,0)),$J65)&lt;&gt;"retain"),NOT(OR(IF($K65="",INDEX(primary_jama_2018_14282_domain,MATCH($A65,primary_jama_2018_14282_key,0)),$K65)="internal_nonstatistical",IF($K65="",INDEX(primary_jama_2018_14282_domain,MATCH($A65,primary_jama_2018_14282_key,0)),$K65)="plan_material"))),"not_applicable","")</f>
        <v/>
      </c>
      <c r="P65" s="9">
        <f>IF(OR(AND(IF($J65="",INDEX(primary_jama_2018_14282_disposition,MATCH($A65,primary_jama_2018_14282_key,0)),$J65)&lt;&gt;"",IF($J65="",INDEX(primary_jama_2018_14282_disposition,MATCH($A65,primary_jama_2018_14282_key,0)),$J65)&lt;&gt;"retain"),NOT(OR(IF($K65="",INDEX(primary_jama_2018_14282_domain,MATCH($A65,primary_jama_2018_14282_key,0)),$K65)="protocol_report"))),"not_applicable","")</f>
        <v/>
      </c>
      <c r="Q65" s="10" t="inlineStr"/>
      <c r="R65" s="10" t="inlineStr"/>
    </row>
    <row r="66" ht="76" customHeight="1">
      <c r="A66" s="2" t="inlineStr">
        <is>
          <t>2018::jama.2018.14282::C021</t>
        </is>
      </c>
      <c r="B66" s="2" t="inlineStr">
        <is>
          <t>jama.2018.14282</t>
        </is>
      </c>
      <c r="C66" s="2" t="inlineStr">
        <is>
          <t>eTable standard-oxygen-only percentage does not reconcile</t>
        </is>
      </c>
      <c r="D66" s="8" t="inlineStr"/>
      <c r="E66" s="11" t="inlineStr"/>
      <c r="F66" s="8" t="inlineStr">
        <is>
          <t>no</t>
        </is>
      </c>
      <c r="G66" s="2">
        <f>IF(OR(AND(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L66&lt;&gt;"",L66&lt;&gt;"not_applicable"),AND(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M66&lt;&gt;"",M66&lt;&gt;"not_applicable"),AND(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N66&lt;&gt;"",N66&lt;&gt;"not_applicable"),AND(OR(AND(IF($J66="",INDEX(primary_jama_2018_14282_disposition,MATCH($A66,primary_jama_2018_14282_key,0)),$J66)&lt;&gt;"",IF($J66="",INDEX(primary_jama_2018_14282_disposition,MATCH($A66,primary_jama_2018_14282_key,0)),$J66)&lt;&gt;"retain"),NOT(OR(IF($K66="",INDEX(primary_jama_2018_14282_domain,MATCH($A66,primary_jama_2018_14282_key,0)),$K66)="internal_nonstatistical",IF($K66="",INDEX(primary_jama_2018_14282_domain,MATCH($A66,primary_jama_2018_14282_key,0)),$K66)="plan_material"))),O66&lt;&gt;"",O66&lt;&gt;"not_applicable"),AND(OR(AND(IF($J66="",INDEX(primary_jama_2018_14282_disposition,MATCH($A66,primary_jama_2018_14282_key,0)),$J66)&lt;&gt;"",IF($J66="",INDEX(primary_jama_2018_14282_disposition,MATCH($A66,primary_jama_2018_14282_key,0)),$J66)&lt;&gt;"retain"),NOT(OR(IF($K66="",INDEX(primary_jama_2018_14282_domain,MATCH($A66,primary_jama_2018_14282_key,0)),$K66)="protocol_report"))),P66&lt;&gt;"",P66&lt;&gt;"not_applicable")),"CLEAR INACTIVE VALUES",IF(D66="","PENDING",IF(AND(D66&lt;&gt;"agree",LEN(TRIM(E66))=0),"COMMENT NEEDED",IF(F66="yes","CHECKED - see resolution","DRAFT"))))</f>
        <v/>
      </c>
      <c r="H66" s="8" t="inlineStr">
        <is>
          <t>pending</t>
        </is>
      </c>
      <c r="I66" s="11" t="inlineStr"/>
      <c r="J66" s="8" t="inlineStr"/>
      <c r="K66" s="8" t="inlineStr"/>
      <c r="L66" s="8">
        <f>IF(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not_applicable","")</f>
        <v/>
      </c>
      <c r="M66" s="8">
        <f>IF(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not_applicable","")</f>
        <v/>
      </c>
      <c r="N66" s="9">
        <f>IF(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not_applicable","")</f>
        <v/>
      </c>
      <c r="O66" s="8">
        <f>IF(OR(AND(IF($J66="",INDEX(primary_jama_2018_14282_disposition,MATCH($A66,primary_jama_2018_14282_key,0)),$J66)&lt;&gt;"",IF($J66="",INDEX(primary_jama_2018_14282_disposition,MATCH($A66,primary_jama_2018_14282_key,0)),$J66)&lt;&gt;"retain"),NOT(OR(IF($K66="",INDEX(primary_jama_2018_14282_domain,MATCH($A66,primary_jama_2018_14282_key,0)),$K66)="internal_nonstatistical",IF($K66="",INDEX(primary_jama_2018_14282_domain,MATCH($A66,primary_jama_2018_14282_key,0)),$K66)="plan_material"))),"not_applicable","")</f>
        <v/>
      </c>
      <c r="P66" s="9">
        <f>IF(OR(AND(IF($J66="",INDEX(primary_jama_2018_14282_disposition,MATCH($A66,primary_jama_2018_14282_key,0)),$J66)&lt;&gt;"",IF($J66="",INDEX(primary_jama_2018_14282_disposition,MATCH($A66,primary_jama_2018_14282_key,0)),$J66)&lt;&gt;"retain"),NOT(OR(IF($K66="",INDEX(primary_jama_2018_14282_domain,MATCH($A66,primary_jama_2018_14282_key,0)),$K66)="protocol_report"))),"not_applicable","")</f>
        <v/>
      </c>
      <c r="Q66" s="10" t="inlineStr"/>
      <c r="R66" s="10" t="inlineStr"/>
    </row>
    <row r="67" ht="76" customHeight="1">
      <c r="A67" s="3" t="inlineStr">
        <is>
          <t>2018::jama.2018.14282::C022</t>
        </is>
      </c>
      <c r="B67" s="3" t="inlineStr">
        <is>
          <t>jama.2018.14282</t>
        </is>
      </c>
      <c r="C67" s="3" t="inlineStr">
        <is>
          <t>IMV cumulative-incidence comparison has incompatible printed test labels</t>
        </is>
      </c>
      <c r="D67" s="8" t="inlineStr"/>
      <c r="E67" s="11" t="inlineStr"/>
      <c r="F67" s="8" t="inlineStr">
        <is>
          <t>no</t>
        </is>
      </c>
      <c r="G67" s="3">
        <f>IF(OR(AND(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L67&lt;&gt;"",L67&lt;&gt;"not_applicable"),AND(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M67&lt;&gt;"",M67&lt;&gt;"not_applicable"),AND(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N67&lt;&gt;"",N67&lt;&gt;"not_applicable"),AND(OR(AND(IF($J67="",INDEX(primary_jama_2018_14282_disposition,MATCH($A67,primary_jama_2018_14282_key,0)),$J67)&lt;&gt;"",IF($J67="",INDEX(primary_jama_2018_14282_disposition,MATCH($A67,primary_jama_2018_14282_key,0)),$J67)&lt;&gt;"retain"),NOT(OR(IF($K67="",INDEX(primary_jama_2018_14282_domain,MATCH($A67,primary_jama_2018_14282_key,0)),$K67)="internal_nonstatistical",IF($K67="",INDEX(primary_jama_2018_14282_domain,MATCH($A67,primary_jama_2018_14282_key,0)),$K67)="plan_material"))),O67&lt;&gt;"",O67&lt;&gt;"not_applicable"),AND(OR(AND(IF($J67="",INDEX(primary_jama_2018_14282_disposition,MATCH($A67,primary_jama_2018_14282_key,0)),$J67)&lt;&gt;"",IF($J67="",INDEX(primary_jama_2018_14282_disposition,MATCH($A67,primary_jama_2018_14282_key,0)),$J67)&lt;&gt;"retain"),NOT(OR(IF($K67="",INDEX(primary_jama_2018_14282_domain,MATCH($A67,primary_jama_2018_14282_key,0)),$K67)="protocol_report"))),P67&lt;&gt;"",P67&lt;&gt;"not_applicable")),"CLEAR INACTIVE VALUES",IF(D67="","PENDING",IF(AND(D67&lt;&gt;"agree",LEN(TRIM(E67))=0),"COMMENT NEEDED",IF(F67="yes","CHECKED - see resolution","DRAFT"))))</f>
        <v/>
      </c>
      <c r="H67" s="8" t="inlineStr">
        <is>
          <t>pending</t>
        </is>
      </c>
      <c r="I67" s="11" t="inlineStr"/>
      <c r="J67" s="8" t="inlineStr"/>
      <c r="K67" s="8" t="inlineStr"/>
      <c r="L67" s="8">
        <f>IF(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not_applicable","")</f>
        <v/>
      </c>
      <c r="M67" s="8">
        <f>IF(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not_applicable","")</f>
        <v/>
      </c>
      <c r="N67" s="9">
        <f>IF(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not_applicable","")</f>
        <v/>
      </c>
      <c r="O67" s="8">
        <f>IF(OR(AND(IF($J67="",INDEX(primary_jama_2018_14282_disposition,MATCH($A67,primary_jama_2018_14282_key,0)),$J67)&lt;&gt;"",IF($J67="",INDEX(primary_jama_2018_14282_disposition,MATCH($A67,primary_jama_2018_14282_key,0)),$J67)&lt;&gt;"retain"),NOT(OR(IF($K67="",INDEX(primary_jama_2018_14282_domain,MATCH($A67,primary_jama_2018_14282_key,0)),$K67)="internal_nonstatistical",IF($K67="",INDEX(primary_jama_2018_14282_domain,MATCH($A67,primary_jama_2018_14282_key,0)),$K67)="plan_material"))),"not_applicable","")</f>
        <v/>
      </c>
      <c r="P67" s="9">
        <f>IF(OR(AND(IF($J67="",INDEX(primary_jama_2018_14282_disposition,MATCH($A67,primary_jama_2018_14282_key,0)),$J67)&lt;&gt;"",IF($J67="",INDEX(primary_jama_2018_14282_disposition,MATCH($A67,primary_jama_2018_14282_key,0)),$J67)&lt;&gt;"retain"),NOT(OR(IF($K67="",INDEX(primary_jama_2018_14282_domain,MATCH($A67,primary_jama_2018_14282_key,0)),$K67)="protocol_report"))),"not_applicable","")</f>
        <v/>
      </c>
      <c r="Q67" s="10" t="inlineStr"/>
      <c r="R67" s="10" t="inlineStr"/>
    </row>
    <row r="68" ht="76" customHeight="1">
      <c r="A68" s="2" t="inlineStr">
        <is>
          <t>2018::jama.2018.14282::C023</t>
        </is>
      </c>
      <c r="B68" s="2" t="inlineStr">
        <is>
          <t>jama.2018.14282</t>
        </is>
      </c>
      <c r="C68" s="2" t="inlineStr">
        <is>
          <t>Figure 3A mortality HR has a near-reciprocal orientation relative to Table 2</t>
        </is>
      </c>
      <c r="D68" s="8" t="inlineStr"/>
      <c r="E68" s="11" t="inlineStr"/>
      <c r="F68" s="8" t="inlineStr">
        <is>
          <t>no</t>
        </is>
      </c>
      <c r="G68" s="2">
        <f>IF(OR(AND(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L68&lt;&gt;"",L68&lt;&gt;"not_applicable"),AND(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M68&lt;&gt;"",M68&lt;&gt;"not_applicable"),AND(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N68&lt;&gt;"",N68&lt;&gt;"not_applicable"),AND(OR(AND(IF($J68="",INDEX(primary_jama_2018_14282_disposition,MATCH($A68,primary_jama_2018_14282_key,0)),$J68)&lt;&gt;"",IF($J68="",INDEX(primary_jama_2018_14282_disposition,MATCH($A68,primary_jama_2018_14282_key,0)),$J68)&lt;&gt;"retain"),NOT(OR(IF($K68="",INDEX(primary_jama_2018_14282_domain,MATCH($A68,primary_jama_2018_14282_key,0)),$K68)="internal_nonstatistical",IF($K68="",INDEX(primary_jama_2018_14282_domain,MATCH($A68,primary_jama_2018_14282_key,0)),$K68)="plan_material"))),O68&lt;&gt;"",O68&lt;&gt;"not_applicable"),AND(OR(AND(IF($J68="",INDEX(primary_jama_2018_14282_disposition,MATCH($A68,primary_jama_2018_14282_key,0)),$J68)&lt;&gt;"",IF($J68="",INDEX(primary_jama_2018_14282_disposition,MATCH($A68,primary_jama_2018_14282_key,0)),$J68)&lt;&gt;"retain"),NOT(OR(IF($K68="",INDEX(primary_jama_2018_14282_domain,MATCH($A68,primary_jama_2018_14282_key,0)),$K68)="protocol_report"))),P68&lt;&gt;"",P68&lt;&gt;"not_applicable")),"CLEAR INACTIVE VALUES",IF(D68="","PENDING",IF(AND(D68&lt;&gt;"agree",LEN(TRIM(E68))=0),"COMMENT NEEDED",IF(F68="yes","CHECKED - see resolution","DRAFT"))))</f>
        <v/>
      </c>
      <c r="H68" s="8" t="inlineStr">
        <is>
          <t>pending</t>
        </is>
      </c>
      <c r="I68" s="11" t="inlineStr"/>
      <c r="J68" s="8" t="inlineStr"/>
      <c r="K68" s="8" t="inlineStr"/>
      <c r="L68" s="8">
        <f>IF(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not_applicable","")</f>
        <v/>
      </c>
      <c r="M68" s="8">
        <f>IF(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not_applicable","")</f>
        <v/>
      </c>
      <c r="N68" s="9">
        <f>IF(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not_applicable","")</f>
        <v/>
      </c>
      <c r="O68" s="8">
        <f>IF(OR(AND(IF($J68="",INDEX(primary_jama_2018_14282_disposition,MATCH($A68,primary_jama_2018_14282_key,0)),$J68)&lt;&gt;"",IF($J68="",INDEX(primary_jama_2018_14282_disposition,MATCH($A68,primary_jama_2018_14282_key,0)),$J68)&lt;&gt;"retain"),NOT(OR(IF($K68="",INDEX(primary_jama_2018_14282_domain,MATCH($A68,primary_jama_2018_14282_key,0)),$K68)="internal_nonstatistical",IF($K68="",INDEX(primary_jama_2018_14282_domain,MATCH($A68,primary_jama_2018_14282_key,0)),$K68)="plan_material"))),"not_applicable","")</f>
        <v/>
      </c>
      <c r="P68" s="9">
        <f>IF(OR(AND(IF($J68="",INDEX(primary_jama_2018_14282_disposition,MATCH($A68,primary_jama_2018_14282_key,0)),$J68)&lt;&gt;"",IF($J68="",INDEX(primary_jama_2018_14282_disposition,MATCH($A68,primary_jama_2018_14282_key,0)),$J68)&lt;&gt;"retain"),NOT(OR(IF($K68="",INDEX(primary_jama_2018_14282_domain,MATCH($A68,primary_jama_2018_14282_key,0)),$K68)="protocol_report"))),"not_applicable","")</f>
        <v/>
      </c>
      <c r="Q68" s="10" t="inlineStr"/>
      <c r="R68" s="10" t="inlineStr"/>
    </row>
    <row r="69" ht="76" customHeight="1">
      <c r="A69" s="3" t="inlineStr">
        <is>
          <t>2018::jama.2018.14282::C024</t>
        </is>
      </c>
      <c r="B69" s="3" t="inlineStr">
        <is>
          <t>jama.2018.14282</t>
        </is>
      </c>
      <c r="C69" s="3" t="inlineStr">
        <is>
          <t>Figure 3B IMV HR has a near-reciprocal orientation relative to Table 2</t>
        </is>
      </c>
      <c r="D69" s="8" t="inlineStr"/>
      <c r="E69" s="11" t="inlineStr"/>
      <c r="F69" s="8" t="inlineStr">
        <is>
          <t>no</t>
        </is>
      </c>
      <c r="G69" s="3">
        <f>IF(OR(AND(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L69&lt;&gt;"",L69&lt;&gt;"not_applicable"),AND(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M69&lt;&gt;"",M69&lt;&gt;"not_applicable"),AND(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N69&lt;&gt;"",N69&lt;&gt;"not_applicable"),AND(OR(AND(IF($J69="",INDEX(primary_jama_2018_14282_disposition,MATCH($A69,primary_jama_2018_14282_key,0)),$J69)&lt;&gt;"",IF($J69="",INDEX(primary_jama_2018_14282_disposition,MATCH($A69,primary_jama_2018_14282_key,0)),$J69)&lt;&gt;"retain"),NOT(OR(IF($K69="",INDEX(primary_jama_2018_14282_domain,MATCH($A69,primary_jama_2018_14282_key,0)),$K69)="internal_nonstatistical",IF($K69="",INDEX(primary_jama_2018_14282_domain,MATCH($A69,primary_jama_2018_14282_key,0)),$K69)="plan_material"))),O69&lt;&gt;"",O69&lt;&gt;"not_applicable"),AND(OR(AND(IF($J69="",INDEX(primary_jama_2018_14282_disposition,MATCH($A69,primary_jama_2018_14282_key,0)),$J69)&lt;&gt;"",IF($J69="",INDEX(primary_jama_2018_14282_disposition,MATCH($A69,primary_jama_2018_14282_key,0)),$J69)&lt;&gt;"retain"),NOT(OR(IF($K69="",INDEX(primary_jama_2018_14282_domain,MATCH($A69,primary_jama_2018_14282_key,0)),$K69)="protocol_report"))),P69&lt;&gt;"",P69&lt;&gt;"not_applicable")),"CLEAR INACTIVE VALUES",IF(D69="","PENDING",IF(AND(D69&lt;&gt;"agree",LEN(TRIM(E69))=0),"COMMENT NEEDED",IF(F69="yes","CHECKED - see resolution","DRAFT"))))</f>
        <v/>
      </c>
      <c r="H69" s="8" t="inlineStr">
        <is>
          <t>pending</t>
        </is>
      </c>
      <c r="I69" s="11" t="inlineStr"/>
      <c r="J69" s="8" t="inlineStr"/>
      <c r="K69" s="8" t="inlineStr"/>
      <c r="L69" s="8">
        <f>IF(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not_applicable","")</f>
        <v/>
      </c>
      <c r="M69" s="8">
        <f>IF(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not_applicable","")</f>
        <v/>
      </c>
      <c r="N69" s="9">
        <f>IF(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not_applicable","")</f>
        <v/>
      </c>
      <c r="O69" s="8">
        <f>IF(OR(AND(IF($J69="",INDEX(primary_jama_2018_14282_disposition,MATCH($A69,primary_jama_2018_14282_key,0)),$J69)&lt;&gt;"",IF($J69="",INDEX(primary_jama_2018_14282_disposition,MATCH($A69,primary_jama_2018_14282_key,0)),$J69)&lt;&gt;"retain"),NOT(OR(IF($K69="",INDEX(primary_jama_2018_14282_domain,MATCH($A69,primary_jama_2018_14282_key,0)),$K69)="internal_nonstatistical",IF($K69="",INDEX(primary_jama_2018_14282_domain,MATCH($A69,primary_jama_2018_14282_key,0)),$K69)="plan_material"))),"not_applicable","")</f>
        <v/>
      </c>
      <c r="P69" s="9">
        <f>IF(OR(AND(IF($J69="",INDEX(primary_jama_2018_14282_disposition,MATCH($A69,primary_jama_2018_14282_key,0)),$J69)&lt;&gt;"",IF($J69="",INDEX(primary_jama_2018_14282_disposition,MATCH($A69,primary_jama_2018_14282_key,0)),$J69)&lt;&gt;"retain"),NOT(OR(IF($K69="",INDEX(primary_jama_2018_14282_domain,MATCH($A69,primary_jama_2018_14282_key,0)),$K69)="protocol_report"))),"not_applicable","")</f>
        <v/>
      </c>
      <c r="Q69" s="10" t="inlineStr"/>
      <c r="R69" s="10" t="inlineStr"/>
    </row>
    <row r="70" ht="76" customHeight="1">
      <c r="A70" s="2" t="inlineStr">
        <is>
          <t>2018::jama.2018.14282::C025</t>
        </is>
      </c>
      <c r="B70" s="2" t="inlineStr">
        <is>
          <t>jama.2018.14282</t>
        </is>
      </c>
      <c r="C70" s="2" t="inlineStr">
        <is>
          <t>Revised-superiority sample-size total conflicts with equal arm counts</t>
        </is>
      </c>
      <c r="D70" s="8" t="inlineStr"/>
      <c r="E70" s="11" t="inlineStr"/>
      <c r="F70" s="8" t="inlineStr">
        <is>
          <t>no</t>
        </is>
      </c>
      <c r="G70" s="2">
        <f>IF(OR(AND(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L70&lt;&gt;"",L70&lt;&gt;"not_applicable"),AND(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M70&lt;&gt;"",M70&lt;&gt;"not_applicable"),AND(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N70&lt;&gt;"",N70&lt;&gt;"not_applicable"),AND(OR(AND(IF($J70="",INDEX(primary_jama_2018_14282_disposition,MATCH($A70,primary_jama_2018_14282_key,0)),$J70)&lt;&gt;"",IF($J70="",INDEX(primary_jama_2018_14282_disposition,MATCH($A70,primary_jama_2018_14282_key,0)),$J70)&lt;&gt;"retain"),NOT(OR(IF($K70="",INDEX(primary_jama_2018_14282_domain,MATCH($A70,primary_jama_2018_14282_key,0)),$K70)="internal_nonstatistical",IF($K70="",INDEX(primary_jama_2018_14282_domain,MATCH($A70,primary_jama_2018_14282_key,0)),$K70)="plan_material"))),O70&lt;&gt;"",O70&lt;&gt;"not_applicable"),AND(OR(AND(IF($J70="",INDEX(primary_jama_2018_14282_disposition,MATCH($A70,primary_jama_2018_14282_key,0)),$J70)&lt;&gt;"",IF($J70="",INDEX(primary_jama_2018_14282_disposition,MATCH($A70,primary_jama_2018_14282_key,0)),$J70)&lt;&gt;"retain"),NOT(OR(IF($K70="",INDEX(primary_jama_2018_14282_domain,MATCH($A70,primary_jama_2018_14282_key,0)),$K70)="protocol_report"))),P70&lt;&gt;"",P70&lt;&gt;"not_applicable")),"CLEAR INACTIVE VALUES",IF(D70="","PENDING",IF(AND(D70&lt;&gt;"agree",LEN(TRIM(E70))=0),"COMMENT NEEDED",IF(F70="yes","CHECKED - see resolution","DRAFT"))))</f>
        <v/>
      </c>
      <c r="H70" s="8" t="inlineStr">
        <is>
          <t>pending</t>
        </is>
      </c>
      <c r="I70" s="11" t="inlineStr"/>
      <c r="J70" s="8" t="inlineStr"/>
      <c r="K70" s="8" t="inlineStr"/>
      <c r="L70" s="8">
        <f>IF(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not_applicable","")</f>
        <v/>
      </c>
      <c r="M70" s="8">
        <f>IF(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not_applicable","")</f>
        <v/>
      </c>
      <c r="N70" s="9">
        <f>IF(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not_applicable","")</f>
        <v/>
      </c>
      <c r="O70" s="8">
        <f>IF(OR(AND(IF($J70="",INDEX(primary_jama_2018_14282_disposition,MATCH($A70,primary_jama_2018_14282_key,0)),$J70)&lt;&gt;"",IF($J70="",INDEX(primary_jama_2018_14282_disposition,MATCH($A70,primary_jama_2018_14282_key,0)),$J70)&lt;&gt;"retain"),NOT(OR(IF($K70="",INDEX(primary_jama_2018_14282_domain,MATCH($A70,primary_jama_2018_14282_key,0)),$K70)="internal_nonstatistical",IF($K70="",INDEX(primary_jama_2018_14282_domain,MATCH($A70,primary_jama_2018_14282_key,0)),$K70)="plan_material"))),"not_applicable","")</f>
        <v/>
      </c>
      <c r="P70" s="9">
        <f>IF(OR(AND(IF($J70="",INDEX(primary_jama_2018_14282_disposition,MATCH($A70,primary_jama_2018_14282_key,0)),$J70)&lt;&gt;"",IF($J70="",INDEX(primary_jama_2018_14282_disposition,MATCH($A70,primary_jama_2018_14282_key,0)),$J70)&lt;&gt;"retain"),NOT(OR(IF($K70="",INDEX(primary_jama_2018_14282_domain,MATCH($A70,primary_jama_2018_14282_key,0)),$K70)="protocol_report"))),"not_applicable","")</f>
        <v/>
      </c>
      <c r="Q70" s="10" t="inlineStr"/>
      <c r="R70" s="10" t="inlineStr"/>
    </row>
    <row r="71" ht="76" customHeight="1">
      <c r="A71" s="3" t="inlineStr">
        <is>
          <t>2018::jama.2018.14282::C026</t>
        </is>
      </c>
      <c r="B71" s="3" t="inlineStr">
        <is>
          <t>jama.2018.14282</t>
        </is>
      </c>
      <c r="C71" s="3" t="inlineStr">
        <is>
          <t>Noninferiority bound/sign wording conflicts with its explanatory axis</t>
        </is>
      </c>
      <c r="D71" s="8" t="inlineStr"/>
      <c r="E71" s="11" t="inlineStr"/>
      <c r="F71" s="8" t="inlineStr">
        <is>
          <t>no</t>
        </is>
      </c>
      <c r="G71" s="3">
        <f>IF(OR(AND(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L71&lt;&gt;"",L71&lt;&gt;"not_applicable"),AND(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M71&lt;&gt;"",M71&lt;&gt;"not_applicable"),AND(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N71&lt;&gt;"",N71&lt;&gt;"not_applicable"),AND(OR(AND(IF($J71="",INDEX(primary_jama_2018_14282_disposition,MATCH($A71,primary_jama_2018_14282_key,0)),$J71)&lt;&gt;"",IF($J71="",INDEX(primary_jama_2018_14282_disposition,MATCH($A71,primary_jama_2018_14282_key,0)),$J71)&lt;&gt;"retain"),NOT(OR(IF($K71="",INDEX(primary_jama_2018_14282_domain,MATCH($A71,primary_jama_2018_14282_key,0)),$K71)="internal_nonstatistical",IF($K71="",INDEX(primary_jama_2018_14282_domain,MATCH($A71,primary_jama_2018_14282_key,0)),$K71)="plan_material"))),O71&lt;&gt;"",O71&lt;&gt;"not_applicable"),AND(OR(AND(IF($J71="",INDEX(primary_jama_2018_14282_disposition,MATCH($A71,primary_jama_2018_14282_key,0)),$J71)&lt;&gt;"",IF($J71="",INDEX(primary_jama_2018_14282_disposition,MATCH($A71,primary_jama_2018_14282_key,0)),$J71)&lt;&gt;"retain"),NOT(OR(IF($K71="",INDEX(primary_jama_2018_14282_domain,MATCH($A71,primary_jama_2018_14282_key,0)),$K71)="protocol_report"))),P71&lt;&gt;"",P71&lt;&gt;"not_applicable")),"CLEAR INACTIVE VALUES",IF(D71="","PENDING",IF(AND(D71&lt;&gt;"agree",LEN(TRIM(E71))=0),"COMMENT NEEDED",IF(F71="yes","CHECKED - see resolution","DRAFT"))))</f>
        <v/>
      </c>
      <c r="H71" s="8" t="inlineStr">
        <is>
          <t>pending</t>
        </is>
      </c>
      <c r="I71" s="11" t="inlineStr"/>
      <c r="J71" s="8" t="inlineStr"/>
      <c r="K71" s="8" t="inlineStr"/>
      <c r="L71" s="8">
        <f>IF(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not_applicable","")</f>
        <v/>
      </c>
      <c r="M71" s="8">
        <f>IF(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not_applicable","")</f>
        <v/>
      </c>
      <c r="N71" s="9">
        <f>IF(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not_applicable","")</f>
        <v/>
      </c>
      <c r="O71" s="8">
        <f>IF(OR(AND(IF($J71="",INDEX(primary_jama_2018_14282_disposition,MATCH($A71,primary_jama_2018_14282_key,0)),$J71)&lt;&gt;"",IF($J71="",INDEX(primary_jama_2018_14282_disposition,MATCH($A71,primary_jama_2018_14282_key,0)),$J71)&lt;&gt;"retain"),NOT(OR(IF($K71="",INDEX(primary_jama_2018_14282_domain,MATCH($A71,primary_jama_2018_14282_key,0)),$K71)="internal_nonstatistical",IF($K71="",INDEX(primary_jama_2018_14282_domain,MATCH($A71,primary_jama_2018_14282_key,0)),$K71)="plan_material"))),"not_applicable","")</f>
        <v/>
      </c>
      <c r="P71" s="9">
        <f>IF(OR(AND(IF($J71="",INDEX(primary_jama_2018_14282_disposition,MATCH($A71,primary_jama_2018_14282_key,0)),$J71)&lt;&gt;"",IF($J71="",INDEX(primary_jama_2018_14282_disposition,MATCH($A71,primary_jama_2018_14282_key,0)),$J71)&lt;&gt;"retain"),NOT(OR(IF($K71="",INDEX(primary_jama_2018_14282_domain,MATCH($A71,primary_jama_2018_14282_key,0)),$K71)="protocol_report"))),"not_applicable","")</f>
        <v/>
      </c>
      <c r="Q71" s="10" t="inlineStr"/>
      <c r="R71" s="10" t="inlineStr"/>
    </row>
    <row r="72" ht="76" customHeight="1">
      <c r="A72" s="2" t="inlineStr">
        <is>
          <t>2018::jama.2018.14282::C027</t>
        </is>
      </c>
      <c r="B72" s="2" t="inlineStr">
        <is>
          <t>jama.2018.14282</t>
        </is>
      </c>
      <c r="C72" s="2" t="inlineStr">
        <is>
          <t>Primary-hypothesis intervention is labelled NIV while plans identify HFNO</t>
        </is>
      </c>
      <c r="D72" s="8" t="inlineStr"/>
      <c r="E72" s="11" t="inlineStr"/>
      <c r="F72" s="8" t="inlineStr">
        <is>
          <t>no</t>
        </is>
      </c>
      <c r="G72" s="2">
        <f>IF(OR(AND(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L72&lt;&gt;"",L72&lt;&gt;"not_applicable"),AND(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M72&lt;&gt;"",M72&lt;&gt;"not_applicable"),AND(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N72&lt;&gt;"",N72&lt;&gt;"not_applicable"),AND(OR(AND(IF($J72="",INDEX(primary_jama_2018_14282_disposition,MATCH($A72,primary_jama_2018_14282_key,0)),$J72)&lt;&gt;"",IF($J72="",INDEX(primary_jama_2018_14282_disposition,MATCH($A72,primary_jama_2018_14282_key,0)),$J72)&lt;&gt;"retain"),NOT(OR(IF($K72="",INDEX(primary_jama_2018_14282_domain,MATCH($A72,primary_jama_2018_14282_key,0)),$K72)="internal_nonstatistical",IF($K72="",INDEX(primary_jama_2018_14282_domain,MATCH($A72,primary_jama_2018_14282_key,0)),$K72)="plan_material"))),O72&lt;&gt;"",O72&lt;&gt;"not_applicable"),AND(OR(AND(IF($J72="",INDEX(primary_jama_2018_14282_disposition,MATCH($A72,primary_jama_2018_14282_key,0)),$J72)&lt;&gt;"",IF($J72="",INDEX(primary_jama_2018_14282_disposition,MATCH($A72,primary_jama_2018_14282_key,0)),$J72)&lt;&gt;"retain"),NOT(OR(IF($K72="",INDEX(primary_jama_2018_14282_domain,MATCH($A72,primary_jama_2018_14282_key,0)),$K72)="protocol_report"))),P72&lt;&gt;"",P72&lt;&gt;"not_applicable")),"CLEAR INACTIVE VALUES",IF(D72="","PENDING",IF(AND(D72&lt;&gt;"agree",LEN(TRIM(E72))=0),"COMMENT NEEDED",IF(F72="yes","CHECKED - see resolution","DRAFT"))))</f>
        <v/>
      </c>
      <c r="H72" s="8" t="inlineStr">
        <is>
          <t>pending</t>
        </is>
      </c>
      <c r="I72" s="11" t="inlineStr"/>
      <c r="J72" s="8" t="inlineStr"/>
      <c r="K72" s="8" t="inlineStr"/>
      <c r="L72" s="8">
        <f>IF(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not_applicable","")</f>
        <v/>
      </c>
      <c r="M72" s="8">
        <f>IF(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not_applicable","")</f>
        <v/>
      </c>
      <c r="N72" s="9">
        <f>IF(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not_applicable","")</f>
        <v/>
      </c>
      <c r="O72" s="8">
        <f>IF(OR(AND(IF($J72="",INDEX(primary_jama_2018_14282_disposition,MATCH($A72,primary_jama_2018_14282_key,0)),$J72)&lt;&gt;"",IF($J72="",INDEX(primary_jama_2018_14282_disposition,MATCH($A72,primary_jama_2018_14282_key,0)),$J72)&lt;&gt;"retain"),NOT(OR(IF($K72="",INDEX(primary_jama_2018_14282_domain,MATCH($A72,primary_jama_2018_14282_key,0)),$K72)="internal_nonstatistical",IF($K72="",INDEX(primary_jama_2018_14282_domain,MATCH($A72,primary_jama_2018_14282_key,0)),$K72)="plan_material"))),"not_applicable","")</f>
        <v/>
      </c>
      <c r="P72" s="9">
        <f>IF(OR(AND(IF($J72="",INDEX(primary_jama_2018_14282_disposition,MATCH($A72,primary_jama_2018_14282_key,0)),$J72)&lt;&gt;"",IF($J72="",INDEX(primary_jama_2018_14282_disposition,MATCH($A72,primary_jama_2018_14282_key,0)),$J72)&lt;&gt;"retain"),NOT(OR(IF($K72="",INDEX(primary_jama_2018_14282_domain,MATCH($A72,primary_jama_2018_14282_key,0)),$K72)="protocol_report"))),"not_applicable","")</f>
        <v/>
      </c>
      <c r="Q72" s="10" t="inlineStr"/>
      <c r="R72" s="10" t="inlineStr"/>
    </row>
    <row r="73" ht="76" customHeight="1">
      <c r="A73" s="3" t="inlineStr">
        <is>
          <t>2018::jama.2018.14282::C028</t>
        </is>
      </c>
      <c r="B73" s="3" t="inlineStr">
        <is>
          <t>jama.2018.14282</t>
        </is>
      </c>
      <c r="C73" s="3" t="inlineStr">
        <is>
          <t>Planned primary outcome alternates between day-28 vital status and hospital death</t>
        </is>
      </c>
      <c r="D73" s="8" t="inlineStr"/>
      <c r="E73" s="11" t="inlineStr"/>
      <c r="F73" s="8" t="inlineStr">
        <is>
          <t>no</t>
        </is>
      </c>
      <c r="G73" s="3">
        <f>IF(OR(AND(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L73&lt;&gt;"",L73&lt;&gt;"not_applicable"),AND(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M73&lt;&gt;"",M73&lt;&gt;"not_applicable"),AND(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N73&lt;&gt;"",N73&lt;&gt;"not_applicable"),AND(OR(AND(IF($J73="",INDEX(primary_jama_2018_14282_disposition,MATCH($A73,primary_jama_2018_14282_key,0)),$J73)&lt;&gt;"",IF($J73="",INDEX(primary_jama_2018_14282_disposition,MATCH($A73,primary_jama_2018_14282_key,0)),$J73)&lt;&gt;"retain"),NOT(OR(IF($K73="",INDEX(primary_jama_2018_14282_domain,MATCH($A73,primary_jama_2018_14282_key,0)),$K73)="internal_nonstatistical",IF($K73="",INDEX(primary_jama_2018_14282_domain,MATCH($A73,primary_jama_2018_14282_key,0)),$K73)="plan_material"))),O73&lt;&gt;"",O73&lt;&gt;"not_applicable"),AND(OR(AND(IF($J73="",INDEX(primary_jama_2018_14282_disposition,MATCH($A73,primary_jama_2018_14282_key,0)),$J73)&lt;&gt;"",IF($J73="",INDEX(primary_jama_2018_14282_disposition,MATCH($A73,primary_jama_2018_14282_key,0)),$J73)&lt;&gt;"retain"),NOT(OR(IF($K73="",INDEX(primary_jama_2018_14282_domain,MATCH($A73,primary_jama_2018_14282_key,0)),$K73)="protocol_report"))),P73&lt;&gt;"",P73&lt;&gt;"not_applicable")),"CLEAR INACTIVE VALUES",IF(D73="","PENDING",IF(AND(D73&lt;&gt;"agree",LEN(TRIM(E73))=0),"COMMENT NEEDED",IF(F73="yes","CHECKED - see resolution","DRAFT"))))</f>
        <v/>
      </c>
      <c r="H73" s="8" t="inlineStr">
        <is>
          <t>pending</t>
        </is>
      </c>
      <c r="I73" s="11" t="inlineStr"/>
      <c r="J73" s="8" t="inlineStr"/>
      <c r="K73" s="8" t="inlineStr"/>
      <c r="L73" s="8">
        <f>IF(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not_applicable","")</f>
        <v/>
      </c>
      <c r="M73" s="8">
        <f>IF(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not_applicable","")</f>
        <v/>
      </c>
      <c r="N73" s="9">
        <f>IF(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not_applicable","")</f>
        <v/>
      </c>
      <c r="O73" s="8">
        <f>IF(OR(AND(IF($J73="",INDEX(primary_jama_2018_14282_disposition,MATCH($A73,primary_jama_2018_14282_key,0)),$J73)&lt;&gt;"",IF($J73="",INDEX(primary_jama_2018_14282_disposition,MATCH($A73,primary_jama_2018_14282_key,0)),$J73)&lt;&gt;"retain"),NOT(OR(IF($K73="",INDEX(primary_jama_2018_14282_domain,MATCH($A73,primary_jama_2018_14282_key,0)),$K73)="internal_nonstatistical",IF($K73="",INDEX(primary_jama_2018_14282_domain,MATCH($A73,primary_jama_2018_14282_key,0)),$K73)="plan_material"))),"not_applicable","")</f>
        <v/>
      </c>
      <c r="P73" s="9">
        <f>IF(OR(AND(IF($J73="",INDEX(primary_jama_2018_14282_disposition,MATCH($A73,primary_jama_2018_14282_key,0)),$J73)&lt;&gt;"",IF($J73="",INDEX(primary_jama_2018_14282_disposition,MATCH($A73,primary_jama_2018_14282_key,0)),$J73)&lt;&gt;"retain"),NOT(OR(IF($K73="",INDEX(primary_jama_2018_14282_domain,MATCH($A73,primary_jama_2018_14282_key,0)),$K73)="protocol_report"))),"not_applicable","")</f>
        <v/>
      </c>
      <c r="Q73" s="10" t="inlineStr"/>
      <c r="R73" s="10" t="inlineStr"/>
    </row>
    <row r="74" ht="76" customHeight="1">
      <c r="A74" s="2" t="inlineStr">
        <is>
          <t>2018::jama.2018.17075::C001</t>
        </is>
      </c>
      <c r="B74" s="2" t="inlineStr">
        <is>
          <t>jama.2018.17075</t>
        </is>
      </c>
      <c r="C74" s="2" t="inlineStr">
        <is>
          <t>Normothermia Injury Severity Score median is below its printed IQR lower endpoint</t>
        </is>
      </c>
      <c r="D74" s="8" t="inlineStr"/>
      <c r="E74" s="11" t="inlineStr"/>
      <c r="F74" s="8" t="inlineStr">
        <is>
          <t>no</t>
        </is>
      </c>
      <c r="G74" s="2">
        <f>IF(OR(AND(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L74&lt;&gt;"",L74&lt;&gt;"not_applicable"),AND(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M74&lt;&gt;"",M74&lt;&gt;"not_applicable"),AND(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N74&lt;&gt;"",N74&lt;&gt;"not_applicable"),AND(OR(AND(IF($J74="",INDEX(primary_jama_2018_17075_disposition,MATCH($A74,primary_jama_2018_17075_key,0)),$J74)&lt;&gt;"",IF($J74="",INDEX(primary_jama_2018_17075_disposition,MATCH($A74,primary_jama_2018_17075_key,0)),$J74)&lt;&gt;"retain"),NOT(OR(IF($K74="",INDEX(primary_jama_2018_17075_domain,MATCH($A74,primary_jama_2018_17075_key,0)),$K74)="internal_nonstatistical",IF($K74="",INDEX(primary_jama_2018_17075_domain,MATCH($A74,primary_jama_2018_17075_key,0)),$K74)="plan_material"))),O74&lt;&gt;"",O74&lt;&gt;"not_applicable"),AND(OR(AND(IF($J74="",INDEX(primary_jama_2018_17075_disposition,MATCH($A74,primary_jama_2018_17075_key,0)),$J74)&lt;&gt;"",IF($J74="",INDEX(primary_jama_2018_17075_disposition,MATCH($A74,primary_jama_2018_17075_key,0)),$J74)&lt;&gt;"retain"),NOT(OR(IF($K74="",INDEX(primary_jama_2018_17075_domain,MATCH($A74,primary_jama_2018_17075_key,0)),$K74)="protocol_report"))),P74&lt;&gt;"",P74&lt;&gt;"not_applicable")),"CLEAR INACTIVE VALUES",IF(D74="","PENDING",IF(AND(D74&lt;&gt;"agree",LEN(TRIM(E74))=0),"COMMENT NEEDED",IF(F74="yes","CHECKED - see resolution","DRAFT"))))</f>
        <v/>
      </c>
      <c r="H74" s="8" t="inlineStr">
        <is>
          <t>pending</t>
        </is>
      </c>
      <c r="I74" s="11" t="inlineStr"/>
      <c r="J74" s="8" t="inlineStr"/>
      <c r="K74" s="8" t="inlineStr"/>
      <c r="L74" s="8">
        <f>IF(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not_applicable","")</f>
        <v/>
      </c>
      <c r="M74" s="8">
        <f>IF(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not_applicable","")</f>
        <v/>
      </c>
      <c r="N74" s="9">
        <f>IF(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not_applicable","")</f>
        <v/>
      </c>
      <c r="O74" s="8">
        <f>IF(OR(AND(IF($J74="",INDEX(primary_jama_2018_17075_disposition,MATCH($A74,primary_jama_2018_17075_key,0)),$J74)&lt;&gt;"",IF($J74="",INDEX(primary_jama_2018_17075_disposition,MATCH($A74,primary_jama_2018_17075_key,0)),$J74)&lt;&gt;"retain"),NOT(OR(IF($K74="",INDEX(primary_jama_2018_17075_domain,MATCH($A74,primary_jama_2018_17075_key,0)),$K74)="internal_nonstatistical",IF($K74="",INDEX(primary_jama_2018_17075_domain,MATCH($A74,primary_jama_2018_17075_key,0)),$K74)="plan_material"))),"not_applicable","")</f>
        <v/>
      </c>
      <c r="P74" s="9">
        <f>IF(OR(AND(IF($J74="",INDEX(primary_jama_2018_17075_disposition,MATCH($A74,primary_jama_2018_17075_key,0)),$J74)&lt;&gt;"",IF($J74="",INDEX(primary_jama_2018_17075_disposition,MATCH($A74,primary_jama_2018_17075_key,0)),$J74)&lt;&gt;"retain"),NOT(OR(IF($K74="",INDEX(primary_jama_2018_17075_domain,MATCH($A74,primary_jama_2018_17075_key,0)),$K74)="protocol_report"))),"not_applicable","")</f>
        <v/>
      </c>
      <c r="Q74" s="10" t="inlineStr"/>
      <c r="R74" s="10" t="inlineStr"/>
    </row>
    <row r="75" ht="76" customHeight="1">
      <c r="A75" s="3" t="inlineStr">
        <is>
          <t>2018::jama.2018.17075::C002</t>
        </is>
      </c>
      <c r="B75" s="3" t="inlineStr">
        <is>
          <t>jama.2018.17075</t>
        </is>
      </c>
      <c r="C75" s="3" t="inlineStr">
        <is>
          <t>Primary risk difference has opposite signs in matched main-article locations</t>
        </is>
      </c>
      <c r="D75" s="8" t="inlineStr"/>
      <c r="E75" s="11" t="inlineStr"/>
      <c r="F75" s="8" t="inlineStr">
        <is>
          <t>no</t>
        </is>
      </c>
      <c r="G75" s="3">
        <f>IF(OR(AND(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L75&lt;&gt;"",L75&lt;&gt;"not_applicable"),AND(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M75&lt;&gt;"",M75&lt;&gt;"not_applicable"),AND(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N75&lt;&gt;"",N75&lt;&gt;"not_applicable"),AND(OR(AND(IF($J75="",INDEX(primary_jama_2018_17075_disposition,MATCH($A75,primary_jama_2018_17075_key,0)),$J75)&lt;&gt;"",IF($J75="",INDEX(primary_jama_2018_17075_disposition,MATCH($A75,primary_jama_2018_17075_key,0)),$J75)&lt;&gt;"retain"),NOT(OR(IF($K75="",INDEX(primary_jama_2018_17075_domain,MATCH($A75,primary_jama_2018_17075_key,0)),$K75)="internal_nonstatistical",IF($K75="",INDEX(primary_jama_2018_17075_domain,MATCH($A75,primary_jama_2018_17075_key,0)),$K75)="plan_material"))),O75&lt;&gt;"",O75&lt;&gt;"not_applicable"),AND(OR(AND(IF($J75="",INDEX(primary_jama_2018_17075_disposition,MATCH($A75,primary_jama_2018_17075_key,0)),$J75)&lt;&gt;"",IF($J75="",INDEX(primary_jama_2018_17075_disposition,MATCH($A75,primary_jama_2018_17075_key,0)),$J75)&lt;&gt;"retain"),NOT(OR(IF($K75="",INDEX(primary_jama_2018_17075_domain,MATCH($A75,primary_jama_2018_17075_key,0)),$K75)="protocol_report"))),P75&lt;&gt;"",P75&lt;&gt;"not_applicable")),"CLEAR INACTIVE VALUES",IF(D75="","PENDING",IF(AND(D75&lt;&gt;"agree",LEN(TRIM(E75))=0),"COMMENT NEEDED",IF(F75="yes","CHECKED - see resolution","DRAFT"))))</f>
        <v/>
      </c>
      <c r="H75" s="8" t="inlineStr">
        <is>
          <t>pending</t>
        </is>
      </c>
      <c r="I75" s="11" t="inlineStr"/>
      <c r="J75" s="8" t="inlineStr"/>
      <c r="K75" s="8" t="inlineStr"/>
      <c r="L75" s="8">
        <f>IF(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not_applicable","")</f>
        <v/>
      </c>
      <c r="M75" s="8">
        <f>IF(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not_applicable","")</f>
        <v/>
      </c>
      <c r="N75" s="9">
        <f>IF(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not_applicable","")</f>
        <v/>
      </c>
      <c r="O75" s="8">
        <f>IF(OR(AND(IF($J75="",INDEX(primary_jama_2018_17075_disposition,MATCH($A75,primary_jama_2018_17075_key,0)),$J75)&lt;&gt;"",IF($J75="",INDEX(primary_jama_2018_17075_disposition,MATCH($A75,primary_jama_2018_17075_key,0)),$J75)&lt;&gt;"retain"),NOT(OR(IF($K75="",INDEX(primary_jama_2018_17075_domain,MATCH($A75,primary_jama_2018_17075_key,0)),$K75)="internal_nonstatistical",IF($K75="",INDEX(primary_jama_2018_17075_domain,MATCH($A75,primary_jama_2018_17075_key,0)),$K75)="plan_material"))),"not_applicable","")</f>
        <v/>
      </c>
      <c r="P75" s="9">
        <f>IF(OR(AND(IF($J75="",INDEX(primary_jama_2018_17075_disposition,MATCH($A75,primary_jama_2018_17075_key,0)),$J75)&lt;&gt;"",IF($J75="",INDEX(primary_jama_2018_17075_disposition,MATCH($A75,primary_jama_2018_17075_key,0)),$J75)&lt;&gt;"retain"),NOT(OR(IF($K75="",INDEX(primary_jama_2018_17075_domain,MATCH($A75,primary_jama_2018_17075_key,0)),$K75)="protocol_report"))),"not_applicable","")</f>
        <v/>
      </c>
      <c r="Q75" s="10" t="inlineStr"/>
      <c r="R75" s="10" t="inlineStr"/>
    </row>
    <row r="76" ht="76" customHeight="1">
      <c r="A76" s="2" t="inlineStr">
        <is>
          <t>2018::jama.2018.17075::C003</t>
        </is>
      </c>
      <c r="B76" s="2" t="inlineStr">
        <is>
          <t>jama.2018.17075</t>
        </is>
      </c>
      <c r="C76" s="2" t="inlineStr">
        <is>
          <t>Intracranial-bleeding effect and P-value reporting conflicts with matched evidence</t>
        </is>
      </c>
      <c r="D76" s="8" t="inlineStr"/>
      <c r="E76" s="11" t="inlineStr"/>
      <c r="F76" s="8" t="inlineStr">
        <is>
          <t>no</t>
        </is>
      </c>
      <c r="G76" s="2">
        <f>IF(OR(AND(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L76&lt;&gt;"",L76&lt;&gt;"not_applicable"),AND(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M76&lt;&gt;"",M76&lt;&gt;"not_applicable"),AND(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N76&lt;&gt;"",N76&lt;&gt;"not_applicable"),AND(OR(AND(IF($J76="",INDEX(primary_jama_2018_17075_disposition,MATCH($A76,primary_jama_2018_17075_key,0)),$J76)&lt;&gt;"",IF($J76="",INDEX(primary_jama_2018_17075_disposition,MATCH($A76,primary_jama_2018_17075_key,0)),$J76)&lt;&gt;"retain"),NOT(OR(IF($K76="",INDEX(primary_jama_2018_17075_domain,MATCH($A76,primary_jama_2018_17075_key,0)),$K76)="internal_nonstatistical",IF($K76="",INDEX(primary_jama_2018_17075_domain,MATCH($A76,primary_jama_2018_17075_key,0)),$K76)="plan_material"))),O76&lt;&gt;"",O76&lt;&gt;"not_applicable"),AND(OR(AND(IF($J76="",INDEX(primary_jama_2018_17075_disposition,MATCH($A76,primary_jama_2018_17075_key,0)),$J76)&lt;&gt;"",IF($J76="",INDEX(primary_jama_2018_17075_disposition,MATCH($A76,primary_jama_2018_17075_key,0)),$J76)&lt;&gt;"retain"),NOT(OR(IF($K76="",INDEX(primary_jama_2018_17075_domain,MATCH($A76,primary_jama_2018_17075_key,0)),$K76)="protocol_report"))),P76&lt;&gt;"",P76&lt;&gt;"not_applicable")),"CLEAR INACTIVE VALUES",IF(D76="","PENDING",IF(AND(D76&lt;&gt;"agree",LEN(TRIM(E76))=0),"COMMENT NEEDED",IF(F76="yes","CHECKED - see resolution","DRAFT"))))</f>
        <v/>
      </c>
      <c r="H76" s="8" t="inlineStr">
        <is>
          <t>pending</t>
        </is>
      </c>
      <c r="I76" s="11" t="inlineStr"/>
      <c r="J76" s="8" t="inlineStr"/>
      <c r="K76" s="8" t="inlineStr"/>
      <c r="L76" s="8">
        <f>IF(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not_applicable","")</f>
        <v/>
      </c>
      <c r="M76" s="8">
        <f>IF(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not_applicable","")</f>
        <v/>
      </c>
      <c r="N76" s="9">
        <f>IF(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not_applicable","")</f>
        <v/>
      </c>
      <c r="O76" s="8">
        <f>IF(OR(AND(IF($J76="",INDEX(primary_jama_2018_17075_disposition,MATCH($A76,primary_jama_2018_17075_key,0)),$J76)&lt;&gt;"",IF($J76="",INDEX(primary_jama_2018_17075_disposition,MATCH($A76,primary_jama_2018_17075_key,0)),$J76)&lt;&gt;"retain"),NOT(OR(IF($K76="",INDEX(primary_jama_2018_17075_domain,MATCH($A76,primary_jama_2018_17075_key,0)),$K76)="internal_nonstatistical",IF($K76="",INDEX(primary_jama_2018_17075_domain,MATCH($A76,primary_jama_2018_17075_key,0)),$K76)="plan_material"))),"not_applicable","")</f>
        <v/>
      </c>
      <c r="P76" s="9">
        <f>IF(OR(AND(IF($J76="",INDEX(primary_jama_2018_17075_disposition,MATCH($A76,primary_jama_2018_17075_key,0)),$J76)&lt;&gt;"",IF($J76="",INDEX(primary_jama_2018_17075_disposition,MATCH($A76,primary_jama_2018_17075_key,0)),$J76)&lt;&gt;"retain"),NOT(OR(IF($K76="",INDEX(primary_jama_2018_17075_domain,MATCH($A76,primary_jama_2018_17075_key,0)),$K76)="protocol_report"))),"not_applicable","")</f>
        <v/>
      </c>
      <c r="Q76" s="10" t="inlineStr"/>
      <c r="R76" s="10" t="inlineStr"/>
    </row>
    <row r="77" ht="76" customHeight="1">
      <c r="A77" s="3" t="inlineStr">
        <is>
          <t>2018::jama.2018.17075::C004</t>
        </is>
      </c>
      <c r="B77" s="3" t="inlineStr">
        <is>
          <t>jama.2018.17075</t>
        </is>
      </c>
      <c r="C77" s="3" t="inlineStr">
        <is>
          <t>Extracranial-bleeding effect and P-value reporting conflicts with matched evidence</t>
        </is>
      </c>
      <c r="D77" s="8" t="inlineStr"/>
      <c r="E77" s="11" t="inlineStr"/>
      <c r="F77" s="8" t="inlineStr">
        <is>
          <t>no</t>
        </is>
      </c>
      <c r="G77" s="3">
        <f>IF(OR(AND(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L77&lt;&gt;"",L77&lt;&gt;"not_applicable"),AND(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M77&lt;&gt;"",M77&lt;&gt;"not_applicable"),AND(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N77&lt;&gt;"",N77&lt;&gt;"not_applicable"),AND(OR(AND(IF($J77="",INDEX(primary_jama_2018_17075_disposition,MATCH($A77,primary_jama_2018_17075_key,0)),$J77)&lt;&gt;"",IF($J77="",INDEX(primary_jama_2018_17075_disposition,MATCH($A77,primary_jama_2018_17075_key,0)),$J77)&lt;&gt;"retain"),NOT(OR(IF($K77="",INDEX(primary_jama_2018_17075_domain,MATCH($A77,primary_jama_2018_17075_key,0)),$K77)="internal_nonstatistical",IF($K77="",INDEX(primary_jama_2018_17075_domain,MATCH($A77,primary_jama_2018_17075_key,0)),$K77)="plan_material"))),O77&lt;&gt;"",O77&lt;&gt;"not_applicable"),AND(OR(AND(IF($J77="",INDEX(primary_jama_2018_17075_disposition,MATCH($A77,primary_jama_2018_17075_key,0)),$J77)&lt;&gt;"",IF($J77="",INDEX(primary_jama_2018_17075_disposition,MATCH($A77,primary_jama_2018_17075_key,0)),$J77)&lt;&gt;"retain"),NOT(OR(IF($K77="",INDEX(primary_jama_2018_17075_domain,MATCH($A77,primary_jama_2018_17075_key,0)),$K77)="protocol_report"))),P77&lt;&gt;"",P77&lt;&gt;"not_applicable")),"CLEAR INACTIVE VALUES",IF(D77="","PENDING",IF(AND(D77&lt;&gt;"agree",LEN(TRIM(E77))=0),"COMMENT NEEDED",IF(F77="yes","CHECKED - see resolution","DRAFT"))))</f>
        <v/>
      </c>
      <c r="H77" s="8" t="inlineStr">
        <is>
          <t>pending</t>
        </is>
      </c>
      <c r="I77" s="11" t="inlineStr"/>
      <c r="J77" s="8" t="inlineStr"/>
      <c r="K77" s="8" t="inlineStr"/>
      <c r="L77" s="8">
        <f>IF(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not_applicable","")</f>
        <v/>
      </c>
      <c r="M77" s="8">
        <f>IF(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not_applicable","")</f>
        <v/>
      </c>
      <c r="N77" s="9">
        <f>IF(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not_applicable","")</f>
        <v/>
      </c>
      <c r="O77" s="8">
        <f>IF(OR(AND(IF($J77="",INDEX(primary_jama_2018_17075_disposition,MATCH($A77,primary_jama_2018_17075_key,0)),$J77)&lt;&gt;"",IF($J77="",INDEX(primary_jama_2018_17075_disposition,MATCH($A77,primary_jama_2018_17075_key,0)),$J77)&lt;&gt;"retain"),NOT(OR(IF($K77="",INDEX(primary_jama_2018_17075_domain,MATCH($A77,primary_jama_2018_17075_key,0)),$K77)="internal_nonstatistical",IF($K77="",INDEX(primary_jama_2018_17075_domain,MATCH($A77,primary_jama_2018_17075_key,0)),$K77)="plan_material"))),"not_applicable","")</f>
        <v/>
      </c>
      <c r="P77" s="9">
        <f>IF(OR(AND(IF($J77="",INDEX(primary_jama_2018_17075_disposition,MATCH($A77,primary_jama_2018_17075_key,0)),$J77)&lt;&gt;"",IF($J77="",INDEX(primary_jama_2018_17075_disposition,MATCH($A77,primary_jama_2018_17075_key,0)),$J77)&lt;&gt;"retain"),NOT(OR(IF($K77="",INDEX(primary_jama_2018_17075_domain,MATCH($A77,primary_jama_2018_17075_key,0)),$K77)="protocol_report"))),"not_applicable","")</f>
        <v/>
      </c>
      <c r="Q77" s="10" t="inlineStr"/>
      <c r="R77" s="10" t="inlineStr"/>
    </row>
    <row r="78" ht="76" customHeight="1">
      <c r="A78" s="2" t="inlineStr">
        <is>
          <t>2018::jama.2018.17075::C005</t>
        </is>
      </c>
      <c r="B78" s="2" t="inlineStr">
        <is>
          <t>jama.2018.17075</t>
        </is>
      </c>
      <c r="C78" s="2" t="inlineStr">
        <is>
          <t>As-treated evacuated-mass-lesion cell reverses count and percentage order</t>
        </is>
      </c>
      <c r="D78" s="8" t="inlineStr"/>
      <c r="E78" s="11" t="inlineStr"/>
      <c r="F78" s="8" t="inlineStr">
        <is>
          <t>no</t>
        </is>
      </c>
      <c r="G78" s="2">
        <f>IF(OR(AND(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L78&lt;&gt;"",L78&lt;&gt;"not_applicable"),AND(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M78&lt;&gt;"",M78&lt;&gt;"not_applicable"),AND(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N78&lt;&gt;"",N78&lt;&gt;"not_applicable"),AND(OR(AND(IF($J78="",INDEX(primary_jama_2018_17075_disposition,MATCH($A78,primary_jama_2018_17075_key,0)),$J78)&lt;&gt;"",IF($J78="",INDEX(primary_jama_2018_17075_disposition,MATCH($A78,primary_jama_2018_17075_key,0)),$J78)&lt;&gt;"retain"),NOT(OR(IF($K78="",INDEX(primary_jama_2018_17075_domain,MATCH($A78,primary_jama_2018_17075_key,0)),$K78)="internal_nonstatistical",IF($K78="",INDEX(primary_jama_2018_17075_domain,MATCH($A78,primary_jama_2018_17075_key,0)),$K78)="plan_material"))),O78&lt;&gt;"",O78&lt;&gt;"not_applicable"),AND(OR(AND(IF($J78="",INDEX(primary_jama_2018_17075_disposition,MATCH($A78,primary_jama_2018_17075_key,0)),$J78)&lt;&gt;"",IF($J78="",INDEX(primary_jama_2018_17075_disposition,MATCH($A78,primary_jama_2018_17075_key,0)),$J78)&lt;&gt;"retain"),NOT(OR(IF($K78="",INDEX(primary_jama_2018_17075_domain,MATCH($A78,primary_jama_2018_17075_key,0)),$K78)="protocol_report"))),P78&lt;&gt;"",P78&lt;&gt;"not_applicable")),"CLEAR INACTIVE VALUES",IF(D78="","PENDING",IF(AND(D78&lt;&gt;"agree",LEN(TRIM(E78))=0),"COMMENT NEEDED",IF(F78="yes","CHECKED - see resolution","DRAFT"))))</f>
        <v/>
      </c>
      <c r="H78" s="8" t="inlineStr">
        <is>
          <t>pending</t>
        </is>
      </c>
      <c r="I78" s="11" t="inlineStr"/>
      <c r="J78" s="8" t="inlineStr"/>
      <c r="K78" s="8" t="inlineStr"/>
      <c r="L78" s="8">
        <f>IF(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not_applicable","")</f>
        <v/>
      </c>
      <c r="M78" s="8">
        <f>IF(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not_applicable","")</f>
        <v/>
      </c>
      <c r="N78" s="9">
        <f>IF(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not_applicable","")</f>
        <v/>
      </c>
      <c r="O78" s="8">
        <f>IF(OR(AND(IF($J78="",INDEX(primary_jama_2018_17075_disposition,MATCH($A78,primary_jama_2018_17075_key,0)),$J78)&lt;&gt;"",IF($J78="",INDEX(primary_jama_2018_17075_disposition,MATCH($A78,primary_jama_2018_17075_key,0)),$J78)&lt;&gt;"retain"),NOT(OR(IF($K78="",INDEX(primary_jama_2018_17075_domain,MATCH($A78,primary_jama_2018_17075_key,0)),$K78)="internal_nonstatistical",IF($K78="",INDEX(primary_jama_2018_17075_domain,MATCH($A78,primary_jama_2018_17075_key,0)),$K78)="plan_material"))),"not_applicable","")</f>
        <v/>
      </c>
      <c r="P78" s="9">
        <f>IF(OR(AND(IF($J78="",INDEX(primary_jama_2018_17075_disposition,MATCH($A78,primary_jama_2018_17075_key,0)),$J78)&lt;&gt;"",IF($J78="",INDEX(primary_jama_2018_17075_disposition,MATCH($A78,primary_jama_2018_17075_key,0)),$J78)&lt;&gt;"retain"),NOT(OR(IF($K78="",INDEX(primary_jama_2018_17075_domain,MATCH($A78,primary_jama_2018_17075_key,0)),$K78)="protocol_report"))),"not_applicable","")</f>
        <v/>
      </c>
      <c r="Q78" s="10" t="inlineStr"/>
      <c r="R78" s="10" t="inlineStr"/>
    </row>
    <row r="79" ht="76" customHeight="1">
      <c r="A79" s="3" t="inlineStr">
        <is>
          <t>2018::jama.2018.17075::C006</t>
        </is>
      </c>
      <c r="B79" s="3" t="inlineStr">
        <is>
          <t>jama.2018.17075</t>
        </is>
      </c>
      <c r="C79" s="3" t="inlineStr">
        <is>
          <t>As-treated non-evacuated-mass-lesion cell reverses count and percentage order</t>
        </is>
      </c>
      <c r="D79" s="8" t="inlineStr"/>
      <c r="E79" s="11" t="inlineStr"/>
      <c r="F79" s="8" t="inlineStr">
        <is>
          <t>no</t>
        </is>
      </c>
      <c r="G79" s="3">
        <f>IF(OR(AND(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L79&lt;&gt;"",L79&lt;&gt;"not_applicable"),AND(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M79&lt;&gt;"",M79&lt;&gt;"not_applicable"),AND(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N79&lt;&gt;"",N79&lt;&gt;"not_applicable"),AND(OR(AND(IF($J79="",INDEX(primary_jama_2018_17075_disposition,MATCH($A79,primary_jama_2018_17075_key,0)),$J79)&lt;&gt;"",IF($J79="",INDEX(primary_jama_2018_17075_disposition,MATCH($A79,primary_jama_2018_17075_key,0)),$J79)&lt;&gt;"retain"),NOT(OR(IF($K79="",INDEX(primary_jama_2018_17075_domain,MATCH($A79,primary_jama_2018_17075_key,0)),$K79)="internal_nonstatistical",IF($K79="",INDEX(primary_jama_2018_17075_domain,MATCH($A79,primary_jama_2018_17075_key,0)),$K79)="plan_material"))),O79&lt;&gt;"",O79&lt;&gt;"not_applicable"),AND(OR(AND(IF($J79="",INDEX(primary_jama_2018_17075_disposition,MATCH($A79,primary_jama_2018_17075_key,0)),$J79)&lt;&gt;"",IF($J79="",INDEX(primary_jama_2018_17075_disposition,MATCH($A79,primary_jama_2018_17075_key,0)),$J79)&lt;&gt;"retain"),NOT(OR(IF($K79="",INDEX(primary_jama_2018_17075_domain,MATCH($A79,primary_jama_2018_17075_key,0)),$K79)="protocol_report"))),P79&lt;&gt;"",P79&lt;&gt;"not_applicable")),"CLEAR INACTIVE VALUES",IF(D79="","PENDING",IF(AND(D79&lt;&gt;"agree",LEN(TRIM(E79))=0),"COMMENT NEEDED",IF(F79="yes","CHECKED - see resolution","DRAFT"))))</f>
        <v/>
      </c>
      <c r="H79" s="8" t="inlineStr">
        <is>
          <t>pending</t>
        </is>
      </c>
      <c r="I79" s="11" t="inlineStr"/>
      <c r="J79" s="8" t="inlineStr"/>
      <c r="K79" s="8" t="inlineStr"/>
      <c r="L79" s="8">
        <f>IF(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not_applicable","")</f>
        <v/>
      </c>
      <c r="M79" s="8">
        <f>IF(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not_applicable","")</f>
        <v/>
      </c>
      <c r="N79" s="9">
        <f>IF(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not_applicable","")</f>
        <v/>
      </c>
      <c r="O79" s="8">
        <f>IF(OR(AND(IF($J79="",INDEX(primary_jama_2018_17075_disposition,MATCH($A79,primary_jama_2018_17075_key,0)),$J79)&lt;&gt;"",IF($J79="",INDEX(primary_jama_2018_17075_disposition,MATCH($A79,primary_jama_2018_17075_key,0)),$J79)&lt;&gt;"retain"),NOT(OR(IF($K79="",INDEX(primary_jama_2018_17075_domain,MATCH($A79,primary_jama_2018_17075_key,0)),$K79)="internal_nonstatistical",IF($K79="",INDEX(primary_jama_2018_17075_domain,MATCH($A79,primary_jama_2018_17075_key,0)),$K79)="plan_material"))),"not_applicable","")</f>
        <v/>
      </c>
      <c r="P79" s="9">
        <f>IF(OR(AND(IF($J79="",INDEX(primary_jama_2018_17075_disposition,MATCH($A79,primary_jama_2018_17075_key,0)),$J79)&lt;&gt;"",IF($J79="",INDEX(primary_jama_2018_17075_disposition,MATCH($A79,primary_jama_2018_17075_key,0)),$J79)&lt;&gt;"retain"),NOT(OR(IF($K79="",INDEX(primary_jama_2018_17075_domain,MATCH($A79,primary_jama_2018_17075_key,0)),$K79)="protocol_report"))),"not_applicable","")</f>
        <v/>
      </c>
      <c r="Q79" s="10" t="inlineStr"/>
      <c r="R79" s="10" t="inlineStr"/>
    </row>
    <row r="80" ht="76" customHeight="1">
      <c r="A80" s="2" t="inlineStr">
        <is>
          <t>2018::jama.2018.17075::C007</t>
        </is>
      </c>
      <c r="B80" s="2" t="inlineStr">
        <is>
          <t>jama.2018.17075</t>
        </is>
      </c>
      <c r="C80" s="2" t="inlineStr">
        <is>
          <t>Adjusted odds-ratio confidence-interval string is malformed</t>
        </is>
      </c>
      <c r="D80" s="8" t="inlineStr"/>
      <c r="E80" s="11" t="inlineStr"/>
      <c r="F80" s="8" t="inlineStr">
        <is>
          <t>no</t>
        </is>
      </c>
      <c r="G80" s="2">
        <f>IF(OR(AND(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L80&lt;&gt;"",L80&lt;&gt;"not_applicable"),AND(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M80&lt;&gt;"",M80&lt;&gt;"not_applicable"),AND(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N80&lt;&gt;"",N80&lt;&gt;"not_applicable"),AND(OR(AND(IF($J80="",INDEX(primary_jama_2018_17075_disposition,MATCH($A80,primary_jama_2018_17075_key,0)),$J80)&lt;&gt;"",IF($J80="",INDEX(primary_jama_2018_17075_disposition,MATCH($A80,primary_jama_2018_17075_key,0)),$J80)&lt;&gt;"retain"),NOT(OR(IF($K80="",INDEX(primary_jama_2018_17075_domain,MATCH($A80,primary_jama_2018_17075_key,0)),$K80)="internal_nonstatistical",IF($K80="",INDEX(primary_jama_2018_17075_domain,MATCH($A80,primary_jama_2018_17075_key,0)),$K80)="plan_material"))),O80&lt;&gt;"",O80&lt;&gt;"not_applicable"),AND(OR(AND(IF($J80="",INDEX(primary_jama_2018_17075_disposition,MATCH($A80,primary_jama_2018_17075_key,0)),$J80)&lt;&gt;"",IF($J80="",INDEX(primary_jama_2018_17075_disposition,MATCH($A80,primary_jama_2018_17075_key,0)),$J80)&lt;&gt;"retain"),NOT(OR(IF($K80="",INDEX(primary_jama_2018_17075_domain,MATCH($A80,primary_jama_2018_17075_key,0)),$K80)="protocol_report"))),P80&lt;&gt;"",P80&lt;&gt;"not_applicable")),"CLEAR INACTIVE VALUES",IF(D80="","PENDING",IF(AND(D80&lt;&gt;"agree",LEN(TRIM(E80))=0),"COMMENT NEEDED",IF(F80="yes","CHECKED - see resolution","DRAFT"))))</f>
        <v/>
      </c>
      <c r="H80" s="8" t="inlineStr">
        <is>
          <t>pending</t>
        </is>
      </c>
      <c r="I80" s="11" t="inlineStr"/>
      <c r="J80" s="8" t="inlineStr"/>
      <c r="K80" s="8" t="inlineStr"/>
      <c r="L80" s="8">
        <f>IF(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not_applicable","")</f>
        <v/>
      </c>
      <c r="M80" s="8">
        <f>IF(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not_applicable","")</f>
        <v/>
      </c>
      <c r="N80" s="9">
        <f>IF(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not_applicable","")</f>
        <v/>
      </c>
      <c r="O80" s="8">
        <f>IF(OR(AND(IF($J80="",INDEX(primary_jama_2018_17075_disposition,MATCH($A80,primary_jama_2018_17075_key,0)),$J80)&lt;&gt;"",IF($J80="",INDEX(primary_jama_2018_17075_disposition,MATCH($A80,primary_jama_2018_17075_key,0)),$J80)&lt;&gt;"retain"),NOT(OR(IF($K80="",INDEX(primary_jama_2018_17075_domain,MATCH($A80,primary_jama_2018_17075_key,0)),$K80)="internal_nonstatistical",IF($K80="",INDEX(primary_jama_2018_17075_domain,MATCH($A80,primary_jama_2018_17075_key,0)),$K80)="plan_material"))),"not_applicable","")</f>
        <v/>
      </c>
      <c r="P80" s="9">
        <f>IF(OR(AND(IF($J80="",INDEX(primary_jama_2018_17075_disposition,MATCH($A80,primary_jama_2018_17075_key,0)),$J80)&lt;&gt;"",IF($J80="",INDEX(primary_jama_2018_17075_disposition,MATCH($A80,primary_jama_2018_17075_key,0)),$J80)&lt;&gt;"retain"),NOT(OR(IF($K80="",INDEX(primary_jama_2018_17075_domain,MATCH($A80,primary_jama_2018_17075_key,0)),$K80)="protocol_report"))),"not_applicable","")</f>
        <v/>
      </c>
      <c r="Q80" s="10" t="inlineStr"/>
      <c r="R80" s="10" t="inlineStr"/>
    </row>
    <row r="81" ht="76" customHeight="1">
      <c r="A81" s="3" t="inlineStr">
        <is>
          <t>2018::jama.2018.17075::C008</t>
        </is>
      </c>
      <c r="B81" s="3" t="inlineStr">
        <is>
          <t>jama.2018.17075</t>
        </is>
      </c>
      <c r="C81" s="3" t="inlineStr">
        <is>
          <t>Abstract male count conflicts with its percentage and Table 1 total</t>
        </is>
      </c>
      <c r="D81" s="8" t="inlineStr"/>
      <c r="E81" s="11" t="inlineStr"/>
      <c r="F81" s="8" t="inlineStr">
        <is>
          <t>no</t>
        </is>
      </c>
      <c r="G81" s="3">
        <f>IF(OR(AND(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L81&lt;&gt;"",L81&lt;&gt;"not_applicable"),AND(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M81&lt;&gt;"",M81&lt;&gt;"not_applicable"),AND(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N81&lt;&gt;"",N81&lt;&gt;"not_applicable"),AND(OR(AND(IF($J81="",INDEX(primary_jama_2018_17075_disposition,MATCH($A81,primary_jama_2018_17075_key,0)),$J81)&lt;&gt;"",IF($J81="",INDEX(primary_jama_2018_17075_disposition,MATCH($A81,primary_jama_2018_17075_key,0)),$J81)&lt;&gt;"retain"),NOT(OR(IF($K81="",INDEX(primary_jama_2018_17075_domain,MATCH($A81,primary_jama_2018_17075_key,0)),$K81)="internal_nonstatistical",IF($K81="",INDEX(primary_jama_2018_17075_domain,MATCH($A81,primary_jama_2018_17075_key,0)),$K81)="plan_material"))),O81&lt;&gt;"",O81&lt;&gt;"not_applicable"),AND(OR(AND(IF($J81="",INDEX(primary_jama_2018_17075_disposition,MATCH($A81,primary_jama_2018_17075_key,0)),$J81)&lt;&gt;"",IF($J81="",INDEX(primary_jama_2018_17075_disposition,MATCH($A81,primary_jama_2018_17075_key,0)),$J81)&lt;&gt;"retain"),NOT(OR(IF($K81="",INDEX(primary_jama_2018_17075_domain,MATCH($A81,primary_jama_2018_17075_key,0)),$K81)="protocol_report"))),P81&lt;&gt;"",P81&lt;&gt;"not_applicable")),"CLEAR INACTIVE VALUES",IF(D81="","PENDING",IF(AND(D81&lt;&gt;"agree",LEN(TRIM(E81))=0),"COMMENT NEEDED",IF(F81="yes","CHECKED - see resolution","DRAFT"))))</f>
        <v/>
      </c>
      <c r="H81" s="8" t="inlineStr">
        <is>
          <t>pending</t>
        </is>
      </c>
      <c r="I81" s="11" t="inlineStr"/>
      <c r="J81" s="8" t="inlineStr"/>
      <c r="K81" s="8" t="inlineStr"/>
      <c r="L81" s="8">
        <f>IF(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not_applicable","")</f>
        <v/>
      </c>
      <c r="M81" s="8">
        <f>IF(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not_applicable","")</f>
        <v/>
      </c>
      <c r="N81" s="9">
        <f>IF(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not_applicable","")</f>
        <v/>
      </c>
      <c r="O81" s="8">
        <f>IF(OR(AND(IF($J81="",INDEX(primary_jama_2018_17075_disposition,MATCH($A81,primary_jama_2018_17075_key,0)),$J81)&lt;&gt;"",IF($J81="",INDEX(primary_jama_2018_17075_disposition,MATCH($A81,primary_jama_2018_17075_key,0)),$J81)&lt;&gt;"retain"),NOT(OR(IF($K81="",INDEX(primary_jama_2018_17075_domain,MATCH($A81,primary_jama_2018_17075_key,0)),$K81)="internal_nonstatistical",IF($K81="",INDEX(primary_jama_2018_17075_domain,MATCH($A81,primary_jama_2018_17075_key,0)),$K81)="plan_material"))),"not_applicable","")</f>
        <v/>
      </c>
      <c r="P81" s="9">
        <f>IF(OR(AND(IF($J81="",INDEX(primary_jama_2018_17075_disposition,MATCH($A81,primary_jama_2018_17075_key,0)),$J81)&lt;&gt;"",IF($J81="",INDEX(primary_jama_2018_17075_disposition,MATCH($A81,primary_jama_2018_17075_key,0)),$J81)&lt;&gt;"retain"),NOT(OR(IF($K81="",INDEX(primary_jama_2018_17075_domain,MATCH($A81,primary_jama_2018_17075_key,0)),$K81)="protocol_report"))),"not_applicable","")</f>
        <v/>
      </c>
      <c r="Q81" s="10" t="inlineStr"/>
      <c r="R81" s="10" t="inlineStr"/>
    </row>
    <row r="82" ht="76" customHeight="1">
      <c r="A82" s="2" t="inlineStr">
        <is>
          <t>2018::jama.2018.18020::C001</t>
        </is>
      </c>
      <c r="B82" s="2" t="inlineStr">
        <is>
          <t>jama.2018.18020</t>
        </is>
      </c>
      <c r="C82" s="2" t="inlineStr">
        <is>
          <t>Abstract sex percentage conflicts with the enrolled sex count</t>
        </is>
      </c>
      <c r="D82" s="8" t="inlineStr"/>
      <c r="E82" s="11" t="inlineStr"/>
      <c r="F82" s="8" t="inlineStr">
        <is>
          <t>no</t>
        </is>
      </c>
      <c r="G82" s="2">
        <f>IF(OR(AND(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L82&lt;&gt;"",L82&lt;&gt;"not_applicable"),AND(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M82&lt;&gt;"",M82&lt;&gt;"not_applicable"),AND(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N82&lt;&gt;"",N82&lt;&gt;"not_applicable"),AND(OR(AND(IF($J82="",INDEX(primary_jama_2018_18020_disposition,MATCH($A82,primary_jama_2018_18020_key,0)),$J82)&lt;&gt;"",IF($J82="",INDEX(primary_jama_2018_18020_disposition,MATCH($A82,primary_jama_2018_18020_key,0)),$J82)&lt;&gt;"retain"),NOT(OR(IF($K82="",INDEX(primary_jama_2018_18020_domain,MATCH($A82,primary_jama_2018_18020_key,0)),$K82)="internal_nonstatistical",IF($K82="",INDEX(primary_jama_2018_18020_domain,MATCH($A82,primary_jama_2018_18020_key,0)),$K82)="plan_material"))),O82&lt;&gt;"",O82&lt;&gt;"not_applicable"),AND(OR(AND(IF($J82="",INDEX(primary_jama_2018_18020_disposition,MATCH($A82,primary_jama_2018_18020_key,0)),$J82)&lt;&gt;"",IF($J82="",INDEX(primary_jama_2018_18020_disposition,MATCH($A82,primary_jama_2018_18020_key,0)),$J82)&lt;&gt;"retain"),NOT(OR(IF($K82="",INDEX(primary_jama_2018_18020_domain,MATCH($A82,primary_jama_2018_18020_key,0)),$K82)="protocol_report"))),P82&lt;&gt;"",P82&lt;&gt;"not_applicable")),"CLEAR INACTIVE VALUES",IF(D82="","PENDING",IF(AND(D82&lt;&gt;"agree",LEN(TRIM(E82))=0),"COMMENT NEEDED",IF(F82="yes","CHECKED - see resolution","DRAFT"))))</f>
        <v/>
      </c>
      <c r="H82" s="8" t="inlineStr">
        <is>
          <t>pending</t>
        </is>
      </c>
      <c r="I82" s="11" t="inlineStr"/>
      <c r="J82" s="8" t="inlineStr"/>
      <c r="K82" s="8" t="inlineStr"/>
      <c r="L82" s="8">
        <f>IF(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not_applicable","")</f>
        <v/>
      </c>
      <c r="M82" s="8">
        <f>IF(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not_applicable","")</f>
        <v/>
      </c>
      <c r="N82" s="9">
        <f>IF(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not_applicable","")</f>
        <v/>
      </c>
      <c r="O82" s="8">
        <f>IF(OR(AND(IF($J82="",INDEX(primary_jama_2018_18020_disposition,MATCH($A82,primary_jama_2018_18020_key,0)),$J82)&lt;&gt;"",IF($J82="",INDEX(primary_jama_2018_18020_disposition,MATCH($A82,primary_jama_2018_18020_key,0)),$J82)&lt;&gt;"retain"),NOT(OR(IF($K82="",INDEX(primary_jama_2018_18020_domain,MATCH($A82,primary_jama_2018_18020_key,0)),$K82)="internal_nonstatistical",IF($K82="",INDEX(primary_jama_2018_18020_domain,MATCH($A82,primary_jama_2018_18020_key,0)),$K82)="plan_material"))),"not_applicable","")</f>
        <v/>
      </c>
      <c r="P82" s="9">
        <f>IF(OR(AND(IF($J82="",INDEX(primary_jama_2018_18020_disposition,MATCH($A82,primary_jama_2018_18020_key,0)),$J82)&lt;&gt;"",IF($J82="",INDEX(primary_jama_2018_18020_disposition,MATCH($A82,primary_jama_2018_18020_key,0)),$J82)&lt;&gt;"retain"),NOT(OR(IF($K82="",INDEX(primary_jama_2018_18020_domain,MATCH($A82,primary_jama_2018_18020_key,0)),$K82)="protocol_report"))),"not_applicable","")</f>
        <v/>
      </c>
      <c r="Q82" s="10" t="inlineStr"/>
      <c r="R82" s="10" t="inlineStr"/>
    </row>
    <row r="83" ht="76" customHeight="1">
      <c r="A83" s="3" t="inlineStr">
        <is>
          <t>2018::jama.2018.18020::C002</t>
        </is>
      </c>
      <c r="B83" s="3" t="inlineStr">
        <is>
          <t>jama.2018.18020</t>
        </is>
      </c>
      <c r="C83" s="3" t="inlineStr">
        <is>
          <t>INQoL IQR endpoints exceed the stated 0-to-100 scale</t>
        </is>
      </c>
      <c r="D83" s="8" t="inlineStr"/>
      <c r="E83" s="11" t="inlineStr"/>
      <c r="F83" s="8" t="inlineStr">
        <is>
          <t>no</t>
        </is>
      </c>
      <c r="G83" s="3">
        <f>IF(OR(AND(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L83&lt;&gt;"",L83&lt;&gt;"not_applicable"),AND(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M83&lt;&gt;"",M83&lt;&gt;"not_applicable"),AND(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N83&lt;&gt;"",N83&lt;&gt;"not_applicable"),AND(OR(AND(IF($J83="",INDEX(primary_jama_2018_18020_disposition,MATCH($A83,primary_jama_2018_18020_key,0)),$J83)&lt;&gt;"",IF($J83="",INDEX(primary_jama_2018_18020_disposition,MATCH($A83,primary_jama_2018_18020_key,0)),$J83)&lt;&gt;"retain"),NOT(OR(IF($K83="",INDEX(primary_jama_2018_18020_domain,MATCH($A83,primary_jama_2018_18020_key,0)),$K83)="internal_nonstatistical",IF($K83="",INDEX(primary_jama_2018_18020_domain,MATCH($A83,primary_jama_2018_18020_key,0)),$K83)="plan_material"))),O83&lt;&gt;"",O83&lt;&gt;"not_applicable"),AND(OR(AND(IF($J83="",INDEX(primary_jama_2018_18020_disposition,MATCH($A83,primary_jama_2018_18020_key,0)),$J83)&lt;&gt;"",IF($J83="",INDEX(primary_jama_2018_18020_disposition,MATCH($A83,primary_jama_2018_18020_key,0)),$J83)&lt;&gt;"retain"),NOT(OR(IF($K83="",INDEX(primary_jama_2018_18020_domain,MATCH($A83,primary_jama_2018_18020_key,0)),$K83)="protocol_report"))),P83&lt;&gt;"",P83&lt;&gt;"not_applicable")),"CLEAR INACTIVE VALUES",IF(D83="","PENDING",IF(AND(D83&lt;&gt;"agree",LEN(TRIM(E83))=0),"COMMENT NEEDED",IF(F83="yes","CHECKED - see resolution","DRAFT"))))</f>
        <v/>
      </c>
      <c r="H83" s="8" t="inlineStr">
        <is>
          <t>pending</t>
        </is>
      </c>
      <c r="I83" s="11" t="inlineStr"/>
      <c r="J83" s="8" t="inlineStr"/>
      <c r="K83" s="8" t="inlineStr"/>
      <c r="L83" s="8">
        <f>IF(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not_applicable","")</f>
        <v/>
      </c>
      <c r="M83" s="8">
        <f>IF(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not_applicable","")</f>
        <v/>
      </c>
      <c r="N83" s="9">
        <f>IF(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not_applicable","")</f>
        <v/>
      </c>
      <c r="O83" s="8">
        <f>IF(OR(AND(IF($J83="",INDEX(primary_jama_2018_18020_disposition,MATCH($A83,primary_jama_2018_18020_key,0)),$J83)&lt;&gt;"",IF($J83="",INDEX(primary_jama_2018_18020_disposition,MATCH($A83,primary_jama_2018_18020_key,0)),$J83)&lt;&gt;"retain"),NOT(OR(IF($K83="",INDEX(primary_jama_2018_18020_domain,MATCH($A83,primary_jama_2018_18020_key,0)),$K83)="internal_nonstatistical",IF($K83="",INDEX(primary_jama_2018_18020_domain,MATCH($A83,primary_jama_2018_18020_key,0)),$K83)="plan_material"))),"not_applicable","")</f>
        <v/>
      </c>
      <c r="P83" s="9">
        <f>IF(OR(AND(IF($J83="",INDEX(primary_jama_2018_18020_disposition,MATCH($A83,primary_jama_2018_18020_key,0)),$J83)&lt;&gt;"",IF($J83="",INDEX(primary_jama_2018_18020_disposition,MATCH($A83,primary_jama_2018_18020_key,0)),$J83)&lt;&gt;"retain"),NOT(OR(IF($K83="",INDEX(primary_jama_2018_18020_domain,MATCH($A83,primary_jama_2018_18020_key,0)),$K83)="protocol_report"))),"not_applicable","")</f>
        <v/>
      </c>
      <c r="Q83" s="10" t="inlineStr"/>
      <c r="R83" s="10" t="inlineStr"/>
    </row>
    <row r="84" ht="76" customHeight="1">
      <c r="A84" s="2" t="inlineStr">
        <is>
          <t>2018::jama.2018.18020::C003</t>
        </is>
      </c>
      <c r="B84" s="2" t="inlineStr">
        <is>
          <t>jama.2018.18020</t>
        </is>
      </c>
      <c r="C84" s="2" t="inlineStr">
        <is>
          <t>Table 2 secondary-outcome contrast header is opposite to the displayed effect signs</t>
        </is>
      </c>
      <c r="D84" s="8" t="inlineStr"/>
      <c r="E84" s="11" t="inlineStr"/>
      <c r="F84" s="8" t="inlineStr">
        <is>
          <t>no</t>
        </is>
      </c>
      <c r="G84" s="2">
        <f>IF(OR(AND(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L84&lt;&gt;"",L84&lt;&gt;"not_applicable"),AND(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M84&lt;&gt;"",M84&lt;&gt;"not_applicable"),AND(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N84&lt;&gt;"",N84&lt;&gt;"not_applicable"),AND(OR(AND(IF($J84="",INDEX(primary_jama_2018_18020_disposition,MATCH($A84,primary_jama_2018_18020_key,0)),$J84)&lt;&gt;"",IF($J84="",INDEX(primary_jama_2018_18020_disposition,MATCH($A84,primary_jama_2018_18020_key,0)),$J84)&lt;&gt;"retain"),NOT(OR(IF($K84="",INDEX(primary_jama_2018_18020_domain,MATCH($A84,primary_jama_2018_18020_key,0)),$K84)="internal_nonstatistical",IF($K84="",INDEX(primary_jama_2018_18020_domain,MATCH($A84,primary_jama_2018_18020_key,0)),$K84)="plan_material"))),O84&lt;&gt;"",O84&lt;&gt;"not_applicable"),AND(OR(AND(IF($J84="",INDEX(primary_jama_2018_18020_disposition,MATCH($A84,primary_jama_2018_18020_key,0)),$J84)&lt;&gt;"",IF($J84="",INDEX(primary_jama_2018_18020_disposition,MATCH($A84,primary_jama_2018_18020_key,0)),$J84)&lt;&gt;"retain"),NOT(OR(IF($K84="",INDEX(primary_jama_2018_18020_domain,MATCH($A84,primary_jama_2018_18020_key,0)),$K84)="protocol_report"))),P84&lt;&gt;"",P84&lt;&gt;"not_applicable")),"CLEAR INACTIVE VALUES",IF(D84="","PENDING",IF(AND(D84&lt;&gt;"agree",LEN(TRIM(E84))=0),"COMMENT NEEDED",IF(F84="yes","CHECKED - see resolution","DRAFT"))))</f>
        <v/>
      </c>
      <c r="H84" s="8" t="inlineStr">
        <is>
          <t>pending</t>
        </is>
      </c>
      <c r="I84" s="11" t="inlineStr"/>
      <c r="J84" s="8" t="inlineStr"/>
      <c r="K84" s="8" t="inlineStr"/>
      <c r="L84" s="8">
        <f>IF(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not_applicable","")</f>
        <v/>
      </c>
      <c r="M84" s="8">
        <f>IF(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not_applicable","")</f>
        <v/>
      </c>
      <c r="N84" s="9">
        <f>IF(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not_applicable","")</f>
        <v/>
      </c>
      <c r="O84" s="8">
        <f>IF(OR(AND(IF($J84="",INDEX(primary_jama_2018_18020_disposition,MATCH($A84,primary_jama_2018_18020_key,0)),$J84)&lt;&gt;"",IF($J84="",INDEX(primary_jama_2018_18020_disposition,MATCH($A84,primary_jama_2018_18020_key,0)),$J84)&lt;&gt;"retain"),NOT(OR(IF($K84="",INDEX(primary_jama_2018_18020_domain,MATCH($A84,primary_jama_2018_18020_key,0)),$K84)="internal_nonstatistical",IF($K84="",INDEX(primary_jama_2018_18020_domain,MATCH($A84,primary_jama_2018_18020_key,0)),$K84)="plan_material"))),"not_applicable","")</f>
        <v/>
      </c>
      <c r="P84" s="9">
        <f>IF(OR(AND(IF($J84="",INDEX(primary_jama_2018_18020_disposition,MATCH($A84,primary_jama_2018_18020_key,0)),$J84)&lt;&gt;"",IF($J84="",INDEX(primary_jama_2018_18020_disposition,MATCH($A84,primary_jama_2018_18020_key,0)),$J84)&lt;&gt;"retain"),NOT(OR(IF($K84="",INDEX(primary_jama_2018_18020_domain,MATCH($A84,primary_jama_2018_18020_key,0)),$K84)="protocol_report"))),"not_applicable","")</f>
        <v/>
      </c>
      <c r="Q84" s="10" t="inlineStr"/>
      <c r="R84" s="10" t="inlineStr"/>
    </row>
    <row r="85" ht="76" customHeight="1">
      <c r="A85" s="3" t="inlineStr">
        <is>
          <t>2018::jama.2018.18020::C004</t>
        </is>
      </c>
      <c r="B85" s="3" t="inlineStr">
        <is>
          <t>jama.2018.18020</t>
        </is>
      </c>
      <c r="C85" s="3" t="inlineStr">
        <is>
          <t>Placebo “Any” adverse-reaction percentage does not reconcile with the apparent denominator</t>
        </is>
      </c>
      <c r="D85" s="8" t="inlineStr"/>
      <c r="E85" s="11" t="inlineStr"/>
      <c r="F85" s="8" t="inlineStr">
        <is>
          <t>no</t>
        </is>
      </c>
      <c r="G85" s="3">
        <f>IF(OR(AND(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L85&lt;&gt;"",L85&lt;&gt;"not_applicable"),AND(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M85&lt;&gt;"",M85&lt;&gt;"not_applicable"),AND(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N85&lt;&gt;"",N85&lt;&gt;"not_applicable"),AND(OR(AND(IF($J85="",INDEX(primary_jama_2018_18020_disposition,MATCH($A85,primary_jama_2018_18020_key,0)),$J85)&lt;&gt;"",IF($J85="",INDEX(primary_jama_2018_18020_disposition,MATCH($A85,primary_jama_2018_18020_key,0)),$J85)&lt;&gt;"retain"),NOT(OR(IF($K85="",INDEX(primary_jama_2018_18020_domain,MATCH($A85,primary_jama_2018_18020_key,0)),$K85)="internal_nonstatistical",IF($K85="",INDEX(primary_jama_2018_18020_domain,MATCH($A85,primary_jama_2018_18020_key,0)),$K85)="plan_material"))),O85&lt;&gt;"",O85&lt;&gt;"not_applicable"),AND(OR(AND(IF($J85="",INDEX(primary_jama_2018_18020_disposition,MATCH($A85,primary_jama_2018_18020_key,0)),$J85)&lt;&gt;"",IF($J85="",INDEX(primary_jama_2018_18020_disposition,MATCH($A85,primary_jama_2018_18020_key,0)),$J85)&lt;&gt;"retain"),NOT(OR(IF($K85="",INDEX(primary_jama_2018_18020_domain,MATCH($A85,primary_jama_2018_18020_key,0)),$K85)="protocol_report"))),P85&lt;&gt;"",P85&lt;&gt;"not_applicable")),"CLEAR INACTIVE VALUES",IF(D85="","PENDING",IF(AND(D85&lt;&gt;"agree",LEN(TRIM(E85))=0),"COMMENT NEEDED",IF(F85="yes","CHECKED - see resolution","DRAFT"))))</f>
        <v/>
      </c>
      <c r="H85" s="8" t="inlineStr">
        <is>
          <t>pending</t>
        </is>
      </c>
      <c r="I85" s="11" t="inlineStr"/>
      <c r="J85" s="8" t="inlineStr"/>
      <c r="K85" s="8" t="inlineStr"/>
      <c r="L85" s="8">
        <f>IF(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not_applicable","")</f>
        <v/>
      </c>
      <c r="M85" s="8">
        <f>IF(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not_applicable","")</f>
        <v/>
      </c>
      <c r="N85" s="9">
        <f>IF(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not_applicable","")</f>
        <v/>
      </c>
      <c r="O85" s="8">
        <f>IF(OR(AND(IF($J85="",INDEX(primary_jama_2018_18020_disposition,MATCH($A85,primary_jama_2018_18020_key,0)),$J85)&lt;&gt;"",IF($J85="",INDEX(primary_jama_2018_18020_disposition,MATCH($A85,primary_jama_2018_18020_key,0)),$J85)&lt;&gt;"retain"),NOT(OR(IF($K85="",INDEX(primary_jama_2018_18020_domain,MATCH($A85,primary_jama_2018_18020_key,0)),$K85)="internal_nonstatistical",IF($K85="",INDEX(primary_jama_2018_18020_domain,MATCH($A85,primary_jama_2018_18020_key,0)),$K85)="plan_material"))),"not_applicable","")</f>
        <v/>
      </c>
      <c r="P85" s="9">
        <f>IF(OR(AND(IF($J85="",INDEX(primary_jama_2018_18020_disposition,MATCH($A85,primary_jama_2018_18020_key,0)),$J85)&lt;&gt;"",IF($J85="",INDEX(primary_jama_2018_18020_disposition,MATCH($A85,primary_jama_2018_18020_key,0)),$J85)&lt;&gt;"retain"),NOT(OR(IF($K85="",INDEX(primary_jama_2018_18020_domain,MATCH($A85,primary_jama_2018_18020_key,0)),$K85)="protocol_report"))),"not_applicable","")</f>
        <v/>
      </c>
      <c r="Q85" s="10" t="inlineStr"/>
      <c r="R85" s="10" t="inlineStr"/>
    </row>
    <row r="86" ht="76" customHeight="1">
      <c r="A86" s="2" t="inlineStr">
        <is>
          <t>2018::jama.2018.18020::C005</t>
        </is>
      </c>
      <c r="B86" s="2" t="inlineStr">
        <is>
          <t>jama.2018.18020</t>
        </is>
      </c>
      <c r="C86" s="2" t="inlineStr">
        <is>
          <t>Bayesian parameter prose swaps mu_mex[i] and mu_plac[i] treatment labels</t>
        </is>
      </c>
      <c r="D86" s="8" t="inlineStr"/>
      <c r="E86" s="11" t="inlineStr"/>
      <c r="F86" s="8" t="inlineStr">
        <is>
          <t>no</t>
        </is>
      </c>
      <c r="G86" s="2">
        <f>IF(OR(AND(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L86&lt;&gt;"",L86&lt;&gt;"not_applicable"),AND(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M86&lt;&gt;"",M86&lt;&gt;"not_applicable"),AND(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N86&lt;&gt;"",N86&lt;&gt;"not_applicable"),AND(OR(AND(IF($J86="",INDEX(primary_jama_2018_18020_disposition,MATCH($A86,primary_jama_2018_18020_key,0)),$J86)&lt;&gt;"",IF($J86="",INDEX(primary_jama_2018_18020_disposition,MATCH($A86,primary_jama_2018_18020_key,0)),$J86)&lt;&gt;"retain"),NOT(OR(IF($K86="",INDEX(primary_jama_2018_18020_domain,MATCH($A86,primary_jama_2018_18020_key,0)),$K86)="internal_nonstatistical",IF($K86="",INDEX(primary_jama_2018_18020_domain,MATCH($A86,primary_jama_2018_18020_key,0)),$K86)="plan_material"))),O86&lt;&gt;"",O86&lt;&gt;"not_applicable"),AND(OR(AND(IF($J86="",INDEX(primary_jama_2018_18020_disposition,MATCH($A86,primary_jama_2018_18020_key,0)),$J86)&lt;&gt;"",IF($J86="",INDEX(primary_jama_2018_18020_disposition,MATCH($A86,primary_jama_2018_18020_key,0)),$J86)&lt;&gt;"retain"),NOT(OR(IF($K86="",INDEX(primary_jama_2018_18020_domain,MATCH($A86,primary_jama_2018_18020_key,0)),$K86)="protocol_report"))),P86&lt;&gt;"",P86&lt;&gt;"not_applicable")),"CLEAR INACTIVE VALUES",IF(D86="","PENDING",IF(AND(D86&lt;&gt;"agree",LEN(TRIM(E86))=0),"COMMENT NEEDED",IF(F86="yes","CHECKED - see resolution","DRAFT"))))</f>
        <v/>
      </c>
      <c r="H86" s="8" t="inlineStr">
        <is>
          <t>pending</t>
        </is>
      </c>
      <c r="I86" s="11" t="inlineStr"/>
      <c r="J86" s="8" t="inlineStr"/>
      <c r="K86" s="8" t="inlineStr"/>
      <c r="L86" s="8">
        <f>IF(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not_applicable","")</f>
        <v/>
      </c>
      <c r="M86" s="8">
        <f>IF(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not_applicable","")</f>
        <v/>
      </c>
      <c r="N86" s="9">
        <f>IF(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not_applicable","")</f>
        <v/>
      </c>
      <c r="O86" s="8">
        <f>IF(OR(AND(IF($J86="",INDEX(primary_jama_2018_18020_disposition,MATCH($A86,primary_jama_2018_18020_key,0)),$J86)&lt;&gt;"",IF($J86="",INDEX(primary_jama_2018_18020_disposition,MATCH($A86,primary_jama_2018_18020_key,0)),$J86)&lt;&gt;"retain"),NOT(OR(IF($K86="",INDEX(primary_jama_2018_18020_domain,MATCH($A86,primary_jama_2018_18020_key,0)),$K86)="internal_nonstatistical",IF($K86="",INDEX(primary_jama_2018_18020_domain,MATCH($A86,primary_jama_2018_18020_key,0)),$K86)="plan_material"))),"not_applicable","")</f>
        <v/>
      </c>
      <c r="P86" s="9">
        <f>IF(OR(AND(IF($J86="",INDEX(primary_jama_2018_18020_disposition,MATCH($A86,primary_jama_2018_18020_key,0)),$J86)&lt;&gt;"",IF($J86="",INDEX(primary_jama_2018_18020_disposition,MATCH($A86,primary_jama_2018_18020_key,0)),$J86)&lt;&gt;"retain"),NOT(OR(IF($K86="",INDEX(primary_jama_2018_18020_domain,MATCH($A86,primary_jama_2018_18020_key,0)),$K86)="protocol_report"))),"not_applicable","")</f>
        <v/>
      </c>
      <c r="Q86" s="10" t="inlineStr"/>
      <c r="R86" s="10" t="inlineStr"/>
    </row>
    <row r="87" ht="76" customHeight="1">
      <c r="A87" s="3" t="inlineStr">
        <is>
          <t>2018::jama.2018.18020::C006</t>
        </is>
      </c>
      <c r="B87" s="3" t="inlineStr">
        <is>
          <t>jama.2018.18020</t>
        </is>
      </c>
      <c r="C87" s="3" t="inlineStr">
        <is>
          <t>diff_CLCN1 is described as an SCN4A contrast</t>
        </is>
      </c>
      <c r="D87" s="8" t="inlineStr"/>
      <c r="E87" s="11" t="inlineStr"/>
      <c r="F87" s="8" t="inlineStr">
        <is>
          <t>no</t>
        </is>
      </c>
      <c r="G87" s="3">
        <f>IF(OR(AND(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L87&lt;&gt;"",L87&lt;&gt;"not_applicable"),AND(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M87&lt;&gt;"",M87&lt;&gt;"not_applicable"),AND(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N87&lt;&gt;"",N87&lt;&gt;"not_applicable"),AND(OR(AND(IF($J87="",INDEX(primary_jama_2018_18020_disposition,MATCH($A87,primary_jama_2018_18020_key,0)),$J87)&lt;&gt;"",IF($J87="",INDEX(primary_jama_2018_18020_disposition,MATCH($A87,primary_jama_2018_18020_key,0)),$J87)&lt;&gt;"retain"),NOT(OR(IF($K87="",INDEX(primary_jama_2018_18020_domain,MATCH($A87,primary_jama_2018_18020_key,0)),$K87)="internal_nonstatistical",IF($K87="",INDEX(primary_jama_2018_18020_domain,MATCH($A87,primary_jama_2018_18020_key,0)),$K87)="plan_material"))),O87&lt;&gt;"",O87&lt;&gt;"not_applicable"),AND(OR(AND(IF($J87="",INDEX(primary_jama_2018_18020_disposition,MATCH($A87,primary_jama_2018_18020_key,0)),$J87)&lt;&gt;"",IF($J87="",INDEX(primary_jama_2018_18020_disposition,MATCH($A87,primary_jama_2018_18020_key,0)),$J87)&lt;&gt;"retain"),NOT(OR(IF($K87="",INDEX(primary_jama_2018_18020_domain,MATCH($A87,primary_jama_2018_18020_key,0)),$K87)="protocol_report"))),P87&lt;&gt;"",P87&lt;&gt;"not_applicable")),"CLEAR INACTIVE VALUES",IF(D87="","PENDING",IF(AND(D87&lt;&gt;"agree",LEN(TRIM(E87))=0),"COMMENT NEEDED",IF(F87="yes","CHECKED - see resolution","DRAFT"))))</f>
        <v/>
      </c>
      <c r="H87" s="8" t="inlineStr">
        <is>
          <t>pending</t>
        </is>
      </c>
      <c r="I87" s="11" t="inlineStr"/>
      <c r="J87" s="8" t="inlineStr"/>
      <c r="K87" s="8" t="inlineStr"/>
      <c r="L87" s="8">
        <f>IF(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not_applicable","")</f>
        <v/>
      </c>
      <c r="M87" s="8">
        <f>IF(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not_applicable","")</f>
        <v/>
      </c>
      <c r="N87" s="9">
        <f>IF(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not_applicable","")</f>
        <v/>
      </c>
      <c r="O87" s="8">
        <f>IF(OR(AND(IF($J87="",INDEX(primary_jama_2018_18020_disposition,MATCH($A87,primary_jama_2018_18020_key,0)),$J87)&lt;&gt;"",IF($J87="",INDEX(primary_jama_2018_18020_disposition,MATCH($A87,primary_jama_2018_18020_key,0)),$J87)&lt;&gt;"retain"),NOT(OR(IF($K87="",INDEX(primary_jama_2018_18020_domain,MATCH($A87,primary_jama_2018_18020_key,0)),$K87)="internal_nonstatistical",IF($K87="",INDEX(primary_jama_2018_18020_domain,MATCH($A87,primary_jama_2018_18020_key,0)),$K87)="plan_material"))),"not_applicable","")</f>
        <v/>
      </c>
      <c r="P87" s="9">
        <f>IF(OR(AND(IF($J87="",INDEX(primary_jama_2018_18020_disposition,MATCH($A87,primary_jama_2018_18020_key,0)),$J87)&lt;&gt;"",IF($J87="",INDEX(primary_jama_2018_18020_disposition,MATCH($A87,primary_jama_2018_18020_key,0)),$J87)&lt;&gt;"retain"),NOT(OR(IF($K87="",INDEX(primary_jama_2018_18020_domain,MATCH($A87,primary_jama_2018_18020_key,0)),$K87)="protocol_report"))),"not_applicable","")</f>
        <v/>
      </c>
      <c r="Q87" s="10" t="inlineStr"/>
      <c r="R87" s="10" t="inlineStr"/>
    </row>
    <row r="88" ht="76" customHeight="1">
      <c r="A88" s="2" t="inlineStr">
        <is>
          <t>2018::jama.2018.18020::C007</t>
        </is>
      </c>
      <c r="B88" s="2" t="inlineStr">
        <is>
          <t>jama.2018.18020</t>
        </is>
      </c>
      <c r="C88" s="2" t="inlineStr">
        <is>
          <t>sigma.mex is described as placebo-period variability</t>
        </is>
      </c>
      <c r="D88" s="8" t="inlineStr"/>
      <c r="E88" s="11" t="inlineStr"/>
      <c r="F88" s="8" t="inlineStr">
        <is>
          <t>no</t>
        </is>
      </c>
      <c r="G88" s="2">
        <f>IF(OR(AND(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L88&lt;&gt;"",L88&lt;&gt;"not_applicable"),AND(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M88&lt;&gt;"",M88&lt;&gt;"not_applicable"),AND(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N88&lt;&gt;"",N88&lt;&gt;"not_applicable"),AND(OR(AND(IF($J88="",INDEX(primary_jama_2018_18020_disposition,MATCH($A88,primary_jama_2018_18020_key,0)),$J88)&lt;&gt;"",IF($J88="",INDEX(primary_jama_2018_18020_disposition,MATCH($A88,primary_jama_2018_18020_key,0)),$J88)&lt;&gt;"retain"),NOT(OR(IF($K88="",INDEX(primary_jama_2018_18020_domain,MATCH($A88,primary_jama_2018_18020_key,0)),$K88)="internal_nonstatistical",IF($K88="",INDEX(primary_jama_2018_18020_domain,MATCH($A88,primary_jama_2018_18020_key,0)),$K88)="plan_material"))),O88&lt;&gt;"",O88&lt;&gt;"not_applicable"),AND(OR(AND(IF($J88="",INDEX(primary_jama_2018_18020_disposition,MATCH($A88,primary_jama_2018_18020_key,0)),$J88)&lt;&gt;"",IF($J88="",INDEX(primary_jama_2018_18020_disposition,MATCH($A88,primary_jama_2018_18020_key,0)),$J88)&lt;&gt;"retain"),NOT(OR(IF($K88="",INDEX(primary_jama_2018_18020_domain,MATCH($A88,primary_jama_2018_18020_key,0)),$K88)="protocol_report"))),P88&lt;&gt;"",P88&lt;&gt;"not_applicable")),"CLEAR INACTIVE VALUES",IF(D88="","PENDING",IF(AND(D88&lt;&gt;"agree",LEN(TRIM(E88))=0),"COMMENT NEEDED",IF(F88="yes","CHECKED - see resolution","DRAFT"))))</f>
        <v/>
      </c>
      <c r="H88" s="8" t="inlineStr">
        <is>
          <t>pending</t>
        </is>
      </c>
      <c r="I88" s="11" t="inlineStr"/>
      <c r="J88" s="8" t="inlineStr"/>
      <c r="K88" s="8" t="inlineStr"/>
      <c r="L88" s="8">
        <f>IF(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not_applicable","")</f>
        <v/>
      </c>
      <c r="M88" s="8">
        <f>IF(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not_applicable","")</f>
        <v/>
      </c>
      <c r="N88" s="9">
        <f>IF(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not_applicable","")</f>
        <v/>
      </c>
      <c r="O88" s="8">
        <f>IF(OR(AND(IF($J88="",INDEX(primary_jama_2018_18020_disposition,MATCH($A88,primary_jama_2018_18020_key,0)),$J88)&lt;&gt;"",IF($J88="",INDEX(primary_jama_2018_18020_disposition,MATCH($A88,primary_jama_2018_18020_key,0)),$J88)&lt;&gt;"retain"),NOT(OR(IF($K88="",INDEX(primary_jama_2018_18020_domain,MATCH($A88,primary_jama_2018_18020_key,0)),$K88)="internal_nonstatistical",IF($K88="",INDEX(primary_jama_2018_18020_domain,MATCH($A88,primary_jama_2018_18020_key,0)),$K88)="plan_material"))),"not_applicable","")</f>
        <v/>
      </c>
      <c r="P88" s="9">
        <f>IF(OR(AND(IF($J88="",INDEX(primary_jama_2018_18020_disposition,MATCH($A88,primary_jama_2018_18020_key,0)),$J88)&lt;&gt;"",IF($J88="",INDEX(primary_jama_2018_18020_disposition,MATCH($A88,primary_jama_2018_18020_key,0)),$J88)&lt;&gt;"retain"),NOT(OR(IF($K88="",INDEX(primary_jama_2018_18020_domain,MATCH($A88,primary_jama_2018_18020_key,0)),$K88)="protocol_report"))),"not_applicable","")</f>
        <v/>
      </c>
      <c r="Q88" s="10" t="inlineStr"/>
      <c r="R88" s="10" t="inlineStr"/>
    </row>
    <row r="89" ht="76" customHeight="1">
      <c r="A89" s="3" t="inlineStr">
        <is>
          <t>2018::jama.2018.18020::C008</t>
        </is>
      </c>
      <c r="B89" s="3" t="inlineStr">
        <is>
          <t>jama.2018.18020</t>
        </is>
      </c>
      <c r="C89" s="3" t="inlineStr">
        <is>
          <t>Main text prints CLNC1 for the matched CLCN1 genotype subgroup</t>
        </is>
      </c>
      <c r="D89" s="8" t="inlineStr"/>
      <c r="E89" s="11" t="inlineStr"/>
      <c r="F89" s="8" t="inlineStr">
        <is>
          <t>no</t>
        </is>
      </c>
      <c r="G89" s="3">
        <f>IF(OR(AND(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L89&lt;&gt;"",L89&lt;&gt;"not_applicable"),AND(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M89&lt;&gt;"",M89&lt;&gt;"not_applicable"),AND(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N89&lt;&gt;"",N89&lt;&gt;"not_applicable"),AND(OR(AND(IF($J89="",INDEX(primary_jama_2018_18020_disposition,MATCH($A89,primary_jama_2018_18020_key,0)),$J89)&lt;&gt;"",IF($J89="",INDEX(primary_jama_2018_18020_disposition,MATCH($A89,primary_jama_2018_18020_key,0)),$J89)&lt;&gt;"retain"),NOT(OR(IF($K89="",INDEX(primary_jama_2018_18020_domain,MATCH($A89,primary_jama_2018_18020_key,0)),$K89)="internal_nonstatistical",IF($K89="",INDEX(primary_jama_2018_18020_domain,MATCH($A89,primary_jama_2018_18020_key,0)),$K89)="plan_material"))),O89&lt;&gt;"",O89&lt;&gt;"not_applicable"),AND(OR(AND(IF($J89="",INDEX(primary_jama_2018_18020_disposition,MATCH($A89,primary_jama_2018_18020_key,0)),$J89)&lt;&gt;"",IF($J89="",INDEX(primary_jama_2018_18020_disposition,MATCH($A89,primary_jama_2018_18020_key,0)),$J89)&lt;&gt;"retain"),NOT(OR(IF($K89="",INDEX(primary_jama_2018_18020_domain,MATCH($A89,primary_jama_2018_18020_key,0)),$K89)="protocol_report"))),P89&lt;&gt;"",P89&lt;&gt;"not_applicable")),"CLEAR INACTIVE VALUES",IF(D89="","PENDING",IF(AND(D89&lt;&gt;"agree",LEN(TRIM(E89))=0),"COMMENT NEEDED",IF(F89="yes","CHECKED - see resolution","DRAFT"))))</f>
        <v/>
      </c>
      <c r="H89" s="8" t="inlineStr">
        <is>
          <t>pending</t>
        </is>
      </c>
      <c r="I89" s="11" t="inlineStr"/>
      <c r="J89" s="8" t="inlineStr"/>
      <c r="K89" s="8" t="inlineStr"/>
      <c r="L89" s="8">
        <f>IF(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not_applicable","")</f>
        <v/>
      </c>
      <c r="M89" s="8">
        <f>IF(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not_applicable","")</f>
        <v/>
      </c>
      <c r="N89" s="9">
        <f>IF(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not_applicable","")</f>
        <v/>
      </c>
      <c r="O89" s="8">
        <f>IF(OR(AND(IF($J89="",INDEX(primary_jama_2018_18020_disposition,MATCH($A89,primary_jama_2018_18020_key,0)),$J89)&lt;&gt;"",IF($J89="",INDEX(primary_jama_2018_18020_disposition,MATCH($A89,primary_jama_2018_18020_key,0)),$J89)&lt;&gt;"retain"),NOT(OR(IF($K89="",INDEX(primary_jama_2018_18020_domain,MATCH($A89,primary_jama_2018_18020_key,0)),$K89)="internal_nonstatistical",IF($K89="",INDEX(primary_jama_2018_18020_domain,MATCH($A89,primary_jama_2018_18020_key,0)),$K89)="plan_material"))),"not_applicable","")</f>
        <v/>
      </c>
      <c r="P89" s="9">
        <f>IF(OR(AND(IF($J89="",INDEX(primary_jama_2018_18020_disposition,MATCH($A89,primary_jama_2018_18020_key,0)),$J89)&lt;&gt;"",IF($J89="",INDEX(primary_jama_2018_18020_disposition,MATCH($A89,primary_jama_2018_18020_key,0)),$J89)&lt;&gt;"retain"),NOT(OR(IF($K89="",INDEX(primary_jama_2018_18020_domain,MATCH($A89,primary_jama_2018_18020_key,0)),$K89)="protocol_report"))),"not_applicable","")</f>
        <v/>
      </c>
      <c r="Q89" s="10" t="inlineStr"/>
      <c r="R89" s="10" t="inlineStr"/>
    </row>
    <row r="90" ht="76" customHeight="1">
      <c r="A90" s="2" t="inlineStr">
        <is>
          <t>2018::jama.2018.18020::C009</t>
        </is>
      </c>
      <c r="B90" s="2" t="inlineStr">
        <is>
          <t>jama.2018.18020</t>
        </is>
      </c>
      <c r="C90" s="2" t="inlineStr">
        <is>
          <t>SF-36 mental-component P value conflicts with the dependent-t 95% CI</t>
        </is>
      </c>
      <c r="D90" s="8" t="inlineStr"/>
      <c r="E90" s="11" t="inlineStr"/>
      <c r="F90" s="8" t="inlineStr">
        <is>
          <t>no</t>
        </is>
      </c>
      <c r="G90" s="2">
        <f>IF(OR(AND(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L90&lt;&gt;"",L90&lt;&gt;"not_applicable"),AND(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M90&lt;&gt;"",M90&lt;&gt;"not_applicable"),AND(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N90&lt;&gt;"",N90&lt;&gt;"not_applicable"),AND(OR(AND(IF($J90="",INDEX(primary_jama_2018_18020_disposition,MATCH($A90,primary_jama_2018_18020_key,0)),$J90)&lt;&gt;"",IF($J90="",INDEX(primary_jama_2018_18020_disposition,MATCH($A90,primary_jama_2018_18020_key,0)),$J90)&lt;&gt;"retain"),NOT(OR(IF($K90="",INDEX(primary_jama_2018_18020_domain,MATCH($A90,primary_jama_2018_18020_key,0)),$K90)="internal_nonstatistical",IF($K90="",INDEX(primary_jama_2018_18020_domain,MATCH($A90,primary_jama_2018_18020_key,0)),$K90)="plan_material"))),O90&lt;&gt;"",O90&lt;&gt;"not_applicable"),AND(OR(AND(IF($J90="",INDEX(primary_jama_2018_18020_disposition,MATCH($A90,primary_jama_2018_18020_key,0)),$J90)&lt;&gt;"",IF($J90="",INDEX(primary_jama_2018_18020_disposition,MATCH($A90,primary_jama_2018_18020_key,0)),$J90)&lt;&gt;"retain"),NOT(OR(IF($K90="",INDEX(primary_jama_2018_18020_domain,MATCH($A90,primary_jama_2018_18020_key,0)),$K90)="protocol_report"))),P90&lt;&gt;"",P90&lt;&gt;"not_applicable")),"CLEAR INACTIVE VALUES",IF(D90="","PENDING",IF(AND(D90&lt;&gt;"agree",LEN(TRIM(E90))=0),"COMMENT NEEDED",IF(F90="yes","CHECKED - see resolution","DRAFT"))))</f>
        <v/>
      </c>
      <c r="H90" s="8" t="inlineStr">
        <is>
          <t>pending</t>
        </is>
      </c>
      <c r="I90" s="11" t="inlineStr"/>
      <c r="J90" s="8" t="inlineStr"/>
      <c r="K90" s="8" t="inlineStr"/>
      <c r="L90" s="8">
        <f>IF(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not_applicable","")</f>
        <v/>
      </c>
      <c r="M90" s="8">
        <f>IF(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not_applicable","")</f>
        <v/>
      </c>
      <c r="N90" s="9">
        <f>IF(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not_applicable","")</f>
        <v/>
      </c>
      <c r="O90" s="8">
        <f>IF(OR(AND(IF($J90="",INDEX(primary_jama_2018_18020_disposition,MATCH($A90,primary_jama_2018_18020_key,0)),$J90)&lt;&gt;"",IF($J90="",INDEX(primary_jama_2018_18020_disposition,MATCH($A90,primary_jama_2018_18020_key,0)),$J90)&lt;&gt;"retain"),NOT(OR(IF($K90="",INDEX(primary_jama_2018_18020_domain,MATCH($A90,primary_jama_2018_18020_key,0)),$K90)="internal_nonstatistical",IF($K90="",INDEX(primary_jama_2018_18020_domain,MATCH($A90,primary_jama_2018_18020_key,0)),$K90)="plan_material"))),"not_applicable","")</f>
        <v/>
      </c>
      <c r="P90" s="9">
        <f>IF(OR(AND(IF($J90="",INDEX(primary_jama_2018_18020_disposition,MATCH($A90,primary_jama_2018_18020_key,0)),$J90)&lt;&gt;"",IF($J90="",INDEX(primary_jama_2018_18020_disposition,MATCH($A90,primary_jama_2018_18020_key,0)),$J90)&lt;&gt;"retain"),NOT(OR(IF($K90="",INDEX(primary_jama_2018_18020_domain,MATCH($A90,primary_jama_2018_18020_key,0)),$K90)="protocol_report"))),"not_applicable","")</f>
        <v/>
      </c>
      <c r="Q90" s="10" t="inlineStr"/>
      <c r="R90" s="10" t="inlineStr"/>
    </row>
    <row r="91" ht="76" customHeight="1">
      <c r="A91" s="3" t="inlineStr">
        <is>
          <t>2018::jama.2018.18020::C010</t>
        </is>
      </c>
      <c r="B91" s="3" t="inlineStr">
        <is>
          <t>jama.2018.18020</t>
        </is>
      </c>
      <c r="C91" s="3" t="inlineStr">
        <is>
          <t>SCN4A fifth handgrip-action-myotonia P value conflicts with its 95% CI</t>
        </is>
      </c>
      <c r="D91" s="8" t="inlineStr"/>
      <c r="E91" s="11" t="inlineStr"/>
      <c r="F91" s="8" t="inlineStr">
        <is>
          <t>no</t>
        </is>
      </c>
      <c r="G91" s="3">
        <f>IF(OR(AND(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L91&lt;&gt;"",L91&lt;&gt;"not_applicable"),AND(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M91&lt;&gt;"",M91&lt;&gt;"not_applicable"),AND(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N91&lt;&gt;"",N91&lt;&gt;"not_applicable"),AND(OR(AND(IF($J91="",INDEX(primary_jama_2018_18020_disposition,MATCH($A91,primary_jama_2018_18020_key,0)),$J91)&lt;&gt;"",IF($J91="",INDEX(primary_jama_2018_18020_disposition,MATCH($A91,primary_jama_2018_18020_key,0)),$J91)&lt;&gt;"retain"),NOT(OR(IF($K91="",INDEX(primary_jama_2018_18020_domain,MATCH($A91,primary_jama_2018_18020_key,0)),$K91)="internal_nonstatistical",IF($K91="",INDEX(primary_jama_2018_18020_domain,MATCH($A91,primary_jama_2018_18020_key,0)),$K91)="plan_material"))),O91&lt;&gt;"",O91&lt;&gt;"not_applicable"),AND(OR(AND(IF($J91="",INDEX(primary_jama_2018_18020_disposition,MATCH($A91,primary_jama_2018_18020_key,0)),$J91)&lt;&gt;"",IF($J91="",INDEX(primary_jama_2018_18020_disposition,MATCH($A91,primary_jama_2018_18020_key,0)),$J91)&lt;&gt;"retain"),NOT(OR(IF($K91="",INDEX(primary_jama_2018_18020_domain,MATCH($A91,primary_jama_2018_18020_key,0)),$K91)="protocol_report"))),P91&lt;&gt;"",P91&lt;&gt;"not_applicable")),"CLEAR INACTIVE VALUES",IF(D91="","PENDING",IF(AND(D91&lt;&gt;"agree",LEN(TRIM(E91))=0),"COMMENT NEEDED",IF(F91="yes","CHECKED - see resolution","DRAFT"))))</f>
        <v/>
      </c>
      <c r="H91" s="8" t="inlineStr">
        <is>
          <t>pending</t>
        </is>
      </c>
      <c r="I91" s="11" t="inlineStr"/>
      <c r="J91" s="8" t="inlineStr"/>
      <c r="K91" s="8" t="inlineStr"/>
      <c r="L91" s="8">
        <f>IF(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not_applicable","")</f>
        <v/>
      </c>
      <c r="M91" s="8">
        <f>IF(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not_applicable","")</f>
        <v/>
      </c>
      <c r="N91" s="9">
        <f>IF(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not_applicable","")</f>
        <v/>
      </c>
      <c r="O91" s="8">
        <f>IF(OR(AND(IF($J91="",INDEX(primary_jama_2018_18020_disposition,MATCH($A91,primary_jama_2018_18020_key,0)),$J91)&lt;&gt;"",IF($J91="",INDEX(primary_jama_2018_18020_disposition,MATCH($A91,primary_jama_2018_18020_key,0)),$J91)&lt;&gt;"retain"),NOT(OR(IF($K91="",INDEX(primary_jama_2018_18020_domain,MATCH($A91,primary_jama_2018_18020_key,0)),$K91)="internal_nonstatistical",IF($K91="",INDEX(primary_jama_2018_18020_domain,MATCH($A91,primary_jama_2018_18020_key,0)),$K91)="plan_material"))),"not_applicable","")</f>
        <v/>
      </c>
      <c r="P91" s="9">
        <f>IF(OR(AND(IF($J91="",INDEX(primary_jama_2018_18020_disposition,MATCH($A91,primary_jama_2018_18020_key,0)),$J91)&lt;&gt;"",IF($J91="",INDEX(primary_jama_2018_18020_disposition,MATCH($A91,primary_jama_2018_18020_key,0)),$J91)&lt;&gt;"retain"),NOT(OR(IF($K91="",INDEX(primary_jama_2018_18020_domain,MATCH($A91,primary_jama_2018_18020_key,0)),$K91)="protocol_report"))),"not_applicable","")</f>
        <v/>
      </c>
      <c r="Q91" s="10" t="inlineStr"/>
      <c r="R91" s="10" t="inlineStr"/>
    </row>
    <row r="92" ht="76" customHeight="1">
      <c r="A92" s="2" t="inlineStr">
        <is>
          <t>2018::jama.2018.18020::C011</t>
        </is>
      </c>
      <c r="B92" s="2" t="inlineStr">
        <is>
          <t>jama.2018.18020</t>
        </is>
      </c>
      <c r="C92" s="2" t="inlineStr">
        <is>
          <t>SCN4A fifth transient-paresis estimate, interval, and P value do not form a compatible dependent-t result</t>
        </is>
      </c>
      <c r="D92" s="8" t="inlineStr"/>
      <c r="E92" s="11" t="inlineStr"/>
      <c r="F92" s="8" t="inlineStr">
        <is>
          <t>no</t>
        </is>
      </c>
      <c r="G92" s="2">
        <f>IF(OR(AND(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L92&lt;&gt;"",L92&lt;&gt;"not_applicable"),AND(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M92&lt;&gt;"",M92&lt;&gt;"not_applicable"),AND(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N92&lt;&gt;"",N92&lt;&gt;"not_applicable"),AND(OR(AND(IF($J92="",INDEX(primary_jama_2018_18020_disposition,MATCH($A92,primary_jama_2018_18020_key,0)),$J92)&lt;&gt;"",IF($J92="",INDEX(primary_jama_2018_18020_disposition,MATCH($A92,primary_jama_2018_18020_key,0)),$J92)&lt;&gt;"retain"),NOT(OR(IF($K92="",INDEX(primary_jama_2018_18020_domain,MATCH($A92,primary_jama_2018_18020_key,0)),$K92)="internal_nonstatistical",IF($K92="",INDEX(primary_jama_2018_18020_domain,MATCH($A92,primary_jama_2018_18020_key,0)),$K92)="plan_material"))),O92&lt;&gt;"",O92&lt;&gt;"not_applicable"),AND(OR(AND(IF($J92="",INDEX(primary_jama_2018_18020_disposition,MATCH($A92,primary_jama_2018_18020_key,0)),$J92)&lt;&gt;"",IF($J92="",INDEX(primary_jama_2018_18020_disposition,MATCH($A92,primary_jama_2018_18020_key,0)),$J92)&lt;&gt;"retain"),NOT(OR(IF($K92="",INDEX(primary_jama_2018_18020_domain,MATCH($A92,primary_jama_2018_18020_key,0)),$K92)="protocol_report"))),P92&lt;&gt;"",P92&lt;&gt;"not_applicable")),"CLEAR INACTIVE VALUES",IF(D92="","PENDING",IF(AND(D92&lt;&gt;"agree",LEN(TRIM(E92))=0),"COMMENT NEEDED",IF(F92="yes","CHECKED - see resolution","DRAFT"))))</f>
        <v/>
      </c>
      <c r="H92" s="8" t="inlineStr">
        <is>
          <t>pending</t>
        </is>
      </c>
      <c r="I92" s="11" t="inlineStr"/>
      <c r="J92" s="8" t="inlineStr"/>
      <c r="K92" s="8" t="inlineStr"/>
      <c r="L92" s="8">
        <f>IF(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not_applicable","")</f>
        <v/>
      </c>
      <c r="M92" s="8">
        <f>IF(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not_applicable","")</f>
        <v/>
      </c>
      <c r="N92" s="9">
        <f>IF(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not_applicable","")</f>
        <v/>
      </c>
      <c r="O92" s="8">
        <f>IF(OR(AND(IF($J92="",INDEX(primary_jama_2018_18020_disposition,MATCH($A92,primary_jama_2018_18020_key,0)),$J92)&lt;&gt;"",IF($J92="",INDEX(primary_jama_2018_18020_disposition,MATCH($A92,primary_jama_2018_18020_key,0)),$J92)&lt;&gt;"retain"),NOT(OR(IF($K92="",INDEX(primary_jama_2018_18020_domain,MATCH($A92,primary_jama_2018_18020_key,0)),$K92)="internal_nonstatistical",IF($K92="",INDEX(primary_jama_2018_18020_domain,MATCH($A92,primary_jama_2018_18020_key,0)),$K92)="plan_material"))),"not_applicable","")</f>
        <v/>
      </c>
      <c r="P92" s="9">
        <f>IF(OR(AND(IF($J92="",INDEX(primary_jama_2018_18020_disposition,MATCH($A92,primary_jama_2018_18020_key,0)),$J92)&lt;&gt;"",IF($J92="",INDEX(primary_jama_2018_18020_disposition,MATCH($A92,primary_jama_2018_18020_key,0)),$J92)&lt;&gt;"retain"),NOT(OR(IF($K92="",INDEX(primary_jama_2018_18020_domain,MATCH($A92,primary_jama_2018_18020_key,0)),$K92)="protocol_report"))),"not_applicable","")</f>
        <v/>
      </c>
      <c r="Q92" s="10" t="inlineStr"/>
      <c r="R92" s="10" t="inlineStr"/>
    </row>
    <row r="93" ht="76" customHeight="1">
      <c r="A93" s="3" t="inlineStr">
        <is>
          <t>2018::jama.2018.18020::C012</t>
        </is>
      </c>
      <c r="B93" s="3" t="inlineStr">
        <is>
          <t>jama.2018.18020</t>
        </is>
      </c>
      <c r="C93" s="3" t="inlineStr">
        <is>
          <t>Myotonic-discharge P value conflicts with the dependent-t 95% CI</t>
        </is>
      </c>
      <c r="D93" s="8" t="inlineStr"/>
      <c r="E93" s="11" t="inlineStr"/>
      <c r="F93" s="8" t="inlineStr">
        <is>
          <t>no</t>
        </is>
      </c>
      <c r="G93" s="3">
        <f>IF(OR(AND(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L93&lt;&gt;"",L93&lt;&gt;"not_applicable"),AND(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M93&lt;&gt;"",M93&lt;&gt;"not_applicable"),AND(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N93&lt;&gt;"",N93&lt;&gt;"not_applicable"),AND(OR(AND(IF($J93="",INDEX(primary_jama_2018_18020_disposition,MATCH($A93,primary_jama_2018_18020_key,0)),$J93)&lt;&gt;"",IF($J93="",INDEX(primary_jama_2018_18020_disposition,MATCH($A93,primary_jama_2018_18020_key,0)),$J93)&lt;&gt;"retain"),NOT(OR(IF($K93="",INDEX(primary_jama_2018_18020_domain,MATCH($A93,primary_jama_2018_18020_key,0)),$K93)="internal_nonstatistical",IF($K93="",INDEX(primary_jama_2018_18020_domain,MATCH($A93,primary_jama_2018_18020_key,0)),$K93)="plan_material"))),O93&lt;&gt;"",O93&lt;&gt;"not_applicable"),AND(OR(AND(IF($J93="",INDEX(primary_jama_2018_18020_disposition,MATCH($A93,primary_jama_2018_18020_key,0)),$J93)&lt;&gt;"",IF($J93="",INDEX(primary_jama_2018_18020_disposition,MATCH($A93,primary_jama_2018_18020_key,0)),$J93)&lt;&gt;"retain"),NOT(OR(IF($K93="",INDEX(primary_jama_2018_18020_domain,MATCH($A93,primary_jama_2018_18020_key,0)),$K93)="protocol_report"))),P93&lt;&gt;"",P93&lt;&gt;"not_applicable")),"CLEAR INACTIVE VALUES",IF(D93="","PENDING",IF(AND(D93&lt;&gt;"agree",LEN(TRIM(E93))=0),"COMMENT NEEDED",IF(F93="yes","CHECKED - see resolution","DRAFT"))))</f>
        <v/>
      </c>
      <c r="H93" s="8" t="inlineStr">
        <is>
          <t>pending</t>
        </is>
      </c>
      <c r="I93" s="11" t="inlineStr"/>
      <c r="J93" s="8" t="inlineStr"/>
      <c r="K93" s="8" t="inlineStr"/>
      <c r="L93" s="8">
        <f>IF(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not_applicable","")</f>
        <v/>
      </c>
      <c r="M93" s="8">
        <f>IF(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not_applicable","")</f>
        <v/>
      </c>
      <c r="N93" s="9">
        <f>IF(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not_applicable","")</f>
        <v/>
      </c>
      <c r="O93" s="8">
        <f>IF(OR(AND(IF($J93="",INDEX(primary_jama_2018_18020_disposition,MATCH($A93,primary_jama_2018_18020_key,0)),$J93)&lt;&gt;"",IF($J93="",INDEX(primary_jama_2018_18020_disposition,MATCH($A93,primary_jama_2018_18020_key,0)),$J93)&lt;&gt;"retain"),NOT(OR(IF($K93="",INDEX(primary_jama_2018_18020_domain,MATCH($A93,primary_jama_2018_18020_key,0)),$K93)="internal_nonstatistical",IF($K93="",INDEX(primary_jama_2018_18020_domain,MATCH($A93,primary_jama_2018_18020_key,0)),$K93)="plan_material"))),"not_applicable","")</f>
        <v/>
      </c>
      <c r="P93" s="9">
        <f>IF(OR(AND(IF($J93="",INDEX(primary_jama_2018_18020_disposition,MATCH($A93,primary_jama_2018_18020_key,0)),$J93)&lt;&gt;"",IF($J93="",INDEX(primary_jama_2018_18020_disposition,MATCH($A93,primary_jama_2018_18020_key,0)),$J93)&lt;&gt;"retain"),NOT(OR(IF($K93="",INDEX(primary_jama_2018_18020_domain,MATCH($A93,primary_jama_2018_18020_key,0)),$K93)="protocol_report"))),"not_applicable","")</f>
        <v/>
      </c>
      <c r="Q93" s="10" t="inlineStr"/>
      <c r="R93" s="10" t="inlineStr"/>
    </row>
    <row r="94" ht="76" customHeight="1">
      <c r="A94" s="2" t="inlineStr">
        <is>
          <t>2018::jama.2018.18020::C013</t>
        </is>
      </c>
      <c r="B94" s="2" t="inlineStr">
        <is>
          <t>jama.2018.18020</t>
        </is>
      </c>
      <c r="C94" s="2" t="inlineStr">
        <is>
          <t>First handgrip placebo-period interval is reversed and excludes its estimate</t>
        </is>
      </c>
      <c r="D94" s="8" t="inlineStr"/>
      <c r="E94" s="11" t="inlineStr"/>
      <c r="F94" s="8" t="inlineStr">
        <is>
          <t>no</t>
        </is>
      </c>
      <c r="G94" s="2">
        <f>IF(OR(AND(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L94&lt;&gt;"",L94&lt;&gt;"not_applicable"),AND(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M94&lt;&gt;"",M94&lt;&gt;"not_applicable"),AND(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N94&lt;&gt;"",N94&lt;&gt;"not_applicable"),AND(OR(AND(IF($J94="",INDEX(primary_jama_2018_18020_disposition,MATCH($A94,primary_jama_2018_18020_key,0)),$J94)&lt;&gt;"",IF($J94="",INDEX(primary_jama_2018_18020_disposition,MATCH($A94,primary_jama_2018_18020_key,0)),$J94)&lt;&gt;"retain"),NOT(OR(IF($K94="",INDEX(primary_jama_2018_18020_domain,MATCH($A94,primary_jama_2018_18020_key,0)),$K94)="internal_nonstatistical",IF($K94="",INDEX(primary_jama_2018_18020_domain,MATCH($A94,primary_jama_2018_18020_key,0)),$K94)="plan_material"))),O94&lt;&gt;"",O94&lt;&gt;"not_applicable"),AND(OR(AND(IF($J94="",INDEX(primary_jama_2018_18020_disposition,MATCH($A94,primary_jama_2018_18020_key,0)),$J94)&lt;&gt;"",IF($J94="",INDEX(primary_jama_2018_18020_disposition,MATCH($A94,primary_jama_2018_18020_key,0)),$J94)&lt;&gt;"retain"),NOT(OR(IF($K94="",INDEX(primary_jama_2018_18020_domain,MATCH($A94,primary_jama_2018_18020_key,0)),$K94)="protocol_report"))),P94&lt;&gt;"",P94&lt;&gt;"not_applicable")),"CLEAR INACTIVE VALUES",IF(D94="","PENDING",IF(AND(D94&lt;&gt;"agree",LEN(TRIM(E94))=0),"COMMENT NEEDED",IF(F94="yes","CHECKED - see resolution","DRAFT"))))</f>
        <v/>
      </c>
      <c r="H94" s="8" t="inlineStr">
        <is>
          <t>pending</t>
        </is>
      </c>
      <c r="I94" s="11" t="inlineStr"/>
      <c r="J94" s="8" t="inlineStr"/>
      <c r="K94" s="8" t="inlineStr"/>
      <c r="L94" s="8">
        <f>IF(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not_applicable","")</f>
        <v/>
      </c>
      <c r="M94" s="8">
        <f>IF(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not_applicable","")</f>
        <v/>
      </c>
      <c r="N94" s="9">
        <f>IF(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not_applicable","")</f>
        <v/>
      </c>
      <c r="O94" s="8">
        <f>IF(OR(AND(IF($J94="",INDEX(primary_jama_2018_18020_disposition,MATCH($A94,primary_jama_2018_18020_key,0)),$J94)&lt;&gt;"",IF($J94="",INDEX(primary_jama_2018_18020_disposition,MATCH($A94,primary_jama_2018_18020_key,0)),$J94)&lt;&gt;"retain"),NOT(OR(IF($K94="",INDEX(primary_jama_2018_18020_domain,MATCH($A94,primary_jama_2018_18020_key,0)),$K94)="internal_nonstatistical",IF($K94="",INDEX(primary_jama_2018_18020_domain,MATCH($A94,primary_jama_2018_18020_key,0)),$K94)="plan_material"))),"not_applicable","")</f>
        <v/>
      </c>
      <c r="P94" s="9">
        <f>IF(OR(AND(IF($J94="",INDEX(primary_jama_2018_18020_disposition,MATCH($A94,primary_jama_2018_18020_key,0)),$J94)&lt;&gt;"",IF($J94="",INDEX(primary_jama_2018_18020_disposition,MATCH($A94,primary_jama_2018_18020_key,0)),$J94)&lt;&gt;"retain"),NOT(OR(IF($K94="",INDEX(primary_jama_2018_18020_domain,MATCH($A94,primary_jama_2018_18020_key,0)),$K94)="protocol_report"))),"not_applicable","")</f>
        <v/>
      </c>
      <c r="Q94" s="10" t="inlineStr"/>
      <c r="R94" s="10" t="inlineStr"/>
    </row>
    <row r="95" ht="76" customHeight="1">
      <c r="A95" s="3" t="inlineStr">
        <is>
          <t>2018::jama.2018.18020::C014</t>
        </is>
      </c>
      <c r="B95" s="3" t="inlineStr">
        <is>
          <t>jama.2018.18020</t>
        </is>
      </c>
      <c r="C95" s="3" t="inlineStr">
        <is>
          <t>Mean Timed Up&amp;Go placebo-period estimate lies outside its interval</t>
        </is>
      </c>
      <c r="D95" s="8" t="inlineStr"/>
      <c r="E95" s="11" t="inlineStr"/>
      <c r="F95" s="8" t="inlineStr">
        <is>
          <t>no</t>
        </is>
      </c>
      <c r="G95" s="3">
        <f>IF(OR(AND(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L95&lt;&gt;"",L95&lt;&gt;"not_applicable"),AND(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M95&lt;&gt;"",M95&lt;&gt;"not_applicable"),AND(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N95&lt;&gt;"",N95&lt;&gt;"not_applicable"),AND(OR(AND(IF($J95="",INDEX(primary_jama_2018_18020_disposition,MATCH($A95,primary_jama_2018_18020_key,0)),$J95)&lt;&gt;"",IF($J95="",INDEX(primary_jama_2018_18020_disposition,MATCH($A95,primary_jama_2018_18020_key,0)),$J95)&lt;&gt;"retain"),NOT(OR(IF($K95="",INDEX(primary_jama_2018_18020_domain,MATCH($A95,primary_jama_2018_18020_key,0)),$K95)="internal_nonstatistical",IF($K95="",INDEX(primary_jama_2018_18020_domain,MATCH($A95,primary_jama_2018_18020_key,0)),$K95)="plan_material"))),O95&lt;&gt;"",O95&lt;&gt;"not_applicable"),AND(OR(AND(IF($J95="",INDEX(primary_jama_2018_18020_disposition,MATCH($A95,primary_jama_2018_18020_key,0)),$J95)&lt;&gt;"",IF($J95="",INDEX(primary_jama_2018_18020_disposition,MATCH($A95,primary_jama_2018_18020_key,0)),$J95)&lt;&gt;"retain"),NOT(OR(IF($K95="",INDEX(primary_jama_2018_18020_domain,MATCH($A95,primary_jama_2018_18020_key,0)),$K95)="protocol_report"))),P95&lt;&gt;"",P95&lt;&gt;"not_applicable")),"CLEAR INACTIVE VALUES",IF(D95="","PENDING",IF(AND(D95&lt;&gt;"agree",LEN(TRIM(E95))=0),"COMMENT NEEDED",IF(F95="yes","CHECKED - see resolution","DRAFT"))))</f>
        <v/>
      </c>
      <c r="H95" s="8" t="inlineStr">
        <is>
          <t>pending</t>
        </is>
      </c>
      <c r="I95" s="11" t="inlineStr"/>
      <c r="J95" s="8" t="inlineStr"/>
      <c r="K95" s="8" t="inlineStr"/>
      <c r="L95" s="8">
        <f>IF(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not_applicable","")</f>
        <v/>
      </c>
      <c r="M95" s="8">
        <f>IF(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not_applicable","")</f>
        <v/>
      </c>
      <c r="N95" s="9">
        <f>IF(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not_applicable","")</f>
        <v/>
      </c>
      <c r="O95" s="8">
        <f>IF(OR(AND(IF($J95="",INDEX(primary_jama_2018_18020_disposition,MATCH($A95,primary_jama_2018_18020_key,0)),$J95)&lt;&gt;"",IF($J95="",INDEX(primary_jama_2018_18020_disposition,MATCH($A95,primary_jama_2018_18020_key,0)),$J95)&lt;&gt;"retain"),NOT(OR(IF($K95="",INDEX(primary_jama_2018_18020_domain,MATCH($A95,primary_jama_2018_18020_key,0)),$K95)="internal_nonstatistical",IF($K95="",INDEX(primary_jama_2018_18020_domain,MATCH($A95,primary_jama_2018_18020_key,0)),$K95)="plan_material"))),"not_applicable","")</f>
        <v/>
      </c>
      <c r="P95" s="9">
        <f>IF(OR(AND(IF($J95="",INDEX(primary_jama_2018_18020_disposition,MATCH($A95,primary_jama_2018_18020_key,0)),$J95)&lt;&gt;"",IF($J95="",INDEX(primary_jama_2018_18020_disposition,MATCH($A95,primary_jama_2018_18020_key,0)),$J95)&lt;&gt;"retain"),NOT(OR(IF($K95="",INDEX(primary_jama_2018_18020_domain,MATCH($A95,primary_jama_2018_18020_key,0)),$K95)="protocol_report"))),"not_applicable","")</f>
        <v/>
      </c>
      <c r="Q95" s="10" t="inlineStr"/>
      <c r="R95" s="10" t="inlineStr"/>
    </row>
    <row r="96" ht="76" customHeight="1">
      <c r="A96" s="2" t="inlineStr">
        <is>
          <t>2018::jama.2018.6496::C001</t>
        </is>
      </c>
      <c r="B96" s="2" t="inlineStr">
        <is>
          <t>jama.2018.6496</t>
        </is>
      </c>
      <c r="C96" s="2" t="inlineStr">
        <is>
          <t>Reverse-ordered confidence-interval endpoints for all-patient first-attempt duration</t>
        </is>
      </c>
      <c r="D96" s="8" t="inlineStr"/>
      <c r="E96" s="11" t="inlineStr"/>
      <c r="F96" s="8" t="inlineStr">
        <is>
          <t>no</t>
        </is>
      </c>
      <c r="G96" s="2">
        <f>IF(OR(AND(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L96&lt;&gt;"",L96&lt;&gt;"not_applicable"),AND(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M96&lt;&gt;"",M96&lt;&gt;"not_applicable"),AND(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N96&lt;&gt;"",N96&lt;&gt;"not_applicable"),AND(OR(AND(IF($J96="",INDEX(primary_jama_2018_6496_disposition,MATCH($A96,primary_jama_2018_6496_key,0)),$J96)&lt;&gt;"",IF($J96="",INDEX(primary_jama_2018_6496_disposition,MATCH($A96,primary_jama_2018_6496_key,0)),$J96)&lt;&gt;"retain"),NOT(OR(IF($K96="",INDEX(primary_jama_2018_6496_domain,MATCH($A96,primary_jama_2018_6496_key,0)),$K96)="internal_nonstatistical",IF($K96="",INDEX(primary_jama_2018_6496_domain,MATCH($A96,primary_jama_2018_6496_key,0)),$K96)="plan_material"))),O96&lt;&gt;"",O96&lt;&gt;"not_applicable"),AND(OR(AND(IF($J96="",INDEX(primary_jama_2018_6496_disposition,MATCH($A96,primary_jama_2018_6496_key,0)),$J96)&lt;&gt;"",IF($J96="",INDEX(primary_jama_2018_6496_disposition,MATCH($A96,primary_jama_2018_6496_key,0)),$J96)&lt;&gt;"retain"),NOT(OR(IF($K96="",INDEX(primary_jama_2018_6496_domain,MATCH($A96,primary_jama_2018_6496_key,0)),$K96)="protocol_report"))),P96&lt;&gt;"",P96&lt;&gt;"not_applicable")),"CLEAR INACTIVE VALUES",IF(D96="","PENDING",IF(AND(D96&lt;&gt;"agree",LEN(TRIM(E96))=0),"COMMENT NEEDED",IF(F96="yes","CHECKED - see resolution","DRAFT"))))</f>
        <v/>
      </c>
      <c r="H96" s="8" t="inlineStr">
        <is>
          <t>pending</t>
        </is>
      </c>
      <c r="I96" s="11" t="inlineStr"/>
      <c r="J96" s="8" t="inlineStr"/>
      <c r="K96" s="8" t="inlineStr"/>
      <c r="L96" s="8">
        <f>IF(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not_applicable","")</f>
        <v/>
      </c>
      <c r="M96" s="8">
        <f>IF(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not_applicable","")</f>
        <v/>
      </c>
      <c r="N96" s="9">
        <f>IF(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not_applicable","")</f>
        <v/>
      </c>
      <c r="O96" s="8">
        <f>IF(OR(AND(IF($J96="",INDEX(primary_jama_2018_6496_disposition,MATCH($A96,primary_jama_2018_6496_key,0)),$J96)&lt;&gt;"",IF($J96="",INDEX(primary_jama_2018_6496_disposition,MATCH($A96,primary_jama_2018_6496_key,0)),$J96)&lt;&gt;"retain"),NOT(OR(IF($K96="",INDEX(primary_jama_2018_6496_domain,MATCH($A96,primary_jama_2018_6496_key,0)),$K96)="internal_nonstatistical",IF($K96="",INDEX(primary_jama_2018_6496_domain,MATCH($A96,primary_jama_2018_6496_key,0)),$K96)="plan_material"))),"not_applicable","")</f>
        <v/>
      </c>
      <c r="P96" s="9">
        <f>IF(OR(AND(IF($J96="",INDEX(primary_jama_2018_6496_disposition,MATCH($A96,primary_jama_2018_6496_key,0)),$J96)&lt;&gt;"",IF($J96="",INDEX(primary_jama_2018_6496_disposition,MATCH($A96,primary_jama_2018_6496_key,0)),$J96)&lt;&gt;"retain"),NOT(OR(IF($K96="",INDEX(primary_jama_2018_6496_domain,MATCH($A96,primary_jama_2018_6496_key,0)),$K96)="protocol_report"))),"not_applicable","")</f>
        <v/>
      </c>
      <c r="Q96" s="10" t="inlineStr"/>
      <c r="R96" s="10" t="inlineStr"/>
    </row>
    <row r="97" ht="76" customHeight="1">
      <c r="A97" s="3" t="inlineStr">
        <is>
          <t>2018::jama.2018.6496::C002</t>
        </is>
      </c>
      <c r="B97" s="3" t="inlineStr">
        <is>
          <t>jama.2018.6496</t>
        </is>
      </c>
      <c r="C97" s="3" t="inlineStr">
        <is>
          <t>Two-patient ETT+stylet denominator difference across linked hypoxemia outcomes</t>
        </is>
      </c>
      <c r="D97" s="8" t="inlineStr"/>
      <c r="E97" s="11" t="inlineStr"/>
      <c r="F97" s="8" t="inlineStr">
        <is>
          <t>no</t>
        </is>
      </c>
      <c r="G97" s="3">
        <f>IF(OR(AND(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L97&lt;&gt;"",L97&lt;&gt;"not_applicable"),AND(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M97&lt;&gt;"",M97&lt;&gt;"not_applicable"),AND(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N97&lt;&gt;"",N97&lt;&gt;"not_applicable"),AND(OR(AND(IF($J97="",INDEX(primary_jama_2018_6496_disposition,MATCH($A97,primary_jama_2018_6496_key,0)),$J97)&lt;&gt;"",IF($J97="",INDEX(primary_jama_2018_6496_disposition,MATCH($A97,primary_jama_2018_6496_key,0)),$J97)&lt;&gt;"retain"),NOT(OR(IF($K97="",INDEX(primary_jama_2018_6496_domain,MATCH($A97,primary_jama_2018_6496_key,0)),$K97)="internal_nonstatistical",IF($K97="",INDEX(primary_jama_2018_6496_domain,MATCH($A97,primary_jama_2018_6496_key,0)),$K97)="plan_material"))),O97&lt;&gt;"",O97&lt;&gt;"not_applicable"),AND(OR(AND(IF($J97="",INDEX(primary_jama_2018_6496_disposition,MATCH($A97,primary_jama_2018_6496_key,0)),$J97)&lt;&gt;"",IF($J97="",INDEX(primary_jama_2018_6496_disposition,MATCH($A97,primary_jama_2018_6496_key,0)),$J97)&lt;&gt;"retain"),NOT(OR(IF($K97="",INDEX(primary_jama_2018_6496_domain,MATCH($A97,primary_jama_2018_6496_key,0)),$K97)="protocol_report"))),P97&lt;&gt;"",P97&lt;&gt;"not_applicable")),"CLEAR INACTIVE VALUES",IF(D97="","PENDING",IF(AND(D97&lt;&gt;"agree",LEN(TRIM(E97))=0),"COMMENT NEEDED",IF(F97="yes","CHECKED - see resolution","DRAFT"))))</f>
        <v/>
      </c>
      <c r="H97" s="8" t="inlineStr">
        <is>
          <t>pending</t>
        </is>
      </c>
      <c r="I97" s="11" t="inlineStr"/>
      <c r="J97" s="8" t="inlineStr"/>
      <c r="K97" s="8" t="inlineStr"/>
      <c r="L97" s="8">
        <f>IF(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not_applicable","")</f>
        <v/>
      </c>
      <c r="M97" s="8">
        <f>IF(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not_applicable","")</f>
        <v/>
      </c>
      <c r="N97" s="9">
        <f>IF(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not_applicable","")</f>
        <v/>
      </c>
      <c r="O97" s="8">
        <f>IF(OR(AND(IF($J97="",INDEX(primary_jama_2018_6496_disposition,MATCH($A97,primary_jama_2018_6496_key,0)),$J97)&lt;&gt;"",IF($J97="",INDEX(primary_jama_2018_6496_disposition,MATCH($A97,primary_jama_2018_6496_key,0)),$J97)&lt;&gt;"retain"),NOT(OR(IF($K97="",INDEX(primary_jama_2018_6496_domain,MATCH($A97,primary_jama_2018_6496_key,0)),$K97)="internal_nonstatistical",IF($K97="",INDEX(primary_jama_2018_6496_domain,MATCH($A97,primary_jama_2018_6496_key,0)),$K97)="plan_material"))),"not_applicable","")</f>
        <v/>
      </c>
      <c r="P97" s="9">
        <f>IF(OR(AND(IF($J97="",INDEX(primary_jama_2018_6496_disposition,MATCH($A97,primary_jama_2018_6496_key,0)),$J97)&lt;&gt;"",IF($J97="",INDEX(primary_jama_2018_6496_disposition,MATCH($A97,primary_jama_2018_6496_key,0)),$J97)&lt;&gt;"retain"),NOT(OR(IF($K97="",INDEX(primary_jama_2018_6496_domain,MATCH($A97,primary_jama_2018_6496_key,0)),$K97)="protocol_report"))),"not_applicable","")</f>
        <v/>
      </c>
      <c r="Q97" s="10" t="inlineStr"/>
      <c r="R97" s="10" t="inlineStr"/>
    </row>
    <row r="98" ht="76" customHeight="1">
      <c r="A98" s="2" t="inlineStr">
        <is>
          <t>2018::jama.2018.6496::C003</t>
        </is>
      </c>
      <c r="B98" s="2" t="inlineStr">
        <is>
          <t>jama.2018.6496</t>
        </is>
      </c>
      <c r="C98" s="2" t="inlineStr">
        <is>
          <t>Protocol and published hypoxemia observation windows use different endpoint events</t>
        </is>
      </c>
      <c r="D98" s="8" t="inlineStr"/>
      <c r="E98" s="11" t="inlineStr"/>
      <c r="F98" s="8" t="inlineStr">
        <is>
          <t>no</t>
        </is>
      </c>
      <c r="G98" s="2">
        <f>IF(OR(AND(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L98&lt;&gt;"",L98&lt;&gt;"not_applicable"),AND(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M98&lt;&gt;"",M98&lt;&gt;"not_applicable"),AND(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N98&lt;&gt;"",N98&lt;&gt;"not_applicable"),AND(OR(AND(IF($J98="",INDEX(primary_jama_2018_6496_disposition,MATCH($A98,primary_jama_2018_6496_key,0)),$J98)&lt;&gt;"",IF($J98="",INDEX(primary_jama_2018_6496_disposition,MATCH($A98,primary_jama_2018_6496_key,0)),$J98)&lt;&gt;"retain"),NOT(OR(IF($K98="",INDEX(primary_jama_2018_6496_domain,MATCH($A98,primary_jama_2018_6496_key,0)),$K98)="internal_nonstatistical",IF($K98="",INDEX(primary_jama_2018_6496_domain,MATCH($A98,primary_jama_2018_6496_key,0)),$K98)="plan_material"))),O98&lt;&gt;"",O98&lt;&gt;"not_applicable"),AND(OR(AND(IF($J98="",INDEX(primary_jama_2018_6496_disposition,MATCH($A98,primary_jama_2018_6496_key,0)),$J98)&lt;&gt;"",IF($J98="",INDEX(primary_jama_2018_6496_disposition,MATCH($A98,primary_jama_2018_6496_key,0)),$J98)&lt;&gt;"retain"),NOT(OR(IF($K98="",INDEX(primary_jama_2018_6496_domain,MATCH($A98,primary_jama_2018_6496_key,0)),$K98)="protocol_report"))),P98&lt;&gt;"",P98&lt;&gt;"not_applicable")),"CLEAR INACTIVE VALUES",IF(D98="","PENDING",IF(AND(D98&lt;&gt;"agree",LEN(TRIM(E98))=0),"COMMENT NEEDED",IF(F98="yes","CHECKED - see resolution","DRAFT"))))</f>
        <v/>
      </c>
      <c r="H98" s="8" t="inlineStr">
        <is>
          <t>pending</t>
        </is>
      </c>
      <c r="I98" s="11" t="inlineStr"/>
      <c r="J98" s="8" t="inlineStr"/>
      <c r="K98" s="8" t="inlineStr"/>
      <c r="L98" s="8">
        <f>IF(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not_applicable","")</f>
        <v/>
      </c>
      <c r="M98" s="8">
        <f>IF(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not_applicable","")</f>
        <v/>
      </c>
      <c r="N98" s="9">
        <f>IF(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not_applicable","")</f>
        <v/>
      </c>
      <c r="O98" s="8">
        <f>IF(OR(AND(IF($J98="",INDEX(primary_jama_2018_6496_disposition,MATCH($A98,primary_jama_2018_6496_key,0)),$J98)&lt;&gt;"",IF($J98="",INDEX(primary_jama_2018_6496_disposition,MATCH($A98,primary_jama_2018_6496_key,0)),$J98)&lt;&gt;"retain"),NOT(OR(IF($K98="",INDEX(primary_jama_2018_6496_domain,MATCH($A98,primary_jama_2018_6496_key,0)),$K98)="internal_nonstatistical",IF($K98="",INDEX(primary_jama_2018_6496_domain,MATCH($A98,primary_jama_2018_6496_key,0)),$K98)="plan_material"))),"not_applicable","")</f>
        <v/>
      </c>
      <c r="P98" s="9">
        <f>IF(OR(AND(IF($J98="",INDEX(primary_jama_2018_6496_disposition,MATCH($A98,primary_jama_2018_6496_key,0)),$J98)&lt;&gt;"",IF($J98="",INDEX(primary_jama_2018_6496_disposition,MATCH($A98,primary_jama_2018_6496_key,0)),$J98)&lt;&gt;"retain"),NOT(OR(IF($K98="",INDEX(primary_jama_2018_6496_domain,MATCH($A98,primary_jama_2018_6496_key,0)),$K98)="protocol_report"))),"not_applicable","")</f>
        <v/>
      </c>
      <c r="Q98" s="10" t="inlineStr"/>
      <c r="R98" s="10" t="inlineStr"/>
    </row>
    <row r="99" ht="76" customHeight="1">
      <c r="A99" s="3" t="inlineStr">
        <is>
          <t>2018::jama.2018.6496::C004</t>
        </is>
      </c>
      <c r="B99" s="3" t="inlineStr">
        <is>
          <t>jama.2018.6496</t>
        </is>
      </c>
      <c r="C99" s="3" t="inlineStr">
        <is>
          <t>Protocol and published first-attempt-duration measures use different endpoint events</t>
        </is>
      </c>
      <c r="D99" s="8" t="inlineStr"/>
      <c r="E99" s="11" t="inlineStr"/>
      <c r="F99" s="8" t="inlineStr">
        <is>
          <t>no</t>
        </is>
      </c>
      <c r="G99" s="3">
        <f>IF(OR(AND(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L99&lt;&gt;"",L99&lt;&gt;"not_applicable"),AND(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M99&lt;&gt;"",M99&lt;&gt;"not_applicable"),AND(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N99&lt;&gt;"",N99&lt;&gt;"not_applicable"),AND(OR(AND(IF($J99="",INDEX(primary_jama_2018_6496_disposition,MATCH($A99,primary_jama_2018_6496_key,0)),$J99)&lt;&gt;"",IF($J99="",INDEX(primary_jama_2018_6496_disposition,MATCH($A99,primary_jama_2018_6496_key,0)),$J99)&lt;&gt;"retain"),NOT(OR(IF($K99="",INDEX(primary_jama_2018_6496_domain,MATCH($A99,primary_jama_2018_6496_key,0)),$K99)="internal_nonstatistical",IF($K99="",INDEX(primary_jama_2018_6496_domain,MATCH($A99,primary_jama_2018_6496_key,0)),$K99)="plan_material"))),O99&lt;&gt;"",O99&lt;&gt;"not_applicable"),AND(OR(AND(IF($J99="",INDEX(primary_jama_2018_6496_disposition,MATCH($A99,primary_jama_2018_6496_key,0)),$J99)&lt;&gt;"",IF($J99="",INDEX(primary_jama_2018_6496_disposition,MATCH($A99,primary_jama_2018_6496_key,0)),$J99)&lt;&gt;"retain"),NOT(OR(IF($K99="",INDEX(primary_jama_2018_6496_domain,MATCH($A99,primary_jama_2018_6496_key,0)),$K99)="protocol_report"))),P99&lt;&gt;"",P99&lt;&gt;"not_applicable")),"CLEAR INACTIVE VALUES",IF(D99="","PENDING",IF(AND(D99&lt;&gt;"agree",LEN(TRIM(E99))=0),"COMMENT NEEDED",IF(F99="yes","CHECKED - see resolution","DRAFT"))))</f>
        <v/>
      </c>
      <c r="H99" s="8" t="inlineStr">
        <is>
          <t>pending</t>
        </is>
      </c>
      <c r="I99" s="11" t="inlineStr"/>
      <c r="J99" s="8" t="inlineStr"/>
      <c r="K99" s="8" t="inlineStr"/>
      <c r="L99" s="8">
        <f>IF(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not_applicable","")</f>
        <v/>
      </c>
      <c r="M99" s="8">
        <f>IF(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not_applicable","")</f>
        <v/>
      </c>
      <c r="N99" s="9">
        <f>IF(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not_applicable","")</f>
        <v/>
      </c>
      <c r="O99" s="8">
        <f>IF(OR(AND(IF($J99="",INDEX(primary_jama_2018_6496_disposition,MATCH($A99,primary_jama_2018_6496_key,0)),$J99)&lt;&gt;"",IF($J99="",INDEX(primary_jama_2018_6496_disposition,MATCH($A99,primary_jama_2018_6496_key,0)),$J99)&lt;&gt;"retain"),NOT(OR(IF($K99="",INDEX(primary_jama_2018_6496_domain,MATCH($A99,primary_jama_2018_6496_key,0)),$K99)="internal_nonstatistical",IF($K99="",INDEX(primary_jama_2018_6496_domain,MATCH($A99,primary_jama_2018_6496_key,0)),$K99)="plan_material"))),"not_applicable","")</f>
        <v/>
      </c>
      <c r="P99" s="9">
        <f>IF(OR(AND(IF($J99="",INDEX(primary_jama_2018_6496_disposition,MATCH($A99,primary_jama_2018_6496_key,0)),$J99)&lt;&gt;"",IF($J99="",INDEX(primary_jama_2018_6496_disposition,MATCH($A99,primary_jama_2018_6496_key,0)),$J99)&lt;&gt;"retain"),NOT(OR(IF($K99="",INDEX(primary_jama_2018_6496_domain,MATCH($A99,primary_jama_2018_6496_key,0)),$K99)="protocol_report"))),"not_applicable","")</f>
        <v/>
      </c>
      <c r="Q99" s="10" t="inlineStr"/>
      <c r="R99" s="10" t="inlineStr"/>
    </row>
    <row r="100" ht="76" customHeight="1">
      <c r="A100" s="2" t="inlineStr">
        <is>
          <t>2018::jama.2018.8802::C001</t>
        </is>
      </c>
      <c r="B100" s="2" t="inlineStr">
        <is>
          <t>jama.2018.8802</t>
        </is>
      </c>
      <c r="C100" s="2" t="inlineStr">
        <is>
          <t>Table 1 CAD/previous-myocardial-infarction percentage does not reproduce</t>
        </is>
      </c>
      <c r="D100" s="8" t="inlineStr"/>
      <c r="E100" s="11" t="inlineStr"/>
      <c r="F100" s="8" t="inlineStr">
        <is>
          <t>no</t>
        </is>
      </c>
      <c r="G100" s="2">
        <f>IF(OR(AND(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L100&lt;&gt;"",L100&lt;&gt;"not_applicable"),AND(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M100&lt;&gt;"",M100&lt;&gt;"not_applicable"),AND(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N100&lt;&gt;"",N100&lt;&gt;"not_applicable"),AND(OR(AND(IF($J100="",INDEX(primary_jama_2018_8802_disposition,MATCH($A100,primary_jama_2018_8802_key,0)),$J100)&lt;&gt;"",IF($J100="",INDEX(primary_jama_2018_8802_disposition,MATCH($A100,primary_jama_2018_8802_key,0)),$J100)&lt;&gt;"retain"),NOT(OR(IF($K100="",INDEX(primary_jama_2018_8802_domain,MATCH($A100,primary_jama_2018_8802_key,0)),$K100)="internal_nonstatistical",IF($K100="",INDEX(primary_jama_2018_8802_domain,MATCH($A100,primary_jama_2018_8802_key,0)),$K100)="plan_material"))),O100&lt;&gt;"",O100&lt;&gt;"not_applicable"),AND(OR(AND(IF($J100="",INDEX(primary_jama_2018_8802_disposition,MATCH($A100,primary_jama_2018_8802_key,0)),$J100)&lt;&gt;"",IF($J100="",INDEX(primary_jama_2018_8802_disposition,MATCH($A100,primary_jama_2018_8802_key,0)),$J100)&lt;&gt;"retain"),NOT(OR(IF($K100="",INDEX(primary_jama_2018_8802_domain,MATCH($A100,primary_jama_2018_8802_key,0)),$K100)="protocol_report"))),P100&lt;&gt;"",P100&lt;&gt;"not_applicable")),"CLEAR INACTIVE VALUES",IF(D100="","PENDING",IF(AND(D100&lt;&gt;"agree",LEN(TRIM(E100))=0),"COMMENT NEEDED",IF(F100="yes","CHECKED - see resolution","DRAFT"))))</f>
        <v/>
      </c>
      <c r="H100" s="8" t="inlineStr">
        <is>
          <t>pending</t>
        </is>
      </c>
      <c r="I100" s="11" t="inlineStr"/>
      <c r="J100" s="8" t="inlineStr"/>
      <c r="K100" s="8" t="inlineStr"/>
      <c r="L100" s="8">
        <f>IF(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not_applicable","")</f>
        <v/>
      </c>
      <c r="M100" s="8">
        <f>IF(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not_applicable","")</f>
        <v/>
      </c>
      <c r="N100" s="9">
        <f>IF(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not_applicable","")</f>
        <v/>
      </c>
      <c r="O100" s="8">
        <f>IF(OR(AND(IF($J100="",INDEX(primary_jama_2018_8802_disposition,MATCH($A100,primary_jama_2018_8802_key,0)),$J100)&lt;&gt;"",IF($J100="",INDEX(primary_jama_2018_8802_disposition,MATCH($A100,primary_jama_2018_8802_key,0)),$J100)&lt;&gt;"retain"),NOT(OR(IF($K100="",INDEX(primary_jama_2018_8802_domain,MATCH($A100,primary_jama_2018_8802_key,0)),$K100)="internal_nonstatistical",IF($K100="",INDEX(primary_jama_2018_8802_domain,MATCH($A100,primary_jama_2018_8802_key,0)),$K100)="plan_material"))),"not_applicable","")</f>
        <v/>
      </c>
      <c r="P100" s="9">
        <f>IF(OR(AND(IF($J100="",INDEX(primary_jama_2018_8802_disposition,MATCH($A100,primary_jama_2018_8802_key,0)),$J100)&lt;&gt;"",IF($J100="",INDEX(primary_jama_2018_8802_disposition,MATCH($A100,primary_jama_2018_8802_key,0)),$J100)&lt;&gt;"retain"),NOT(OR(IF($K100="",INDEX(primary_jama_2018_8802_domain,MATCH($A100,primary_jama_2018_8802_key,0)),$K100)="protocol_report"))),"not_applicable","")</f>
        <v/>
      </c>
      <c r="Q100" s="10" t="inlineStr"/>
      <c r="R100" s="10" t="inlineStr"/>
    </row>
    <row r="101" ht="76" customHeight="1">
      <c r="A101" s="3" t="inlineStr">
        <is>
          <t>2018::jama.2018.8802::C002</t>
        </is>
      </c>
      <c r="B101" s="3" t="inlineStr">
        <is>
          <t>jama.2018.8802</t>
        </is>
      </c>
      <c r="C101" s="3" t="inlineStr">
        <is>
          <t>LDL eligibility boundary differs between result labels and supplied measure definition</t>
        </is>
      </c>
      <c r="D101" s="8" t="inlineStr"/>
      <c r="E101" s="11" t="inlineStr"/>
      <c r="F101" s="8" t="inlineStr">
        <is>
          <t>no</t>
        </is>
      </c>
      <c r="G101" s="3">
        <f>IF(OR(AND(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L101&lt;&gt;"",L101&lt;&gt;"not_applicable"),AND(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M101&lt;&gt;"",M101&lt;&gt;"not_applicable"),AND(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N101&lt;&gt;"",N101&lt;&gt;"not_applicable"),AND(OR(AND(IF($J101="",INDEX(primary_jama_2018_8802_disposition,MATCH($A101,primary_jama_2018_8802_key,0)),$J101)&lt;&gt;"",IF($J101="",INDEX(primary_jama_2018_8802_disposition,MATCH($A101,primary_jama_2018_8802_key,0)),$J101)&lt;&gt;"retain"),NOT(OR(IF($K101="",INDEX(primary_jama_2018_8802_domain,MATCH($A101,primary_jama_2018_8802_key,0)),$K101)="internal_nonstatistical",IF($K101="",INDEX(primary_jama_2018_8802_domain,MATCH($A101,primary_jama_2018_8802_key,0)),$K101)="plan_material"))),O101&lt;&gt;"",O101&lt;&gt;"not_applicable"),AND(OR(AND(IF($J101="",INDEX(primary_jama_2018_8802_disposition,MATCH($A101,primary_jama_2018_8802_key,0)),$J101)&lt;&gt;"",IF($J101="",INDEX(primary_jama_2018_8802_disposition,MATCH($A101,primary_jama_2018_8802_key,0)),$J101)&lt;&gt;"retain"),NOT(OR(IF($K101="",INDEX(primary_jama_2018_8802_domain,MATCH($A101,primary_jama_2018_8802_key,0)),$K101)="protocol_report"))),P101&lt;&gt;"",P101&lt;&gt;"not_applicable")),"CLEAR INACTIVE VALUES",IF(D101="","PENDING",IF(AND(D101&lt;&gt;"agree",LEN(TRIM(E101))=0),"COMMENT NEEDED",IF(F101="yes","CHECKED - see resolution","DRAFT"))))</f>
        <v/>
      </c>
      <c r="H101" s="8" t="inlineStr">
        <is>
          <t>pending</t>
        </is>
      </c>
      <c r="I101" s="11" t="inlineStr"/>
      <c r="J101" s="8" t="inlineStr"/>
      <c r="K101" s="8" t="inlineStr"/>
      <c r="L101" s="8">
        <f>IF(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not_applicable","")</f>
        <v/>
      </c>
      <c r="M101" s="8">
        <f>IF(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not_applicable","")</f>
        <v/>
      </c>
      <c r="N101" s="9">
        <f>IF(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not_applicable","")</f>
        <v/>
      </c>
      <c r="O101" s="8">
        <f>IF(OR(AND(IF($J101="",INDEX(primary_jama_2018_8802_disposition,MATCH($A101,primary_jama_2018_8802_key,0)),$J101)&lt;&gt;"",IF($J101="",INDEX(primary_jama_2018_8802_disposition,MATCH($A101,primary_jama_2018_8802_key,0)),$J101)&lt;&gt;"retain"),NOT(OR(IF($K101="",INDEX(primary_jama_2018_8802_domain,MATCH($A101,primary_jama_2018_8802_key,0)),$K101)="internal_nonstatistical",IF($K101="",INDEX(primary_jama_2018_8802_domain,MATCH($A101,primary_jama_2018_8802_key,0)),$K101)="plan_material"))),"not_applicable","")</f>
        <v/>
      </c>
      <c r="P101" s="9">
        <f>IF(OR(AND(IF($J101="",INDEX(primary_jama_2018_8802_disposition,MATCH($A101,primary_jama_2018_8802_key,0)),$J101)&lt;&gt;"",IF($J101="",INDEX(primary_jama_2018_8802_disposition,MATCH($A101,primary_jama_2018_8802_key,0)),$J101)&lt;&gt;"retain"),NOT(OR(IF($K101="",INDEX(primary_jama_2018_8802_domain,MATCH($A101,primary_jama_2018_8802_key,0)),$K101)="protocol_report"))),"not_applicable","")</f>
        <v/>
      </c>
      <c r="Q101" s="10" t="inlineStr"/>
      <c r="R101" s="10" t="inlineStr"/>
    </row>
    <row r="102" ht="76" customHeight="1">
      <c r="A102" s="2" t="inlineStr">
        <is>
          <t>2018::jama.2018.8802::C003</t>
        </is>
      </c>
      <c r="B102" s="2" t="inlineStr">
        <is>
          <t>jama.2018.8802</t>
        </is>
      </c>
      <c r="C102" s="2" t="inlineStr">
        <is>
          <t>eTable 4 discharge-antithrombotics control percentage does not reproduce</t>
        </is>
      </c>
      <c r="D102" s="8" t="inlineStr"/>
      <c r="E102" s="11" t="inlineStr"/>
      <c r="F102" s="8" t="inlineStr">
        <is>
          <t>no</t>
        </is>
      </c>
      <c r="G102" s="2">
        <f>IF(OR(AND(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L102&lt;&gt;"",L102&lt;&gt;"not_applicable"),AND(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M102&lt;&gt;"",M102&lt;&gt;"not_applicable"),AND(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N102&lt;&gt;"",N102&lt;&gt;"not_applicable"),AND(OR(AND(IF($J102="",INDEX(primary_jama_2018_8802_disposition,MATCH($A102,primary_jama_2018_8802_key,0)),$J102)&lt;&gt;"",IF($J102="",INDEX(primary_jama_2018_8802_disposition,MATCH($A102,primary_jama_2018_8802_key,0)),$J102)&lt;&gt;"retain"),NOT(OR(IF($K102="",INDEX(primary_jama_2018_8802_domain,MATCH($A102,primary_jama_2018_8802_key,0)),$K102)="internal_nonstatistical",IF($K102="",INDEX(primary_jama_2018_8802_domain,MATCH($A102,primary_jama_2018_8802_key,0)),$K102)="plan_material"))),O102&lt;&gt;"",O102&lt;&gt;"not_applicable"),AND(OR(AND(IF($J102="",INDEX(primary_jama_2018_8802_disposition,MATCH($A102,primary_jama_2018_8802_key,0)),$J102)&lt;&gt;"",IF($J102="",INDEX(primary_jama_2018_8802_disposition,MATCH($A102,primary_jama_2018_8802_key,0)),$J102)&lt;&gt;"retain"),NOT(OR(IF($K102="",INDEX(primary_jama_2018_8802_domain,MATCH($A102,primary_jama_2018_8802_key,0)),$K102)="protocol_report"))),P102&lt;&gt;"",P102&lt;&gt;"not_applicable")),"CLEAR INACTIVE VALUES",IF(D102="","PENDING",IF(AND(D102&lt;&gt;"agree",LEN(TRIM(E102))=0),"COMMENT NEEDED",IF(F102="yes","CHECKED - see resolution","DRAFT"))))</f>
        <v/>
      </c>
      <c r="H102" s="8" t="inlineStr">
        <is>
          <t>pending</t>
        </is>
      </c>
      <c r="I102" s="11" t="inlineStr"/>
      <c r="J102" s="8" t="inlineStr"/>
      <c r="K102" s="8" t="inlineStr"/>
      <c r="L102" s="8">
        <f>IF(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not_applicable","")</f>
        <v/>
      </c>
      <c r="M102" s="8">
        <f>IF(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not_applicable","")</f>
        <v/>
      </c>
      <c r="N102" s="9">
        <f>IF(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not_applicable","")</f>
        <v/>
      </c>
      <c r="O102" s="8">
        <f>IF(OR(AND(IF($J102="",INDEX(primary_jama_2018_8802_disposition,MATCH($A102,primary_jama_2018_8802_key,0)),$J102)&lt;&gt;"",IF($J102="",INDEX(primary_jama_2018_8802_disposition,MATCH($A102,primary_jama_2018_8802_key,0)),$J102)&lt;&gt;"retain"),NOT(OR(IF($K102="",INDEX(primary_jama_2018_8802_domain,MATCH($A102,primary_jama_2018_8802_key,0)),$K102)="internal_nonstatistical",IF($K102="",INDEX(primary_jama_2018_8802_domain,MATCH($A102,primary_jama_2018_8802_key,0)),$K102)="plan_material"))),"not_applicable","")</f>
        <v/>
      </c>
      <c r="P102" s="9">
        <f>IF(OR(AND(IF($J102="",INDEX(primary_jama_2018_8802_disposition,MATCH($A102,primary_jama_2018_8802_key,0)),$J102)&lt;&gt;"",IF($J102="",INDEX(primary_jama_2018_8802_disposition,MATCH($A102,primary_jama_2018_8802_key,0)),$J102)&lt;&gt;"retain"),NOT(OR(IF($K102="",INDEX(primary_jama_2018_8802_domain,MATCH($A102,primary_jama_2018_8802_key,0)),$K102)="protocol_report"))),"not_applicable","")</f>
        <v/>
      </c>
      <c r="Q102" s="10" t="inlineStr"/>
      <c r="R102" s="10" t="inlineStr"/>
    </row>
    <row r="103" ht="76" customHeight="1">
      <c r="A103" s="3" t="inlineStr">
        <is>
          <t>2018::jama.2018.8802::C004</t>
        </is>
      </c>
      <c r="B103" s="3" t="inlineStr">
        <is>
          <t>jama.2018.8802</t>
        </is>
      </c>
      <c r="C103" s="3" t="inlineStr">
        <is>
          <t>eTable 4 AF-anticoagulation control percentage does not reproduce</t>
        </is>
      </c>
      <c r="D103" s="8" t="inlineStr"/>
      <c r="E103" s="11" t="inlineStr"/>
      <c r="F103" s="8" t="inlineStr">
        <is>
          <t>no</t>
        </is>
      </c>
      <c r="G103" s="3">
        <f>IF(OR(AND(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L103&lt;&gt;"",L103&lt;&gt;"not_applicable"),AND(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M103&lt;&gt;"",M103&lt;&gt;"not_applicable"),AND(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N103&lt;&gt;"",N103&lt;&gt;"not_applicable"),AND(OR(AND(IF($J103="",INDEX(primary_jama_2018_8802_disposition,MATCH($A103,primary_jama_2018_8802_key,0)),$J103)&lt;&gt;"",IF($J103="",INDEX(primary_jama_2018_8802_disposition,MATCH($A103,primary_jama_2018_8802_key,0)),$J103)&lt;&gt;"retain"),NOT(OR(IF($K103="",INDEX(primary_jama_2018_8802_domain,MATCH($A103,primary_jama_2018_8802_key,0)),$K103)="internal_nonstatistical",IF($K103="",INDEX(primary_jama_2018_8802_domain,MATCH($A103,primary_jama_2018_8802_key,0)),$K103)="plan_material"))),O103&lt;&gt;"",O103&lt;&gt;"not_applicable"),AND(OR(AND(IF($J103="",INDEX(primary_jama_2018_8802_disposition,MATCH($A103,primary_jama_2018_8802_key,0)),$J103)&lt;&gt;"",IF($J103="",INDEX(primary_jama_2018_8802_disposition,MATCH($A103,primary_jama_2018_8802_key,0)),$J103)&lt;&gt;"retain"),NOT(OR(IF($K103="",INDEX(primary_jama_2018_8802_domain,MATCH($A103,primary_jama_2018_8802_key,0)),$K103)="protocol_report"))),P103&lt;&gt;"",P103&lt;&gt;"not_applicable")),"CLEAR INACTIVE VALUES",IF(D103="","PENDING",IF(AND(D103&lt;&gt;"agree",LEN(TRIM(E103))=0),"COMMENT NEEDED",IF(F103="yes","CHECKED - see resolution","DRAFT"))))</f>
        <v/>
      </c>
      <c r="H103" s="8" t="inlineStr">
        <is>
          <t>pending</t>
        </is>
      </c>
      <c r="I103" s="11" t="inlineStr"/>
      <c r="J103" s="8" t="inlineStr"/>
      <c r="K103" s="8" t="inlineStr"/>
      <c r="L103" s="8">
        <f>IF(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not_applicable","")</f>
        <v/>
      </c>
      <c r="M103" s="8">
        <f>IF(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not_applicable","")</f>
        <v/>
      </c>
      <c r="N103" s="9">
        <f>IF(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not_applicable","")</f>
        <v/>
      </c>
      <c r="O103" s="8">
        <f>IF(OR(AND(IF($J103="",INDEX(primary_jama_2018_8802_disposition,MATCH($A103,primary_jama_2018_8802_key,0)),$J103)&lt;&gt;"",IF($J103="",INDEX(primary_jama_2018_8802_disposition,MATCH($A103,primary_jama_2018_8802_key,0)),$J103)&lt;&gt;"retain"),NOT(OR(IF($K103="",INDEX(primary_jama_2018_8802_domain,MATCH($A103,primary_jama_2018_8802_key,0)),$K103)="internal_nonstatistical",IF($K103="",INDEX(primary_jama_2018_8802_domain,MATCH($A103,primary_jama_2018_8802_key,0)),$K103)="plan_material"))),"not_applicable","")</f>
        <v/>
      </c>
      <c r="P103" s="9">
        <f>IF(OR(AND(IF($J103="",INDEX(primary_jama_2018_8802_disposition,MATCH($A103,primary_jama_2018_8802_key,0)),$J103)&lt;&gt;"",IF($J103="",INDEX(primary_jama_2018_8802_disposition,MATCH($A103,primary_jama_2018_8802_key,0)),$J103)&lt;&gt;"retain"),NOT(OR(IF($K103="",INDEX(primary_jama_2018_8802_domain,MATCH($A103,primary_jama_2018_8802_key,0)),$K103)="protocol_report"))),"not_applicable","")</f>
        <v/>
      </c>
      <c r="Q103" s="10" t="inlineStr"/>
      <c r="R103" s="10" t="inlineStr"/>
    </row>
    <row r="104" ht="76" customHeight="1">
      <c r="A104" s="2" t="inlineStr">
        <is>
          <t>2018::jama.2018.8802::C005</t>
        </is>
      </c>
      <c r="B104" s="2" t="inlineStr">
        <is>
          <t>jama.2018.8802</t>
        </is>
      </c>
      <c r="C104" s="2" t="inlineStr">
        <is>
          <t>eTable 4 lipid-lowering control percentage does not reproduce</t>
        </is>
      </c>
      <c r="D104" s="8" t="inlineStr"/>
      <c r="E104" s="11" t="inlineStr"/>
      <c r="F104" s="8" t="inlineStr">
        <is>
          <t>no</t>
        </is>
      </c>
      <c r="G104" s="2">
        <f>IF(OR(AND(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L104&lt;&gt;"",L104&lt;&gt;"not_applicable"),AND(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M104&lt;&gt;"",M104&lt;&gt;"not_applicable"),AND(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N104&lt;&gt;"",N104&lt;&gt;"not_applicable"),AND(OR(AND(IF($J104="",INDEX(primary_jama_2018_8802_disposition,MATCH($A104,primary_jama_2018_8802_key,0)),$J104)&lt;&gt;"",IF($J104="",INDEX(primary_jama_2018_8802_disposition,MATCH($A104,primary_jama_2018_8802_key,0)),$J104)&lt;&gt;"retain"),NOT(OR(IF($K104="",INDEX(primary_jama_2018_8802_domain,MATCH($A104,primary_jama_2018_8802_key,0)),$K104)="internal_nonstatistical",IF($K104="",INDEX(primary_jama_2018_8802_domain,MATCH($A104,primary_jama_2018_8802_key,0)),$K104)="plan_material"))),O104&lt;&gt;"",O104&lt;&gt;"not_applicable"),AND(OR(AND(IF($J104="",INDEX(primary_jama_2018_8802_disposition,MATCH($A104,primary_jama_2018_8802_key,0)),$J104)&lt;&gt;"",IF($J104="",INDEX(primary_jama_2018_8802_disposition,MATCH($A104,primary_jama_2018_8802_key,0)),$J104)&lt;&gt;"retain"),NOT(OR(IF($K104="",INDEX(primary_jama_2018_8802_domain,MATCH($A104,primary_jama_2018_8802_key,0)),$K104)="protocol_report"))),P104&lt;&gt;"",P104&lt;&gt;"not_applicable")),"CLEAR INACTIVE VALUES",IF(D104="","PENDING",IF(AND(D104&lt;&gt;"agree",LEN(TRIM(E104))=0),"COMMENT NEEDED",IF(F104="yes","CHECKED - see resolution","DRAFT"))))</f>
        <v/>
      </c>
      <c r="H104" s="8" t="inlineStr">
        <is>
          <t>pending</t>
        </is>
      </c>
      <c r="I104" s="11" t="inlineStr"/>
      <c r="J104" s="8" t="inlineStr"/>
      <c r="K104" s="8" t="inlineStr"/>
      <c r="L104" s="8">
        <f>IF(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not_applicable","")</f>
        <v/>
      </c>
      <c r="M104" s="8">
        <f>IF(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not_applicable","")</f>
        <v/>
      </c>
      <c r="N104" s="9">
        <f>IF(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not_applicable","")</f>
        <v/>
      </c>
      <c r="O104" s="8">
        <f>IF(OR(AND(IF($J104="",INDEX(primary_jama_2018_8802_disposition,MATCH($A104,primary_jama_2018_8802_key,0)),$J104)&lt;&gt;"",IF($J104="",INDEX(primary_jama_2018_8802_disposition,MATCH($A104,primary_jama_2018_8802_key,0)),$J104)&lt;&gt;"retain"),NOT(OR(IF($K104="",INDEX(primary_jama_2018_8802_domain,MATCH($A104,primary_jama_2018_8802_key,0)),$K104)="internal_nonstatistical",IF($K104="",INDEX(primary_jama_2018_8802_domain,MATCH($A104,primary_jama_2018_8802_key,0)),$K104)="plan_material"))),"not_applicable","")</f>
        <v/>
      </c>
      <c r="P104" s="9">
        <f>IF(OR(AND(IF($J104="",INDEX(primary_jama_2018_8802_disposition,MATCH($A104,primary_jama_2018_8802_key,0)),$J104)&lt;&gt;"",IF($J104="",INDEX(primary_jama_2018_8802_disposition,MATCH($A104,primary_jama_2018_8802_key,0)),$J104)&lt;&gt;"retain"),NOT(OR(IF($K104="",INDEX(primary_jama_2018_8802_domain,MATCH($A104,primary_jama_2018_8802_key,0)),$K104)="protocol_report"))),"not_applicable","")</f>
        <v/>
      </c>
      <c r="Q104" s="10" t="inlineStr"/>
      <c r="R104" s="10" t="inlineStr"/>
    </row>
    <row r="105" ht="76" customHeight="1">
      <c r="A105" s="3" t="inlineStr">
        <is>
          <t>2018::jama.2018.8802::C006</t>
        </is>
      </c>
      <c r="B105" s="3" t="inlineStr">
        <is>
          <t>jama.2018.8802</t>
        </is>
      </c>
      <c r="C105" s="3" t="inlineStr">
        <is>
          <t>eTable 4 antidiabetic-medication control percentage does not reproduce</t>
        </is>
      </c>
      <c r="D105" s="8" t="inlineStr"/>
      <c r="E105" s="11" t="inlineStr"/>
      <c r="F105" s="8" t="inlineStr">
        <is>
          <t>no</t>
        </is>
      </c>
      <c r="G105" s="3">
        <f>IF(OR(AND(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L105&lt;&gt;"",L105&lt;&gt;"not_applicable"),AND(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M105&lt;&gt;"",M105&lt;&gt;"not_applicable"),AND(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N105&lt;&gt;"",N105&lt;&gt;"not_applicable"),AND(OR(AND(IF($J105="",INDEX(primary_jama_2018_8802_disposition,MATCH($A105,primary_jama_2018_8802_key,0)),$J105)&lt;&gt;"",IF($J105="",INDEX(primary_jama_2018_8802_disposition,MATCH($A105,primary_jama_2018_8802_key,0)),$J105)&lt;&gt;"retain"),NOT(OR(IF($K105="",INDEX(primary_jama_2018_8802_domain,MATCH($A105,primary_jama_2018_8802_key,0)),$K105)="internal_nonstatistical",IF($K105="",INDEX(primary_jama_2018_8802_domain,MATCH($A105,primary_jama_2018_8802_key,0)),$K105)="plan_material"))),O105&lt;&gt;"",O105&lt;&gt;"not_applicable"),AND(OR(AND(IF($J105="",INDEX(primary_jama_2018_8802_disposition,MATCH($A105,primary_jama_2018_8802_key,0)),$J105)&lt;&gt;"",IF($J105="",INDEX(primary_jama_2018_8802_disposition,MATCH($A105,primary_jama_2018_8802_key,0)),$J105)&lt;&gt;"retain"),NOT(OR(IF($K105="",INDEX(primary_jama_2018_8802_domain,MATCH($A105,primary_jama_2018_8802_key,0)),$K105)="protocol_report"))),P105&lt;&gt;"",P105&lt;&gt;"not_applicable")),"CLEAR INACTIVE VALUES",IF(D105="","PENDING",IF(AND(D105&lt;&gt;"agree",LEN(TRIM(E105))=0),"COMMENT NEEDED",IF(F105="yes","CHECKED - see resolution","DRAFT"))))</f>
        <v/>
      </c>
      <c r="H105" s="8" t="inlineStr">
        <is>
          <t>pending</t>
        </is>
      </c>
      <c r="I105" s="11" t="inlineStr"/>
      <c r="J105" s="8" t="inlineStr"/>
      <c r="K105" s="8" t="inlineStr"/>
      <c r="L105" s="8">
        <f>IF(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not_applicable","")</f>
        <v/>
      </c>
      <c r="M105" s="8">
        <f>IF(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not_applicable","")</f>
        <v/>
      </c>
      <c r="N105" s="9">
        <f>IF(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not_applicable","")</f>
        <v/>
      </c>
      <c r="O105" s="8">
        <f>IF(OR(AND(IF($J105="",INDEX(primary_jama_2018_8802_disposition,MATCH($A105,primary_jama_2018_8802_key,0)),$J105)&lt;&gt;"",IF($J105="",INDEX(primary_jama_2018_8802_disposition,MATCH($A105,primary_jama_2018_8802_key,0)),$J105)&lt;&gt;"retain"),NOT(OR(IF($K105="",INDEX(primary_jama_2018_8802_domain,MATCH($A105,primary_jama_2018_8802_key,0)),$K105)="internal_nonstatistical",IF($K105="",INDEX(primary_jama_2018_8802_domain,MATCH($A105,primary_jama_2018_8802_key,0)),$K105)="plan_material"))),"not_applicable","")</f>
        <v/>
      </c>
      <c r="P105" s="9">
        <f>IF(OR(AND(IF($J105="",INDEX(primary_jama_2018_8802_disposition,MATCH($A105,primary_jama_2018_8802_key,0)),$J105)&lt;&gt;"",IF($J105="",INDEX(primary_jama_2018_8802_disposition,MATCH($A105,primary_jama_2018_8802_key,0)),$J105)&lt;&gt;"retain"),NOT(OR(IF($K105="",INDEX(primary_jama_2018_8802_domain,MATCH($A105,primary_jama_2018_8802_key,0)),$K105)="protocol_report"))),"not_applicable","")</f>
        <v/>
      </c>
      <c r="Q105" s="10" t="inlineStr"/>
      <c r="R105" s="10" t="inlineStr"/>
    </row>
    <row r="106" ht="76" customHeight="1">
      <c r="A106" s="2" t="inlineStr">
        <is>
          <t>2018::jama.2018.8802::C007</t>
        </is>
      </c>
      <c r="B106" s="2" t="inlineStr">
        <is>
          <t>jama.2018.8802</t>
        </is>
      </c>
      <c r="C106" s="2" t="inlineStr">
        <is>
          <t>baseline-survey patient total does not reconcile with stated per-cluster inclusion</t>
        </is>
      </c>
      <c r="D106" s="8" t="inlineStr"/>
      <c r="E106" s="11" t="inlineStr"/>
      <c r="F106" s="8" t="inlineStr">
        <is>
          <t>no</t>
        </is>
      </c>
      <c r="G106" s="2">
        <f>IF(OR(AND(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L106&lt;&gt;"",L106&lt;&gt;"not_applicable"),AND(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M106&lt;&gt;"",M106&lt;&gt;"not_applicable"),AND(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N106&lt;&gt;"",N106&lt;&gt;"not_applicable"),AND(OR(AND(IF($J106="",INDEX(primary_jama_2018_8802_disposition,MATCH($A106,primary_jama_2018_8802_key,0)),$J106)&lt;&gt;"",IF($J106="",INDEX(primary_jama_2018_8802_disposition,MATCH($A106,primary_jama_2018_8802_key,0)),$J106)&lt;&gt;"retain"),NOT(OR(IF($K106="",INDEX(primary_jama_2018_8802_domain,MATCH($A106,primary_jama_2018_8802_key,0)),$K106)="internal_nonstatistical",IF($K106="",INDEX(primary_jama_2018_8802_domain,MATCH($A106,primary_jama_2018_8802_key,0)),$K106)="plan_material"))),O106&lt;&gt;"",O106&lt;&gt;"not_applicable"),AND(OR(AND(IF($J106="",INDEX(primary_jama_2018_8802_disposition,MATCH($A106,primary_jama_2018_8802_key,0)),$J106)&lt;&gt;"",IF($J106="",INDEX(primary_jama_2018_8802_disposition,MATCH($A106,primary_jama_2018_8802_key,0)),$J106)&lt;&gt;"retain"),NOT(OR(IF($K106="",INDEX(primary_jama_2018_8802_domain,MATCH($A106,primary_jama_2018_8802_key,0)),$K106)="protocol_report"))),P106&lt;&gt;"",P106&lt;&gt;"not_applicable")),"CLEAR INACTIVE VALUES",IF(D106="","PENDING",IF(AND(D106&lt;&gt;"agree",LEN(TRIM(E106))=0),"COMMENT NEEDED",IF(F106="yes","CHECKED - see resolution","DRAFT"))))</f>
        <v/>
      </c>
      <c r="H106" s="8" t="inlineStr">
        <is>
          <t>pending</t>
        </is>
      </c>
      <c r="I106" s="11" t="inlineStr"/>
      <c r="J106" s="8" t="inlineStr"/>
      <c r="K106" s="8" t="inlineStr"/>
      <c r="L106" s="8">
        <f>IF(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not_applicable","")</f>
        <v/>
      </c>
      <c r="M106" s="8">
        <f>IF(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not_applicable","")</f>
        <v/>
      </c>
      <c r="N106" s="9">
        <f>IF(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not_applicable","")</f>
        <v/>
      </c>
      <c r="O106" s="8">
        <f>IF(OR(AND(IF($J106="",INDEX(primary_jama_2018_8802_disposition,MATCH($A106,primary_jama_2018_8802_key,0)),$J106)&lt;&gt;"",IF($J106="",INDEX(primary_jama_2018_8802_disposition,MATCH($A106,primary_jama_2018_8802_key,0)),$J106)&lt;&gt;"retain"),NOT(OR(IF($K106="",INDEX(primary_jama_2018_8802_domain,MATCH($A106,primary_jama_2018_8802_key,0)),$K106)="internal_nonstatistical",IF($K106="",INDEX(primary_jama_2018_8802_domain,MATCH($A106,primary_jama_2018_8802_key,0)),$K106)="plan_material"))),"not_applicable","")</f>
        <v/>
      </c>
      <c r="P106" s="9">
        <f>IF(OR(AND(IF($J106="",INDEX(primary_jama_2018_8802_disposition,MATCH($A106,primary_jama_2018_8802_key,0)),$J106)&lt;&gt;"",IF($J106="",INDEX(primary_jama_2018_8802_disposition,MATCH($A106,primary_jama_2018_8802_key,0)),$J106)&lt;&gt;"retain"),NOT(OR(IF($K106="",INDEX(primary_jama_2018_8802_domain,MATCH($A106,primary_jama_2018_8802_key,0)),$K106)="protocol_report"))),"not_applicable","")</f>
        <v/>
      </c>
      <c r="Q106" s="10" t="inlineStr"/>
      <c r="R106" s="10" t="inlineStr"/>
    </row>
    <row r="107" ht="76" customHeight="1">
      <c r="A107" s="3" t="inlineStr">
        <is>
          <t>2018::jama.2018.8802::C008</t>
        </is>
      </c>
      <c r="B107" s="3" t="inlineStr">
        <is>
          <t>jama.2018.8802</t>
        </is>
      </c>
      <c r="C107" s="3" t="inlineStr">
        <is>
          <t>in-hospital death absolute-difference CI and P value do not reconcile</t>
        </is>
      </c>
      <c r="D107" s="8" t="inlineStr"/>
      <c r="E107" s="11" t="inlineStr"/>
      <c r="F107" s="8" t="inlineStr">
        <is>
          <t>no</t>
        </is>
      </c>
      <c r="G107" s="3">
        <f>IF(OR(AND(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L107&lt;&gt;"",L107&lt;&gt;"not_applicable"),AND(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M107&lt;&gt;"",M107&lt;&gt;"not_applicable"),AND(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N107&lt;&gt;"",N107&lt;&gt;"not_applicable"),AND(OR(AND(IF($J107="",INDEX(primary_jama_2018_8802_disposition,MATCH($A107,primary_jama_2018_8802_key,0)),$J107)&lt;&gt;"",IF($J107="",INDEX(primary_jama_2018_8802_disposition,MATCH($A107,primary_jama_2018_8802_key,0)),$J107)&lt;&gt;"retain"),NOT(OR(IF($K107="",INDEX(primary_jama_2018_8802_domain,MATCH($A107,primary_jama_2018_8802_key,0)),$K107)="internal_nonstatistical",IF($K107="",INDEX(primary_jama_2018_8802_domain,MATCH($A107,primary_jama_2018_8802_key,0)),$K107)="plan_material"))),O107&lt;&gt;"",O107&lt;&gt;"not_applicable"),AND(OR(AND(IF($J107="",INDEX(primary_jama_2018_8802_disposition,MATCH($A107,primary_jama_2018_8802_key,0)),$J107)&lt;&gt;"",IF($J107="",INDEX(primary_jama_2018_8802_disposition,MATCH($A107,primary_jama_2018_8802_key,0)),$J107)&lt;&gt;"retain"),NOT(OR(IF($K107="",INDEX(primary_jama_2018_8802_domain,MATCH($A107,primary_jama_2018_8802_key,0)),$K107)="protocol_report"))),P107&lt;&gt;"",P107&lt;&gt;"not_applicable")),"CLEAR INACTIVE VALUES",IF(D107="","PENDING",IF(AND(D107&lt;&gt;"agree",LEN(TRIM(E107))=0),"COMMENT NEEDED",IF(F107="yes","CHECKED - see resolution","DRAFT"))))</f>
        <v/>
      </c>
      <c r="H107" s="8" t="inlineStr">
        <is>
          <t>pending</t>
        </is>
      </c>
      <c r="I107" s="11" t="inlineStr"/>
      <c r="J107" s="8" t="inlineStr"/>
      <c r="K107" s="8" t="inlineStr"/>
      <c r="L107" s="8">
        <f>IF(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not_applicable","")</f>
        <v/>
      </c>
      <c r="M107" s="8">
        <f>IF(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not_applicable","")</f>
        <v/>
      </c>
      <c r="N107" s="9">
        <f>IF(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not_applicable","")</f>
        <v/>
      </c>
      <c r="O107" s="8">
        <f>IF(OR(AND(IF($J107="",INDEX(primary_jama_2018_8802_disposition,MATCH($A107,primary_jama_2018_8802_key,0)),$J107)&lt;&gt;"",IF($J107="",INDEX(primary_jama_2018_8802_disposition,MATCH($A107,primary_jama_2018_8802_key,0)),$J107)&lt;&gt;"retain"),NOT(OR(IF($K107="",INDEX(primary_jama_2018_8802_domain,MATCH($A107,primary_jama_2018_8802_key,0)),$K107)="internal_nonstatistical",IF($K107="",INDEX(primary_jama_2018_8802_domain,MATCH($A107,primary_jama_2018_8802_key,0)),$K107)="plan_material"))),"not_applicable","")</f>
        <v/>
      </c>
      <c r="P107" s="9">
        <f>IF(OR(AND(IF($J107="",INDEX(primary_jama_2018_8802_disposition,MATCH($A107,primary_jama_2018_8802_key,0)),$J107)&lt;&gt;"",IF($J107="",INDEX(primary_jama_2018_8802_disposition,MATCH($A107,primary_jama_2018_8802_key,0)),$J107)&lt;&gt;"retain"),NOT(OR(IF($K107="",INDEX(primary_jama_2018_8802_domain,MATCH($A107,primary_jama_2018_8802_key,0)),$K107)="protocol_report"))),"not_applicable","")</f>
        <v/>
      </c>
      <c r="Q107" s="10" t="inlineStr"/>
      <c r="R107" s="10" t="inlineStr"/>
    </row>
    <row r="108" ht="76" customHeight="1">
      <c r="A108" s="2" t="inlineStr">
        <is>
          <t>2018::jama.2018.9128::C001</t>
        </is>
      </c>
      <c r="B108" s="2" t="inlineStr">
        <is>
          <t>jama.2018.9128</t>
        </is>
      </c>
      <c r="C108" s="2" t="inlineStr">
        <is>
          <t>Intervention 3-month BMI-observation count differs across result displays</t>
        </is>
      </c>
      <c r="D108" s="8" t="inlineStr"/>
      <c r="E108" s="11" t="inlineStr"/>
      <c r="F108" s="8" t="inlineStr">
        <is>
          <t>no</t>
        </is>
      </c>
      <c r="G108" s="2">
        <f>IF(OR(AND(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L108&lt;&gt;"",L108&lt;&gt;"not_applicable"),AND(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M108&lt;&gt;"",M108&lt;&gt;"not_applicable"),AND(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N108&lt;&gt;"",N108&lt;&gt;"not_applicable"),AND(OR(AND(IF($J108="",INDEX(primary_jama_2018_9128_disposition,MATCH($A108,primary_jama_2018_9128_key,0)),$J108)&lt;&gt;"",IF($J108="",INDEX(primary_jama_2018_9128_disposition,MATCH($A108,primary_jama_2018_9128_key,0)),$J108)&lt;&gt;"retain"),NOT(OR(IF($K108="",INDEX(primary_jama_2018_9128_domain,MATCH($A108,primary_jama_2018_9128_key,0)),$K108)="internal_nonstatistical",IF($K108="",INDEX(primary_jama_2018_9128_domain,MATCH($A108,primary_jama_2018_9128_key,0)),$K108)="plan_material"))),O108&lt;&gt;"",O108&lt;&gt;"not_applicable"),AND(OR(AND(IF($J108="",INDEX(primary_jama_2018_9128_disposition,MATCH($A108,primary_jama_2018_9128_key,0)),$J108)&lt;&gt;"",IF($J108="",INDEX(primary_jama_2018_9128_disposition,MATCH($A108,primary_jama_2018_9128_key,0)),$J108)&lt;&gt;"retain"),NOT(OR(IF($K108="",INDEX(primary_jama_2018_9128_domain,MATCH($A108,primary_jama_2018_9128_key,0)),$K108)="protocol_report"))),P108&lt;&gt;"",P108&lt;&gt;"not_applicable")),"CLEAR INACTIVE VALUES",IF(D108="","PENDING",IF(AND(D108&lt;&gt;"agree",LEN(TRIM(E108))=0),"COMMENT NEEDED",IF(F108="yes","CHECKED - see resolution","DRAFT"))))</f>
        <v/>
      </c>
      <c r="H108" s="8" t="inlineStr">
        <is>
          <t>pending</t>
        </is>
      </c>
      <c r="I108" s="11" t="inlineStr"/>
      <c r="J108" s="8" t="inlineStr"/>
      <c r="K108" s="8" t="inlineStr"/>
      <c r="L108" s="8">
        <f>IF(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not_applicable","")</f>
        <v/>
      </c>
      <c r="M108" s="8">
        <f>IF(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not_applicable","")</f>
        <v/>
      </c>
      <c r="N108" s="9">
        <f>IF(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not_applicable","")</f>
        <v/>
      </c>
      <c r="O108" s="8">
        <f>IF(OR(AND(IF($J108="",INDEX(primary_jama_2018_9128_disposition,MATCH($A108,primary_jama_2018_9128_key,0)),$J108)&lt;&gt;"",IF($J108="",INDEX(primary_jama_2018_9128_disposition,MATCH($A108,primary_jama_2018_9128_key,0)),$J108)&lt;&gt;"retain"),NOT(OR(IF($K108="",INDEX(primary_jama_2018_9128_domain,MATCH($A108,primary_jama_2018_9128_key,0)),$K108)="internal_nonstatistical",IF($K108="",INDEX(primary_jama_2018_9128_domain,MATCH($A108,primary_jama_2018_9128_key,0)),$K108)="plan_material"))),"not_applicable","")</f>
        <v/>
      </c>
      <c r="P108" s="9">
        <f>IF(OR(AND(IF($J108="",INDEX(primary_jama_2018_9128_disposition,MATCH($A108,primary_jama_2018_9128_key,0)),$J108)&lt;&gt;"",IF($J108="",INDEX(primary_jama_2018_9128_disposition,MATCH($A108,primary_jama_2018_9128_key,0)),$J108)&lt;&gt;"retain"),NOT(OR(IF($K108="",INDEX(primary_jama_2018_9128_domain,MATCH($A108,primary_jama_2018_9128_key,0)),$K108)="protocol_report"))),"not_applicable","")</f>
        <v/>
      </c>
      <c r="Q108" s="10" t="inlineStr"/>
      <c r="R108" s="10" t="inlineStr"/>
    </row>
    <row r="109" ht="76" customHeight="1">
      <c r="A109" s="3" t="inlineStr">
        <is>
          <t>2018::jama.2018.9128::C002</t>
        </is>
      </c>
      <c r="B109" s="3" t="inlineStr">
        <is>
          <t>jama.2018.9128</t>
        </is>
      </c>
      <c r="C109" s="3" t="inlineStr">
        <is>
          <t>Control 3-month BMI-observation count differs across result displays</t>
        </is>
      </c>
      <c r="D109" s="8" t="inlineStr"/>
      <c r="E109" s="11" t="inlineStr"/>
      <c r="F109" s="8" t="inlineStr">
        <is>
          <t>no</t>
        </is>
      </c>
      <c r="G109" s="3">
        <f>IF(OR(AND(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L109&lt;&gt;"",L109&lt;&gt;"not_applicable"),AND(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M109&lt;&gt;"",M109&lt;&gt;"not_applicable"),AND(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N109&lt;&gt;"",N109&lt;&gt;"not_applicable"),AND(OR(AND(IF($J109="",INDEX(primary_jama_2018_9128_disposition,MATCH($A109,primary_jama_2018_9128_key,0)),$J109)&lt;&gt;"",IF($J109="",INDEX(primary_jama_2018_9128_disposition,MATCH($A109,primary_jama_2018_9128_key,0)),$J109)&lt;&gt;"retain"),NOT(OR(IF($K109="",INDEX(primary_jama_2018_9128_domain,MATCH($A109,primary_jama_2018_9128_key,0)),$K109)="internal_nonstatistical",IF($K109="",INDEX(primary_jama_2018_9128_domain,MATCH($A109,primary_jama_2018_9128_key,0)),$K109)="plan_material"))),O109&lt;&gt;"",O109&lt;&gt;"not_applicable"),AND(OR(AND(IF($J109="",INDEX(primary_jama_2018_9128_disposition,MATCH($A109,primary_jama_2018_9128_key,0)),$J109)&lt;&gt;"",IF($J109="",INDEX(primary_jama_2018_9128_disposition,MATCH($A109,primary_jama_2018_9128_key,0)),$J109)&lt;&gt;"retain"),NOT(OR(IF($K109="",INDEX(primary_jama_2018_9128_domain,MATCH($A109,primary_jama_2018_9128_key,0)),$K109)="protocol_report"))),P109&lt;&gt;"",P109&lt;&gt;"not_applicable")),"CLEAR INACTIVE VALUES",IF(D109="","PENDING",IF(AND(D109&lt;&gt;"agree",LEN(TRIM(E109))=0),"COMMENT NEEDED",IF(F109="yes","CHECKED - see resolution","DRAFT"))))</f>
        <v/>
      </c>
      <c r="H109" s="8" t="inlineStr">
        <is>
          <t>pending</t>
        </is>
      </c>
      <c r="I109" s="11" t="inlineStr"/>
      <c r="J109" s="8" t="inlineStr"/>
      <c r="K109" s="8" t="inlineStr"/>
      <c r="L109" s="8">
        <f>IF(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not_applicable","")</f>
        <v/>
      </c>
      <c r="M109" s="8">
        <f>IF(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not_applicable","")</f>
        <v/>
      </c>
      <c r="N109" s="9">
        <f>IF(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not_applicable","")</f>
        <v/>
      </c>
      <c r="O109" s="8">
        <f>IF(OR(AND(IF($J109="",INDEX(primary_jama_2018_9128_disposition,MATCH($A109,primary_jama_2018_9128_key,0)),$J109)&lt;&gt;"",IF($J109="",INDEX(primary_jama_2018_9128_disposition,MATCH($A109,primary_jama_2018_9128_key,0)),$J109)&lt;&gt;"retain"),NOT(OR(IF($K109="",INDEX(primary_jama_2018_9128_domain,MATCH($A109,primary_jama_2018_9128_key,0)),$K109)="internal_nonstatistical",IF($K109="",INDEX(primary_jama_2018_9128_domain,MATCH($A109,primary_jama_2018_9128_key,0)),$K109)="plan_material"))),"not_applicable","")</f>
        <v/>
      </c>
      <c r="P109" s="9">
        <f>IF(OR(AND(IF($J109="",INDEX(primary_jama_2018_9128_disposition,MATCH($A109,primary_jama_2018_9128_key,0)),$J109)&lt;&gt;"",IF($J109="",INDEX(primary_jama_2018_9128_disposition,MATCH($A109,primary_jama_2018_9128_key,0)),$J109)&lt;&gt;"retain"),NOT(OR(IF($K109="",INDEX(primary_jama_2018_9128_domain,MATCH($A109,primary_jama_2018_9128_key,0)),$K109)="protocol_report"))),"not_applicable","")</f>
        <v/>
      </c>
      <c r="Q109" s="10" t="inlineStr"/>
      <c r="R109" s="10" t="inlineStr"/>
    </row>
    <row r="110" ht="76" customHeight="1">
      <c r="A110" s="2" t="inlineStr">
        <is>
          <t>2018::jama.2018.9128::C003</t>
        </is>
      </c>
      <c r="B110" s="2" t="inlineStr">
        <is>
          <t>jama.2018.9128</t>
        </is>
      </c>
      <c r="C110" s="2" t="inlineStr">
        <is>
          <t>Intervention 9-month BMI-observation count differs across result displays</t>
        </is>
      </c>
      <c r="D110" s="8" t="inlineStr"/>
      <c r="E110" s="11" t="inlineStr"/>
      <c r="F110" s="8" t="inlineStr">
        <is>
          <t>no</t>
        </is>
      </c>
      <c r="G110" s="2">
        <f>IF(OR(AND(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L110&lt;&gt;"",L110&lt;&gt;"not_applicable"),AND(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M110&lt;&gt;"",M110&lt;&gt;"not_applicable"),AND(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N110&lt;&gt;"",N110&lt;&gt;"not_applicable"),AND(OR(AND(IF($J110="",INDEX(primary_jama_2018_9128_disposition,MATCH($A110,primary_jama_2018_9128_key,0)),$J110)&lt;&gt;"",IF($J110="",INDEX(primary_jama_2018_9128_disposition,MATCH($A110,primary_jama_2018_9128_key,0)),$J110)&lt;&gt;"retain"),NOT(OR(IF($K110="",INDEX(primary_jama_2018_9128_domain,MATCH($A110,primary_jama_2018_9128_key,0)),$K110)="internal_nonstatistical",IF($K110="",INDEX(primary_jama_2018_9128_domain,MATCH($A110,primary_jama_2018_9128_key,0)),$K110)="plan_material"))),O110&lt;&gt;"",O110&lt;&gt;"not_applicable"),AND(OR(AND(IF($J110="",INDEX(primary_jama_2018_9128_disposition,MATCH($A110,primary_jama_2018_9128_key,0)),$J110)&lt;&gt;"",IF($J110="",INDEX(primary_jama_2018_9128_disposition,MATCH($A110,primary_jama_2018_9128_key,0)),$J110)&lt;&gt;"retain"),NOT(OR(IF($K110="",INDEX(primary_jama_2018_9128_domain,MATCH($A110,primary_jama_2018_9128_key,0)),$K110)="protocol_report"))),P110&lt;&gt;"",P110&lt;&gt;"not_applicable")),"CLEAR INACTIVE VALUES",IF(D110="","PENDING",IF(AND(D110&lt;&gt;"agree",LEN(TRIM(E110))=0),"COMMENT NEEDED",IF(F110="yes","CHECKED - see resolution","DRAFT"))))</f>
        <v/>
      </c>
      <c r="H110" s="8" t="inlineStr">
        <is>
          <t>pending</t>
        </is>
      </c>
      <c r="I110" s="11" t="inlineStr"/>
      <c r="J110" s="8" t="inlineStr"/>
      <c r="K110" s="8" t="inlineStr"/>
      <c r="L110" s="8">
        <f>IF(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not_applicable","")</f>
        <v/>
      </c>
      <c r="M110" s="8">
        <f>IF(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not_applicable","")</f>
        <v/>
      </c>
      <c r="N110" s="9">
        <f>IF(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not_applicable","")</f>
        <v/>
      </c>
      <c r="O110" s="8">
        <f>IF(OR(AND(IF($J110="",INDEX(primary_jama_2018_9128_disposition,MATCH($A110,primary_jama_2018_9128_key,0)),$J110)&lt;&gt;"",IF($J110="",INDEX(primary_jama_2018_9128_disposition,MATCH($A110,primary_jama_2018_9128_key,0)),$J110)&lt;&gt;"retain"),NOT(OR(IF($K110="",INDEX(primary_jama_2018_9128_domain,MATCH($A110,primary_jama_2018_9128_key,0)),$K110)="internal_nonstatistical",IF($K110="",INDEX(primary_jama_2018_9128_domain,MATCH($A110,primary_jama_2018_9128_key,0)),$K110)="plan_material"))),"not_applicable","")</f>
        <v/>
      </c>
      <c r="P110" s="9">
        <f>IF(OR(AND(IF($J110="",INDEX(primary_jama_2018_9128_disposition,MATCH($A110,primary_jama_2018_9128_key,0)),$J110)&lt;&gt;"",IF($J110="",INDEX(primary_jama_2018_9128_disposition,MATCH($A110,primary_jama_2018_9128_key,0)),$J110)&lt;&gt;"retain"),NOT(OR(IF($K110="",INDEX(primary_jama_2018_9128_domain,MATCH($A110,primary_jama_2018_9128_key,0)),$K110)="protocol_report"))),"not_applicable","")</f>
        <v/>
      </c>
      <c r="Q110" s="10" t="inlineStr"/>
      <c r="R110" s="10" t="inlineStr"/>
    </row>
    <row r="111" ht="76" customHeight="1">
      <c r="A111" s="3" t="inlineStr">
        <is>
          <t>2018::jama.2018.9128::C004</t>
        </is>
      </c>
      <c r="B111" s="3" t="inlineStr">
        <is>
          <t>jama.2018.9128</t>
        </is>
      </c>
      <c r="C111" s="3" t="inlineStr">
        <is>
          <t>Intervention 12-month BMI-observation count differs across result displays</t>
        </is>
      </c>
      <c r="D111" s="8" t="inlineStr"/>
      <c r="E111" s="11" t="inlineStr"/>
      <c r="F111" s="8" t="inlineStr">
        <is>
          <t>no</t>
        </is>
      </c>
      <c r="G111" s="3">
        <f>IF(OR(AND(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L111&lt;&gt;"",L111&lt;&gt;"not_applicable"),AND(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M111&lt;&gt;"",M111&lt;&gt;"not_applicable"),AND(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N111&lt;&gt;"",N111&lt;&gt;"not_applicable"),AND(OR(AND(IF($J111="",INDEX(primary_jama_2018_9128_disposition,MATCH($A111,primary_jama_2018_9128_key,0)),$J111)&lt;&gt;"",IF($J111="",INDEX(primary_jama_2018_9128_disposition,MATCH($A111,primary_jama_2018_9128_key,0)),$J111)&lt;&gt;"retain"),NOT(OR(IF($K111="",INDEX(primary_jama_2018_9128_domain,MATCH($A111,primary_jama_2018_9128_key,0)),$K111)="internal_nonstatistical",IF($K111="",INDEX(primary_jama_2018_9128_domain,MATCH($A111,primary_jama_2018_9128_key,0)),$K111)="plan_material"))),O111&lt;&gt;"",O111&lt;&gt;"not_applicable"),AND(OR(AND(IF($J111="",INDEX(primary_jama_2018_9128_disposition,MATCH($A111,primary_jama_2018_9128_key,0)),$J111)&lt;&gt;"",IF($J111="",INDEX(primary_jama_2018_9128_disposition,MATCH($A111,primary_jama_2018_9128_key,0)),$J111)&lt;&gt;"retain"),NOT(OR(IF($K111="",INDEX(primary_jama_2018_9128_domain,MATCH($A111,primary_jama_2018_9128_key,0)),$K111)="protocol_report"))),P111&lt;&gt;"",P111&lt;&gt;"not_applicable")),"CLEAR INACTIVE VALUES",IF(D111="","PENDING",IF(AND(D111&lt;&gt;"agree",LEN(TRIM(E111))=0),"COMMENT NEEDED",IF(F111="yes","CHECKED - see resolution","DRAFT"))))</f>
        <v/>
      </c>
      <c r="H111" s="8" t="inlineStr">
        <is>
          <t>pending</t>
        </is>
      </c>
      <c r="I111" s="11" t="inlineStr"/>
      <c r="J111" s="8" t="inlineStr"/>
      <c r="K111" s="8" t="inlineStr"/>
      <c r="L111" s="8">
        <f>IF(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not_applicable","")</f>
        <v/>
      </c>
      <c r="M111" s="8">
        <f>IF(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not_applicable","")</f>
        <v/>
      </c>
      <c r="N111" s="9">
        <f>IF(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not_applicable","")</f>
        <v/>
      </c>
      <c r="O111" s="8">
        <f>IF(OR(AND(IF($J111="",INDEX(primary_jama_2018_9128_disposition,MATCH($A111,primary_jama_2018_9128_key,0)),$J111)&lt;&gt;"",IF($J111="",INDEX(primary_jama_2018_9128_disposition,MATCH($A111,primary_jama_2018_9128_key,0)),$J111)&lt;&gt;"retain"),NOT(OR(IF($K111="",INDEX(primary_jama_2018_9128_domain,MATCH($A111,primary_jama_2018_9128_key,0)),$K111)="internal_nonstatistical",IF($K111="",INDEX(primary_jama_2018_9128_domain,MATCH($A111,primary_jama_2018_9128_key,0)),$K111)="plan_material"))),"not_applicable","")</f>
        <v/>
      </c>
      <c r="P111" s="9">
        <f>IF(OR(AND(IF($J111="",INDEX(primary_jama_2018_9128_disposition,MATCH($A111,primary_jama_2018_9128_key,0)),$J111)&lt;&gt;"",IF($J111="",INDEX(primary_jama_2018_9128_disposition,MATCH($A111,primary_jama_2018_9128_key,0)),$J111)&lt;&gt;"retain"),NOT(OR(IF($K111="",INDEX(primary_jama_2018_9128_domain,MATCH($A111,primary_jama_2018_9128_key,0)),$K111)="protocol_report"))),"not_applicable","")</f>
        <v/>
      </c>
      <c r="Q111" s="10" t="inlineStr"/>
      <c r="R111" s="10" t="inlineStr"/>
    </row>
    <row r="112" ht="76" customHeight="1">
      <c r="A112" s="2" t="inlineStr">
        <is>
          <t>2018::jama.2018.9128::C005</t>
        </is>
      </c>
      <c r="B112" s="2" t="inlineStr">
        <is>
          <t>jama.2018.9128</t>
        </is>
      </c>
      <c r="C112" s="2" t="inlineStr">
        <is>
          <t>Control 12-month BMI-observation count differs across result displays</t>
        </is>
      </c>
      <c r="D112" s="8" t="inlineStr"/>
      <c r="E112" s="11" t="inlineStr"/>
      <c r="F112" s="8" t="inlineStr">
        <is>
          <t>no</t>
        </is>
      </c>
      <c r="G112" s="2">
        <f>IF(OR(AND(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L112&lt;&gt;"",L112&lt;&gt;"not_applicable"),AND(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M112&lt;&gt;"",M112&lt;&gt;"not_applicable"),AND(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N112&lt;&gt;"",N112&lt;&gt;"not_applicable"),AND(OR(AND(IF($J112="",INDEX(primary_jama_2018_9128_disposition,MATCH($A112,primary_jama_2018_9128_key,0)),$J112)&lt;&gt;"",IF($J112="",INDEX(primary_jama_2018_9128_disposition,MATCH($A112,primary_jama_2018_9128_key,0)),$J112)&lt;&gt;"retain"),NOT(OR(IF($K112="",INDEX(primary_jama_2018_9128_domain,MATCH($A112,primary_jama_2018_9128_key,0)),$K112)="internal_nonstatistical",IF($K112="",INDEX(primary_jama_2018_9128_domain,MATCH($A112,primary_jama_2018_9128_key,0)),$K112)="plan_material"))),O112&lt;&gt;"",O112&lt;&gt;"not_applicable"),AND(OR(AND(IF($J112="",INDEX(primary_jama_2018_9128_disposition,MATCH($A112,primary_jama_2018_9128_key,0)),$J112)&lt;&gt;"",IF($J112="",INDEX(primary_jama_2018_9128_disposition,MATCH($A112,primary_jama_2018_9128_key,0)),$J112)&lt;&gt;"retain"),NOT(OR(IF($K112="",INDEX(primary_jama_2018_9128_domain,MATCH($A112,primary_jama_2018_9128_key,0)),$K112)="protocol_report"))),P112&lt;&gt;"",P112&lt;&gt;"not_applicable")),"CLEAR INACTIVE VALUES",IF(D112="","PENDING",IF(AND(D112&lt;&gt;"agree",LEN(TRIM(E112))=0),"COMMENT NEEDED",IF(F112="yes","CHECKED - see resolution","DRAFT"))))</f>
        <v/>
      </c>
      <c r="H112" s="8" t="inlineStr">
        <is>
          <t>pending</t>
        </is>
      </c>
      <c r="I112" s="11" t="inlineStr"/>
      <c r="J112" s="8" t="inlineStr"/>
      <c r="K112" s="8" t="inlineStr"/>
      <c r="L112" s="8">
        <f>IF(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not_applicable","")</f>
        <v/>
      </c>
      <c r="M112" s="8">
        <f>IF(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not_applicable","")</f>
        <v/>
      </c>
      <c r="N112" s="9">
        <f>IF(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not_applicable","")</f>
        <v/>
      </c>
      <c r="O112" s="8">
        <f>IF(OR(AND(IF($J112="",INDEX(primary_jama_2018_9128_disposition,MATCH($A112,primary_jama_2018_9128_key,0)),$J112)&lt;&gt;"",IF($J112="",INDEX(primary_jama_2018_9128_disposition,MATCH($A112,primary_jama_2018_9128_key,0)),$J112)&lt;&gt;"retain"),NOT(OR(IF($K112="",INDEX(primary_jama_2018_9128_domain,MATCH($A112,primary_jama_2018_9128_key,0)),$K112)="internal_nonstatistical",IF($K112="",INDEX(primary_jama_2018_9128_domain,MATCH($A112,primary_jama_2018_9128_key,0)),$K112)="plan_material"))),"not_applicable","")</f>
        <v/>
      </c>
      <c r="P112" s="9">
        <f>IF(OR(AND(IF($J112="",INDEX(primary_jama_2018_9128_disposition,MATCH($A112,primary_jama_2018_9128_key,0)),$J112)&lt;&gt;"",IF($J112="",INDEX(primary_jama_2018_9128_disposition,MATCH($A112,primary_jama_2018_9128_key,0)),$J112)&lt;&gt;"retain"),NOT(OR(IF($K112="",INDEX(primary_jama_2018_9128_domain,MATCH($A112,primary_jama_2018_9128_key,0)),$K112)="protocol_report"))),"not_applicable","")</f>
        <v/>
      </c>
      <c r="Q112" s="10" t="inlineStr"/>
      <c r="R112" s="10" t="inlineStr"/>
    </row>
    <row r="113" ht="76" customHeight="1">
      <c r="A113" s="3" t="inlineStr">
        <is>
          <t>2018::jama.2018.9128::C006</t>
        </is>
      </c>
      <c r="B113" s="3" t="inlineStr">
        <is>
          <t>jama.2018.9128</t>
        </is>
      </c>
      <c r="C113" s="3" t="inlineStr">
        <is>
          <t>Intervention 24-month BMI-observation count differs across result displays</t>
        </is>
      </c>
      <c r="D113" s="8" t="inlineStr"/>
      <c r="E113" s="11" t="inlineStr"/>
      <c r="F113" s="8" t="inlineStr">
        <is>
          <t>no</t>
        </is>
      </c>
      <c r="G113" s="3">
        <f>IF(OR(AND(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L113&lt;&gt;"",L113&lt;&gt;"not_applicable"),AND(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M113&lt;&gt;"",M113&lt;&gt;"not_applicable"),AND(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N113&lt;&gt;"",N113&lt;&gt;"not_applicable"),AND(OR(AND(IF($J113="",INDEX(primary_jama_2018_9128_disposition,MATCH($A113,primary_jama_2018_9128_key,0)),$J113)&lt;&gt;"",IF($J113="",INDEX(primary_jama_2018_9128_disposition,MATCH($A113,primary_jama_2018_9128_key,0)),$J113)&lt;&gt;"retain"),NOT(OR(IF($K113="",INDEX(primary_jama_2018_9128_domain,MATCH($A113,primary_jama_2018_9128_key,0)),$K113)="internal_nonstatistical",IF($K113="",INDEX(primary_jama_2018_9128_domain,MATCH($A113,primary_jama_2018_9128_key,0)),$K113)="plan_material"))),O113&lt;&gt;"",O113&lt;&gt;"not_applicable"),AND(OR(AND(IF($J113="",INDEX(primary_jama_2018_9128_disposition,MATCH($A113,primary_jama_2018_9128_key,0)),$J113)&lt;&gt;"",IF($J113="",INDEX(primary_jama_2018_9128_disposition,MATCH($A113,primary_jama_2018_9128_key,0)),$J113)&lt;&gt;"retain"),NOT(OR(IF($K113="",INDEX(primary_jama_2018_9128_domain,MATCH($A113,primary_jama_2018_9128_key,0)),$K113)="protocol_report"))),P113&lt;&gt;"",P113&lt;&gt;"not_applicable")),"CLEAR INACTIVE VALUES",IF(D113="","PENDING",IF(AND(D113&lt;&gt;"agree",LEN(TRIM(E113))=0),"COMMENT NEEDED",IF(F113="yes","CHECKED - see resolution","DRAFT"))))</f>
        <v/>
      </c>
      <c r="H113" s="8" t="inlineStr">
        <is>
          <t>pending</t>
        </is>
      </c>
      <c r="I113" s="11" t="inlineStr"/>
      <c r="J113" s="8" t="inlineStr"/>
      <c r="K113" s="8" t="inlineStr"/>
      <c r="L113" s="8">
        <f>IF(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not_applicable","")</f>
        <v/>
      </c>
      <c r="M113" s="8">
        <f>IF(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not_applicable","")</f>
        <v/>
      </c>
      <c r="N113" s="9">
        <f>IF(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not_applicable","")</f>
        <v/>
      </c>
      <c r="O113" s="8">
        <f>IF(OR(AND(IF($J113="",INDEX(primary_jama_2018_9128_disposition,MATCH($A113,primary_jama_2018_9128_key,0)),$J113)&lt;&gt;"",IF($J113="",INDEX(primary_jama_2018_9128_disposition,MATCH($A113,primary_jama_2018_9128_key,0)),$J113)&lt;&gt;"retain"),NOT(OR(IF($K113="",INDEX(primary_jama_2018_9128_domain,MATCH($A113,primary_jama_2018_9128_key,0)),$K113)="internal_nonstatistical",IF($K113="",INDEX(primary_jama_2018_9128_domain,MATCH($A113,primary_jama_2018_9128_key,0)),$K113)="plan_material"))),"not_applicable","")</f>
        <v/>
      </c>
      <c r="P113" s="9">
        <f>IF(OR(AND(IF($J113="",INDEX(primary_jama_2018_9128_disposition,MATCH($A113,primary_jama_2018_9128_key,0)),$J113)&lt;&gt;"",IF($J113="",INDEX(primary_jama_2018_9128_disposition,MATCH($A113,primary_jama_2018_9128_key,0)),$J113)&lt;&gt;"retain"),NOT(OR(IF($K113="",INDEX(primary_jama_2018_9128_domain,MATCH($A113,primary_jama_2018_9128_key,0)),$K113)="protocol_report"))),"not_applicable","")</f>
        <v/>
      </c>
      <c r="Q113" s="10" t="inlineStr"/>
      <c r="R113" s="10" t="inlineStr"/>
    </row>
    <row r="114" ht="76" customHeight="1">
      <c r="A114" s="2" t="inlineStr">
        <is>
          <t>2018::jama.2018.9128::C007</t>
        </is>
      </c>
      <c r="B114" s="2" t="inlineStr">
        <is>
          <t>jama.2018.9128</t>
        </is>
      </c>
      <c r="C114" s="2" t="inlineStr">
        <is>
          <t>Control 24-month BMI-observation count differs across result displays</t>
        </is>
      </c>
      <c r="D114" s="8" t="inlineStr"/>
      <c r="E114" s="11" t="inlineStr"/>
      <c r="F114" s="8" t="inlineStr">
        <is>
          <t>no</t>
        </is>
      </c>
      <c r="G114" s="2">
        <f>IF(OR(AND(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L114&lt;&gt;"",L114&lt;&gt;"not_applicable"),AND(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M114&lt;&gt;"",M114&lt;&gt;"not_applicable"),AND(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N114&lt;&gt;"",N114&lt;&gt;"not_applicable"),AND(OR(AND(IF($J114="",INDEX(primary_jama_2018_9128_disposition,MATCH($A114,primary_jama_2018_9128_key,0)),$J114)&lt;&gt;"",IF($J114="",INDEX(primary_jama_2018_9128_disposition,MATCH($A114,primary_jama_2018_9128_key,0)),$J114)&lt;&gt;"retain"),NOT(OR(IF($K114="",INDEX(primary_jama_2018_9128_domain,MATCH($A114,primary_jama_2018_9128_key,0)),$K114)="internal_nonstatistical",IF($K114="",INDEX(primary_jama_2018_9128_domain,MATCH($A114,primary_jama_2018_9128_key,0)),$K114)="plan_material"))),O114&lt;&gt;"",O114&lt;&gt;"not_applicable"),AND(OR(AND(IF($J114="",INDEX(primary_jama_2018_9128_disposition,MATCH($A114,primary_jama_2018_9128_key,0)),$J114)&lt;&gt;"",IF($J114="",INDEX(primary_jama_2018_9128_disposition,MATCH($A114,primary_jama_2018_9128_key,0)),$J114)&lt;&gt;"retain"),NOT(OR(IF($K114="",INDEX(primary_jama_2018_9128_domain,MATCH($A114,primary_jama_2018_9128_key,0)),$K114)="protocol_report"))),P114&lt;&gt;"",P114&lt;&gt;"not_applicable")),"CLEAR INACTIVE VALUES",IF(D114="","PENDING",IF(AND(D114&lt;&gt;"agree",LEN(TRIM(E114))=0),"COMMENT NEEDED",IF(F114="yes","CHECKED - see resolution","DRAFT"))))</f>
        <v/>
      </c>
      <c r="H114" s="8" t="inlineStr">
        <is>
          <t>pending</t>
        </is>
      </c>
      <c r="I114" s="11" t="inlineStr"/>
      <c r="J114" s="8" t="inlineStr"/>
      <c r="K114" s="8" t="inlineStr"/>
      <c r="L114" s="8">
        <f>IF(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not_applicable","")</f>
        <v/>
      </c>
      <c r="M114" s="8">
        <f>IF(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not_applicable","")</f>
        <v/>
      </c>
      <c r="N114" s="9">
        <f>IF(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not_applicable","")</f>
        <v/>
      </c>
      <c r="O114" s="8">
        <f>IF(OR(AND(IF($J114="",INDEX(primary_jama_2018_9128_disposition,MATCH($A114,primary_jama_2018_9128_key,0)),$J114)&lt;&gt;"",IF($J114="",INDEX(primary_jama_2018_9128_disposition,MATCH($A114,primary_jama_2018_9128_key,0)),$J114)&lt;&gt;"retain"),NOT(OR(IF($K114="",INDEX(primary_jama_2018_9128_domain,MATCH($A114,primary_jama_2018_9128_key,0)),$K114)="internal_nonstatistical",IF($K114="",INDEX(primary_jama_2018_9128_domain,MATCH($A114,primary_jama_2018_9128_key,0)),$K114)="plan_material"))),"not_applicable","")</f>
        <v/>
      </c>
      <c r="P114" s="9">
        <f>IF(OR(AND(IF($J114="",INDEX(primary_jama_2018_9128_disposition,MATCH($A114,primary_jama_2018_9128_key,0)),$J114)&lt;&gt;"",IF($J114="",INDEX(primary_jama_2018_9128_disposition,MATCH($A114,primary_jama_2018_9128_key,0)),$J114)&lt;&gt;"retain"),NOT(OR(IF($K114="",INDEX(primary_jama_2018_9128_domain,MATCH($A114,primary_jama_2018_9128_key,0)),$K114)="protocol_report"))),"not_applicable","")</f>
        <v/>
      </c>
      <c r="Q114" s="10" t="inlineStr"/>
      <c r="R114" s="10" t="inlineStr"/>
    </row>
    <row r="115" ht="76" customHeight="1">
      <c r="A115" s="3" t="inlineStr">
        <is>
          <t>2018::jama.2018.9128::C008</t>
        </is>
      </c>
      <c r="B115" s="3" t="inlineStr">
        <is>
          <t>jama.2018.9128</t>
        </is>
      </c>
      <c r="C115" s="3" t="inlineStr">
        <is>
          <t>Intervention 36-month BMI-observation count differs across result displays</t>
        </is>
      </c>
      <c r="D115" s="8" t="inlineStr"/>
      <c r="E115" s="11" t="inlineStr"/>
      <c r="F115" s="8" t="inlineStr">
        <is>
          <t>no</t>
        </is>
      </c>
      <c r="G115" s="3">
        <f>IF(OR(AND(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L115&lt;&gt;"",L115&lt;&gt;"not_applicable"),AND(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M115&lt;&gt;"",M115&lt;&gt;"not_applicable"),AND(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N115&lt;&gt;"",N115&lt;&gt;"not_applicable"),AND(OR(AND(IF($J115="",INDEX(primary_jama_2018_9128_disposition,MATCH($A115,primary_jama_2018_9128_key,0)),$J115)&lt;&gt;"",IF($J115="",INDEX(primary_jama_2018_9128_disposition,MATCH($A115,primary_jama_2018_9128_key,0)),$J115)&lt;&gt;"retain"),NOT(OR(IF($K115="",INDEX(primary_jama_2018_9128_domain,MATCH($A115,primary_jama_2018_9128_key,0)),$K115)="internal_nonstatistical",IF($K115="",INDEX(primary_jama_2018_9128_domain,MATCH($A115,primary_jama_2018_9128_key,0)),$K115)="plan_material"))),O115&lt;&gt;"",O115&lt;&gt;"not_applicable"),AND(OR(AND(IF($J115="",INDEX(primary_jama_2018_9128_disposition,MATCH($A115,primary_jama_2018_9128_key,0)),$J115)&lt;&gt;"",IF($J115="",INDEX(primary_jama_2018_9128_disposition,MATCH($A115,primary_jama_2018_9128_key,0)),$J115)&lt;&gt;"retain"),NOT(OR(IF($K115="",INDEX(primary_jama_2018_9128_domain,MATCH($A115,primary_jama_2018_9128_key,0)),$K115)="protocol_report"))),P115&lt;&gt;"",P115&lt;&gt;"not_applicable")),"CLEAR INACTIVE VALUES",IF(D115="","PENDING",IF(AND(D115&lt;&gt;"agree",LEN(TRIM(E115))=0),"COMMENT NEEDED",IF(F115="yes","CHECKED - see resolution","DRAFT"))))</f>
        <v/>
      </c>
      <c r="H115" s="8" t="inlineStr">
        <is>
          <t>pending</t>
        </is>
      </c>
      <c r="I115" s="11" t="inlineStr"/>
      <c r="J115" s="8" t="inlineStr"/>
      <c r="K115" s="8" t="inlineStr"/>
      <c r="L115" s="8">
        <f>IF(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not_applicable","")</f>
        <v/>
      </c>
      <c r="M115" s="8">
        <f>IF(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not_applicable","")</f>
        <v/>
      </c>
      <c r="N115" s="9">
        <f>IF(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not_applicable","")</f>
        <v/>
      </c>
      <c r="O115" s="8">
        <f>IF(OR(AND(IF($J115="",INDEX(primary_jama_2018_9128_disposition,MATCH($A115,primary_jama_2018_9128_key,0)),$J115)&lt;&gt;"",IF($J115="",INDEX(primary_jama_2018_9128_disposition,MATCH($A115,primary_jama_2018_9128_key,0)),$J115)&lt;&gt;"retain"),NOT(OR(IF($K115="",INDEX(primary_jama_2018_9128_domain,MATCH($A115,primary_jama_2018_9128_key,0)),$K115)="internal_nonstatistical",IF($K115="",INDEX(primary_jama_2018_9128_domain,MATCH($A115,primary_jama_2018_9128_key,0)),$K115)="plan_material"))),"not_applicable","")</f>
        <v/>
      </c>
      <c r="P115" s="9">
        <f>IF(OR(AND(IF($J115="",INDEX(primary_jama_2018_9128_disposition,MATCH($A115,primary_jama_2018_9128_key,0)),$J115)&lt;&gt;"",IF($J115="",INDEX(primary_jama_2018_9128_disposition,MATCH($A115,primary_jama_2018_9128_key,0)),$J115)&lt;&gt;"retain"),NOT(OR(IF($K115="",INDEX(primary_jama_2018_9128_domain,MATCH($A115,primary_jama_2018_9128_key,0)),$K115)="protocol_report"))),"not_applicable","")</f>
        <v/>
      </c>
      <c r="Q115" s="10" t="inlineStr"/>
      <c r="R115" s="10" t="inlineStr"/>
    </row>
    <row r="116" ht="76" customHeight="1">
      <c r="A116" s="2" t="inlineStr">
        <is>
          <t>2018::jama.2018.9128::C009</t>
        </is>
      </c>
      <c r="B116" s="2" t="inlineStr">
        <is>
          <t>jama.2018.9128</t>
        </is>
      </c>
      <c r="C116" s="2" t="inlineStr">
        <is>
          <t>Final SAP says six assessment points but enumerates five</t>
        </is>
      </c>
      <c r="D116" s="8" t="inlineStr"/>
      <c r="E116" s="11" t="inlineStr"/>
      <c r="F116" s="8" t="inlineStr">
        <is>
          <t>no</t>
        </is>
      </c>
      <c r="G116" s="2">
        <f>IF(OR(AND(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L116&lt;&gt;"",L116&lt;&gt;"not_applicable"),AND(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M116&lt;&gt;"",M116&lt;&gt;"not_applicable"),AND(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N116&lt;&gt;"",N116&lt;&gt;"not_applicable"),AND(OR(AND(IF($J116="",INDEX(primary_jama_2018_9128_disposition,MATCH($A116,primary_jama_2018_9128_key,0)),$J116)&lt;&gt;"",IF($J116="",INDEX(primary_jama_2018_9128_disposition,MATCH($A116,primary_jama_2018_9128_key,0)),$J116)&lt;&gt;"retain"),NOT(OR(IF($K116="",INDEX(primary_jama_2018_9128_domain,MATCH($A116,primary_jama_2018_9128_key,0)),$K116)="internal_nonstatistical",IF($K116="",INDEX(primary_jama_2018_9128_domain,MATCH($A116,primary_jama_2018_9128_key,0)),$K116)="plan_material"))),O116&lt;&gt;"",O116&lt;&gt;"not_applicable"),AND(OR(AND(IF($J116="",INDEX(primary_jama_2018_9128_disposition,MATCH($A116,primary_jama_2018_9128_key,0)),$J116)&lt;&gt;"",IF($J116="",INDEX(primary_jama_2018_9128_disposition,MATCH($A116,primary_jama_2018_9128_key,0)),$J116)&lt;&gt;"retain"),NOT(OR(IF($K116="",INDEX(primary_jama_2018_9128_domain,MATCH($A116,primary_jama_2018_9128_key,0)),$K116)="protocol_report"))),P116&lt;&gt;"",P116&lt;&gt;"not_applicable")),"CLEAR INACTIVE VALUES",IF(D116="","PENDING",IF(AND(D116&lt;&gt;"agree",LEN(TRIM(E116))=0),"COMMENT NEEDED",IF(F116="yes","CHECKED - see resolution","DRAFT"))))</f>
        <v/>
      </c>
      <c r="H116" s="8" t="inlineStr">
        <is>
          <t>pending</t>
        </is>
      </c>
      <c r="I116" s="11" t="inlineStr"/>
      <c r="J116" s="8" t="inlineStr"/>
      <c r="K116" s="8" t="inlineStr"/>
      <c r="L116" s="8">
        <f>IF(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not_applicable","")</f>
        <v/>
      </c>
      <c r="M116" s="8">
        <f>IF(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not_applicable","")</f>
        <v/>
      </c>
      <c r="N116" s="9">
        <f>IF(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not_applicable","")</f>
        <v/>
      </c>
      <c r="O116" s="8">
        <f>IF(OR(AND(IF($J116="",INDEX(primary_jama_2018_9128_disposition,MATCH($A116,primary_jama_2018_9128_key,0)),$J116)&lt;&gt;"",IF($J116="",INDEX(primary_jama_2018_9128_disposition,MATCH($A116,primary_jama_2018_9128_key,0)),$J116)&lt;&gt;"retain"),NOT(OR(IF($K116="",INDEX(primary_jama_2018_9128_domain,MATCH($A116,primary_jama_2018_9128_key,0)),$K116)="internal_nonstatistical",IF($K116="",INDEX(primary_jama_2018_9128_domain,MATCH($A116,primary_jama_2018_9128_key,0)),$K116)="plan_material"))),"not_applicable","")</f>
        <v/>
      </c>
      <c r="P116" s="9">
        <f>IF(OR(AND(IF($J116="",INDEX(primary_jama_2018_9128_disposition,MATCH($A116,primary_jama_2018_9128_key,0)),$J116)&lt;&gt;"",IF($J116="",INDEX(primary_jama_2018_9128_disposition,MATCH($A116,primary_jama_2018_9128_key,0)),$J116)&lt;&gt;"retain"),NOT(OR(IF($K116="",INDEX(primary_jama_2018_9128_domain,MATCH($A116,primary_jama_2018_9128_key,0)),$K116)="protocol_report"))),"not_applicable","")</f>
        <v/>
      </c>
      <c r="Q116" s="10" t="inlineStr"/>
      <c r="R116" s="10" t="inlineStr"/>
    </row>
    <row r="117" ht="76" customHeight="1">
      <c r="A117" s="3" t="inlineStr">
        <is>
          <t>2018::jama.2018.9128::C010</t>
        </is>
      </c>
      <c r="B117" s="3" t="inlineStr">
        <is>
          <t>jama.2018.9128</t>
        </is>
      </c>
      <c r="C117" s="3" t="inlineStr">
        <is>
          <t>Revised protocol gives six points but lists seven including 48 months</t>
        </is>
      </c>
      <c r="D117" s="8" t="inlineStr"/>
      <c r="E117" s="11" t="inlineStr"/>
      <c r="F117" s="8" t="inlineStr">
        <is>
          <t>no</t>
        </is>
      </c>
      <c r="G117" s="3">
        <f>IF(OR(AND(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L117&lt;&gt;"",L117&lt;&gt;"not_applicable"),AND(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M117&lt;&gt;"",M117&lt;&gt;"not_applicable"),AND(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N117&lt;&gt;"",N117&lt;&gt;"not_applicable"),AND(OR(AND(IF($J117="",INDEX(primary_jama_2018_9128_disposition,MATCH($A117,primary_jama_2018_9128_key,0)),$J117)&lt;&gt;"",IF($J117="",INDEX(primary_jama_2018_9128_disposition,MATCH($A117,primary_jama_2018_9128_key,0)),$J117)&lt;&gt;"retain"),NOT(OR(IF($K117="",INDEX(primary_jama_2018_9128_domain,MATCH($A117,primary_jama_2018_9128_key,0)),$K117)="internal_nonstatistical",IF($K117="",INDEX(primary_jama_2018_9128_domain,MATCH($A117,primary_jama_2018_9128_key,0)),$K117)="plan_material"))),O117&lt;&gt;"",O117&lt;&gt;"not_applicable"),AND(OR(AND(IF($J117="",INDEX(primary_jama_2018_9128_disposition,MATCH($A117,primary_jama_2018_9128_key,0)),$J117)&lt;&gt;"",IF($J117="",INDEX(primary_jama_2018_9128_disposition,MATCH($A117,primary_jama_2018_9128_key,0)),$J117)&lt;&gt;"retain"),NOT(OR(IF($K117="",INDEX(primary_jama_2018_9128_domain,MATCH($A117,primary_jama_2018_9128_key,0)),$K117)="protocol_report"))),P117&lt;&gt;"",P117&lt;&gt;"not_applicable")),"CLEAR INACTIVE VALUES",IF(D117="","PENDING",IF(AND(D117&lt;&gt;"agree",LEN(TRIM(E117))=0),"COMMENT NEEDED",IF(F117="yes","CHECKED - see resolution","DRAFT"))))</f>
        <v/>
      </c>
      <c r="H117" s="8" t="inlineStr">
        <is>
          <t>pending</t>
        </is>
      </c>
      <c r="I117" s="11" t="inlineStr"/>
      <c r="J117" s="8" t="inlineStr"/>
      <c r="K117" s="8" t="inlineStr"/>
      <c r="L117" s="8">
        <f>IF(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not_applicable","")</f>
        <v/>
      </c>
      <c r="M117" s="8">
        <f>IF(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not_applicable","")</f>
        <v/>
      </c>
      <c r="N117" s="9">
        <f>IF(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not_applicable","")</f>
        <v/>
      </c>
      <c r="O117" s="8">
        <f>IF(OR(AND(IF($J117="",INDEX(primary_jama_2018_9128_disposition,MATCH($A117,primary_jama_2018_9128_key,0)),$J117)&lt;&gt;"",IF($J117="",INDEX(primary_jama_2018_9128_disposition,MATCH($A117,primary_jama_2018_9128_key,0)),$J117)&lt;&gt;"retain"),NOT(OR(IF($K117="",INDEX(primary_jama_2018_9128_domain,MATCH($A117,primary_jama_2018_9128_key,0)),$K117)="internal_nonstatistical",IF($K117="",INDEX(primary_jama_2018_9128_domain,MATCH($A117,primary_jama_2018_9128_key,0)),$K117)="plan_material"))),"not_applicable","")</f>
        <v/>
      </c>
      <c r="P117" s="9">
        <f>IF(OR(AND(IF($J117="",INDEX(primary_jama_2018_9128_disposition,MATCH($A117,primary_jama_2018_9128_key,0)),$J117)&lt;&gt;"",IF($J117="",INDEX(primary_jama_2018_9128_disposition,MATCH($A117,primary_jama_2018_9128_key,0)),$J117)&lt;&gt;"retain"),NOT(OR(IF($K117="",INDEX(primary_jama_2018_9128_domain,MATCH($A117,primary_jama_2018_9128_key,0)),$K117)="protocol_report"))),"not_applicable","")</f>
        <v/>
      </c>
      <c r="Q117" s="10" t="inlineStr"/>
      <c r="R117" s="10" t="inlineStr"/>
    </row>
    <row r="118" ht="76" customHeight="1">
      <c r="A118" s="2" t="inlineStr">
        <is>
          <t>2018::jama.2018.9128::C011</t>
        </is>
      </c>
      <c r="B118" s="2" t="inlineStr">
        <is>
          <t>jama.2018.9128</t>
        </is>
      </c>
      <c r="C118" s="2" t="inlineStr">
        <is>
          <t>Original protocol labels primary outcome as BMI percentile/BMI% while results use BMI kg/m²</t>
        </is>
      </c>
      <c r="D118" s="8" t="inlineStr"/>
      <c r="E118" s="11" t="inlineStr"/>
      <c r="F118" s="8" t="inlineStr">
        <is>
          <t>no</t>
        </is>
      </c>
      <c r="G118" s="2">
        <f>IF(OR(AND(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L118&lt;&gt;"",L118&lt;&gt;"not_applicable"),AND(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M118&lt;&gt;"",M118&lt;&gt;"not_applicable"),AND(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N118&lt;&gt;"",N118&lt;&gt;"not_applicable"),AND(OR(AND(IF($J118="",INDEX(primary_jama_2018_9128_disposition,MATCH($A118,primary_jama_2018_9128_key,0)),$J118)&lt;&gt;"",IF($J118="",INDEX(primary_jama_2018_9128_disposition,MATCH($A118,primary_jama_2018_9128_key,0)),$J118)&lt;&gt;"retain"),NOT(OR(IF($K118="",INDEX(primary_jama_2018_9128_domain,MATCH($A118,primary_jama_2018_9128_key,0)),$K118)="internal_nonstatistical",IF($K118="",INDEX(primary_jama_2018_9128_domain,MATCH($A118,primary_jama_2018_9128_key,0)),$K118)="plan_material"))),O118&lt;&gt;"",O118&lt;&gt;"not_applicable"),AND(OR(AND(IF($J118="",INDEX(primary_jama_2018_9128_disposition,MATCH($A118,primary_jama_2018_9128_key,0)),$J118)&lt;&gt;"",IF($J118="",INDEX(primary_jama_2018_9128_disposition,MATCH($A118,primary_jama_2018_9128_key,0)),$J118)&lt;&gt;"retain"),NOT(OR(IF($K118="",INDEX(primary_jama_2018_9128_domain,MATCH($A118,primary_jama_2018_9128_key,0)),$K118)="protocol_report"))),P118&lt;&gt;"",P118&lt;&gt;"not_applicable")),"CLEAR INACTIVE VALUES",IF(D118="","PENDING",IF(AND(D118&lt;&gt;"agree",LEN(TRIM(E118))=0),"COMMENT NEEDED",IF(F118="yes","CHECKED - see resolution","DRAFT"))))</f>
        <v/>
      </c>
      <c r="H118" s="8" t="inlineStr">
        <is>
          <t>pending</t>
        </is>
      </c>
      <c r="I118" s="11" t="inlineStr"/>
      <c r="J118" s="8" t="inlineStr"/>
      <c r="K118" s="8" t="inlineStr"/>
      <c r="L118" s="8">
        <f>IF(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not_applicable","")</f>
        <v/>
      </c>
      <c r="M118" s="8">
        <f>IF(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not_applicable","")</f>
        <v/>
      </c>
      <c r="N118" s="9">
        <f>IF(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not_applicable","")</f>
        <v/>
      </c>
      <c r="O118" s="8">
        <f>IF(OR(AND(IF($J118="",INDEX(primary_jama_2018_9128_disposition,MATCH($A118,primary_jama_2018_9128_key,0)),$J118)&lt;&gt;"",IF($J118="",INDEX(primary_jama_2018_9128_disposition,MATCH($A118,primary_jama_2018_9128_key,0)),$J118)&lt;&gt;"retain"),NOT(OR(IF($K118="",INDEX(primary_jama_2018_9128_domain,MATCH($A118,primary_jama_2018_9128_key,0)),$K118)="internal_nonstatistical",IF($K118="",INDEX(primary_jama_2018_9128_domain,MATCH($A118,primary_jama_2018_9128_key,0)),$K118)="plan_material"))),"not_applicable","")</f>
        <v/>
      </c>
      <c r="P118" s="9">
        <f>IF(OR(AND(IF($J118="",INDEX(primary_jama_2018_9128_disposition,MATCH($A118,primary_jama_2018_9128_key,0)),$J118)&lt;&gt;"",IF($J118="",INDEX(primary_jama_2018_9128_disposition,MATCH($A118,primary_jama_2018_9128_key,0)),$J118)&lt;&gt;"retain"),NOT(OR(IF($K118="",INDEX(primary_jama_2018_9128_domain,MATCH($A118,primary_jama_2018_9128_key,0)),$K118)="protocol_report"))),"not_applicable","")</f>
        <v/>
      </c>
      <c r="Q118" s="10" t="inlineStr"/>
      <c r="R118" s="10" t="inlineStr"/>
    </row>
    <row r="119" ht="76" customHeight="1">
      <c r="A119" s="3" t="inlineStr">
        <is>
          <t>2018::jama.2018.9128::C012</t>
        </is>
      </c>
      <c r="B119" s="3" t="inlineStr">
        <is>
          <t>jama.2018.9128</t>
        </is>
      </c>
      <c r="C119" s="3" t="inlineStr">
        <is>
          <t>Control-condition session count and duration differ across protocol versions and article</t>
        </is>
      </c>
      <c r="D119" s="8" t="inlineStr"/>
      <c r="E119" s="11" t="inlineStr"/>
      <c r="F119" s="8" t="inlineStr">
        <is>
          <t>no</t>
        </is>
      </c>
      <c r="G119" s="3">
        <f>IF(OR(AND(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L119&lt;&gt;"",L119&lt;&gt;"not_applicable"),AND(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M119&lt;&gt;"",M119&lt;&gt;"not_applicable"),AND(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N119&lt;&gt;"",N119&lt;&gt;"not_applicable"),AND(OR(AND(IF($J119="",INDEX(primary_jama_2018_9128_disposition,MATCH($A119,primary_jama_2018_9128_key,0)),$J119)&lt;&gt;"",IF($J119="",INDEX(primary_jama_2018_9128_disposition,MATCH($A119,primary_jama_2018_9128_key,0)),$J119)&lt;&gt;"retain"),NOT(OR(IF($K119="",INDEX(primary_jama_2018_9128_domain,MATCH($A119,primary_jama_2018_9128_key,0)),$K119)="internal_nonstatistical",IF($K119="",INDEX(primary_jama_2018_9128_domain,MATCH($A119,primary_jama_2018_9128_key,0)),$K119)="plan_material"))),O119&lt;&gt;"",O119&lt;&gt;"not_applicable"),AND(OR(AND(IF($J119="",INDEX(primary_jama_2018_9128_disposition,MATCH($A119,primary_jama_2018_9128_key,0)),$J119)&lt;&gt;"",IF($J119="",INDEX(primary_jama_2018_9128_disposition,MATCH($A119,primary_jama_2018_9128_key,0)),$J119)&lt;&gt;"retain"),NOT(OR(IF($K119="",INDEX(primary_jama_2018_9128_domain,MATCH($A119,primary_jama_2018_9128_key,0)),$K119)="protocol_report"))),P119&lt;&gt;"",P119&lt;&gt;"not_applicable")),"CLEAR INACTIVE VALUES",IF(D119="","PENDING",IF(AND(D119&lt;&gt;"agree",LEN(TRIM(E119))=0),"COMMENT NEEDED",IF(F119="yes","CHECKED - see resolution","DRAFT"))))</f>
        <v/>
      </c>
      <c r="H119" s="8" t="inlineStr">
        <is>
          <t>pending</t>
        </is>
      </c>
      <c r="I119" s="11" t="inlineStr"/>
      <c r="J119" s="8" t="inlineStr"/>
      <c r="K119" s="8" t="inlineStr"/>
      <c r="L119" s="8">
        <f>IF(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not_applicable","")</f>
        <v/>
      </c>
      <c r="M119" s="8">
        <f>IF(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not_applicable","")</f>
        <v/>
      </c>
      <c r="N119" s="9">
        <f>IF(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not_applicable","")</f>
        <v/>
      </c>
      <c r="O119" s="8">
        <f>IF(OR(AND(IF($J119="",INDEX(primary_jama_2018_9128_disposition,MATCH($A119,primary_jama_2018_9128_key,0)),$J119)&lt;&gt;"",IF($J119="",INDEX(primary_jama_2018_9128_disposition,MATCH($A119,primary_jama_2018_9128_key,0)),$J119)&lt;&gt;"retain"),NOT(OR(IF($K119="",INDEX(primary_jama_2018_9128_domain,MATCH($A119,primary_jama_2018_9128_key,0)),$K119)="internal_nonstatistical",IF($K119="",INDEX(primary_jama_2018_9128_domain,MATCH($A119,primary_jama_2018_9128_key,0)),$K119)="plan_material"))),"not_applicable","")</f>
        <v/>
      </c>
      <c r="P119" s="9">
        <f>IF(OR(AND(IF($J119="",INDEX(primary_jama_2018_9128_disposition,MATCH($A119,primary_jama_2018_9128_key,0)),$J119)&lt;&gt;"",IF($J119="",INDEX(primary_jama_2018_9128_disposition,MATCH($A119,primary_jama_2018_9128_key,0)),$J119)&lt;&gt;"retain"),NOT(OR(IF($K119="",INDEX(primary_jama_2018_9128_domain,MATCH($A119,primary_jama_2018_9128_key,0)),$K119)="protocol_report"))),"not_applicable","")</f>
        <v/>
      </c>
      <c r="Q119" s="10" t="inlineStr"/>
      <c r="R119" s="10" t="inlineStr"/>
    </row>
    <row r="120" ht="76" customHeight="1">
      <c r="A120" s="2" t="inlineStr">
        <is>
          <t>2018::jama.2018.9128::C013</t>
        </is>
      </c>
      <c r="B120" s="2" t="inlineStr">
        <is>
          <t>jama.2018.9128</t>
        </is>
      </c>
      <c r="C120" s="2" t="inlineStr">
        <is>
          <t>Control 9-month BMI-observation count differs across result displays</t>
        </is>
      </c>
      <c r="D120" s="8" t="inlineStr"/>
      <c r="E120" s="11" t="inlineStr"/>
      <c r="F120" s="8" t="inlineStr">
        <is>
          <t>no</t>
        </is>
      </c>
      <c r="G120" s="2">
        <f>IF(OR(AND(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L120&lt;&gt;"",L120&lt;&gt;"not_applicable"),AND(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M120&lt;&gt;"",M120&lt;&gt;"not_applicable"),AND(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N120&lt;&gt;"",N120&lt;&gt;"not_applicable"),AND(OR(AND(IF($J120="",INDEX(primary_jama_2018_9128_disposition,MATCH($A120,primary_jama_2018_9128_key,0)),$J120)&lt;&gt;"",IF($J120="",INDEX(primary_jama_2018_9128_disposition,MATCH($A120,primary_jama_2018_9128_key,0)),$J120)&lt;&gt;"retain"),NOT(OR(IF($K120="",INDEX(primary_jama_2018_9128_domain,MATCH($A120,primary_jama_2018_9128_key,0)),$K120)="internal_nonstatistical",IF($K120="",INDEX(primary_jama_2018_9128_domain,MATCH($A120,primary_jama_2018_9128_key,0)),$K120)="plan_material"))),O120&lt;&gt;"",O120&lt;&gt;"not_applicable"),AND(OR(AND(IF($J120="",INDEX(primary_jama_2018_9128_disposition,MATCH($A120,primary_jama_2018_9128_key,0)),$J120)&lt;&gt;"",IF($J120="",INDEX(primary_jama_2018_9128_disposition,MATCH($A120,primary_jama_2018_9128_key,0)),$J120)&lt;&gt;"retain"),NOT(OR(IF($K120="",INDEX(primary_jama_2018_9128_domain,MATCH($A120,primary_jama_2018_9128_key,0)),$K120)="protocol_report"))),P120&lt;&gt;"",P120&lt;&gt;"not_applicable")),"CLEAR INACTIVE VALUES",IF(D120="","PENDING",IF(AND(D120&lt;&gt;"agree",LEN(TRIM(E120))=0),"COMMENT NEEDED",IF(F120="yes","CHECKED - see resolution","DRAFT"))))</f>
        <v/>
      </c>
      <c r="H120" s="8" t="inlineStr">
        <is>
          <t>pending</t>
        </is>
      </c>
      <c r="I120" s="11" t="inlineStr"/>
      <c r="J120" s="8" t="inlineStr"/>
      <c r="K120" s="8" t="inlineStr"/>
      <c r="L120" s="8">
        <f>IF(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not_applicable","")</f>
        <v/>
      </c>
      <c r="M120" s="8">
        <f>IF(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not_applicable","")</f>
        <v/>
      </c>
      <c r="N120" s="9">
        <f>IF(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not_applicable","")</f>
        <v/>
      </c>
      <c r="O120" s="8">
        <f>IF(OR(AND(IF($J120="",INDEX(primary_jama_2018_9128_disposition,MATCH($A120,primary_jama_2018_9128_key,0)),$J120)&lt;&gt;"",IF($J120="",INDEX(primary_jama_2018_9128_disposition,MATCH($A120,primary_jama_2018_9128_key,0)),$J120)&lt;&gt;"retain"),NOT(OR(IF($K120="",INDEX(primary_jama_2018_9128_domain,MATCH($A120,primary_jama_2018_9128_key,0)),$K120)="internal_nonstatistical",IF($K120="",INDEX(primary_jama_2018_9128_domain,MATCH($A120,primary_jama_2018_9128_key,0)),$K120)="plan_material"))),"not_applicable","")</f>
        <v/>
      </c>
      <c r="P120" s="9">
        <f>IF(OR(AND(IF($J120="",INDEX(primary_jama_2018_9128_disposition,MATCH($A120,primary_jama_2018_9128_key,0)),$J120)&lt;&gt;"",IF($J120="",INDEX(primary_jama_2018_9128_disposition,MATCH($A120,primary_jama_2018_9128_key,0)),$J120)&lt;&gt;"retain"),NOT(OR(IF($K120="",INDEX(primary_jama_2018_9128_domain,MATCH($A120,primary_jama_2018_9128_key,0)),$K120)="protocol_report"))),"not_applicable","")</f>
        <v/>
      </c>
      <c r="Q120" s="10" t="inlineStr"/>
      <c r="R120" s="10" t="inlineStr"/>
    </row>
  </sheetData>
  <sheetProtection selectLockedCells="0" selectUnlockedCells="0" sheet="1" objects="0" insertRows="1" insertHyperlinks="1" autoFilter="0" scenarios="0" formatColumns="1" deleteColumns="1" insertColumns="1" pivotTables="1" deleteRows="1" formatCells="1" formatRows="1" sort="1"/>
  <autoFilter ref="A1:R120"/>
  <conditionalFormatting sqref="L2">
    <cfRule type="expression" priority="1" dxfId="0" stopIfTrue="1">
      <formula>AND(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L2&lt;&gt;"",L2&lt;&gt;"not_applicable")</formula>
    </cfRule>
    <cfRule type="expression" priority="2" dxfId="1">
      <formula>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formula>
    </cfRule>
  </conditionalFormatting>
  <conditionalFormatting sqref="L3">
    <cfRule type="expression" priority="3" dxfId="0" stopIfTrue="1">
      <formula>AND(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L3&lt;&gt;"",L3&lt;&gt;"not_applicable")</formula>
    </cfRule>
    <cfRule type="expression" priority="4" dxfId="1">
      <formula>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formula>
    </cfRule>
  </conditionalFormatting>
  <conditionalFormatting sqref="L4">
    <cfRule type="expression" priority="5" dxfId="0" stopIfTrue="1">
      <formula>AND(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L4&lt;&gt;"",L4&lt;&gt;"not_applicable")</formula>
    </cfRule>
    <cfRule type="expression" priority="6" dxfId="1">
      <formula>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formula>
    </cfRule>
  </conditionalFormatting>
  <conditionalFormatting sqref="L5">
    <cfRule type="expression" priority="7" dxfId="0" stopIfTrue="1">
      <formula>AND(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L5&lt;&gt;"",L5&lt;&gt;"not_applicable")</formula>
    </cfRule>
    <cfRule type="expression" priority="8" dxfId="1">
      <formula>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formula>
    </cfRule>
  </conditionalFormatting>
  <conditionalFormatting sqref="L6">
    <cfRule type="expression" priority="9" dxfId="0" stopIfTrue="1">
      <formula>AND(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L6&lt;&gt;"",L6&lt;&gt;"not_applicable")</formula>
    </cfRule>
    <cfRule type="expression" priority="10" dxfId="1">
      <formula>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formula>
    </cfRule>
  </conditionalFormatting>
  <conditionalFormatting sqref="L7">
    <cfRule type="expression" priority="11" dxfId="0" stopIfTrue="1">
      <formula>AND(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L7&lt;&gt;"",L7&lt;&gt;"not_applicable")</formula>
    </cfRule>
    <cfRule type="expression" priority="12" dxfId="1">
      <formula>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formula>
    </cfRule>
  </conditionalFormatting>
  <conditionalFormatting sqref="L8">
    <cfRule type="expression" priority="13" dxfId="0" stopIfTrue="1">
      <formula>AND(OR(AND(IF($J8="",INDEX(primary_jama_2018_0156_disposition,MATCH($A8,primary_jama_2018_0156_key,0)),$J8)&lt;&gt;"",IF($J8="",INDEX(primary_jama_2018_0156_disposition,MATCH($A8,primary_jama_2018_0156_key,0)),$J8)&lt;&gt;"retain"),NOT(OR(IF($K8="",INDEX(primary_jama_2018_0156_domain,MATCH($A8,primary_jama_2018_0156_key,0)),$K8)="statistical_results"))),L8&lt;&gt;"",L8&lt;&gt;"not_applicable")</formula>
    </cfRule>
    <cfRule type="expression" priority="14" dxfId="1">
      <formula>OR(AND(IF($J8="",INDEX(primary_jama_2018_0156_disposition,MATCH($A8,primary_jama_2018_0156_key,0)),$J8)&lt;&gt;"",IF($J8="",INDEX(primary_jama_2018_0156_disposition,MATCH($A8,primary_jama_2018_0156_key,0)),$J8)&lt;&gt;"retain"),NOT(OR(IF($K8="",INDEX(primary_jama_2018_0156_domain,MATCH($A8,primary_jama_2018_0156_key,0)),$K8)="statistical_results")))</formula>
    </cfRule>
  </conditionalFormatting>
  <conditionalFormatting sqref="L9">
    <cfRule type="expression" priority="15" dxfId="0" stopIfTrue="1">
      <formula>AND(OR(AND(IF($J9="",INDEX(primary_jama_2018_0156_disposition,MATCH($A9,primary_jama_2018_0156_key,0)),$J9)&lt;&gt;"",IF($J9="",INDEX(primary_jama_2018_0156_disposition,MATCH($A9,primary_jama_2018_0156_key,0)),$J9)&lt;&gt;"retain"),NOT(OR(IF($K9="",INDEX(primary_jama_2018_0156_domain,MATCH($A9,primary_jama_2018_0156_key,0)),$K9)="statistical_results"))),L9&lt;&gt;"",L9&lt;&gt;"not_applicable")</formula>
    </cfRule>
    <cfRule type="expression" priority="16" dxfId="1">
      <formula>OR(AND(IF($J9="",INDEX(primary_jama_2018_0156_disposition,MATCH($A9,primary_jama_2018_0156_key,0)),$J9)&lt;&gt;"",IF($J9="",INDEX(primary_jama_2018_0156_disposition,MATCH($A9,primary_jama_2018_0156_key,0)),$J9)&lt;&gt;"retain"),NOT(OR(IF($K9="",INDEX(primary_jama_2018_0156_domain,MATCH($A9,primary_jama_2018_0156_key,0)),$K9)="statistical_results")))</formula>
    </cfRule>
  </conditionalFormatting>
  <conditionalFormatting sqref="L10">
    <cfRule type="expression" priority="17" dxfId="0" stopIfTrue="1">
      <formula>AND(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L10&lt;&gt;"",L10&lt;&gt;"not_applicable")</formula>
    </cfRule>
    <cfRule type="expression" priority="18" dxfId="1">
      <formula>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formula>
    </cfRule>
  </conditionalFormatting>
  <conditionalFormatting sqref="L11">
    <cfRule type="expression" priority="19" dxfId="0" stopIfTrue="1">
      <formula>AND(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L11&lt;&gt;"",L11&lt;&gt;"not_applicable")</formula>
    </cfRule>
    <cfRule type="expression" priority="20" dxfId="1">
      <formula>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formula>
    </cfRule>
  </conditionalFormatting>
  <conditionalFormatting sqref="L12">
    <cfRule type="expression" priority="21" dxfId="0" stopIfTrue="1">
      <formula>AND(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L12&lt;&gt;"",L12&lt;&gt;"not_applicable")</formula>
    </cfRule>
    <cfRule type="expression" priority="22" dxfId="1">
      <formula>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formula>
    </cfRule>
  </conditionalFormatting>
  <conditionalFormatting sqref="L13">
    <cfRule type="expression" priority="23" dxfId="0" stopIfTrue="1">
      <formula>AND(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L13&lt;&gt;"",L13&lt;&gt;"not_applicable")</formula>
    </cfRule>
    <cfRule type="expression" priority="24" dxfId="1">
      <formula>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formula>
    </cfRule>
  </conditionalFormatting>
  <conditionalFormatting sqref="L14">
    <cfRule type="expression" priority="25" dxfId="0" stopIfTrue="1">
      <formula>AND(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L14&lt;&gt;"",L14&lt;&gt;"not_applicable")</formula>
    </cfRule>
    <cfRule type="expression" priority="26" dxfId="1">
      <formula>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formula>
    </cfRule>
  </conditionalFormatting>
  <conditionalFormatting sqref="L15">
    <cfRule type="expression" priority="27" dxfId="0" stopIfTrue="1">
      <formula>AND(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L15&lt;&gt;"",L15&lt;&gt;"not_applicable")</formula>
    </cfRule>
    <cfRule type="expression" priority="28" dxfId="1">
      <formula>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formula>
    </cfRule>
  </conditionalFormatting>
  <conditionalFormatting sqref="L16">
    <cfRule type="expression" priority="29" dxfId="0" stopIfTrue="1">
      <formula>AND(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L16&lt;&gt;"",L16&lt;&gt;"not_applicable")</formula>
    </cfRule>
    <cfRule type="expression" priority="30" dxfId="1">
      <formula>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formula>
    </cfRule>
  </conditionalFormatting>
  <conditionalFormatting sqref="L17">
    <cfRule type="expression" priority="31" dxfId="0" stopIfTrue="1">
      <formula>AND(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L17&lt;&gt;"",L17&lt;&gt;"not_applicable")</formula>
    </cfRule>
    <cfRule type="expression" priority="32" dxfId="1">
      <formula>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formula>
    </cfRule>
  </conditionalFormatting>
  <conditionalFormatting sqref="L18">
    <cfRule type="expression" priority="33" dxfId="0" stopIfTrue="1">
      <formula>AND(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L18&lt;&gt;"",L18&lt;&gt;"not_applicable")</formula>
    </cfRule>
    <cfRule type="expression" priority="34" dxfId="1">
      <formula>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formula>
    </cfRule>
  </conditionalFormatting>
  <conditionalFormatting sqref="L19">
    <cfRule type="expression" priority="35" dxfId="0" stopIfTrue="1">
      <formula>AND(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L19&lt;&gt;"",L19&lt;&gt;"not_applicable")</formula>
    </cfRule>
    <cfRule type="expression" priority="36" dxfId="1">
      <formula>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formula>
    </cfRule>
  </conditionalFormatting>
  <conditionalFormatting sqref="L20">
    <cfRule type="expression" priority="37" dxfId="0" stopIfTrue="1">
      <formula>AND(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L20&lt;&gt;"",L20&lt;&gt;"not_applicable")</formula>
    </cfRule>
    <cfRule type="expression" priority="38" dxfId="1">
      <formula>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formula>
    </cfRule>
  </conditionalFormatting>
  <conditionalFormatting sqref="L21">
    <cfRule type="expression" priority="39" dxfId="0" stopIfTrue="1">
      <formula>AND(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L21&lt;&gt;"",L21&lt;&gt;"not_applicable")</formula>
    </cfRule>
    <cfRule type="expression" priority="40" dxfId="1">
      <formula>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formula>
    </cfRule>
  </conditionalFormatting>
  <conditionalFormatting sqref="L22">
    <cfRule type="expression" priority="41" dxfId="0" stopIfTrue="1">
      <formula>AND(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L22&lt;&gt;"",L22&lt;&gt;"not_applicable")</formula>
    </cfRule>
    <cfRule type="expression" priority="42" dxfId="1">
      <formula>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formula>
    </cfRule>
  </conditionalFormatting>
  <conditionalFormatting sqref="L23">
    <cfRule type="expression" priority="43" dxfId="0" stopIfTrue="1">
      <formula>AND(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L23&lt;&gt;"",L23&lt;&gt;"not_applicable")</formula>
    </cfRule>
    <cfRule type="expression" priority="44" dxfId="1">
      <formula>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formula>
    </cfRule>
  </conditionalFormatting>
  <conditionalFormatting sqref="L24">
    <cfRule type="expression" priority="45" dxfId="0" stopIfTrue="1">
      <formula>AND(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L24&lt;&gt;"",L24&lt;&gt;"not_applicable")</formula>
    </cfRule>
    <cfRule type="expression" priority="46" dxfId="1">
      <formula>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formula>
    </cfRule>
  </conditionalFormatting>
  <conditionalFormatting sqref="L25">
    <cfRule type="expression" priority="47" dxfId="0" stopIfTrue="1">
      <formula>AND(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L25&lt;&gt;"",L25&lt;&gt;"not_applicable")</formula>
    </cfRule>
    <cfRule type="expression" priority="48" dxfId="1">
      <formula>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formula>
    </cfRule>
  </conditionalFormatting>
  <conditionalFormatting sqref="L26">
    <cfRule type="expression" priority="49" dxfId="0" stopIfTrue="1">
      <formula>AND(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L26&lt;&gt;"",L26&lt;&gt;"not_applicable")</formula>
    </cfRule>
    <cfRule type="expression" priority="50" dxfId="1">
      <formula>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formula>
    </cfRule>
  </conditionalFormatting>
  <conditionalFormatting sqref="L27">
    <cfRule type="expression" priority="51" dxfId="0" stopIfTrue="1">
      <formula>AND(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L27&lt;&gt;"",L27&lt;&gt;"not_applicable")</formula>
    </cfRule>
    <cfRule type="expression" priority="52" dxfId="1">
      <formula>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formula>
    </cfRule>
  </conditionalFormatting>
  <conditionalFormatting sqref="L28">
    <cfRule type="expression" priority="53" dxfId="0" stopIfTrue="1">
      <formula>AND(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L28&lt;&gt;"",L28&lt;&gt;"not_applicable")</formula>
    </cfRule>
    <cfRule type="expression" priority="54" dxfId="1">
      <formula>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formula>
    </cfRule>
  </conditionalFormatting>
  <conditionalFormatting sqref="L29">
    <cfRule type="expression" priority="55" dxfId="0" stopIfTrue="1">
      <formula>AND(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L29&lt;&gt;"",L29&lt;&gt;"not_applicable")</formula>
    </cfRule>
    <cfRule type="expression" priority="56" dxfId="1">
      <formula>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formula>
    </cfRule>
  </conditionalFormatting>
  <conditionalFormatting sqref="L30">
    <cfRule type="expression" priority="57" dxfId="0" stopIfTrue="1">
      <formula>AND(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L30&lt;&gt;"",L30&lt;&gt;"not_applicable")</formula>
    </cfRule>
    <cfRule type="expression" priority="58" dxfId="1">
      <formula>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formula>
    </cfRule>
  </conditionalFormatting>
  <conditionalFormatting sqref="L31">
    <cfRule type="expression" priority="59" dxfId="0" stopIfTrue="1">
      <formula>AND(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L31&lt;&gt;"",L31&lt;&gt;"not_applicable")</formula>
    </cfRule>
    <cfRule type="expression" priority="60" dxfId="1">
      <formula>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formula>
    </cfRule>
  </conditionalFormatting>
  <conditionalFormatting sqref="L32">
    <cfRule type="expression" priority="61" dxfId="0" stopIfTrue="1">
      <formula>AND(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L32&lt;&gt;"",L32&lt;&gt;"not_applicable")</formula>
    </cfRule>
    <cfRule type="expression" priority="62" dxfId="1">
      <formula>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formula>
    </cfRule>
  </conditionalFormatting>
  <conditionalFormatting sqref="L33">
    <cfRule type="expression" priority="63" dxfId="0" stopIfTrue="1">
      <formula>AND(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L33&lt;&gt;"",L33&lt;&gt;"not_applicable")</formula>
    </cfRule>
    <cfRule type="expression" priority="64" dxfId="1">
      <formula>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formula>
    </cfRule>
  </conditionalFormatting>
  <conditionalFormatting sqref="L34">
    <cfRule type="expression" priority="65" dxfId="0" stopIfTrue="1">
      <formula>AND(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L34&lt;&gt;"",L34&lt;&gt;"not_applicable")</formula>
    </cfRule>
    <cfRule type="expression" priority="66" dxfId="1">
      <formula>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formula>
    </cfRule>
  </conditionalFormatting>
  <conditionalFormatting sqref="L35">
    <cfRule type="expression" priority="67" dxfId="0" stopIfTrue="1">
      <formula>AND(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L35&lt;&gt;"",L35&lt;&gt;"not_applicable")</formula>
    </cfRule>
    <cfRule type="expression" priority="68" dxfId="1">
      <formula>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formula>
    </cfRule>
  </conditionalFormatting>
  <conditionalFormatting sqref="L36">
    <cfRule type="expression" priority="69" dxfId="0" stopIfTrue="1">
      <formula>AND(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L36&lt;&gt;"",L36&lt;&gt;"not_applicable")</formula>
    </cfRule>
    <cfRule type="expression" priority="70" dxfId="1">
      <formula>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formula>
    </cfRule>
  </conditionalFormatting>
  <conditionalFormatting sqref="L37">
    <cfRule type="expression" priority="71" dxfId="0" stopIfTrue="1">
      <formula>AND(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L37&lt;&gt;"",L37&lt;&gt;"not_applicable")</formula>
    </cfRule>
    <cfRule type="expression" priority="72" dxfId="1">
      <formula>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formula>
    </cfRule>
  </conditionalFormatting>
  <conditionalFormatting sqref="L38">
    <cfRule type="expression" priority="73" dxfId="0" stopIfTrue="1">
      <formula>AND(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L38&lt;&gt;"",L38&lt;&gt;"not_applicable")</formula>
    </cfRule>
    <cfRule type="expression" priority="74" dxfId="1">
      <formula>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formula>
    </cfRule>
  </conditionalFormatting>
  <conditionalFormatting sqref="L39">
    <cfRule type="expression" priority="75" dxfId="0" stopIfTrue="1">
      <formula>AND(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L39&lt;&gt;"",L39&lt;&gt;"not_applicable")</formula>
    </cfRule>
    <cfRule type="expression" priority="76" dxfId="1">
      <formula>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formula>
    </cfRule>
  </conditionalFormatting>
  <conditionalFormatting sqref="L40">
    <cfRule type="expression" priority="77" dxfId="0" stopIfTrue="1">
      <formula>AND(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L40&lt;&gt;"",L40&lt;&gt;"not_applicable")</formula>
    </cfRule>
    <cfRule type="expression" priority="78" dxfId="1">
      <formula>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formula>
    </cfRule>
  </conditionalFormatting>
  <conditionalFormatting sqref="L41">
    <cfRule type="expression" priority="79" dxfId="0" stopIfTrue="1">
      <formula>AND(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L41&lt;&gt;"",L41&lt;&gt;"not_applicable")</formula>
    </cfRule>
    <cfRule type="expression" priority="80" dxfId="1">
      <formula>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formula>
    </cfRule>
  </conditionalFormatting>
  <conditionalFormatting sqref="L42">
    <cfRule type="expression" priority="81" dxfId="0" stopIfTrue="1">
      <formula>AND(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L42&lt;&gt;"",L42&lt;&gt;"not_applicable")</formula>
    </cfRule>
    <cfRule type="expression" priority="82" dxfId="1">
      <formula>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formula>
    </cfRule>
  </conditionalFormatting>
  <conditionalFormatting sqref="L43">
    <cfRule type="expression" priority="83" dxfId="0" stopIfTrue="1">
      <formula>AND(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L43&lt;&gt;"",L43&lt;&gt;"not_applicable")</formula>
    </cfRule>
    <cfRule type="expression" priority="84" dxfId="1">
      <formula>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formula>
    </cfRule>
  </conditionalFormatting>
  <conditionalFormatting sqref="L44">
    <cfRule type="expression" priority="85" dxfId="0" stopIfTrue="1">
      <formula>AND(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L44&lt;&gt;"",L44&lt;&gt;"not_applicable")</formula>
    </cfRule>
    <cfRule type="expression" priority="86" dxfId="1">
      <formula>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formula>
    </cfRule>
  </conditionalFormatting>
  <conditionalFormatting sqref="L45">
    <cfRule type="expression" priority="87" dxfId="0" stopIfTrue="1">
      <formula>AND(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L45&lt;&gt;"",L45&lt;&gt;"not_applicable")</formula>
    </cfRule>
    <cfRule type="expression" priority="88" dxfId="1">
      <formula>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formula>
    </cfRule>
  </conditionalFormatting>
  <conditionalFormatting sqref="L46">
    <cfRule type="expression" priority="89" dxfId="0" stopIfTrue="1">
      <formula>AND(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L46&lt;&gt;"",L46&lt;&gt;"not_applicable")</formula>
    </cfRule>
    <cfRule type="expression" priority="90" dxfId="1">
      <formula>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formula>
    </cfRule>
  </conditionalFormatting>
  <conditionalFormatting sqref="L47">
    <cfRule type="expression" priority="91" dxfId="0" stopIfTrue="1">
      <formula>AND(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L47&lt;&gt;"",L47&lt;&gt;"not_applicable")</formula>
    </cfRule>
    <cfRule type="expression" priority="92" dxfId="1">
      <formula>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formula>
    </cfRule>
  </conditionalFormatting>
  <conditionalFormatting sqref="L48">
    <cfRule type="expression" priority="93" dxfId="0" stopIfTrue="1">
      <formula>AND(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L48&lt;&gt;"",L48&lt;&gt;"not_applicable")</formula>
    </cfRule>
    <cfRule type="expression" priority="94" dxfId="1">
      <formula>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formula>
    </cfRule>
  </conditionalFormatting>
  <conditionalFormatting sqref="L49">
    <cfRule type="expression" priority="95" dxfId="0" stopIfTrue="1">
      <formula>AND(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L49&lt;&gt;"",L49&lt;&gt;"not_applicable")</formula>
    </cfRule>
    <cfRule type="expression" priority="96" dxfId="1">
      <formula>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formula>
    </cfRule>
  </conditionalFormatting>
  <conditionalFormatting sqref="L50">
    <cfRule type="expression" priority="97" dxfId="0" stopIfTrue="1">
      <formula>AND(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L50&lt;&gt;"",L50&lt;&gt;"not_applicable")</formula>
    </cfRule>
    <cfRule type="expression" priority="98" dxfId="1">
      <formula>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formula>
    </cfRule>
  </conditionalFormatting>
  <conditionalFormatting sqref="L51">
    <cfRule type="expression" priority="99" dxfId="0" stopIfTrue="1">
      <formula>AND(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L51&lt;&gt;"",L51&lt;&gt;"not_applicable")</formula>
    </cfRule>
    <cfRule type="expression" priority="100" dxfId="1">
      <formula>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formula>
    </cfRule>
  </conditionalFormatting>
  <conditionalFormatting sqref="L52">
    <cfRule type="expression" priority="101" dxfId="0" stopIfTrue="1">
      <formula>AND(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L52&lt;&gt;"",L52&lt;&gt;"not_applicable")</formula>
    </cfRule>
    <cfRule type="expression" priority="102" dxfId="1">
      <formula>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formula>
    </cfRule>
  </conditionalFormatting>
  <conditionalFormatting sqref="L53">
    <cfRule type="expression" priority="103" dxfId="0" stopIfTrue="1">
      <formula>AND(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L53&lt;&gt;"",L53&lt;&gt;"not_applicable")</formula>
    </cfRule>
    <cfRule type="expression" priority="104" dxfId="1">
      <formula>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formula>
    </cfRule>
  </conditionalFormatting>
  <conditionalFormatting sqref="L54">
    <cfRule type="expression" priority="105" dxfId="0" stopIfTrue="1">
      <formula>AND(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L54&lt;&gt;"",L54&lt;&gt;"not_applicable")</formula>
    </cfRule>
    <cfRule type="expression" priority="106" dxfId="1">
      <formula>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formula>
    </cfRule>
  </conditionalFormatting>
  <conditionalFormatting sqref="L55">
    <cfRule type="expression" priority="107" dxfId="0" stopIfTrue="1">
      <formula>AND(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L55&lt;&gt;"",L55&lt;&gt;"not_applicable")</formula>
    </cfRule>
    <cfRule type="expression" priority="108" dxfId="1">
      <formula>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formula>
    </cfRule>
  </conditionalFormatting>
  <conditionalFormatting sqref="L56">
    <cfRule type="expression" priority="109" dxfId="0" stopIfTrue="1">
      <formula>AND(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L56&lt;&gt;"",L56&lt;&gt;"not_applicable")</formula>
    </cfRule>
    <cfRule type="expression" priority="110" dxfId="1">
      <formula>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formula>
    </cfRule>
  </conditionalFormatting>
  <conditionalFormatting sqref="L57">
    <cfRule type="expression" priority="111" dxfId="0" stopIfTrue="1">
      <formula>AND(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L57&lt;&gt;"",L57&lt;&gt;"not_applicable")</formula>
    </cfRule>
    <cfRule type="expression" priority="112" dxfId="1">
      <formula>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formula>
    </cfRule>
  </conditionalFormatting>
  <conditionalFormatting sqref="L58">
    <cfRule type="expression" priority="113" dxfId="0" stopIfTrue="1">
      <formula>AND(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L58&lt;&gt;"",L58&lt;&gt;"not_applicable")</formula>
    </cfRule>
    <cfRule type="expression" priority="114" dxfId="1">
      <formula>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formula>
    </cfRule>
  </conditionalFormatting>
  <conditionalFormatting sqref="L59">
    <cfRule type="expression" priority="115" dxfId="0" stopIfTrue="1">
      <formula>AND(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L59&lt;&gt;"",L59&lt;&gt;"not_applicable")</formula>
    </cfRule>
    <cfRule type="expression" priority="116" dxfId="1">
      <formula>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formula>
    </cfRule>
  </conditionalFormatting>
  <conditionalFormatting sqref="L60">
    <cfRule type="expression" priority="117" dxfId="0" stopIfTrue="1">
      <formula>AND(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L60&lt;&gt;"",L60&lt;&gt;"not_applicable")</formula>
    </cfRule>
    <cfRule type="expression" priority="118" dxfId="1">
      <formula>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formula>
    </cfRule>
  </conditionalFormatting>
  <conditionalFormatting sqref="L61">
    <cfRule type="expression" priority="119" dxfId="0" stopIfTrue="1">
      <formula>AND(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L61&lt;&gt;"",L61&lt;&gt;"not_applicable")</formula>
    </cfRule>
    <cfRule type="expression" priority="120" dxfId="1">
      <formula>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formula>
    </cfRule>
  </conditionalFormatting>
  <conditionalFormatting sqref="L62">
    <cfRule type="expression" priority="121" dxfId="0" stopIfTrue="1">
      <formula>AND(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L62&lt;&gt;"",L62&lt;&gt;"not_applicable")</formula>
    </cfRule>
    <cfRule type="expression" priority="122" dxfId="1">
      <formula>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formula>
    </cfRule>
  </conditionalFormatting>
  <conditionalFormatting sqref="L63">
    <cfRule type="expression" priority="123" dxfId="0" stopIfTrue="1">
      <formula>AND(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L63&lt;&gt;"",L63&lt;&gt;"not_applicable")</formula>
    </cfRule>
    <cfRule type="expression" priority="124" dxfId="1">
      <formula>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formula>
    </cfRule>
  </conditionalFormatting>
  <conditionalFormatting sqref="L64">
    <cfRule type="expression" priority="125" dxfId="0" stopIfTrue="1">
      <formula>AND(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L64&lt;&gt;"",L64&lt;&gt;"not_applicable")</formula>
    </cfRule>
    <cfRule type="expression" priority="126" dxfId="1">
      <formula>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formula>
    </cfRule>
  </conditionalFormatting>
  <conditionalFormatting sqref="L65">
    <cfRule type="expression" priority="127" dxfId="0" stopIfTrue="1">
      <formula>AND(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L65&lt;&gt;"",L65&lt;&gt;"not_applicable")</formula>
    </cfRule>
    <cfRule type="expression" priority="128" dxfId="1">
      <formula>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formula>
    </cfRule>
  </conditionalFormatting>
  <conditionalFormatting sqref="L66">
    <cfRule type="expression" priority="129" dxfId="0" stopIfTrue="1">
      <formula>AND(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L66&lt;&gt;"",L66&lt;&gt;"not_applicable")</formula>
    </cfRule>
    <cfRule type="expression" priority="130" dxfId="1">
      <formula>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formula>
    </cfRule>
  </conditionalFormatting>
  <conditionalFormatting sqref="L67">
    <cfRule type="expression" priority="131" dxfId="0" stopIfTrue="1">
      <formula>AND(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L67&lt;&gt;"",L67&lt;&gt;"not_applicable")</formula>
    </cfRule>
    <cfRule type="expression" priority="132" dxfId="1">
      <formula>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formula>
    </cfRule>
  </conditionalFormatting>
  <conditionalFormatting sqref="L68">
    <cfRule type="expression" priority="133" dxfId="0" stopIfTrue="1">
      <formula>AND(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L68&lt;&gt;"",L68&lt;&gt;"not_applicable")</formula>
    </cfRule>
    <cfRule type="expression" priority="134" dxfId="1">
      <formula>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formula>
    </cfRule>
  </conditionalFormatting>
  <conditionalFormatting sqref="L69">
    <cfRule type="expression" priority="135" dxfId="0" stopIfTrue="1">
      <formula>AND(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L69&lt;&gt;"",L69&lt;&gt;"not_applicable")</formula>
    </cfRule>
    <cfRule type="expression" priority="136" dxfId="1">
      <formula>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formula>
    </cfRule>
  </conditionalFormatting>
  <conditionalFormatting sqref="L70">
    <cfRule type="expression" priority="137" dxfId="0" stopIfTrue="1">
      <formula>AND(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L70&lt;&gt;"",L70&lt;&gt;"not_applicable")</formula>
    </cfRule>
    <cfRule type="expression" priority="138" dxfId="1">
      <formula>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formula>
    </cfRule>
  </conditionalFormatting>
  <conditionalFormatting sqref="L71">
    <cfRule type="expression" priority="139" dxfId="0" stopIfTrue="1">
      <formula>AND(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L71&lt;&gt;"",L71&lt;&gt;"not_applicable")</formula>
    </cfRule>
    <cfRule type="expression" priority="140" dxfId="1">
      <formula>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formula>
    </cfRule>
  </conditionalFormatting>
  <conditionalFormatting sqref="L72">
    <cfRule type="expression" priority="141" dxfId="0" stopIfTrue="1">
      <formula>AND(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L72&lt;&gt;"",L72&lt;&gt;"not_applicable")</formula>
    </cfRule>
    <cfRule type="expression" priority="142" dxfId="1">
      <formula>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formula>
    </cfRule>
  </conditionalFormatting>
  <conditionalFormatting sqref="L73">
    <cfRule type="expression" priority="143" dxfId="0" stopIfTrue="1">
      <formula>AND(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L73&lt;&gt;"",L73&lt;&gt;"not_applicable")</formula>
    </cfRule>
    <cfRule type="expression" priority="144" dxfId="1">
      <formula>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formula>
    </cfRule>
  </conditionalFormatting>
  <conditionalFormatting sqref="L74">
    <cfRule type="expression" priority="145" dxfId="0" stopIfTrue="1">
      <formula>AND(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L74&lt;&gt;"",L74&lt;&gt;"not_applicable")</formula>
    </cfRule>
    <cfRule type="expression" priority="146" dxfId="1">
      <formula>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formula>
    </cfRule>
  </conditionalFormatting>
  <conditionalFormatting sqref="L75">
    <cfRule type="expression" priority="147" dxfId="0" stopIfTrue="1">
      <formula>AND(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L75&lt;&gt;"",L75&lt;&gt;"not_applicable")</formula>
    </cfRule>
    <cfRule type="expression" priority="148" dxfId="1">
      <formula>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formula>
    </cfRule>
  </conditionalFormatting>
  <conditionalFormatting sqref="L76">
    <cfRule type="expression" priority="149" dxfId="0" stopIfTrue="1">
      <formula>AND(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L76&lt;&gt;"",L76&lt;&gt;"not_applicable")</formula>
    </cfRule>
    <cfRule type="expression" priority="150" dxfId="1">
      <formula>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formula>
    </cfRule>
  </conditionalFormatting>
  <conditionalFormatting sqref="L77">
    <cfRule type="expression" priority="151" dxfId="0" stopIfTrue="1">
      <formula>AND(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L77&lt;&gt;"",L77&lt;&gt;"not_applicable")</formula>
    </cfRule>
    <cfRule type="expression" priority="152" dxfId="1">
      <formula>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formula>
    </cfRule>
  </conditionalFormatting>
  <conditionalFormatting sqref="L78">
    <cfRule type="expression" priority="153" dxfId="0" stopIfTrue="1">
      <formula>AND(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L78&lt;&gt;"",L78&lt;&gt;"not_applicable")</formula>
    </cfRule>
    <cfRule type="expression" priority="154" dxfId="1">
      <formula>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formula>
    </cfRule>
  </conditionalFormatting>
  <conditionalFormatting sqref="L79">
    <cfRule type="expression" priority="155" dxfId="0" stopIfTrue="1">
      <formula>AND(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L79&lt;&gt;"",L79&lt;&gt;"not_applicable")</formula>
    </cfRule>
    <cfRule type="expression" priority="156" dxfId="1">
      <formula>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formula>
    </cfRule>
  </conditionalFormatting>
  <conditionalFormatting sqref="L80">
    <cfRule type="expression" priority="157" dxfId="0" stopIfTrue="1">
      <formula>AND(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L80&lt;&gt;"",L80&lt;&gt;"not_applicable")</formula>
    </cfRule>
    <cfRule type="expression" priority="158" dxfId="1">
      <formula>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formula>
    </cfRule>
  </conditionalFormatting>
  <conditionalFormatting sqref="L81">
    <cfRule type="expression" priority="159" dxfId="0" stopIfTrue="1">
      <formula>AND(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L81&lt;&gt;"",L81&lt;&gt;"not_applicable")</formula>
    </cfRule>
    <cfRule type="expression" priority="160" dxfId="1">
      <formula>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formula>
    </cfRule>
  </conditionalFormatting>
  <conditionalFormatting sqref="L82">
    <cfRule type="expression" priority="161" dxfId="0" stopIfTrue="1">
      <formula>AND(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L82&lt;&gt;"",L82&lt;&gt;"not_applicable")</formula>
    </cfRule>
    <cfRule type="expression" priority="162" dxfId="1">
      <formula>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formula>
    </cfRule>
  </conditionalFormatting>
  <conditionalFormatting sqref="L83">
    <cfRule type="expression" priority="163" dxfId="0" stopIfTrue="1">
      <formula>AND(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L83&lt;&gt;"",L83&lt;&gt;"not_applicable")</formula>
    </cfRule>
    <cfRule type="expression" priority="164" dxfId="1">
      <formula>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formula>
    </cfRule>
  </conditionalFormatting>
  <conditionalFormatting sqref="L84">
    <cfRule type="expression" priority="165" dxfId="0" stopIfTrue="1">
      <formula>AND(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L84&lt;&gt;"",L84&lt;&gt;"not_applicable")</formula>
    </cfRule>
    <cfRule type="expression" priority="166" dxfId="1">
      <formula>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formula>
    </cfRule>
  </conditionalFormatting>
  <conditionalFormatting sqref="L85">
    <cfRule type="expression" priority="167" dxfId="0" stopIfTrue="1">
      <formula>AND(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L85&lt;&gt;"",L85&lt;&gt;"not_applicable")</formula>
    </cfRule>
    <cfRule type="expression" priority="168" dxfId="1">
      <formula>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formula>
    </cfRule>
  </conditionalFormatting>
  <conditionalFormatting sqref="L86">
    <cfRule type="expression" priority="169" dxfId="0" stopIfTrue="1">
      <formula>AND(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L86&lt;&gt;"",L86&lt;&gt;"not_applicable")</formula>
    </cfRule>
    <cfRule type="expression" priority="170" dxfId="1">
      <formula>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formula>
    </cfRule>
  </conditionalFormatting>
  <conditionalFormatting sqref="L87">
    <cfRule type="expression" priority="171" dxfId="0" stopIfTrue="1">
      <formula>AND(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L87&lt;&gt;"",L87&lt;&gt;"not_applicable")</formula>
    </cfRule>
    <cfRule type="expression" priority="172" dxfId="1">
      <formula>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formula>
    </cfRule>
  </conditionalFormatting>
  <conditionalFormatting sqref="L88">
    <cfRule type="expression" priority="173" dxfId="0" stopIfTrue="1">
      <formula>AND(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L88&lt;&gt;"",L88&lt;&gt;"not_applicable")</formula>
    </cfRule>
    <cfRule type="expression" priority="174" dxfId="1">
      <formula>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formula>
    </cfRule>
  </conditionalFormatting>
  <conditionalFormatting sqref="L89">
    <cfRule type="expression" priority="175" dxfId="0" stopIfTrue="1">
      <formula>AND(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L89&lt;&gt;"",L89&lt;&gt;"not_applicable")</formula>
    </cfRule>
    <cfRule type="expression" priority="176" dxfId="1">
      <formula>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formula>
    </cfRule>
  </conditionalFormatting>
  <conditionalFormatting sqref="L90">
    <cfRule type="expression" priority="177" dxfId="0" stopIfTrue="1">
      <formula>AND(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L90&lt;&gt;"",L90&lt;&gt;"not_applicable")</formula>
    </cfRule>
    <cfRule type="expression" priority="178" dxfId="1">
      <formula>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formula>
    </cfRule>
  </conditionalFormatting>
  <conditionalFormatting sqref="L91">
    <cfRule type="expression" priority="179" dxfId="0" stopIfTrue="1">
      <formula>AND(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L91&lt;&gt;"",L91&lt;&gt;"not_applicable")</formula>
    </cfRule>
    <cfRule type="expression" priority="180" dxfId="1">
      <formula>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formula>
    </cfRule>
  </conditionalFormatting>
  <conditionalFormatting sqref="L92">
    <cfRule type="expression" priority="181" dxfId="0" stopIfTrue="1">
      <formula>AND(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L92&lt;&gt;"",L92&lt;&gt;"not_applicable")</formula>
    </cfRule>
    <cfRule type="expression" priority="182" dxfId="1">
      <formula>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formula>
    </cfRule>
  </conditionalFormatting>
  <conditionalFormatting sqref="L93">
    <cfRule type="expression" priority="183" dxfId="0" stopIfTrue="1">
      <formula>AND(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L93&lt;&gt;"",L93&lt;&gt;"not_applicable")</formula>
    </cfRule>
    <cfRule type="expression" priority="184" dxfId="1">
      <formula>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formula>
    </cfRule>
  </conditionalFormatting>
  <conditionalFormatting sqref="L94">
    <cfRule type="expression" priority="185" dxfId="0" stopIfTrue="1">
      <formula>AND(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L94&lt;&gt;"",L94&lt;&gt;"not_applicable")</formula>
    </cfRule>
    <cfRule type="expression" priority="186" dxfId="1">
      <formula>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formula>
    </cfRule>
  </conditionalFormatting>
  <conditionalFormatting sqref="L95">
    <cfRule type="expression" priority="187" dxfId="0" stopIfTrue="1">
      <formula>AND(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L95&lt;&gt;"",L95&lt;&gt;"not_applicable")</formula>
    </cfRule>
    <cfRule type="expression" priority="188" dxfId="1">
      <formula>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formula>
    </cfRule>
  </conditionalFormatting>
  <conditionalFormatting sqref="L96">
    <cfRule type="expression" priority="189" dxfId="0" stopIfTrue="1">
      <formula>AND(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L96&lt;&gt;"",L96&lt;&gt;"not_applicable")</formula>
    </cfRule>
    <cfRule type="expression" priority="190" dxfId="1">
      <formula>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formula>
    </cfRule>
  </conditionalFormatting>
  <conditionalFormatting sqref="L97">
    <cfRule type="expression" priority="191" dxfId="0" stopIfTrue="1">
      <formula>AND(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L97&lt;&gt;"",L97&lt;&gt;"not_applicable")</formula>
    </cfRule>
    <cfRule type="expression" priority="192" dxfId="1">
      <formula>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formula>
    </cfRule>
  </conditionalFormatting>
  <conditionalFormatting sqref="L98">
    <cfRule type="expression" priority="193" dxfId="0" stopIfTrue="1">
      <formula>AND(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L98&lt;&gt;"",L98&lt;&gt;"not_applicable")</formula>
    </cfRule>
    <cfRule type="expression" priority="194" dxfId="1">
      <formula>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formula>
    </cfRule>
  </conditionalFormatting>
  <conditionalFormatting sqref="L99">
    <cfRule type="expression" priority="195" dxfId="0" stopIfTrue="1">
      <formula>AND(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L99&lt;&gt;"",L99&lt;&gt;"not_applicable")</formula>
    </cfRule>
    <cfRule type="expression" priority="196" dxfId="1">
      <formula>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formula>
    </cfRule>
  </conditionalFormatting>
  <conditionalFormatting sqref="L100">
    <cfRule type="expression" priority="197" dxfId="0" stopIfTrue="1">
      <formula>AND(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L100&lt;&gt;"",L100&lt;&gt;"not_applicable")</formula>
    </cfRule>
    <cfRule type="expression" priority="198" dxfId="1">
      <formula>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formula>
    </cfRule>
  </conditionalFormatting>
  <conditionalFormatting sqref="L101">
    <cfRule type="expression" priority="199" dxfId="0" stopIfTrue="1">
      <formula>AND(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L101&lt;&gt;"",L101&lt;&gt;"not_applicable")</formula>
    </cfRule>
    <cfRule type="expression" priority="200" dxfId="1">
      <formula>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formula>
    </cfRule>
  </conditionalFormatting>
  <conditionalFormatting sqref="L102">
    <cfRule type="expression" priority="201" dxfId="0" stopIfTrue="1">
      <formula>AND(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L102&lt;&gt;"",L102&lt;&gt;"not_applicable")</formula>
    </cfRule>
    <cfRule type="expression" priority="202" dxfId="1">
      <formula>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formula>
    </cfRule>
  </conditionalFormatting>
  <conditionalFormatting sqref="L103">
    <cfRule type="expression" priority="203" dxfId="0" stopIfTrue="1">
      <formula>AND(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L103&lt;&gt;"",L103&lt;&gt;"not_applicable")</formula>
    </cfRule>
    <cfRule type="expression" priority="204" dxfId="1">
      <formula>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formula>
    </cfRule>
  </conditionalFormatting>
  <conditionalFormatting sqref="L104">
    <cfRule type="expression" priority="205" dxfId="0" stopIfTrue="1">
      <formula>AND(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L104&lt;&gt;"",L104&lt;&gt;"not_applicable")</formula>
    </cfRule>
    <cfRule type="expression" priority="206" dxfId="1">
      <formula>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formula>
    </cfRule>
  </conditionalFormatting>
  <conditionalFormatting sqref="L105">
    <cfRule type="expression" priority="207" dxfId="0" stopIfTrue="1">
      <formula>AND(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L105&lt;&gt;"",L105&lt;&gt;"not_applicable")</formula>
    </cfRule>
    <cfRule type="expression" priority="208" dxfId="1">
      <formula>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formula>
    </cfRule>
  </conditionalFormatting>
  <conditionalFormatting sqref="L106">
    <cfRule type="expression" priority="209" dxfId="0" stopIfTrue="1">
      <formula>AND(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L106&lt;&gt;"",L106&lt;&gt;"not_applicable")</formula>
    </cfRule>
    <cfRule type="expression" priority="210" dxfId="1">
      <formula>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formula>
    </cfRule>
  </conditionalFormatting>
  <conditionalFormatting sqref="L107">
    <cfRule type="expression" priority="211" dxfId="0" stopIfTrue="1">
      <formula>AND(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L107&lt;&gt;"",L107&lt;&gt;"not_applicable")</formula>
    </cfRule>
    <cfRule type="expression" priority="212" dxfId="1">
      <formula>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formula>
    </cfRule>
  </conditionalFormatting>
  <conditionalFormatting sqref="L108">
    <cfRule type="expression" priority="213" dxfId="0" stopIfTrue="1">
      <formula>AND(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L108&lt;&gt;"",L108&lt;&gt;"not_applicable")</formula>
    </cfRule>
    <cfRule type="expression" priority="214" dxfId="1">
      <formula>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formula>
    </cfRule>
  </conditionalFormatting>
  <conditionalFormatting sqref="L109">
    <cfRule type="expression" priority="215" dxfId="0" stopIfTrue="1">
      <formula>AND(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L109&lt;&gt;"",L109&lt;&gt;"not_applicable")</formula>
    </cfRule>
    <cfRule type="expression" priority="216" dxfId="1">
      <formula>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formula>
    </cfRule>
  </conditionalFormatting>
  <conditionalFormatting sqref="L110">
    <cfRule type="expression" priority="217" dxfId="0" stopIfTrue="1">
      <formula>AND(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L110&lt;&gt;"",L110&lt;&gt;"not_applicable")</formula>
    </cfRule>
    <cfRule type="expression" priority="218" dxfId="1">
      <formula>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formula>
    </cfRule>
  </conditionalFormatting>
  <conditionalFormatting sqref="L111">
    <cfRule type="expression" priority="219" dxfId="0" stopIfTrue="1">
      <formula>AND(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L111&lt;&gt;"",L111&lt;&gt;"not_applicable")</formula>
    </cfRule>
    <cfRule type="expression" priority="220" dxfId="1">
      <formula>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formula>
    </cfRule>
  </conditionalFormatting>
  <conditionalFormatting sqref="L112">
    <cfRule type="expression" priority="221" dxfId="0" stopIfTrue="1">
      <formula>AND(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L112&lt;&gt;"",L112&lt;&gt;"not_applicable")</formula>
    </cfRule>
    <cfRule type="expression" priority="222" dxfId="1">
      <formula>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formula>
    </cfRule>
  </conditionalFormatting>
  <conditionalFormatting sqref="L113">
    <cfRule type="expression" priority="223" dxfId="0" stopIfTrue="1">
      <formula>AND(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L113&lt;&gt;"",L113&lt;&gt;"not_applicable")</formula>
    </cfRule>
    <cfRule type="expression" priority="224" dxfId="1">
      <formula>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formula>
    </cfRule>
  </conditionalFormatting>
  <conditionalFormatting sqref="L114">
    <cfRule type="expression" priority="225" dxfId="0" stopIfTrue="1">
      <formula>AND(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L114&lt;&gt;"",L114&lt;&gt;"not_applicable")</formula>
    </cfRule>
    <cfRule type="expression" priority="226" dxfId="1">
      <formula>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formula>
    </cfRule>
  </conditionalFormatting>
  <conditionalFormatting sqref="L115">
    <cfRule type="expression" priority="227" dxfId="0" stopIfTrue="1">
      <formula>AND(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L115&lt;&gt;"",L115&lt;&gt;"not_applicable")</formula>
    </cfRule>
    <cfRule type="expression" priority="228" dxfId="1">
      <formula>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formula>
    </cfRule>
  </conditionalFormatting>
  <conditionalFormatting sqref="L116">
    <cfRule type="expression" priority="229" dxfId="0" stopIfTrue="1">
      <formula>AND(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L116&lt;&gt;"",L116&lt;&gt;"not_applicable")</formula>
    </cfRule>
    <cfRule type="expression" priority="230" dxfId="1">
      <formula>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formula>
    </cfRule>
  </conditionalFormatting>
  <conditionalFormatting sqref="L117">
    <cfRule type="expression" priority="231" dxfId="0" stopIfTrue="1">
      <formula>AND(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L117&lt;&gt;"",L117&lt;&gt;"not_applicable")</formula>
    </cfRule>
    <cfRule type="expression" priority="232" dxfId="1">
      <formula>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formula>
    </cfRule>
  </conditionalFormatting>
  <conditionalFormatting sqref="L118">
    <cfRule type="expression" priority="233" dxfId="0" stopIfTrue="1">
      <formula>AND(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L118&lt;&gt;"",L118&lt;&gt;"not_applicable")</formula>
    </cfRule>
    <cfRule type="expression" priority="234" dxfId="1">
      <formula>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formula>
    </cfRule>
  </conditionalFormatting>
  <conditionalFormatting sqref="L119">
    <cfRule type="expression" priority="235" dxfId="0" stopIfTrue="1">
      <formula>AND(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L119&lt;&gt;"",L119&lt;&gt;"not_applicable")</formula>
    </cfRule>
    <cfRule type="expression" priority="236" dxfId="1">
      <formula>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formula>
    </cfRule>
  </conditionalFormatting>
  <conditionalFormatting sqref="L120">
    <cfRule type="expression" priority="237" dxfId="0" stopIfTrue="1">
      <formula>AND(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L120&lt;&gt;"",L120&lt;&gt;"not_applicable")</formula>
    </cfRule>
    <cfRule type="expression" priority="238" dxfId="1">
      <formula>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formula>
    </cfRule>
  </conditionalFormatting>
  <conditionalFormatting sqref="M2">
    <cfRule type="expression" priority="239" dxfId="0" stopIfTrue="1">
      <formula>AND(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M2&lt;&gt;"",M2&lt;&gt;"not_applicable")</formula>
    </cfRule>
    <cfRule type="expression" priority="240" dxfId="1">
      <formula>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formula>
    </cfRule>
  </conditionalFormatting>
  <conditionalFormatting sqref="M3">
    <cfRule type="expression" priority="241" dxfId="0" stopIfTrue="1">
      <formula>AND(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M3&lt;&gt;"",M3&lt;&gt;"not_applicable")</formula>
    </cfRule>
    <cfRule type="expression" priority="242" dxfId="1">
      <formula>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formula>
    </cfRule>
  </conditionalFormatting>
  <conditionalFormatting sqref="M4">
    <cfRule type="expression" priority="243" dxfId="0" stopIfTrue="1">
      <formula>AND(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M4&lt;&gt;"",M4&lt;&gt;"not_applicable")</formula>
    </cfRule>
    <cfRule type="expression" priority="244" dxfId="1">
      <formula>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formula>
    </cfRule>
  </conditionalFormatting>
  <conditionalFormatting sqref="M5">
    <cfRule type="expression" priority="245" dxfId="0" stopIfTrue="1">
      <formula>AND(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M5&lt;&gt;"",M5&lt;&gt;"not_applicable")</formula>
    </cfRule>
    <cfRule type="expression" priority="246" dxfId="1">
      <formula>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formula>
    </cfRule>
  </conditionalFormatting>
  <conditionalFormatting sqref="M6">
    <cfRule type="expression" priority="247" dxfId="0" stopIfTrue="1">
      <formula>AND(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M6&lt;&gt;"",M6&lt;&gt;"not_applicable")</formula>
    </cfRule>
    <cfRule type="expression" priority="248" dxfId="1">
      <formula>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formula>
    </cfRule>
  </conditionalFormatting>
  <conditionalFormatting sqref="M7">
    <cfRule type="expression" priority="249" dxfId="0" stopIfTrue="1">
      <formula>AND(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M7&lt;&gt;"",M7&lt;&gt;"not_applicable")</formula>
    </cfRule>
    <cfRule type="expression" priority="250" dxfId="1">
      <formula>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formula>
    </cfRule>
  </conditionalFormatting>
  <conditionalFormatting sqref="M8">
    <cfRule type="expression" priority="251" dxfId="0" stopIfTrue="1">
      <formula>AND(OR(AND(IF($J8="",INDEX(primary_jama_2018_0156_disposition,MATCH($A8,primary_jama_2018_0156_key,0)),$J8)&lt;&gt;"",IF($J8="",INDEX(primary_jama_2018_0156_disposition,MATCH($A8,primary_jama_2018_0156_key,0)),$J8)&lt;&gt;"retain"),NOT(OR(IF($K8="",INDEX(primary_jama_2018_0156_domain,MATCH($A8,primary_jama_2018_0156_key,0)),$K8)="statistical_results"))),M8&lt;&gt;"",M8&lt;&gt;"not_applicable")</formula>
    </cfRule>
    <cfRule type="expression" priority="252" dxfId="1">
      <formula>OR(AND(IF($J8="",INDEX(primary_jama_2018_0156_disposition,MATCH($A8,primary_jama_2018_0156_key,0)),$J8)&lt;&gt;"",IF($J8="",INDEX(primary_jama_2018_0156_disposition,MATCH($A8,primary_jama_2018_0156_key,0)),$J8)&lt;&gt;"retain"),NOT(OR(IF($K8="",INDEX(primary_jama_2018_0156_domain,MATCH($A8,primary_jama_2018_0156_key,0)),$K8)="statistical_results")))</formula>
    </cfRule>
  </conditionalFormatting>
  <conditionalFormatting sqref="M9">
    <cfRule type="expression" priority="253" dxfId="0" stopIfTrue="1">
      <formula>AND(OR(AND(IF($J9="",INDEX(primary_jama_2018_0156_disposition,MATCH($A9,primary_jama_2018_0156_key,0)),$J9)&lt;&gt;"",IF($J9="",INDEX(primary_jama_2018_0156_disposition,MATCH($A9,primary_jama_2018_0156_key,0)),$J9)&lt;&gt;"retain"),NOT(OR(IF($K9="",INDEX(primary_jama_2018_0156_domain,MATCH($A9,primary_jama_2018_0156_key,0)),$K9)="statistical_results"))),M9&lt;&gt;"",M9&lt;&gt;"not_applicable")</formula>
    </cfRule>
    <cfRule type="expression" priority="254" dxfId="1">
      <formula>OR(AND(IF($J9="",INDEX(primary_jama_2018_0156_disposition,MATCH($A9,primary_jama_2018_0156_key,0)),$J9)&lt;&gt;"",IF($J9="",INDEX(primary_jama_2018_0156_disposition,MATCH($A9,primary_jama_2018_0156_key,0)),$J9)&lt;&gt;"retain"),NOT(OR(IF($K9="",INDEX(primary_jama_2018_0156_domain,MATCH($A9,primary_jama_2018_0156_key,0)),$K9)="statistical_results")))</formula>
    </cfRule>
  </conditionalFormatting>
  <conditionalFormatting sqref="M10">
    <cfRule type="expression" priority="255" dxfId="0" stopIfTrue="1">
      <formula>AND(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M10&lt;&gt;"",M10&lt;&gt;"not_applicable")</formula>
    </cfRule>
    <cfRule type="expression" priority="256" dxfId="1">
      <formula>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formula>
    </cfRule>
  </conditionalFormatting>
  <conditionalFormatting sqref="M11">
    <cfRule type="expression" priority="257" dxfId="0" stopIfTrue="1">
      <formula>AND(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M11&lt;&gt;"",M11&lt;&gt;"not_applicable")</formula>
    </cfRule>
    <cfRule type="expression" priority="258" dxfId="1">
      <formula>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formula>
    </cfRule>
  </conditionalFormatting>
  <conditionalFormatting sqref="M12">
    <cfRule type="expression" priority="259" dxfId="0" stopIfTrue="1">
      <formula>AND(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M12&lt;&gt;"",M12&lt;&gt;"not_applicable")</formula>
    </cfRule>
    <cfRule type="expression" priority="260" dxfId="1">
      <formula>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formula>
    </cfRule>
  </conditionalFormatting>
  <conditionalFormatting sqref="M13">
    <cfRule type="expression" priority="261" dxfId="0" stopIfTrue="1">
      <formula>AND(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M13&lt;&gt;"",M13&lt;&gt;"not_applicable")</formula>
    </cfRule>
    <cfRule type="expression" priority="262" dxfId="1">
      <formula>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formula>
    </cfRule>
  </conditionalFormatting>
  <conditionalFormatting sqref="M14">
    <cfRule type="expression" priority="263" dxfId="0" stopIfTrue="1">
      <formula>AND(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M14&lt;&gt;"",M14&lt;&gt;"not_applicable")</formula>
    </cfRule>
    <cfRule type="expression" priority="264" dxfId="1">
      <formula>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formula>
    </cfRule>
  </conditionalFormatting>
  <conditionalFormatting sqref="M15">
    <cfRule type="expression" priority="265" dxfId="0" stopIfTrue="1">
      <formula>AND(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M15&lt;&gt;"",M15&lt;&gt;"not_applicable")</formula>
    </cfRule>
    <cfRule type="expression" priority="266" dxfId="1">
      <formula>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formula>
    </cfRule>
  </conditionalFormatting>
  <conditionalFormatting sqref="M16">
    <cfRule type="expression" priority="267" dxfId="0" stopIfTrue="1">
      <formula>AND(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M16&lt;&gt;"",M16&lt;&gt;"not_applicable")</formula>
    </cfRule>
    <cfRule type="expression" priority="268" dxfId="1">
      <formula>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formula>
    </cfRule>
  </conditionalFormatting>
  <conditionalFormatting sqref="M17">
    <cfRule type="expression" priority="269" dxfId="0" stopIfTrue="1">
      <formula>AND(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M17&lt;&gt;"",M17&lt;&gt;"not_applicable")</formula>
    </cfRule>
    <cfRule type="expression" priority="270" dxfId="1">
      <formula>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formula>
    </cfRule>
  </conditionalFormatting>
  <conditionalFormatting sqref="M18">
    <cfRule type="expression" priority="271" dxfId="0" stopIfTrue="1">
      <formula>AND(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M18&lt;&gt;"",M18&lt;&gt;"not_applicable")</formula>
    </cfRule>
    <cfRule type="expression" priority="272" dxfId="1">
      <formula>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formula>
    </cfRule>
  </conditionalFormatting>
  <conditionalFormatting sqref="M19">
    <cfRule type="expression" priority="273" dxfId="0" stopIfTrue="1">
      <formula>AND(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M19&lt;&gt;"",M19&lt;&gt;"not_applicable")</formula>
    </cfRule>
    <cfRule type="expression" priority="274" dxfId="1">
      <formula>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formula>
    </cfRule>
  </conditionalFormatting>
  <conditionalFormatting sqref="M20">
    <cfRule type="expression" priority="275" dxfId="0" stopIfTrue="1">
      <formula>AND(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M20&lt;&gt;"",M20&lt;&gt;"not_applicable")</formula>
    </cfRule>
    <cfRule type="expression" priority="276" dxfId="1">
      <formula>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formula>
    </cfRule>
  </conditionalFormatting>
  <conditionalFormatting sqref="M21">
    <cfRule type="expression" priority="277" dxfId="0" stopIfTrue="1">
      <formula>AND(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M21&lt;&gt;"",M21&lt;&gt;"not_applicable")</formula>
    </cfRule>
    <cfRule type="expression" priority="278" dxfId="1">
      <formula>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formula>
    </cfRule>
  </conditionalFormatting>
  <conditionalFormatting sqref="M22">
    <cfRule type="expression" priority="279" dxfId="0" stopIfTrue="1">
      <formula>AND(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M22&lt;&gt;"",M22&lt;&gt;"not_applicable")</formula>
    </cfRule>
    <cfRule type="expression" priority="280" dxfId="1">
      <formula>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formula>
    </cfRule>
  </conditionalFormatting>
  <conditionalFormatting sqref="M23">
    <cfRule type="expression" priority="281" dxfId="0" stopIfTrue="1">
      <formula>AND(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M23&lt;&gt;"",M23&lt;&gt;"not_applicable")</formula>
    </cfRule>
    <cfRule type="expression" priority="282" dxfId="1">
      <formula>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formula>
    </cfRule>
  </conditionalFormatting>
  <conditionalFormatting sqref="M24">
    <cfRule type="expression" priority="283" dxfId="0" stopIfTrue="1">
      <formula>AND(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M24&lt;&gt;"",M24&lt;&gt;"not_applicable")</formula>
    </cfRule>
    <cfRule type="expression" priority="284" dxfId="1">
      <formula>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formula>
    </cfRule>
  </conditionalFormatting>
  <conditionalFormatting sqref="M25">
    <cfRule type="expression" priority="285" dxfId="0" stopIfTrue="1">
      <formula>AND(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M25&lt;&gt;"",M25&lt;&gt;"not_applicable")</formula>
    </cfRule>
    <cfRule type="expression" priority="286" dxfId="1">
      <formula>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formula>
    </cfRule>
  </conditionalFormatting>
  <conditionalFormatting sqref="M26">
    <cfRule type="expression" priority="287" dxfId="0" stopIfTrue="1">
      <formula>AND(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M26&lt;&gt;"",M26&lt;&gt;"not_applicable")</formula>
    </cfRule>
    <cfRule type="expression" priority="288" dxfId="1">
      <formula>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formula>
    </cfRule>
  </conditionalFormatting>
  <conditionalFormatting sqref="M27">
    <cfRule type="expression" priority="289" dxfId="0" stopIfTrue="1">
      <formula>AND(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M27&lt;&gt;"",M27&lt;&gt;"not_applicable")</formula>
    </cfRule>
    <cfRule type="expression" priority="290" dxfId="1">
      <formula>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formula>
    </cfRule>
  </conditionalFormatting>
  <conditionalFormatting sqref="M28">
    <cfRule type="expression" priority="291" dxfId="0" stopIfTrue="1">
      <formula>AND(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M28&lt;&gt;"",M28&lt;&gt;"not_applicable")</formula>
    </cfRule>
    <cfRule type="expression" priority="292" dxfId="1">
      <formula>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formula>
    </cfRule>
  </conditionalFormatting>
  <conditionalFormatting sqref="M29">
    <cfRule type="expression" priority="293" dxfId="0" stopIfTrue="1">
      <formula>AND(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M29&lt;&gt;"",M29&lt;&gt;"not_applicable")</formula>
    </cfRule>
    <cfRule type="expression" priority="294" dxfId="1">
      <formula>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formula>
    </cfRule>
  </conditionalFormatting>
  <conditionalFormatting sqref="M30">
    <cfRule type="expression" priority="295" dxfId="0" stopIfTrue="1">
      <formula>AND(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M30&lt;&gt;"",M30&lt;&gt;"not_applicable")</formula>
    </cfRule>
    <cfRule type="expression" priority="296" dxfId="1">
      <formula>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formula>
    </cfRule>
  </conditionalFormatting>
  <conditionalFormatting sqref="M31">
    <cfRule type="expression" priority="297" dxfId="0" stopIfTrue="1">
      <formula>AND(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M31&lt;&gt;"",M31&lt;&gt;"not_applicable")</formula>
    </cfRule>
    <cfRule type="expression" priority="298" dxfId="1">
      <formula>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formula>
    </cfRule>
  </conditionalFormatting>
  <conditionalFormatting sqref="M32">
    <cfRule type="expression" priority="299" dxfId="0" stopIfTrue="1">
      <formula>AND(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M32&lt;&gt;"",M32&lt;&gt;"not_applicable")</formula>
    </cfRule>
    <cfRule type="expression" priority="300" dxfId="1">
      <formula>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formula>
    </cfRule>
  </conditionalFormatting>
  <conditionalFormatting sqref="M33">
    <cfRule type="expression" priority="301" dxfId="0" stopIfTrue="1">
      <formula>AND(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M33&lt;&gt;"",M33&lt;&gt;"not_applicable")</formula>
    </cfRule>
    <cfRule type="expression" priority="302" dxfId="1">
      <formula>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formula>
    </cfRule>
  </conditionalFormatting>
  <conditionalFormatting sqref="M34">
    <cfRule type="expression" priority="303" dxfId="0" stopIfTrue="1">
      <formula>AND(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M34&lt;&gt;"",M34&lt;&gt;"not_applicable")</formula>
    </cfRule>
    <cfRule type="expression" priority="304" dxfId="1">
      <formula>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formula>
    </cfRule>
  </conditionalFormatting>
  <conditionalFormatting sqref="M35">
    <cfRule type="expression" priority="305" dxfId="0" stopIfTrue="1">
      <formula>AND(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M35&lt;&gt;"",M35&lt;&gt;"not_applicable")</formula>
    </cfRule>
    <cfRule type="expression" priority="306" dxfId="1">
      <formula>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formula>
    </cfRule>
  </conditionalFormatting>
  <conditionalFormatting sqref="M36">
    <cfRule type="expression" priority="307" dxfId="0" stopIfTrue="1">
      <formula>AND(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M36&lt;&gt;"",M36&lt;&gt;"not_applicable")</formula>
    </cfRule>
    <cfRule type="expression" priority="308" dxfId="1">
      <formula>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formula>
    </cfRule>
  </conditionalFormatting>
  <conditionalFormatting sqref="M37">
    <cfRule type="expression" priority="309" dxfId="0" stopIfTrue="1">
      <formula>AND(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M37&lt;&gt;"",M37&lt;&gt;"not_applicable")</formula>
    </cfRule>
    <cfRule type="expression" priority="310" dxfId="1">
      <formula>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formula>
    </cfRule>
  </conditionalFormatting>
  <conditionalFormatting sqref="M38">
    <cfRule type="expression" priority="311" dxfId="0" stopIfTrue="1">
      <formula>AND(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M38&lt;&gt;"",M38&lt;&gt;"not_applicable")</formula>
    </cfRule>
    <cfRule type="expression" priority="312" dxfId="1">
      <formula>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formula>
    </cfRule>
  </conditionalFormatting>
  <conditionalFormatting sqref="M39">
    <cfRule type="expression" priority="313" dxfId="0" stopIfTrue="1">
      <formula>AND(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M39&lt;&gt;"",M39&lt;&gt;"not_applicable")</formula>
    </cfRule>
    <cfRule type="expression" priority="314" dxfId="1">
      <formula>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formula>
    </cfRule>
  </conditionalFormatting>
  <conditionalFormatting sqref="M40">
    <cfRule type="expression" priority="315" dxfId="0" stopIfTrue="1">
      <formula>AND(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M40&lt;&gt;"",M40&lt;&gt;"not_applicable")</formula>
    </cfRule>
    <cfRule type="expression" priority="316" dxfId="1">
      <formula>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formula>
    </cfRule>
  </conditionalFormatting>
  <conditionalFormatting sqref="M41">
    <cfRule type="expression" priority="317" dxfId="0" stopIfTrue="1">
      <formula>AND(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M41&lt;&gt;"",M41&lt;&gt;"not_applicable")</formula>
    </cfRule>
    <cfRule type="expression" priority="318" dxfId="1">
      <formula>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formula>
    </cfRule>
  </conditionalFormatting>
  <conditionalFormatting sqref="M42">
    <cfRule type="expression" priority="319" dxfId="0" stopIfTrue="1">
      <formula>AND(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M42&lt;&gt;"",M42&lt;&gt;"not_applicable")</formula>
    </cfRule>
    <cfRule type="expression" priority="320" dxfId="1">
      <formula>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formula>
    </cfRule>
  </conditionalFormatting>
  <conditionalFormatting sqref="M43">
    <cfRule type="expression" priority="321" dxfId="0" stopIfTrue="1">
      <formula>AND(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M43&lt;&gt;"",M43&lt;&gt;"not_applicable")</formula>
    </cfRule>
    <cfRule type="expression" priority="322" dxfId="1">
      <formula>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formula>
    </cfRule>
  </conditionalFormatting>
  <conditionalFormatting sqref="M44">
    <cfRule type="expression" priority="323" dxfId="0" stopIfTrue="1">
      <formula>AND(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M44&lt;&gt;"",M44&lt;&gt;"not_applicable")</formula>
    </cfRule>
    <cfRule type="expression" priority="324" dxfId="1">
      <formula>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formula>
    </cfRule>
  </conditionalFormatting>
  <conditionalFormatting sqref="M45">
    <cfRule type="expression" priority="325" dxfId="0" stopIfTrue="1">
      <formula>AND(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M45&lt;&gt;"",M45&lt;&gt;"not_applicable")</formula>
    </cfRule>
    <cfRule type="expression" priority="326" dxfId="1">
      <formula>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formula>
    </cfRule>
  </conditionalFormatting>
  <conditionalFormatting sqref="M46">
    <cfRule type="expression" priority="327" dxfId="0" stopIfTrue="1">
      <formula>AND(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M46&lt;&gt;"",M46&lt;&gt;"not_applicable")</formula>
    </cfRule>
    <cfRule type="expression" priority="328" dxfId="1">
      <formula>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formula>
    </cfRule>
  </conditionalFormatting>
  <conditionalFormatting sqref="M47">
    <cfRule type="expression" priority="329" dxfId="0" stopIfTrue="1">
      <formula>AND(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M47&lt;&gt;"",M47&lt;&gt;"not_applicable")</formula>
    </cfRule>
    <cfRule type="expression" priority="330" dxfId="1">
      <formula>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formula>
    </cfRule>
  </conditionalFormatting>
  <conditionalFormatting sqref="M48">
    <cfRule type="expression" priority="331" dxfId="0" stopIfTrue="1">
      <formula>AND(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M48&lt;&gt;"",M48&lt;&gt;"not_applicable")</formula>
    </cfRule>
    <cfRule type="expression" priority="332" dxfId="1">
      <formula>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formula>
    </cfRule>
  </conditionalFormatting>
  <conditionalFormatting sqref="M49">
    <cfRule type="expression" priority="333" dxfId="0" stopIfTrue="1">
      <formula>AND(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M49&lt;&gt;"",M49&lt;&gt;"not_applicable")</formula>
    </cfRule>
    <cfRule type="expression" priority="334" dxfId="1">
      <formula>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formula>
    </cfRule>
  </conditionalFormatting>
  <conditionalFormatting sqref="M50">
    <cfRule type="expression" priority="335" dxfId="0" stopIfTrue="1">
      <formula>AND(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M50&lt;&gt;"",M50&lt;&gt;"not_applicable")</formula>
    </cfRule>
    <cfRule type="expression" priority="336" dxfId="1">
      <formula>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formula>
    </cfRule>
  </conditionalFormatting>
  <conditionalFormatting sqref="M51">
    <cfRule type="expression" priority="337" dxfId="0" stopIfTrue="1">
      <formula>AND(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M51&lt;&gt;"",M51&lt;&gt;"not_applicable")</formula>
    </cfRule>
    <cfRule type="expression" priority="338" dxfId="1">
      <formula>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formula>
    </cfRule>
  </conditionalFormatting>
  <conditionalFormatting sqref="M52">
    <cfRule type="expression" priority="339" dxfId="0" stopIfTrue="1">
      <formula>AND(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M52&lt;&gt;"",M52&lt;&gt;"not_applicable")</formula>
    </cfRule>
    <cfRule type="expression" priority="340" dxfId="1">
      <formula>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formula>
    </cfRule>
  </conditionalFormatting>
  <conditionalFormatting sqref="M53">
    <cfRule type="expression" priority="341" dxfId="0" stopIfTrue="1">
      <formula>AND(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M53&lt;&gt;"",M53&lt;&gt;"not_applicable")</formula>
    </cfRule>
    <cfRule type="expression" priority="342" dxfId="1">
      <formula>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formula>
    </cfRule>
  </conditionalFormatting>
  <conditionalFormatting sqref="M54">
    <cfRule type="expression" priority="343" dxfId="0" stopIfTrue="1">
      <formula>AND(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M54&lt;&gt;"",M54&lt;&gt;"not_applicable")</formula>
    </cfRule>
    <cfRule type="expression" priority="344" dxfId="1">
      <formula>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formula>
    </cfRule>
  </conditionalFormatting>
  <conditionalFormatting sqref="M55">
    <cfRule type="expression" priority="345" dxfId="0" stopIfTrue="1">
      <formula>AND(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M55&lt;&gt;"",M55&lt;&gt;"not_applicable")</formula>
    </cfRule>
    <cfRule type="expression" priority="346" dxfId="1">
      <formula>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formula>
    </cfRule>
  </conditionalFormatting>
  <conditionalFormatting sqref="M56">
    <cfRule type="expression" priority="347" dxfId="0" stopIfTrue="1">
      <formula>AND(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M56&lt;&gt;"",M56&lt;&gt;"not_applicable")</formula>
    </cfRule>
    <cfRule type="expression" priority="348" dxfId="1">
      <formula>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formula>
    </cfRule>
  </conditionalFormatting>
  <conditionalFormatting sqref="M57">
    <cfRule type="expression" priority="349" dxfId="0" stopIfTrue="1">
      <formula>AND(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M57&lt;&gt;"",M57&lt;&gt;"not_applicable")</formula>
    </cfRule>
    <cfRule type="expression" priority="350" dxfId="1">
      <formula>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formula>
    </cfRule>
  </conditionalFormatting>
  <conditionalFormatting sqref="M58">
    <cfRule type="expression" priority="351" dxfId="0" stopIfTrue="1">
      <formula>AND(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M58&lt;&gt;"",M58&lt;&gt;"not_applicable")</formula>
    </cfRule>
    <cfRule type="expression" priority="352" dxfId="1">
      <formula>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formula>
    </cfRule>
  </conditionalFormatting>
  <conditionalFormatting sqref="M59">
    <cfRule type="expression" priority="353" dxfId="0" stopIfTrue="1">
      <formula>AND(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M59&lt;&gt;"",M59&lt;&gt;"not_applicable")</formula>
    </cfRule>
    <cfRule type="expression" priority="354" dxfId="1">
      <formula>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formula>
    </cfRule>
  </conditionalFormatting>
  <conditionalFormatting sqref="M60">
    <cfRule type="expression" priority="355" dxfId="0" stopIfTrue="1">
      <formula>AND(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M60&lt;&gt;"",M60&lt;&gt;"not_applicable")</formula>
    </cfRule>
    <cfRule type="expression" priority="356" dxfId="1">
      <formula>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formula>
    </cfRule>
  </conditionalFormatting>
  <conditionalFormatting sqref="M61">
    <cfRule type="expression" priority="357" dxfId="0" stopIfTrue="1">
      <formula>AND(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M61&lt;&gt;"",M61&lt;&gt;"not_applicable")</formula>
    </cfRule>
    <cfRule type="expression" priority="358" dxfId="1">
      <formula>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formula>
    </cfRule>
  </conditionalFormatting>
  <conditionalFormatting sqref="M62">
    <cfRule type="expression" priority="359" dxfId="0" stopIfTrue="1">
      <formula>AND(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M62&lt;&gt;"",M62&lt;&gt;"not_applicable")</formula>
    </cfRule>
    <cfRule type="expression" priority="360" dxfId="1">
      <formula>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formula>
    </cfRule>
  </conditionalFormatting>
  <conditionalFormatting sqref="M63">
    <cfRule type="expression" priority="361" dxfId="0" stopIfTrue="1">
      <formula>AND(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M63&lt;&gt;"",M63&lt;&gt;"not_applicable")</formula>
    </cfRule>
    <cfRule type="expression" priority="362" dxfId="1">
      <formula>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formula>
    </cfRule>
  </conditionalFormatting>
  <conditionalFormatting sqref="M64">
    <cfRule type="expression" priority="363" dxfId="0" stopIfTrue="1">
      <formula>AND(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M64&lt;&gt;"",M64&lt;&gt;"not_applicable")</formula>
    </cfRule>
    <cfRule type="expression" priority="364" dxfId="1">
      <formula>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formula>
    </cfRule>
  </conditionalFormatting>
  <conditionalFormatting sqref="M65">
    <cfRule type="expression" priority="365" dxfId="0" stopIfTrue="1">
      <formula>AND(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M65&lt;&gt;"",M65&lt;&gt;"not_applicable")</formula>
    </cfRule>
    <cfRule type="expression" priority="366" dxfId="1">
      <formula>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formula>
    </cfRule>
  </conditionalFormatting>
  <conditionalFormatting sqref="M66">
    <cfRule type="expression" priority="367" dxfId="0" stopIfTrue="1">
      <formula>AND(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M66&lt;&gt;"",M66&lt;&gt;"not_applicable")</formula>
    </cfRule>
    <cfRule type="expression" priority="368" dxfId="1">
      <formula>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formula>
    </cfRule>
  </conditionalFormatting>
  <conditionalFormatting sqref="M67">
    <cfRule type="expression" priority="369" dxfId="0" stopIfTrue="1">
      <formula>AND(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M67&lt;&gt;"",M67&lt;&gt;"not_applicable")</formula>
    </cfRule>
    <cfRule type="expression" priority="370" dxfId="1">
      <formula>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formula>
    </cfRule>
  </conditionalFormatting>
  <conditionalFormatting sqref="M68">
    <cfRule type="expression" priority="371" dxfId="0" stopIfTrue="1">
      <formula>AND(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M68&lt;&gt;"",M68&lt;&gt;"not_applicable")</formula>
    </cfRule>
    <cfRule type="expression" priority="372" dxfId="1">
      <formula>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formula>
    </cfRule>
  </conditionalFormatting>
  <conditionalFormatting sqref="M69">
    <cfRule type="expression" priority="373" dxfId="0" stopIfTrue="1">
      <formula>AND(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M69&lt;&gt;"",M69&lt;&gt;"not_applicable")</formula>
    </cfRule>
    <cfRule type="expression" priority="374" dxfId="1">
      <formula>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formula>
    </cfRule>
  </conditionalFormatting>
  <conditionalFormatting sqref="M70">
    <cfRule type="expression" priority="375" dxfId="0" stopIfTrue="1">
      <formula>AND(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M70&lt;&gt;"",M70&lt;&gt;"not_applicable")</formula>
    </cfRule>
    <cfRule type="expression" priority="376" dxfId="1">
      <formula>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formula>
    </cfRule>
  </conditionalFormatting>
  <conditionalFormatting sqref="M71">
    <cfRule type="expression" priority="377" dxfId="0" stopIfTrue="1">
      <formula>AND(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M71&lt;&gt;"",M71&lt;&gt;"not_applicable")</formula>
    </cfRule>
    <cfRule type="expression" priority="378" dxfId="1">
      <formula>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formula>
    </cfRule>
  </conditionalFormatting>
  <conditionalFormatting sqref="M72">
    <cfRule type="expression" priority="379" dxfId="0" stopIfTrue="1">
      <formula>AND(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M72&lt;&gt;"",M72&lt;&gt;"not_applicable")</formula>
    </cfRule>
    <cfRule type="expression" priority="380" dxfId="1">
      <formula>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formula>
    </cfRule>
  </conditionalFormatting>
  <conditionalFormatting sqref="M73">
    <cfRule type="expression" priority="381" dxfId="0" stopIfTrue="1">
      <formula>AND(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M73&lt;&gt;"",M73&lt;&gt;"not_applicable")</formula>
    </cfRule>
    <cfRule type="expression" priority="382" dxfId="1">
      <formula>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formula>
    </cfRule>
  </conditionalFormatting>
  <conditionalFormatting sqref="M74">
    <cfRule type="expression" priority="383" dxfId="0" stopIfTrue="1">
      <formula>AND(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M74&lt;&gt;"",M74&lt;&gt;"not_applicable")</formula>
    </cfRule>
    <cfRule type="expression" priority="384" dxfId="1">
      <formula>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formula>
    </cfRule>
  </conditionalFormatting>
  <conditionalFormatting sqref="M75">
    <cfRule type="expression" priority="385" dxfId="0" stopIfTrue="1">
      <formula>AND(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M75&lt;&gt;"",M75&lt;&gt;"not_applicable")</formula>
    </cfRule>
    <cfRule type="expression" priority="386" dxfId="1">
      <formula>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formula>
    </cfRule>
  </conditionalFormatting>
  <conditionalFormatting sqref="M76">
    <cfRule type="expression" priority="387" dxfId="0" stopIfTrue="1">
      <formula>AND(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M76&lt;&gt;"",M76&lt;&gt;"not_applicable")</formula>
    </cfRule>
    <cfRule type="expression" priority="388" dxfId="1">
      <formula>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formula>
    </cfRule>
  </conditionalFormatting>
  <conditionalFormatting sqref="M77">
    <cfRule type="expression" priority="389" dxfId="0" stopIfTrue="1">
      <formula>AND(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M77&lt;&gt;"",M77&lt;&gt;"not_applicable")</formula>
    </cfRule>
    <cfRule type="expression" priority="390" dxfId="1">
      <formula>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formula>
    </cfRule>
  </conditionalFormatting>
  <conditionalFormatting sqref="M78">
    <cfRule type="expression" priority="391" dxfId="0" stopIfTrue="1">
      <formula>AND(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M78&lt;&gt;"",M78&lt;&gt;"not_applicable")</formula>
    </cfRule>
    <cfRule type="expression" priority="392" dxfId="1">
      <formula>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formula>
    </cfRule>
  </conditionalFormatting>
  <conditionalFormatting sqref="M79">
    <cfRule type="expression" priority="393" dxfId="0" stopIfTrue="1">
      <formula>AND(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M79&lt;&gt;"",M79&lt;&gt;"not_applicable")</formula>
    </cfRule>
    <cfRule type="expression" priority="394" dxfId="1">
      <formula>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formula>
    </cfRule>
  </conditionalFormatting>
  <conditionalFormatting sqref="M80">
    <cfRule type="expression" priority="395" dxfId="0" stopIfTrue="1">
      <formula>AND(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M80&lt;&gt;"",M80&lt;&gt;"not_applicable")</formula>
    </cfRule>
    <cfRule type="expression" priority="396" dxfId="1">
      <formula>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formula>
    </cfRule>
  </conditionalFormatting>
  <conditionalFormatting sqref="M81">
    <cfRule type="expression" priority="397" dxfId="0" stopIfTrue="1">
      <formula>AND(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M81&lt;&gt;"",M81&lt;&gt;"not_applicable")</formula>
    </cfRule>
    <cfRule type="expression" priority="398" dxfId="1">
      <formula>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formula>
    </cfRule>
  </conditionalFormatting>
  <conditionalFormatting sqref="M82">
    <cfRule type="expression" priority="399" dxfId="0" stopIfTrue="1">
      <formula>AND(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M82&lt;&gt;"",M82&lt;&gt;"not_applicable")</formula>
    </cfRule>
    <cfRule type="expression" priority="400" dxfId="1">
      <formula>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formula>
    </cfRule>
  </conditionalFormatting>
  <conditionalFormatting sqref="M83">
    <cfRule type="expression" priority="401" dxfId="0" stopIfTrue="1">
      <formula>AND(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M83&lt;&gt;"",M83&lt;&gt;"not_applicable")</formula>
    </cfRule>
    <cfRule type="expression" priority="402" dxfId="1">
      <formula>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formula>
    </cfRule>
  </conditionalFormatting>
  <conditionalFormatting sqref="M84">
    <cfRule type="expression" priority="403" dxfId="0" stopIfTrue="1">
      <formula>AND(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M84&lt;&gt;"",M84&lt;&gt;"not_applicable")</formula>
    </cfRule>
    <cfRule type="expression" priority="404" dxfId="1">
      <formula>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formula>
    </cfRule>
  </conditionalFormatting>
  <conditionalFormatting sqref="M85">
    <cfRule type="expression" priority="405" dxfId="0" stopIfTrue="1">
      <formula>AND(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M85&lt;&gt;"",M85&lt;&gt;"not_applicable")</formula>
    </cfRule>
    <cfRule type="expression" priority="406" dxfId="1">
      <formula>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formula>
    </cfRule>
  </conditionalFormatting>
  <conditionalFormatting sqref="M86">
    <cfRule type="expression" priority="407" dxfId="0" stopIfTrue="1">
      <formula>AND(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M86&lt;&gt;"",M86&lt;&gt;"not_applicable")</formula>
    </cfRule>
    <cfRule type="expression" priority="408" dxfId="1">
      <formula>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formula>
    </cfRule>
  </conditionalFormatting>
  <conditionalFormatting sqref="M87">
    <cfRule type="expression" priority="409" dxfId="0" stopIfTrue="1">
      <formula>AND(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M87&lt;&gt;"",M87&lt;&gt;"not_applicable")</formula>
    </cfRule>
    <cfRule type="expression" priority="410" dxfId="1">
      <formula>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formula>
    </cfRule>
  </conditionalFormatting>
  <conditionalFormatting sqref="M88">
    <cfRule type="expression" priority="411" dxfId="0" stopIfTrue="1">
      <formula>AND(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M88&lt;&gt;"",M88&lt;&gt;"not_applicable")</formula>
    </cfRule>
    <cfRule type="expression" priority="412" dxfId="1">
      <formula>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formula>
    </cfRule>
  </conditionalFormatting>
  <conditionalFormatting sqref="M89">
    <cfRule type="expression" priority="413" dxfId="0" stopIfTrue="1">
      <formula>AND(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M89&lt;&gt;"",M89&lt;&gt;"not_applicable")</formula>
    </cfRule>
    <cfRule type="expression" priority="414" dxfId="1">
      <formula>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formula>
    </cfRule>
  </conditionalFormatting>
  <conditionalFormatting sqref="M90">
    <cfRule type="expression" priority="415" dxfId="0" stopIfTrue="1">
      <formula>AND(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M90&lt;&gt;"",M90&lt;&gt;"not_applicable")</formula>
    </cfRule>
    <cfRule type="expression" priority="416" dxfId="1">
      <formula>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formula>
    </cfRule>
  </conditionalFormatting>
  <conditionalFormatting sqref="M91">
    <cfRule type="expression" priority="417" dxfId="0" stopIfTrue="1">
      <formula>AND(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M91&lt;&gt;"",M91&lt;&gt;"not_applicable")</formula>
    </cfRule>
    <cfRule type="expression" priority="418" dxfId="1">
      <formula>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formula>
    </cfRule>
  </conditionalFormatting>
  <conditionalFormatting sqref="M92">
    <cfRule type="expression" priority="419" dxfId="0" stopIfTrue="1">
      <formula>AND(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M92&lt;&gt;"",M92&lt;&gt;"not_applicable")</formula>
    </cfRule>
    <cfRule type="expression" priority="420" dxfId="1">
      <formula>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formula>
    </cfRule>
  </conditionalFormatting>
  <conditionalFormatting sqref="M93">
    <cfRule type="expression" priority="421" dxfId="0" stopIfTrue="1">
      <formula>AND(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M93&lt;&gt;"",M93&lt;&gt;"not_applicable")</formula>
    </cfRule>
    <cfRule type="expression" priority="422" dxfId="1">
      <formula>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formula>
    </cfRule>
  </conditionalFormatting>
  <conditionalFormatting sqref="M94">
    <cfRule type="expression" priority="423" dxfId="0" stopIfTrue="1">
      <formula>AND(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M94&lt;&gt;"",M94&lt;&gt;"not_applicable")</formula>
    </cfRule>
    <cfRule type="expression" priority="424" dxfId="1">
      <formula>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formula>
    </cfRule>
  </conditionalFormatting>
  <conditionalFormatting sqref="M95">
    <cfRule type="expression" priority="425" dxfId="0" stopIfTrue="1">
      <formula>AND(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M95&lt;&gt;"",M95&lt;&gt;"not_applicable")</formula>
    </cfRule>
    <cfRule type="expression" priority="426" dxfId="1">
      <formula>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formula>
    </cfRule>
  </conditionalFormatting>
  <conditionalFormatting sqref="M96">
    <cfRule type="expression" priority="427" dxfId="0" stopIfTrue="1">
      <formula>AND(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M96&lt;&gt;"",M96&lt;&gt;"not_applicable")</formula>
    </cfRule>
    <cfRule type="expression" priority="428" dxfId="1">
      <formula>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formula>
    </cfRule>
  </conditionalFormatting>
  <conditionalFormatting sqref="M97">
    <cfRule type="expression" priority="429" dxfId="0" stopIfTrue="1">
      <formula>AND(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M97&lt;&gt;"",M97&lt;&gt;"not_applicable")</formula>
    </cfRule>
    <cfRule type="expression" priority="430" dxfId="1">
      <formula>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formula>
    </cfRule>
  </conditionalFormatting>
  <conditionalFormatting sqref="M98">
    <cfRule type="expression" priority="431" dxfId="0" stopIfTrue="1">
      <formula>AND(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M98&lt;&gt;"",M98&lt;&gt;"not_applicable")</formula>
    </cfRule>
    <cfRule type="expression" priority="432" dxfId="1">
      <formula>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formula>
    </cfRule>
  </conditionalFormatting>
  <conditionalFormatting sqref="M99">
    <cfRule type="expression" priority="433" dxfId="0" stopIfTrue="1">
      <formula>AND(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M99&lt;&gt;"",M99&lt;&gt;"not_applicable")</formula>
    </cfRule>
    <cfRule type="expression" priority="434" dxfId="1">
      <formula>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formula>
    </cfRule>
  </conditionalFormatting>
  <conditionalFormatting sqref="M100">
    <cfRule type="expression" priority="435" dxfId="0" stopIfTrue="1">
      <formula>AND(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M100&lt;&gt;"",M100&lt;&gt;"not_applicable")</formula>
    </cfRule>
    <cfRule type="expression" priority="436" dxfId="1">
      <formula>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formula>
    </cfRule>
  </conditionalFormatting>
  <conditionalFormatting sqref="M101">
    <cfRule type="expression" priority="437" dxfId="0" stopIfTrue="1">
      <formula>AND(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M101&lt;&gt;"",M101&lt;&gt;"not_applicable")</formula>
    </cfRule>
    <cfRule type="expression" priority="438" dxfId="1">
      <formula>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formula>
    </cfRule>
  </conditionalFormatting>
  <conditionalFormatting sqref="M102">
    <cfRule type="expression" priority="439" dxfId="0" stopIfTrue="1">
      <formula>AND(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M102&lt;&gt;"",M102&lt;&gt;"not_applicable")</formula>
    </cfRule>
    <cfRule type="expression" priority="440" dxfId="1">
      <formula>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formula>
    </cfRule>
  </conditionalFormatting>
  <conditionalFormatting sqref="M103">
    <cfRule type="expression" priority="441" dxfId="0" stopIfTrue="1">
      <formula>AND(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M103&lt;&gt;"",M103&lt;&gt;"not_applicable")</formula>
    </cfRule>
    <cfRule type="expression" priority="442" dxfId="1">
      <formula>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formula>
    </cfRule>
  </conditionalFormatting>
  <conditionalFormatting sqref="M104">
    <cfRule type="expression" priority="443" dxfId="0" stopIfTrue="1">
      <formula>AND(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M104&lt;&gt;"",M104&lt;&gt;"not_applicable")</formula>
    </cfRule>
    <cfRule type="expression" priority="444" dxfId="1">
      <formula>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formula>
    </cfRule>
  </conditionalFormatting>
  <conditionalFormatting sqref="M105">
    <cfRule type="expression" priority="445" dxfId="0" stopIfTrue="1">
      <formula>AND(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M105&lt;&gt;"",M105&lt;&gt;"not_applicable")</formula>
    </cfRule>
    <cfRule type="expression" priority="446" dxfId="1">
      <formula>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formula>
    </cfRule>
  </conditionalFormatting>
  <conditionalFormatting sqref="M106">
    <cfRule type="expression" priority="447" dxfId="0" stopIfTrue="1">
      <formula>AND(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M106&lt;&gt;"",M106&lt;&gt;"not_applicable")</formula>
    </cfRule>
    <cfRule type="expression" priority="448" dxfId="1">
      <formula>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formula>
    </cfRule>
  </conditionalFormatting>
  <conditionalFormatting sqref="M107">
    <cfRule type="expression" priority="449" dxfId="0" stopIfTrue="1">
      <formula>AND(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M107&lt;&gt;"",M107&lt;&gt;"not_applicable")</formula>
    </cfRule>
    <cfRule type="expression" priority="450" dxfId="1">
      <formula>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formula>
    </cfRule>
  </conditionalFormatting>
  <conditionalFormatting sqref="M108">
    <cfRule type="expression" priority="451" dxfId="0" stopIfTrue="1">
      <formula>AND(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M108&lt;&gt;"",M108&lt;&gt;"not_applicable")</formula>
    </cfRule>
    <cfRule type="expression" priority="452" dxfId="1">
      <formula>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formula>
    </cfRule>
  </conditionalFormatting>
  <conditionalFormatting sqref="M109">
    <cfRule type="expression" priority="453" dxfId="0" stopIfTrue="1">
      <formula>AND(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M109&lt;&gt;"",M109&lt;&gt;"not_applicable")</formula>
    </cfRule>
    <cfRule type="expression" priority="454" dxfId="1">
      <formula>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formula>
    </cfRule>
  </conditionalFormatting>
  <conditionalFormatting sqref="M110">
    <cfRule type="expression" priority="455" dxfId="0" stopIfTrue="1">
      <formula>AND(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M110&lt;&gt;"",M110&lt;&gt;"not_applicable")</formula>
    </cfRule>
    <cfRule type="expression" priority="456" dxfId="1">
      <formula>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formula>
    </cfRule>
  </conditionalFormatting>
  <conditionalFormatting sqref="M111">
    <cfRule type="expression" priority="457" dxfId="0" stopIfTrue="1">
      <formula>AND(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M111&lt;&gt;"",M111&lt;&gt;"not_applicable")</formula>
    </cfRule>
    <cfRule type="expression" priority="458" dxfId="1">
      <formula>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formula>
    </cfRule>
  </conditionalFormatting>
  <conditionalFormatting sqref="M112">
    <cfRule type="expression" priority="459" dxfId="0" stopIfTrue="1">
      <formula>AND(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M112&lt;&gt;"",M112&lt;&gt;"not_applicable")</formula>
    </cfRule>
    <cfRule type="expression" priority="460" dxfId="1">
      <formula>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formula>
    </cfRule>
  </conditionalFormatting>
  <conditionalFormatting sqref="M113">
    <cfRule type="expression" priority="461" dxfId="0" stopIfTrue="1">
      <formula>AND(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M113&lt;&gt;"",M113&lt;&gt;"not_applicable")</formula>
    </cfRule>
    <cfRule type="expression" priority="462" dxfId="1">
      <formula>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formula>
    </cfRule>
  </conditionalFormatting>
  <conditionalFormatting sqref="M114">
    <cfRule type="expression" priority="463" dxfId="0" stopIfTrue="1">
      <formula>AND(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M114&lt;&gt;"",M114&lt;&gt;"not_applicable")</formula>
    </cfRule>
    <cfRule type="expression" priority="464" dxfId="1">
      <formula>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formula>
    </cfRule>
  </conditionalFormatting>
  <conditionalFormatting sqref="M115">
    <cfRule type="expression" priority="465" dxfId="0" stopIfTrue="1">
      <formula>AND(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M115&lt;&gt;"",M115&lt;&gt;"not_applicable")</formula>
    </cfRule>
    <cfRule type="expression" priority="466" dxfId="1">
      <formula>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formula>
    </cfRule>
  </conditionalFormatting>
  <conditionalFormatting sqref="M116">
    <cfRule type="expression" priority="467" dxfId="0" stopIfTrue="1">
      <formula>AND(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M116&lt;&gt;"",M116&lt;&gt;"not_applicable")</formula>
    </cfRule>
    <cfRule type="expression" priority="468" dxfId="1">
      <formula>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formula>
    </cfRule>
  </conditionalFormatting>
  <conditionalFormatting sqref="M117">
    <cfRule type="expression" priority="469" dxfId="0" stopIfTrue="1">
      <formula>AND(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M117&lt;&gt;"",M117&lt;&gt;"not_applicable")</formula>
    </cfRule>
    <cfRule type="expression" priority="470" dxfId="1">
      <formula>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formula>
    </cfRule>
  </conditionalFormatting>
  <conditionalFormatting sqref="M118">
    <cfRule type="expression" priority="471" dxfId="0" stopIfTrue="1">
      <formula>AND(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M118&lt;&gt;"",M118&lt;&gt;"not_applicable")</formula>
    </cfRule>
    <cfRule type="expression" priority="472" dxfId="1">
      <formula>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formula>
    </cfRule>
  </conditionalFormatting>
  <conditionalFormatting sqref="M119">
    <cfRule type="expression" priority="473" dxfId="0" stopIfTrue="1">
      <formula>AND(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M119&lt;&gt;"",M119&lt;&gt;"not_applicable")</formula>
    </cfRule>
    <cfRule type="expression" priority="474" dxfId="1">
      <formula>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formula>
    </cfRule>
  </conditionalFormatting>
  <conditionalFormatting sqref="M120">
    <cfRule type="expression" priority="475" dxfId="0" stopIfTrue="1">
      <formula>AND(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M120&lt;&gt;"",M120&lt;&gt;"not_applicable")</formula>
    </cfRule>
    <cfRule type="expression" priority="476" dxfId="1">
      <formula>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formula>
    </cfRule>
  </conditionalFormatting>
  <conditionalFormatting sqref="N2">
    <cfRule type="expression" priority="477" dxfId="0" stopIfTrue="1">
      <formula>AND(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N2&lt;&gt;"",N2&lt;&gt;"not_applicable")</formula>
    </cfRule>
    <cfRule type="expression" priority="478" dxfId="1">
      <formula>OR(AND(IF($J2="",INDEX(primary_jama_2017_21906_disposition,MATCH($A2,primary_jama_2017_21906_key,0)),$J2)&lt;&gt;"",IF($J2="",INDEX(primary_jama_2017_21906_disposition,MATCH($A2,primary_jama_2017_21906_key,0)),$J2)&lt;&gt;"retain"),NOT(OR(IF($K2="",INDEX(primary_jama_2017_21906_domain,MATCH($A2,primary_jama_2017_21906_key,0)),$K2)="statistical_results")))</formula>
    </cfRule>
  </conditionalFormatting>
  <conditionalFormatting sqref="N3">
    <cfRule type="expression" priority="479" dxfId="0" stopIfTrue="1">
      <formula>AND(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N3&lt;&gt;"",N3&lt;&gt;"not_applicable")</formula>
    </cfRule>
    <cfRule type="expression" priority="480" dxfId="1">
      <formula>OR(AND(IF($J3="",INDEX(primary_jama_2017_21906_disposition,MATCH($A3,primary_jama_2017_21906_key,0)),$J3)&lt;&gt;"",IF($J3="",INDEX(primary_jama_2017_21906_disposition,MATCH($A3,primary_jama_2017_21906_key,0)),$J3)&lt;&gt;"retain"),NOT(OR(IF($K3="",INDEX(primary_jama_2017_21906_domain,MATCH($A3,primary_jama_2017_21906_key,0)),$K3)="statistical_results")))</formula>
    </cfRule>
  </conditionalFormatting>
  <conditionalFormatting sqref="N4">
    <cfRule type="expression" priority="481" dxfId="0" stopIfTrue="1">
      <formula>AND(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N4&lt;&gt;"",N4&lt;&gt;"not_applicable")</formula>
    </cfRule>
    <cfRule type="expression" priority="482" dxfId="1">
      <formula>OR(AND(IF($J4="",INDEX(primary_jama_2017_21906_disposition,MATCH($A4,primary_jama_2017_21906_key,0)),$J4)&lt;&gt;"",IF($J4="",INDEX(primary_jama_2017_21906_disposition,MATCH($A4,primary_jama_2017_21906_key,0)),$J4)&lt;&gt;"retain"),NOT(OR(IF($K4="",INDEX(primary_jama_2017_21906_domain,MATCH($A4,primary_jama_2017_21906_key,0)),$K4)="statistical_results")))</formula>
    </cfRule>
  </conditionalFormatting>
  <conditionalFormatting sqref="N5">
    <cfRule type="expression" priority="483" dxfId="0" stopIfTrue="1">
      <formula>AND(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N5&lt;&gt;"",N5&lt;&gt;"not_applicable")</formula>
    </cfRule>
    <cfRule type="expression" priority="484" dxfId="1">
      <formula>OR(AND(IF($J5="",INDEX(primary_jama_2017_21906_disposition,MATCH($A5,primary_jama_2017_21906_key,0)),$J5)&lt;&gt;"",IF($J5="",INDEX(primary_jama_2017_21906_disposition,MATCH($A5,primary_jama_2017_21906_key,0)),$J5)&lt;&gt;"retain"),NOT(OR(IF($K5="",INDEX(primary_jama_2017_21906_domain,MATCH($A5,primary_jama_2017_21906_key,0)),$K5)="statistical_results")))</formula>
    </cfRule>
  </conditionalFormatting>
  <conditionalFormatting sqref="N6">
    <cfRule type="expression" priority="485" dxfId="0" stopIfTrue="1">
      <formula>AND(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N6&lt;&gt;"",N6&lt;&gt;"not_applicable")</formula>
    </cfRule>
    <cfRule type="expression" priority="486" dxfId="1">
      <formula>OR(AND(IF($J6="",INDEX(primary_jama_2017_21906_disposition,MATCH($A6,primary_jama_2017_21906_key,0)),$J6)&lt;&gt;"",IF($J6="",INDEX(primary_jama_2017_21906_disposition,MATCH($A6,primary_jama_2017_21906_key,0)),$J6)&lt;&gt;"retain"),NOT(OR(IF($K6="",INDEX(primary_jama_2017_21906_domain,MATCH($A6,primary_jama_2017_21906_key,0)),$K6)="statistical_results")))</formula>
    </cfRule>
  </conditionalFormatting>
  <conditionalFormatting sqref="N7">
    <cfRule type="expression" priority="487" dxfId="0" stopIfTrue="1">
      <formula>AND(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N7&lt;&gt;"",N7&lt;&gt;"not_applicable")</formula>
    </cfRule>
    <cfRule type="expression" priority="488" dxfId="1">
      <formula>OR(AND(IF($J7="",INDEX(primary_jama_2017_21906_disposition,MATCH($A7,primary_jama_2017_21906_key,0)),$J7)&lt;&gt;"",IF($J7="",INDEX(primary_jama_2017_21906_disposition,MATCH($A7,primary_jama_2017_21906_key,0)),$J7)&lt;&gt;"retain"),NOT(OR(IF($K7="",INDEX(primary_jama_2017_21906_domain,MATCH($A7,primary_jama_2017_21906_key,0)),$K7)="statistical_results")))</formula>
    </cfRule>
  </conditionalFormatting>
  <conditionalFormatting sqref="N8">
    <cfRule type="expression" priority="489" dxfId="0" stopIfTrue="1">
      <formula>AND(OR(AND(IF($J8="",INDEX(primary_jama_2018_0156_disposition,MATCH($A8,primary_jama_2018_0156_key,0)),$J8)&lt;&gt;"",IF($J8="",INDEX(primary_jama_2018_0156_disposition,MATCH($A8,primary_jama_2018_0156_key,0)),$J8)&lt;&gt;"retain"),NOT(OR(IF($K8="",INDEX(primary_jama_2018_0156_domain,MATCH($A8,primary_jama_2018_0156_key,0)),$K8)="statistical_results"))),N8&lt;&gt;"",N8&lt;&gt;"not_applicable")</formula>
    </cfRule>
    <cfRule type="expression" priority="490" dxfId="1">
      <formula>OR(AND(IF($J8="",INDEX(primary_jama_2018_0156_disposition,MATCH($A8,primary_jama_2018_0156_key,0)),$J8)&lt;&gt;"",IF($J8="",INDEX(primary_jama_2018_0156_disposition,MATCH($A8,primary_jama_2018_0156_key,0)),$J8)&lt;&gt;"retain"),NOT(OR(IF($K8="",INDEX(primary_jama_2018_0156_domain,MATCH($A8,primary_jama_2018_0156_key,0)),$K8)="statistical_results")))</formula>
    </cfRule>
  </conditionalFormatting>
  <conditionalFormatting sqref="N9">
    <cfRule type="expression" priority="491" dxfId="0" stopIfTrue="1">
      <formula>AND(OR(AND(IF($J9="",INDEX(primary_jama_2018_0156_disposition,MATCH($A9,primary_jama_2018_0156_key,0)),$J9)&lt;&gt;"",IF($J9="",INDEX(primary_jama_2018_0156_disposition,MATCH($A9,primary_jama_2018_0156_key,0)),$J9)&lt;&gt;"retain"),NOT(OR(IF($K9="",INDEX(primary_jama_2018_0156_domain,MATCH($A9,primary_jama_2018_0156_key,0)),$K9)="statistical_results"))),N9&lt;&gt;"",N9&lt;&gt;"not_applicable")</formula>
    </cfRule>
    <cfRule type="expression" priority="492" dxfId="1">
      <formula>OR(AND(IF($J9="",INDEX(primary_jama_2018_0156_disposition,MATCH($A9,primary_jama_2018_0156_key,0)),$J9)&lt;&gt;"",IF($J9="",INDEX(primary_jama_2018_0156_disposition,MATCH($A9,primary_jama_2018_0156_key,0)),$J9)&lt;&gt;"retain"),NOT(OR(IF($K9="",INDEX(primary_jama_2018_0156_domain,MATCH($A9,primary_jama_2018_0156_key,0)),$K9)="statistical_results")))</formula>
    </cfRule>
  </conditionalFormatting>
  <conditionalFormatting sqref="N10">
    <cfRule type="expression" priority="493" dxfId="0" stopIfTrue="1">
      <formula>AND(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N10&lt;&gt;"",N10&lt;&gt;"not_applicable")</formula>
    </cfRule>
    <cfRule type="expression" priority="494" dxfId="1">
      <formula>OR(AND(IF($J10="",INDEX(primary_jama_2018_0156_disposition,MATCH($A10,primary_jama_2018_0156_key,0)),$J10)&lt;&gt;"",IF($J10="",INDEX(primary_jama_2018_0156_disposition,MATCH($A10,primary_jama_2018_0156_key,0)),$J10)&lt;&gt;"retain"),NOT(OR(IF($K10="",INDEX(primary_jama_2018_0156_domain,MATCH($A10,primary_jama_2018_0156_key,0)),$K10)="statistical_results")))</formula>
    </cfRule>
  </conditionalFormatting>
  <conditionalFormatting sqref="N11">
    <cfRule type="expression" priority="495" dxfId="0" stopIfTrue="1">
      <formula>AND(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N11&lt;&gt;"",N11&lt;&gt;"not_applicable")</formula>
    </cfRule>
    <cfRule type="expression" priority="496" dxfId="1">
      <formula>OR(AND(IF($J11="",INDEX(primary_jama_2018_0156_disposition,MATCH($A11,primary_jama_2018_0156_key,0)),$J11)&lt;&gt;"",IF($J11="",INDEX(primary_jama_2018_0156_disposition,MATCH($A11,primary_jama_2018_0156_key,0)),$J11)&lt;&gt;"retain"),NOT(OR(IF($K11="",INDEX(primary_jama_2018_0156_domain,MATCH($A11,primary_jama_2018_0156_key,0)),$K11)="statistical_results")))</formula>
    </cfRule>
  </conditionalFormatting>
  <conditionalFormatting sqref="N12">
    <cfRule type="expression" priority="497" dxfId="0" stopIfTrue="1">
      <formula>AND(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N12&lt;&gt;"",N12&lt;&gt;"not_applicable")</formula>
    </cfRule>
    <cfRule type="expression" priority="498" dxfId="1">
      <formula>OR(AND(IF($J12="",INDEX(primary_jama_2018_0156_disposition,MATCH($A12,primary_jama_2018_0156_key,0)),$J12)&lt;&gt;"",IF($J12="",INDEX(primary_jama_2018_0156_disposition,MATCH($A12,primary_jama_2018_0156_key,0)),$J12)&lt;&gt;"retain"),NOT(OR(IF($K12="",INDEX(primary_jama_2018_0156_domain,MATCH($A12,primary_jama_2018_0156_key,0)),$K12)="statistical_results")))</formula>
    </cfRule>
  </conditionalFormatting>
  <conditionalFormatting sqref="N13">
    <cfRule type="expression" priority="499" dxfId="0" stopIfTrue="1">
      <formula>AND(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N13&lt;&gt;"",N13&lt;&gt;"not_applicable")</formula>
    </cfRule>
    <cfRule type="expression" priority="500" dxfId="1">
      <formula>OR(AND(IF($J13="",INDEX(primary_jama_2018_0156_disposition,MATCH($A13,primary_jama_2018_0156_key,0)),$J13)&lt;&gt;"",IF($J13="",INDEX(primary_jama_2018_0156_disposition,MATCH($A13,primary_jama_2018_0156_key,0)),$J13)&lt;&gt;"retain"),NOT(OR(IF($K13="",INDEX(primary_jama_2018_0156_domain,MATCH($A13,primary_jama_2018_0156_key,0)),$K13)="statistical_results")))</formula>
    </cfRule>
  </conditionalFormatting>
  <conditionalFormatting sqref="N14">
    <cfRule type="expression" priority="501" dxfId="0" stopIfTrue="1">
      <formula>AND(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N14&lt;&gt;"",N14&lt;&gt;"not_applicable")</formula>
    </cfRule>
    <cfRule type="expression" priority="502" dxfId="1">
      <formula>OR(AND(IF($J14="",INDEX(primary_jama_2018_0156_disposition,MATCH($A14,primary_jama_2018_0156_key,0)),$J14)&lt;&gt;"",IF($J14="",INDEX(primary_jama_2018_0156_disposition,MATCH($A14,primary_jama_2018_0156_key,0)),$J14)&lt;&gt;"retain"),NOT(OR(IF($K14="",INDEX(primary_jama_2018_0156_domain,MATCH($A14,primary_jama_2018_0156_key,0)),$K14)="statistical_results")))</formula>
    </cfRule>
  </conditionalFormatting>
  <conditionalFormatting sqref="N15">
    <cfRule type="expression" priority="503" dxfId="0" stopIfTrue="1">
      <formula>AND(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N15&lt;&gt;"",N15&lt;&gt;"not_applicable")</formula>
    </cfRule>
    <cfRule type="expression" priority="504" dxfId="1">
      <formula>OR(AND(IF($J15="",INDEX(primary_jama_2018_0156_disposition,MATCH($A15,primary_jama_2018_0156_key,0)),$J15)&lt;&gt;"",IF($J15="",INDEX(primary_jama_2018_0156_disposition,MATCH($A15,primary_jama_2018_0156_key,0)),$J15)&lt;&gt;"retain"),NOT(OR(IF($K15="",INDEX(primary_jama_2018_0156_domain,MATCH($A15,primary_jama_2018_0156_key,0)),$K15)="statistical_results")))</formula>
    </cfRule>
  </conditionalFormatting>
  <conditionalFormatting sqref="N16">
    <cfRule type="expression" priority="505" dxfId="0" stopIfTrue="1">
      <formula>AND(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N16&lt;&gt;"",N16&lt;&gt;"not_applicable")</formula>
    </cfRule>
    <cfRule type="expression" priority="506" dxfId="1">
      <formula>OR(AND(IF($J16="",INDEX(primary_jama_2018_0948_disposition,MATCH($A16,primary_jama_2018_0948_key,0)),$J16)&lt;&gt;"",IF($J16="",INDEX(primary_jama_2018_0948_disposition,MATCH($A16,primary_jama_2018_0948_key,0)),$J16)&lt;&gt;"retain"),NOT(OR(IF($K16="",INDEX(primary_jama_2018_0948_domain,MATCH($A16,primary_jama_2018_0948_key,0)),$K16)="statistical_results")))</formula>
    </cfRule>
  </conditionalFormatting>
  <conditionalFormatting sqref="N17">
    <cfRule type="expression" priority="507" dxfId="0" stopIfTrue="1">
      <formula>AND(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N17&lt;&gt;"",N17&lt;&gt;"not_applicable")</formula>
    </cfRule>
    <cfRule type="expression" priority="508" dxfId="1">
      <formula>OR(AND(IF($J17="",INDEX(primary_jama_2018_0948_disposition,MATCH($A17,primary_jama_2018_0948_key,0)),$J17)&lt;&gt;"",IF($J17="",INDEX(primary_jama_2018_0948_disposition,MATCH($A17,primary_jama_2018_0948_key,0)),$J17)&lt;&gt;"retain"),NOT(OR(IF($K17="",INDEX(primary_jama_2018_0948_domain,MATCH($A17,primary_jama_2018_0948_key,0)),$K17)="statistical_results")))</formula>
    </cfRule>
  </conditionalFormatting>
  <conditionalFormatting sqref="N18">
    <cfRule type="expression" priority="509" dxfId="0" stopIfTrue="1">
      <formula>AND(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N18&lt;&gt;"",N18&lt;&gt;"not_applicable")</formula>
    </cfRule>
    <cfRule type="expression" priority="510" dxfId="1">
      <formula>OR(AND(IF($J18="",INDEX(primary_jama_2018_0948_disposition,MATCH($A18,primary_jama_2018_0948_key,0)),$J18)&lt;&gt;"",IF($J18="",INDEX(primary_jama_2018_0948_disposition,MATCH($A18,primary_jama_2018_0948_key,0)),$J18)&lt;&gt;"retain"),NOT(OR(IF($K18="",INDEX(primary_jama_2018_0948_domain,MATCH($A18,primary_jama_2018_0948_key,0)),$K18)="statistical_results")))</formula>
    </cfRule>
  </conditionalFormatting>
  <conditionalFormatting sqref="N19">
    <cfRule type="expression" priority="511" dxfId="0" stopIfTrue="1">
      <formula>AND(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N19&lt;&gt;"",N19&lt;&gt;"not_applicable")</formula>
    </cfRule>
    <cfRule type="expression" priority="512" dxfId="1">
      <formula>OR(AND(IF($J19="",INDEX(primary_jama_2018_0948_disposition,MATCH($A19,primary_jama_2018_0948_key,0)),$J19)&lt;&gt;"",IF($J19="",INDEX(primary_jama_2018_0948_disposition,MATCH($A19,primary_jama_2018_0948_key,0)),$J19)&lt;&gt;"retain"),NOT(OR(IF($K19="",INDEX(primary_jama_2018_0948_domain,MATCH($A19,primary_jama_2018_0948_key,0)),$K19)="statistical_results")))</formula>
    </cfRule>
  </conditionalFormatting>
  <conditionalFormatting sqref="N20">
    <cfRule type="expression" priority="513" dxfId="0" stopIfTrue="1">
      <formula>AND(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N20&lt;&gt;"",N20&lt;&gt;"not_applicable")</formula>
    </cfRule>
    <cfRule type="expression" priority="514" dxfId="1">
      <formula>OR(AND(IF($J20="",INDEX(primary_jama_2018_0948_disposition,MATCH($A20,primary_jama_2018_0948_key,0)),$J20)&lt;&gt;"",IF($J20="",INDEX(primary_jama_2018_0948_disposition,MATCH($A20,primary_jama_2018_0948_key,0)),$J20)&lt;&gt;"retain"),NOT(OR(IF($K20="",INDEX(primary_jama_2018_0948_domain,MATCH($A20,primary_jama_2018_0948_key,0)),$K20)="statistical_results")))</formula>
    </cfRule>
  </conditionalFormatting>
  <conditionalFormatting sqref="N21">
    <cfRule type="expression" priority="515" dxfId="0" stopIfTrue="1">
      <formula>AND(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N21&lt;&gt;"",N21&lt;&gt;"not_applicable")</formula>
    </cfRule>
    <cfRule type="expression" priority="516" dxfId="1">
      <formula>OR(AND(IF($J21="",INDEX(primary_jama_2018_0948_disposition,MATCH($A21,primary_jama_2018_0948_key,0)),$J21)&lt;&gt;"",IF($J21="",INDEX(primary_jama_2018_0948_disposition,MATCH($A21,primary_jama_2018_0948_key,0)),$J21)&lt;&gt;"retain"),NOT(OR(IF($K21="",INDEX(primary_jama_2018_0948_domain,MATCH($A21,primary_jama_2018_0948_key,0)),$K21)="statistical_results")))</formula>
    </cfRule>
  </conditionalFormatting>
  <conditionalFormatting sqref="N22">
    <cfRule type="expression" priority="517" dxfId="0" stopIfTrue="1">
      <formula>AND(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N22&lt;&gt;"",N22&lt;&gt;"not_applicable")</formula>
    </cfRule>
    <cfRule type="expression" priority="518" dxfId="1">
      <formula>OR(AND(IF($J22="",INDEX(primary_jama_2018_0948_disposition,MATCH($A22,primary_jama_2018_0948_key,0)),$J22)&lt;&gt;"",IF($J22="",INDEX(primary_jama_2018_0948_disposition,MATCH($A22,primary_jama_2018_0948_key,0)),$J22)&lt;&gt;"retain"),NOT(OR(IF($K22="",INDEX(primary_jama_2018_0948_domain,MATCH($A22,primary_jama_2018_0948_key,0)),$K22)="statistical_results")))</formula>
    </cfRule>
  </conditionalFormatting>
  <conditionalFormatting sqref="N23">
    <cfRule type="expression" priority="519" dxfId="0" stopIfTrue="1">
      <formula>AND(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N23&lt;&gt;"",N23&lt;&gt;"not_applicable")</formula>
    </cfRule>
    <cfRule type="expression" priority="520" dxfId="1">
      <formula>OR(AND(IF($J23="",INDEX(primary_jama_2018_14280_disposition,MATCH($A23,primary_jama_2018_14280_key,0)),$J23)&lt;&gt;"",IF($J23="",INDEX(primary_jama_2018_14280_disposition,MATCH($A23,primary_jama_2018_14280_key,0)),$J23)&lt;&gt;"retain"),NOT(OR(IF($K23="",INDEX(primary_jama_2018_14280_domain,MATCH($A23,primary_jama_2018_14280_key,0)),$K23)="statistical_results")))</formula>
    </cfRule>
  </conditionalFormatting>
  <conditionalFormatting sqref="N24">
    <cfRule type="expression" priority="521" dxfId="0" stopIfTrue="1">
      <formula>AND(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N24&lt;&gt;"",N24&lt;&gt;"not_applicable")</formula>
    </cfRule>
    <cfRule type="expression" priority="522" dxfId="1">
      <formula>OR(AND(IF($J24="",INDEX(primary_jama_2018_14280_disposition,MATCH($A24,primary_jama_2018_14280_key,0)),$J24)&lt;&gt;"",IF($J24="",INDEX(primary_jama_2018_14280_disposition,MATCH($A24,primary_jama_2018_14280_key,0)),$J24)&lt;&gt;"retain"),NOT(OR(IF($K24="",INDEX(primary_jama_2018_14280_domain,MATCH($A24,primary_jama_2018_14280_key,0)),$K24)="statistical_results")))</formula>
    </cfRule>
  </conditionalFormatting>
  <conditionalFormatting sqref="N25">
    <cfRule type="expression" priority="523" dxfId="0" stopIfTrue="1">
      <formula>AND(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N25&lt;&gt;"",N25&lt;&gt;"not_applicable")</formula>
    </cfRule>
    <cfRule type="expression" priority="524" dxfId="1">
      <formula>OR(AND(IF($J25="",INDEX(primary_jama_2018_14280_disposition,MATCH($A25,primary_jama_2018_14280_key,0)),$J25)&lt;&gt;"",IF($J25="",INDEX(primary_jama_2018_14280_disposition,MATCH($A25,primary_jama_2018_14280_key,0)),$J25)&lt;&gt;"retain"),NOT(OR(IF($K25="",INDEX(primary_jama_2018_14280_domain,MATCH($A25,primary_jama_2018_14280_key,0)),$K25)="statistical_results")))</formula>
    </cfRule>
  </conditionalFormatting>
  <conditionalFormatting sqref="N26">
    <cfRule type="expression" priority="525" dxfId="0" stopIfTrue="1">
      <formula>AND(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N26&lt;&gt;"",N26&lt;&gt;"not_applicable")</formula>
    </cfRule>
    <cfRule type="expression" priority="526" dxfId="1">
      <formula>OR(AND(IF($J26="",INDEX(primary_jama_2018_14280_disposition,MATCH($A26,primary_jama_2018_14280_key,0)),$J26)&lt;&gt;"",IF($J26="",INDEX(primary_jama_2018_14280_disposition,MATCH($A26,primary_jama_2018_14280_key,0)),$J26)&lt;&gt;"retain"),NOT(OR(IF($K26="",INDEX(primary_jama_2018_14280_domain,MATCH($A26,primary_jama_2018_14280_key,0)),$K26)="statistical_results")))</formula>
    </cfRule>
  </conditionalFormatting>
  <conditionalFormatting sqref="N27">
    <cfRule type="expression" priority="527" dxfId="0" stopIfTrue="1">
      <formula>AND(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N27&lt;&gt;"",N27&lt;&gt;"not_applicable")</formula>
    </cfRule>
    <cfRule type="expression" priority="528" dxfId="1">
      <formula>OR(AND(IF($J27="",INDEX(primary_jama_2018_14280_disposition,MATCH($A27,primary_jama_2018_14280_key,0)),$J27)&lt;&gt;"",IF($J27="",INDEX(primary_jama_2018_14280_disposition,MATCH($A27,primary_jama_2018_14280_key,0)),$J27)&lt;&gt;"retain"),NOT(OR(IF($K27="",INDEX(primary_jama_2018_14280_domain,MATCH($A27,primary_jama_2018_14280_key,0)),$K27)="statistical_results")))</formula>
    </cfRule>
  </conditionalFormatting>
  <conditionalFormatting sqref="N28">
    <cfRule type="expression" priority="529" dxfId="0" stopIfTrue="1">
      <formula>AND(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N28&lt;&gt;"",N28&lt;&gt;"not_applicable")</formula>
    </cfRule>
    <cfRule type="expression" priority="530" dxfId="1">
      <formula>OR(AND(IF($J28="",INDEX(primary_jama_2018_14280_disposition,MATCH($A28,primary_jama_2018_14280_key,0)),$J28)&lt;&gt;"",IF($J28="",INDEX(primary_jama_2018_14280_disposition,MATCH($A28,primary_jama_2018_14280_key,0)),$J28)&lt;&gt;"retain"),NOT(OR(IF($K28="",INDEX(primary_jama_2018_14280_domain,MATCH($A28,primary_jama_2018_14280_key,0)),$K28)="statistical_results")))</formula>
    </cfRule>
  </conditionalFormatting>
  <conditionalFormatting sqref="N29">
    <cfRule type="expression" priority="531" dxfId="0" stopIfTrue="1">
      <formula>AND(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N29&lt;&gt;"",N29&lt;&gt;"not_applicable")</formula>
    </cfRule>
    <cfRule type="expression" priority="532" dxfId="1">
      <formula>OR(AND(IF($J29="",INDEX(primary_jama_2018_14280_disposition,MATCH($A29,primary_jama_2018_14280_key,0)),$J29)&lt;&gt;"",IF($J29="",INDEX(primary_jama_2018_14280_disposition,MATCH($A29,primary_jama_2018_14280_key,0)),$J29)&lt;&gt;"retain"),NOT(OR(IF($K29="",INDEX(primary_jama_2018_14280_domain,MATCH($A29,primary_jama_2018_14280_key,0)),$K29)="statistical_results")))</formula>
    </cfRule>
  </conditionalFormatting>
  <conditionalFormatting sqref="N30">
    <cfRule type="expression" priority="533" dxfId="0" stopIfTrue="1">
      <formula>AND(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N30&lt;&gt;"",N30&lt;&gt;"not_applicable")</formula>
    </cfRule>
    <cfRule type="expression" priority="534" dxfId="1">
      <formula>OR(AND(IF($J30="",INDEX(primary_jama_2018_14280_disposition,MATCH($A30,primary_jama_2018_14280_key,0)),$J30)&lt;&gt;"",IF($J30="",INDEX(primary_jama_2018_14280_disposition,MATCH($A30,primary_jama_2018_14280_key,0)),$J30)&lt;&gt;"retain"),NOT(OR(IF($K30="",INDEX(primary_jama_2018_14280_domain,MATCH($A30,primary_jama_2018_14280_key,0)),$K30)="statistical_results")))</formula>
    </cfRule>
  </conditionalFormatting>
  <conditionalFormatting sqref="N31">
    <cfRule type="expression" priority="535" dxfId="0" stopIfTrue="1">
      <formula>AND(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N31&lt;&gt;"",N31&lt;&gt;"not_applicable")</formula>
    </cfRule>
    <cfRule type="expression" priority="536" dxfId="1">
      <formula>OR(AND(IF($J31="",INDEX(primary_jama_2018_14280_disposition,MATCH($A31,primary_jama_2018_14280_key,0)),$J31)&lt;&gt;"",IF($J31="",INDEX(primary_jama_2018_14280_disposition,MATCH($A31,primary_jama_2018_14280_key,0)),$J31)&lt;&gt;"retain"),NOT(OR(IF($K31="",INDEX(primary_jama_2018_14280_domain,MATCH($A31,primary_jama_2018_14280_key,0)),$K31)="statistical_results")))</formula>
    </cfRule>
  </conditionalFormatting>
  <conditionalFormatting sqref="N32">
    <cfRule type="expression" priority="537" dxfId="0" stopIfTrue="1">
      <formula>AND(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N32&lt;&gt;"",N32&lt;&gt;"not_applicable")</formula>
    </cfRule>
    <cfRule type="expression" priority="538" dxfId="1">
      <formula>OR(AND(IF($J32="",INDEX(primary_jama_2018_14280_disposition,MATCH($A32,primary_jama_2018_14280_key,0)),$J32)&lt;&gt;"",IF($J32="",INDEX(primary_jama_2018_14280_disposition,MATCH($A32,primary_jama_2018_14280_key,0)),$J32)&lt;&gt;"retain"),NOT(OR(IF($K32="",INDEX(primary_jama_2018_14280_domain,MATCH($A32,primary_jama_2018_14280_key,0)),$K32)="statistical_results")))</formula>
    </cfRule>
  </conditionalFormatting>
  <conditionalFormatting sqref="N33">
    <cfRule type="expression" priority="539" dxfId="0" stopIfTrue="1">
      <formula>AND(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N33&lt;&gt;"",N33&lt;&gt;"not_applicable")</formula>
    </cfRule>
    <cfRule type="expression" priority="540" dxfId="1">
      <formula>OR(AND(IF($J33="",INDEX(primary_jama_2018_14280_disposition,MATCH($A33,primary_jama_2018_14280_key,0)),$J33)&lt;&gt;"",IF($J33="",INDEX(primary_jama_2018_14280_disposition,MATCH($A33,primary_jama_2018_14280_key,0)),$J33)&lt;&gt;"retain"),NOT(OR(IF($K33="",INDEX(primary_jama_2018_14280_domain,MATCH($A33,primary_jama_2018_14280_key,0)),$K33)="statistical_results")))</formula>
    </cfRule>
  </conditionalFormatting>
  <conditionalFormatting sqref="N34">
    <cfRule type="expression" priority="541" dxfId="0" stopIfTrue="1">
      <formula>AND(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N34&lt;&gt;"",N34&lt;&gt;"not_applicable")</formula>
    </cfRule>
    <cfRule type="expression" priority="542" dxfId="1">
      <formula>OR(AND(IF($J34="",INDEX(primary_jama_2018_14280_disposition,MATCH($A34,primary_jama_2018_14280_key,0)),$J34)&lt;&gt;"",IF($J34="",INDEX(primary_jama_2018_14280_disposition,MATCH($A34,primary_jama_2018_14280_key,0)),$J34)&lt;&gt;"retain"),NOT(OR(IF($K34="",INDEX(primary_jama_2018_14280_domain,MATCH($A34,primary_jama_2018_14280_key,0)),$K34)="statistical_results")))</formula>
    </cfRule>
  </conditionalFormatting>
  <conditionalFormatting sqref="N35">
    <cfRule type="expression" priority="543" dxfId="0" stopIfTrue="1">
      <formula>AND(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N35&lt;&gt;"",N35&lt;&gt;"not_applicable")</formula>
    </cfRule>
    <cfRule type="expression" priority="544" dxfId="1">
      <formula>OR(AND(IF($J35="",INDEX(primary_jama_2018_14280_disposition,MATCH($A35,primary_jama_2018_14280_key,0)),$J35)&lt;&gt;"",IF($J35="",INDEX(primary_jama_2018_14280_disposition,MATCH($A35,primary_jama_2018_14280_key,0)),$J35)&lt;&gt;"retain"),NOT(OR(IF($K35="",INDEX(primary_jama_2018_14280_domain,MATCH($A35,primary_jama_2018_14280_key,0)),$K35)="statistical_results")))</formula>
    </cfRule>
  </conditionalFormatting>
  <conditionalFormatting sqref="N36">
    <cfRule type="expression" priority="545" dxfId="0" stopIfTrue="1">
      <formula>AND(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N36&lt;&gt;"",N36&lt;&gt;"not_applicable")</formula>
    </cfRule>
    <cfRule type="expression" priority="546" dxfId="1">
      <formula>OR(AND(IF($J36="",INDEX(primary_jama_2018_14280_disposition,MATCH($A36,primary_jama_2018_14280_key,0)),$J36)&lt;&gt;"",IF($J36="",INDEX(primary_jama_2018_14280_disposition,MATCH($A36,primary_jama_2018_14280_key,0)),$J36)&lt;&gt;"retain"),NOT(OR(IF($K36="",INDEX(primary_jama_2018_14280_domain,MATCH($A36,primary_jama_2018_14280_key,0)),$K36)="statistical_results")))</formula>
    </cfRule>
  </conditionalFormatting>
  <conditionalFormatting sqref="N37">
    <cfRule type="expression" priority="547" dxfId="0" stopIfTrue="1">
      <formula>AND(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N37&lt;&gt;"",N37&lt;&gt;"not_applicable")</formula>
    </cfRule>
    <cfRule type="expression" priority="548" dxfId="1">
      <formula>OR(AND(IF($J37="",INDEX(primary_jama_2018_14280_disposition,MATCH($A37,primary_jama_2018_14280_key,0)),$J37)&lt;&gt;"",IF($J37="",INDEX(primary_jama_2018_14280_disposition,MATCH($A37,primary_jama_2018_14280_key,0)),$J37)&lt;&gt;"retain"),NOT(OR(IF($K37="",INDEX(primary_jama_2018_14280_domain,MATCH($A37,primary_jama_2018_14280_key,0)),$K37)="statistical_results")))</formula>
    </cfRule>
  </conditionalFormatting>
  <conditionalFormatting sqref="N38">
    <cfRule type="expression" priority="549" dxfId="0" stopIfTrue="1">
      <formula>AND(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N38&lt;&gt;"",N38&lt;&gt;"not_applicable")</formula>
    </cfRule>
    <cfRule type="expression" priority="550" dxfId="1">
      <formula>OR(AND(IF($J38="",INDEX(primary_jama_2018_14280_disposition,MATCH($A38,primary_jama_2018_14280_key,0)),$J38)&lt;&gt;"",IF($J38="",INDEX(primary_jama_2018_14280_disposition,MATCH($A38,primary_jama_2018_14280_key,0)),$J38)&lt;&gt;"retain"),NOT(OR(IF($K38="",INDEX(primary_jama_2018_14280_domain,MATCH($A38,primary_jama_2018_14280_key,0)),$K38)="statistical_results")))</formula>
    </cfRule>
  </conditionalFormatting>
  <conditionalFormatting sqref="N39">
    <cfRule type="expression" priority="551" dxfId="0" stopIfTrue="1">
      <formula>AND(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N39&lt;&gt;"",N39&lt;&gt;"not_applicable")</formula>
    </cfRule>
    <cfRule type="expression" priority="552" dxfId="1">
      <formula>OR(AND(IF($J39="",INDEX(primary_jama_2018_14280_disposition,MATCH($A39,primary_jama_2018_14280_key,0)),$J39)&lt;&gt;"",IF($J39="",INDEX(primary_jama_2018_14280_disposition,MATCH($A39,primary_jama_2018_14280_key,0)),$J39)&lt;&gt;"retain"),NOT(OR(IF($K39="",INDEX(primary_jama_2018_14280_domain,MATCH($A39,primary_jama_2018_14280_key,0)),$K39)="statistical_results")))</formula>
    </cfRule>
  </conditionalFormatting>
  <conditionalFormatting sqref="N40">
    <cfRule type="expression" priority="553" dxfId="0" stopIfTrue="1">
      <formula>AND(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N40&lt;&gt;"",N40&lt;&gt;"not_applicable")</formula>
    </cfRule>
    <cfRule type="expression" priority="554" dxfId="1">
      <formula>OR(AND(IF($J40="",INDEX(primary_jama_2018_14280_disposition,MATCH($A40,primary_jama_2018_14280_key,0)),$J40)&lt;&gt;"",IF($J40="",INDEX(primary_jama_2018_14280_disposition,MATCH($A40,primary_jama_2018_14280_key,0)),$J40)&lt;&gt;"retain"),NOT(OR(IF($K40="",INDEX(primary_jama_2018_14280_domain,MATCH($A40,primary_jama_2018_14280_key,0)),$K40)="statistical_results")))</formula>
    </cfRule>
  </conditionalFormatting>
  <conditionalFormatting sqref="N41">
    <cfRule type="expression" priority="555" dxfId="0" stopIfTrue="1">
      <formula>AND(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N41&lt;&gt;"",N41&lt;&gt;"not_applicable")</formula>
    </cfRule>
    <cfRule type="expression" priority="556" dxfId="1">
      <formula>OR(AND(IF($J41="",INDEX(primary_jama_2018_14280_disposition,MATCH($A41,primary_jama_2018_14280_key,0)),$J41)&lt;&gt;"",IF($J41="",INDEX(primary_jama_2018_14280_disposition,MATCH($A41,primary_jama_2018_14280_key,0)),$J41)&lt;&gt;"retain"),NOT(OR(IF($K41="",INDEX(primary_jama_2018_14280_domain,MATCH($A41,primary_jama_2018_14280_key,0)),$K41)="statistical_results")))</formula>
    </cfRule>
  </conditionalFormatting>
  <conditionalFormatting sqref="N42">
    <cfRule type="expression" priority="557" dxfId="0" stopIfTrue="1">
      <formula>AND(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N42&lt;&gt;"",N42&lt;&gt;"not_applicable")</formula>
    </cfRule>
    <cfRule type="expression" priority="558" dxfId="1">
      <formula>OR(AND(IF($J42="",INDEX(primary_jama_2018_14280_disposition,MATCH($A42,primary_jama_2018_14280_key,0)),$J42)&lt;&gt;"",IF($J42="",INDEX(primary_jama_2018_14280_disposition,MATCH($A42,primary_jama_2018_14280_key,0)),$J42)&lt;&gt;"retain"),NOT(OR(IF($K42="",INDEX(primary_jama_2018_14280_domain,MATCH($A42,primary_jama_2018_14280_key,0)),$K42)="statistical_results")))</formula>
    </cfRule>
  </conditionalFormatting>
  <conditionalFormatting sqref="N43">
    <cfRule type="expression" priority="559" dxfId="0" stopIfTrue="1">
      <formula>AND(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N43&lt;&gt;"",N43&lt;&gt;"not_applicable")</formula>
    </cfRule>
    <cfRule type="expression" priority="560" dxfId="1">
      <formula>OR(AND(IF($J43="",INDEX(primary_jama_2018_14280_disposition,MATCH($A43,primary_jama_2018_14280_key,0)),$J43)&lt;&gt;"",IF($J43="",INDEX(primary_jama_2018_14280_disposition,MATCH($A43,primary_jama_2018_14280_key,0)),$J43)&lt;&gt;"retain"),NOT(OR(IF($K43="",INDEX(primary_jama_2018_14280_domain,MATCH($A43,primary_jama_2018_14280_key,0)),$K43)="statistical_results")))</formula>
    </cfRule>
  </conditionalFormatting>
  <conditionalFormatting sqref="N44">
    <cfRule type="expression" priority="561" dxfId="0" stopIfTrue="1">
      <formula>AND(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N44&lt;&gt;"",N44&lt;&gt;"not_applicable")</formula>
    </cfRule>
    <cfRule type="expression" priority="562" dxfId="1">
      <formula>OR(AND(IF($J44="",INDEX(primary_jama_2018_14280_disposition,MATCH($A44,primary_jama_2018_14280_key,0)),$J44)&lt;&gt;"",IF($J44="",INDEX(primary_jama_2018_14280_disposition,MATCH($A44,primary_jama_2018_14280_key,0)),$J44)&lt;&gt;"retain"),NOT(OR(IF($K44="",INDEX(primary_jama_2018_14280_domain,MATCH($A44,primary_jama_2018_14280_key,0)),$K44)="statistical_results")))</formula>
    </cfRule>
  </conditionalFormatting>
  <conditionalFormatting sqref="N45">
    <cfRule type="expression" priority="563" dxfId="0" stopIfTrue="1">
      <formula>AND(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N45&lt;&gt;"",N45&lt;&gt;"not_applicable")</formula>
    </cfRule>
    <cfRule type="expression" priority="564" dxfId="1">
      <formula>OR(AND(IF($J45="",INDEX(primary_jama_2018_14280_disposition,MATCH($A45,primary_jama_2018_14280_key,0)),$J45)&lt;&gt;"",IF($J45="",INDEX(primary_jama_2018_14280_disposition,MATCH($A45,primary_jama_2018_14280_key,0)),$J45)&lt;&gt;"retain"),NOT(OR(IF($K45="",INDEX(primary_jama_2018_14280_domain,MATCH($A45,primary_jama_2018_14280_key,0)),$K45)="statistical_results")))</formula>
    </cfRule>
  </conditionalFormatting>
  <conditionalFormatting sqref="N46">
    <cfRule type="expression" priority="565" dxfId="0" stopIfTrue="1">
      <formula>AND(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N46&lt;&gt;"",N46&lt;&gt;"not_applicable")</formula>
    </cfRule>
    <cfRule type="expression" priority="566" dxfId="1">
      <formula>OR(AND(IF($J46="",INDEX(primary_jama_2018_14282_disposition,MATCH($A46,primary_jama_2018_14282_key,0)),$J46)&lt;&gt;"",IF($J46="",INDEX(primary_jama_2018_14282_disposition,MATCH($A46,primary_jama_2018_14282_key,0)),$J46)&lt;&gt;"retain"),NOT(OR(IF($K46="",INDEX(primary_jama_2018_14282_domain,MATCH($A46,primary_jama_2018_14282_key,0)),$K46)="statistical_results")))</formula>
    </cfRule>
  </conditionalFormatting>
  <conditionalFormatting sqref="N47">
    <cfRule type="expression" priority="567" dxfId="0" stopIfTrue="1">
      <formula>AND(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N47&lt;&gt;"",N47&lt;&gt;"not_applicable")</formula>
    </cfRule>
    <cfRule type="expression" priority="568" dxfId="1">
      <formula>OR(AND(IF($J47="",INDEX(primary_jama_2018_14282_disposition,MATCH($A47,primary_jama_2018_14282_key,0)),$J47)&lt;&gt;"",IF($J47="",INDEX(primary_jama_2018_14282_disposition,MATCH($A47,primary_jama_2018_14282_key,0)),$J47)&lt;&gt;"retain"),NOT(OR(IF($K47="",INDEX(primary_jama_2018_14282_domain,MATCH($A47,primary_jama_2018_14282_key,0)),$K47)="statistical_results")))</formula>
    </cfRule>
  </conditionalFormatting>
  <conditionalFormatting sqref="N48">
    <cfRule type="expression" priority="569" dxfId="0" stopIfTrue="1">
      <formula>AND(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N48&lt;&gt;"",N48&lt;&gt;"not_applicable")</formula>
    </cfRule>
    <cfRule type="expression" priority="570" dxfId="1">
      <formula>OR(AND(IF($J48="",INDEX(primary_jama_2018_14282_disposition,MATCH($A48,primary_jama_2018_14282_key,0)),$J48)&lt;&gt;"",IF($J48="",INDEX(primary_jama_2018_14282_disposition,MATCH($A48,primary_jama_2018_14282_key,0)),$J48)&lt;&gt;"retain"),NOT(OR(IF($K48="",INDEX(primary_jama_2018_14282_domain,MATCH($A48,primary_jama_2018_14282_key,0)),$K48)="statistical_results")))</formula>
    </cfRule>
  </conditionalFormatting>
  <conditionalFormatting sqref="N49">
    <cfRule type="expression" priority="571" dxfId="0" stopIfTrue="1">
      <formula>AND(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N49&lt;&gt;"",N49&lt;&gt;"not_applicable")</formula>
    </cfRule>
    <cfRule type="expression" priority="572" dxfId="1">
      <formula>OR(AND(IF($J49="",INDEX(primary_jama_2018_14282_disposition,MATCH($A49,primary_jama_2018_14282_key,0)),$J49)&lt;&gt;"",IF($J49="",INDEX(primary_jama_2018_14282_disposition,MATCH($A49,primary_jama_2018_14282_key,0)),$J49)&lt;&gt;"retain"),NOT(OR(IF($K49="",INDEX(primary_jama_2018_14282_domain,MATCH($A49,primary_jama_2018_14282_key,0)),$K49)="statistical_results")))</formula>
    </cfRule>
  </conditionalFormatting>
  <conditionalFormatting sqref="N50">
    <cfRule type="expression" priority="573" dxfId="0" stopIfTrue="1">
      <formula>AND(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N50&lt;&gt;"",N50&lt;&gt;"not_applicable")</formula>
    </cfRule>
    <cfRule type="expression" priority="574" dxfId="1">
      <formula>OR(AND(IF($J50="",INDEX(primary_jama_2018_14282_disposition,MATCH($A50,primary_jama_2018_14282_key,0)),$J50)&lt;&gt;"",IF($J50="",INDEX(primary_jama_2018_14282_disposition,MATCH($A50,primary_jama_2018_14282_key,0)),$J50)&lt;&gt;"retain"),NOT(OR(IF($K50="",INDEX(primary_jama_2018_14282_domain,MATCH($A50,primary_jama_2018_14282_key,0)),$K50)="statistical_results")))</formula>
    </cfRule>
  </conditionalFormatting>
  <conditionalFormatting sqref="N51">
    <cfRule type="expression" priority="575" dxfId="0" stopIfTrue="1">
      <formula>AND(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N51&lt;&gt;"",N51&lt;&gt;"not_applicable")</formula>
    </cfRule>
    <cfRule type="expression" priority="576" dxfId="1">
      <formula>OR(AND(IF($J51="",INDEX(primary_jama_2018_14282_disposition,MATCH($A51,primary_jama_2018_14282_key,0)),$J51)&lt;&gt;"",IF($J51="",INDEX(primary_jama_2018_14282_disposition,MATCH($A51,primary_jama_2018_14282_key,0)),$J51)&lt;&gt;"retain"),NOT(OR(IF($K51="",INDEX(primary_jama_2018_14282_domain,MATCH($A51,primary_jama_2018_14282_key,0)),$K51)="statistical_results")))</formula>
    </cfRule>
  </conditionalFormatting>
  <conditionalFormatting sqref="N52">
    <cfRule type="expression" priority="577" dxfId="0" stopIfTrue="1">
      <formula>AND(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N52&lt;&gt;"",N52&lt;&gt;"not_applicable")</formula>
    </cfRule>
    <cfRule type="expression" priority="578" dxfId="1">
      <formula>OR(AND(IF($J52="",INDEX(primary_jama_2018_14282_disposition,MATCH($A52,primary_jama_2018_14282_key,0)),$J52)&lt;&gt;"",IF($J52="",INDEX(primary_jama_2018_14282_disposition,MATCH($A52,primary_jama_2018_14282_key,0)),$J52)&lt;&gt;"retain"),NOT(OR(IF($K52="",INDEX(primary_jama_2018_14282_domain,MATCH($A52,primary_jama_2018_14282_key,0)),$K52)="statistical_results")))</formula>
    </cfRule>
  </conditionalFormatting>
  <conditionalFormatting sqref="N53">
    <cfRule type="expression" priority="579" dxfId="0" stopIfTrue="1">
      <formula>AND(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N53&lt;&gt;"",N53&lt;&gt;"not_applicable")</formula>
    </cfRule>
    <cfRule type="expression" priority="580" dxfId="1">
      <formula>OR(AND(IF($J53="",INDEX(primary_jama_2018_14282_disposition,MATCH($A53,primary_jama_2018_14282_key,0)),$J53)&lt;&gt;"",IF($J53="",INDEX(primary_jama_2018_14282_disposition,MATCH($A53,primary_jama_2018_14282_key,0)),$J53)&lt;&gt;"retain"),NOT(OR(IF($K53="",INDEX(primary_jama_2018_14282_domain,MATCH($A53,primary_jama_2018_14282_key,0)),$K53)="statistical_results")))</formula>
    </cfRule>
  </conditionalFormatting>
  <conditionalFormatting sqref="N54">
    <cfRule type="expression" priority="581" dxfId="0" stopIfTrue="1">
      <formula>AND(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N54&lt;&gt;"",N54&lt;&gt;"not_applicable")</formula>
    </cfRule>
    <cfRule type="expression" priority="582" dxfId="1">
      <formula>OR(AND(IF($J54="",INDEX(primary_jama_2018_14282_disposition,MATCH($A54,primary_jama_2018_14282_key,0)),$J54)&lt;&gt;"",IF($J54="",INDEX(primary_jama_2018_14282_disposition,MATCH($A54,primary_jama_2018_14282_key,0)),$J54)&lt;&gt;"retain"),NOT(OR(IF($K54="",INDEX(primary_jama_2018_14282_domain,MATCH($A54,primary_jama_2018_14282_key,0)),$K54)="statistical_results")))</formula>
    </cfRule>
  </conditionalFormatting>
  <conditionalFormatting sqref="N55">
    <cfRule type="expression" priority="583" dxfId="0" stopIfTrue="1">
      <formula>AND(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N55&lt;&gt;"",N55&lt;&gt;"not_applicable")</formula>
    </cfRule>
    <cfRule type="expression" priority="584" dxfId="1">
      <formula>OR(AND(IF($J55="",INDEX(primary_jama_2018_14282_disposition,MATCH($A55,primary_jama_2018_14282_key,0)),$J55)&lt;&gt;"",IF($J55="",INDEX(primary_jama_2018_14282_disposition,MATCH($A55,primary_jama_2018_14282_key,0)),$J55)&lt;&gt;"retain"),NOT(OR(IF($K55="",INDEX(primary_jama_2018_14282_domain,MATCH($A55,primary_jama_2018_14282_key,0)),$K55)="statistical_results")))</formula>
    </cfRule>
  </conditionalFormatting>
  <conditionalFormatting sqref="N56">
    <cfRule type="expression" priority="585" dxfId="0" stopIfTrue="1">
      <formula>AND(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N56&lt;&gt;"",N56&lt;&gt;"not_applicable")</formula>
    </cfRule>
    <cfRule type="expression" priority="586" dxfId="1">
      <formula>OR(AND(IF($J56="",INDEX(primary_jama_2018_14282_disposition,MATCH($A56,primary_jama_2018_14282_key,0)),$J56)&lt;&gt;"",IF($J56="",INDEX(primary_jama_2018_14282_disposition,MATCH($A56,primary_jama_2018_14282_key,0)),$J56)&lt;&gt;"retain"),NOT(OR(IF($K56="",INDEX(primary_jama_2018_14282_domain,MATCH($A56,primary_jama_2018_14282_key,0)),$K56)="statistical_results")))</formula>
    </cfRule>
  </conditionalFormatting>
  <conditionalFormatting sqref="N57">
    <cfRule type="expression" priority="587" dxfId="0" stopIfTrue="1">
      <formula>AND(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N57&lt;&gt;"",N57&lt;&gt;"not_applicable")</formula>
    </cfRule>
    <cfRule type="expression" priority="588" dxfId="1">
      <formula>OR(AND(IF($J57="",INDEX(primary_jama_2018_14282_disposition,MATCH($A57,primary_jama_2018_14282_key,0)),$J57)&lt;&gt;"",IF($J57="",INDEX(primary_jama_2018_14282_disposition,MATCH($A57,primary_jama_2018_14282_key,0)),$J57)&lt;&gt;"retain"),NOT(OR(IF($K57="",INDEX(primary_jama_2018_14282_domain,MATCH($A57,primary_jama_2018_14282_key,0)),$K57)="statistical_results")))</formula>
    </cfRule>
  </conditionalFormatting>
  <conditionalFormatting sqref="N58">
    <cfRule type="expression" priority="589" dxfId="0" stopIfTrue="1">
      <formula>AND(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N58&lt;&gt;"",N58&lt;&gt;"not_applicable")</formula>
    </cfRule>
    <cfRule type="expression" priority="590" dxfId="1">
      <formula>OR(AND(IF($J58="",INDEX(primary_jama_2018_14282_disposition,MATCH($A58,primary_jama_2018_14282_key,0)),$J58)&lt;&gt;"",IF($J58="",INDEX(primary_jama_2018_14282_disposition,MATCH($A58,primary_jama_2018_14282_key,0)),$J58)&lt;&gt;"retain"),NOT(OR(IF($K58="",INDEX(primary_jama_2018_14282_domain,MATCH($A58,primary_jama_2018_14282_key,0)),$K58)="statistical_results")))</formula>
    </cfRule>
  </conditionalFormatting>
  <conditionalFormatting sqref="N59">
    <cfRule type="expression" priority="591" dxfId="0" stopIfTrue="1">
      <formula>AND(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N59&lt;&gt;"",N59&lt;&gt;"not_applicable")</formula>
    </cfRule>
    <cfRule type="expression" priority="592" dxfId="1">
      <formula>OR(AND(IF($J59="",INDEX(primary_jama_2018_14282_disposition,MATCH($A59,primary_jama_2018_14282_key,0)),$J59)&lt;&gt;"",IF($J59="",INDEX(primary_jama_2018_14282_disposition,MATCH($A59,primary_jama_2018_14282_key,0)),$J59)&lt;&gt;"retain"),NOT(OR(IF($K59="",INDEX(primary_jama_2018_14282_domain,MATCH($A59,primary_jama_2018_14282_key,0)),$K59)="statistical_results")))</formula>
    </cfRule>
  </conditionalFormatting>
  <conditionalFormatting sqref="N60">
    <cfRule type="expression" priority="593" dxfId="0" stopIfTrue="1">
      <formula>AND(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N60&lt;&gt;"",N60&lt;&gt;"not_applicable")</formula>
    </cfRule>
    <cfRule type="expression" priority="594" dxfId="1">
      <formula>OR(AND(IF($J60="",INDEX(primary_jama_2018_14282_disposition,MATCH($A60,primary_jama_2018_14282_key,0)),$J60)&lt;&gt;"",IF($J60="",INDEX(primary_jama_2018_14282_disposition,MATCH($A60,primary_jama_2018_14282_key,0)),$J60)&lt;&gt;"retain"),NOT(OR(IF($K60="",INDEX(primary_jama_2018_14282_domain,MATCH($A60,primary_jama_2018_14282_key,0)),$K60)="statistical_results")))</formula>
    </cfRule>
  </conditionalFormatting>
  <conditionalFormatting sqref="N61">
    <cfRule type="expression" priority="595" dxfId="0" stopIfTrue="1">
      <formula>AND(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N61&lt;&gt;"",N61&lt;&gt;"not_applicable")</formula>
    </cfRule>
    <cfRule type="expression" priority="596" dxfId="1">
      <formula>OR(AND(IF($J61="",INDEX(primary_jama_2018_14282_disposition,MATCH($A61,primary_jama_2018_14282_key,0)),$J61)&lt;&gt;"",IF($J61="",INDEX(primary_jama_2018_14282_disposition,MATCH($A61,primary_jama_2018_14282_key,0)),$J61)&lt;&gt;"retain"),NOT(OR(IF($K61="",INDEX(primary_jama_2018_14282_domain,MATCH($A61,primary_jama_2018_14282_key,0)),$K61)="statistical_results")))</formula>
    </cfRule>
  </conditionalFormatting>
  <conditionalFormatting sqref="N62">
    <cfRule type="expression" priority="597" dxfId="0" stopIfTrue="1">
      <formula>AND(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N62&lt;&gt;"",N62&lt;&gt;"not_applicable")</formula>
    </cfRule>
    <cfRule type="expression" priority="598" dxfId="1">
      <formula>OR(AND(IF($J62="",INDEX(primary_jama_2018_14282_disposition,MATCH($A62,primary_jama_2018_14282_key,0)),$J62)&lt;&gt;"",IF($J62="",INDEX(primary_jama_2018_14282_disposition,MATCH($A62,primary_jama_2018_14282_key,0)),$J62)&lt;&gt;"retain"),NOT(OR(IF($K62="",INDEX(primary_jama_2018_14282_domain,MATCH($A62,primary_jama_2018_14282_key,0)),$K62)="statistical_results")))</formula>
    </cfRule>
  </conditionalFormatting>
  <conditionalFormatting sqref="N63">
    <cfRule type="expression" priority="599" dxfId="0" stopIfTrue="1">
      <formula>AND(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N63&lt;&gt;"",N63&lt;&gt;"not_applicable")</formula>
    </cfRule>
    <cfRule type="expression" priority="600" dxfId="1">
      <formula>OR(AND(IF($J63="",INDEX(primary_jama_2018_14282_disposition,MATCH($A63,primary_jama_2018_14282_key,0)),$J63)&lt;&gt;"",IF($J63="",INDEX(primary_jama_2018_14282_disposition,MATCH($A63,primary_jama_2018_14282_key,0)),$J63)&lt;&gt;"retain"),NOT(OR(IF($K63="",INDEX(primary_jama_2018_14282_domain,MATCH($A63,primary_jama_2018_14282_key,0)),$K63)="statistical_results")))</formula>
    </cfRule>
  </conditionalFormatting>
  <conditionalFormatting sqref="N64">
    <cfRule type="expression" priority="601" dxfId="0" stopIfTrue="1">
      <formula>AND(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N64&lt;&gt;"",N64&lt;&gt;"not_applicable")</formula>
    </cfRule>
    <cfRule type="expression" priority="602" dxfId="1">
      <formula>OR(AND(IF($J64="",INDEX(primary_jama_2018_14282_disposition,MATCH($A64,primary_jama_2018_14282_key,0)),$J64)&lt;&gt;"",IF($J64="",INDEX(primary_jama_2018_14282_disposition,MATCH($A64,primary_jama_2018_14282_key,0)),$J64)&lt;&gt;"retain"),NOT(OR(IF($K64="",INDEX(primary_jama_2018_14282_domain,MATCH($A64,primary_jama_2018_14282_key,0)),$K64)="statistical_results")))</formula>
    </cfRule>
  </conditionalFormatting>
  <conditionalFormatting sqref="N65">
    <cfRule type="expression" priority="603" dxfId="0" stopIfTrue="1">
      <formula>AND(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N65&lt;&gt;"",N65&lt;&gt;"not_applicable")</formula>
    </cfRule>
    <cfRule type="expression" priority="604" dxfId="1">
      <formula>OR(AND(IF($J65="",INDEX(primary_jama_2018_14282_disposition,MATCH($A65,primary_jama_2018_14282_key,0)),$J65)&lt;&gt;"",IF($J65="",INDEX(primary_jama_2018_14282_disposition,MATCH($A65,primary_jama_2018_14282_key,0)),$J65)&lt;&gt;"retain"),NOT(OR(IF($K65="",INDEX(primary_jama_2018_14282_domain,MATCH($A65,primary_jama_2018_14282_key,0)),$K65)="statistical_results")))</formula>
    </cfRule>
  </conditionalFormatting>
  <conditionalFormatting sqref="N66">
    <cfRule type="expression" priority="605" dxfId="0" stopIfTrue="1">
      <formula>AND(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N66&lt;&gt;"",N66&lt;&gt;"not_applicable")</formula>
    </cfRule>
    <cfRule type="expression" priority="606" dxfId="1">
      <formula>OR(AND(IF($J66="",INDEX(primary_jama_2018_14282_disposition,MATCH($A66,primary_jama_2018_14282_key,0)),$J66)&lt;&gt;"",IF($J66="",INDEX(primary_jama_2018_14282_disposition,MATCH($A66,primary_jama_2018_14282_key,0)),$J66)&lt;&gt;"retain"),NOT(OR(IF($K66="",INDEX(primary_jama_2018_14282_domain,MATCH($A66,primary_jama_2018_14282_key,0)),$K66)="statistical_results")))</formula>
    </cfRule>
  </conditionalFormatting>
  <conditionalFormatting sqref="N67">
    <cfRule type="expression" priority="607" dxfId="0" stopIfTrue="1">
      <formula>AND(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N67&lt;&gt;"",N67&lt;&gt;"not_applicable")</formula>
    </cfRule>
    <cfRule type="expression" priority="608" dxfId="1">
      <formula>OR(AND(IF($J67="",INDEX(primary_jama_2018_14282_disposition,MATCH($A67,primary_jama_2018_14282_key,0)),$J67)&lt;&gt;"",IF($J67="",INDEX(primary_jama_2018_14282_disposition,MATCH($A67,primary_jama_2018_14282_key,0)),$J67)&lt;&gt;"retain"),NOT(OR(IF($K67="",INDEX(primary_jama_2018_14282_domain,MATCH($A67,primary_jama_2018_14282_key,0)),$K67)="statistical_results")))</formula>
    </cfRule>
  </conditionalFormatting>
  <conditionalFormatting sqref="N68">
    <cfRule type="expression" priority="609" dxfId="0" stopIfTrue="1">
      <formula>AND(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N68&lt;&gt;"",N68&lt;&gt;"not_applicable")</formula>
    </cfRule>
    <cfRule type="expression" priority="610" dxfId="1">
      <formula>OR(AND(IF($J68="",INDEX(primary_jama_2018_14282_disposition,MATCH($A68,primary_jama_2018_14282_key,0)),$J68)&lt;&gt;"",IF($J68="",INDEX(primary_jama_2018_14282_disposition,MATCH($A68,primary_jama_2018_14282_key,0)),$J68)&lt;&gt;"retain"),NOT(OR(IF($K68="",INDEX(primary_jama_2018_14282_domain,MATCH($A68,primary_jama_2018_14282_key,0)),$K68)="statistical_results")))</formula>
    </cfRule>
  </conditionalFormatting>
  <conditionalFormatting sqref="N69">
    <cfRule type="expression" priority="611" dxfId="0" stopIfTrue="1">
      <formula>AND(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N69&lt;&gt;"",N69&lt;&gt;"not_applicable")</formula>
    </cfRule>
    <cfRule type="expression" priority="612" dxfId="1">
      <formula>OR(AND(IF($J69="",INDEX(primary_jama_2018_14282_disposition,MATCH($A69,primary_jama_2018_14282_key,0)),$J69)&lt;&gt;"",IF($J69="",INDEX(primary_jama_2018_14282_disposition,MATCH($A69,primary_jama_2018_14282_key,0)),$J69)&lt;&gt;"retain"),NOT(OR(IF($K69="",INDEX(primary_jama_2018_14282_domain,MATCH($A69,primary_jama_2018_14282_key,0)),$K69)="statistical_results")))</formula>
    </cfRule>
  </conditionalFormatting>
  <conditionalFormatting sqref="N70">
    <cfRule type="expression" priority="613" dxfId="0" stopIfTrue="1">
      <formula>AND(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N70&lt;&gt;"",N70&lt;&gt;"not_applicable")</formula>
    </cfRule>
    <cfRule type="expression" priority="614" dxfId="1">
      <formula>OR(AND(IF($J70="",INDEX(primary_jama_2018_14282_disposition,MATCH($A70,primary_jama_2018_14282_key,0)),$J70)&lt;&gt;"",IF($J70="",INDEX(primary_jama_2018_14282_disposition,MATCH($A70,primary_jama_2018_14282_key,0)),$J70)&lt;&gt;"retain"),NOT(OR(IF($K70="",INDEX(primary_jama_2018_14282_domain,MATCH($A70,primary_jama_2018_14282_key,0)),$K70)="statistical_results")))</formula>
    </cfRule>
  </conditionalFormatting>
  <conditionalFormatting sqref="N71">
    <cfRule type="expression" priority="615" dxfId="0" stopIfTrue="1">
      <formula>AND(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N71&lt;&gt;"",N71&lt;&gt;"not_applicable")</formula>
    </cfRule>
    <cfRule type="expression" priority="616" dxfId="1">
      <formula>OR(AND(IF($J71="",INDEX(primary_jama_2018_14282_disposition,MATCH($A71,primary_jama_2018_14282_key,0)),$J71)&lt;&gt;"",IF($J71="",INDEX(primary_jama_2018_14282_disposition,MATCH($A71,primary_jama_2018_14282_key,0)),$J71)&lt;&gt;"retain"),NOT(OR(IF($K71="",INDEX(primary_jama_2018_14282_domain,MATCH($A71,primary_jama_2018_14282_key,0)),$K71)="statistical_results")))</formula>
    </cfRule>
  </conditionalFormatting>
  <conditionalFormatting sqref="N72">
    <cfRule type="expression" priority="617" dxfId="0" stopIfTrue="1">
      <formula>AND(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N72&lt;&gt;"",N72&lt;&gt;"not_applicable")</formula>
    </cfRule>
    <cfRule type="expression" priority="618" dxfId="1">
      <formula>OR(AND(IF($J72="",INDEX(primary_jama_2018_14282_disposition,MATCH($A72,primary_jama_2018_14282_key,0)),$J72)&lt;&gt;"",IF($J72="",INDEX(primary_jama_2018_14282_disposition,MATCH($A72,primary_jama_2018_14282_key,0)),$J72)&lt;&gt;"retain"),NOT(OR(IF($K72="",INDEX(primary_jama_2018_14282_domain,MATCH($A72,primary_jama_2018_14282_key,0)),$K72)="statistical_results")))</formula>
    </cfRule>
  </conditionalFormatting>
  <conditionalFormatting sqref="N73">
    <cfRule type="expression" priority="619" dxfId="0" stopIfTrue="1">
      <formula>AND(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N73&lt;&gt;"",N73&lt;&gt;"not_applicable")</formula>
    </cfRule>
    <cfRule type="expression" priority="620" dxfId="1">
      <formula>OR(AND(IF($J73="",INDEX(primary_jama_2018_14282_disposition,MATCH($A73,primary_jama_2018_14282_key,0)),$J73)&lt;&gt;"",IF($J73="",INDEX(primary_jama_2018_14282_disposition,MATCH($A73,primary_jama_2018_14282_key,0)),$J73)&lt;&gt;"retain"),NOT(OR(IF($K73="",INDEX(primary_jama_2018_14282_domain,MATCH($A73,primary_jama_2018_14282_key,0)),$K73)="statistical_results")))</formula>
    </cfRule>
  </conditionalFormatting>
  <conditionalFormatting sqref="N74">
    <cfRule type="expression" priority="621" dxfId="0" stopIfTrue="1">
      <formula>AND(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N74&lt;&gt;"",N74&lt;&gt;"not_applicable")</formula>
    </cfRule>
    <cfRule type="expression" priority="622" dxfId="1">
      <formula>OR(AND(IF($J74="",INDEX(primary_jama_2018_17075_disposition,MATCH($A74,primary_jama_2018_17075_key,0)),$J74)&lt;&gt;"",IF($J74="",INDEX(primary_jama_2018_17075_disposition,MATCH($A74,primary_jama_2018_17075_key,0)),$J74)&lt;&gt;"retain"),NOT(OR(IF($K74="",INDEX(primary_jama_2018_17075_domain,MATCH($A74,primary_jama_2018_17075_key,0)),$K74)="statistical_results")))</formula>
    </cfRule>
  </conditionalFormatting>
  <conditionalFormatting sqref="N75">
    <cfRule type="expression" priority="623" dxfId="0" stopIfTrue="1">
      <formula>AND(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N75&lt;&gt;"",N75&lt;&gt;"not_applicable")</formula>
    </cfRule>
    <cfRule type="expression" priority="624" dxfId="1">
      <formula>OR(AND(IF($J75="",INDEX(primary_jama_2018_17075_disposition,MATCH($A75,primary_jama_2018_17075_key,0)),$J75)&lt;&gt;"",IF($J75="",INDEX(primary_jama_2018_17075_disposition,MATCH($A75,primary_jama_2018_17075_key,0)),$J75)&lt;&gt;"retain"),NOT(OR(IF($K75="",INDEX(primary_jama_2018_17075_domain,MATCH($A75,primary_jama_2018_17075_key,0)),$K75)="statistical_results")))</formula>
    </cfRule>
  </conditionalFormatting>
  <conditionalFormatting sqref="N76">
    <cfRule type="expression" priority="625" dxfId="0" stopIfTrue="1">
      <formula>AND(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N76&lt;&gt;"",N76&lt;&gt;"not_applicable")</formula>
    </cfRule>
    <cfRule type="expression" priority="626" dxfId="1">
      <formula>OR(AND(IF($J76="",INDEX(primary_jama_2018_17075_disposition,MATCH($A76,primary_jama_2018_17075_key,0)),$J76)&lt;&gt;"",IF($J76="",INDEX(primary_jama_2018_17075_disposition,MATCH($A76,primary_jama_2018_17075_key,0)),$J76)&lt;&gt;"retain"),NOT(OR(IF($K76="",INDEX(primary_jama_2018_17075_domain,MATCH($A76,primary_jama_2018_17075_key,0)),$K76)="statistical_results")))</formula>
    </cfRule>
  </conditionalFormatting>
  <conditionalFormatting sqref="N77">
    <cfRule type="expression" priority="627" dxfId="0" stopIfTrue="1">
      <formula>AND(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N77&lt;&gt;"",N77&lt;&gt;"not_applicable")</formula>
    </cfRule>
    <cfRule type="expression" priority="628" dxfId="1">
      <formula>OR(AND(IF($J77="",INDEX(primary_jama_2018_17075_disposition,MATCH($A77,primary_jama_2018_17075_key,0)),$J77)&lt;&gt;"",IF($J77="",INDEX(primary_jama_2018_17075_disposition,MATCH($A77,primary_jama_2018_17075_key,0)),$J77)&lt;&gt;"retain"),NOT(OR(IF($K77="",INDEX(primary_jama_2018_17075_domain,MATCH($A77,primary_jama_2018_17075_key,0)),$K77)="statistical_results")))</formula>
    </cfRule>
  </conditionalFormatting>
  <conditionalFormatting sqref="N78">
    <cfRule type="expression" priority="629" dxfId="0" stopIfTrue="1">
      <formula>AND(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N78&lt;&gt;"",N78&lt;&gt;"not_applicable")</formula>
    </cfRule>
    <cfRule type="expression" priority="630" dxfId="1">
      <formula>OR(AND(IF($J78="",INDEX(primary_jama_2018_17075_disposition,MATCH($A78,primary_jama_2018_17075_key,0)),$J78)&lt;&gt;"",IF($J78="",INDEX(primary_jama_2018_17075_disposition,MATCH($A78,primary_jama_2018_17075_key,0)),$J78)&lt;&gt;"retain"),NOT(OR(IF($K78="",INDEX(primary_jama_2018_17075_domain,MATCH($A78,primary_jama_2018_17075_key,0)),$K78)="statistical_results")))</formula>
    </cfRule>
  </conditionalFormatting>
  <conditionalFormatting sqref="N79">
    <cfRule type="expression" priority="631" dxfId="0" stopIfTrue="1">
      <formula>AND(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N79&lt;&gt;"",N79&lt;&gt;"not_applicable")</formula>
    </cfRule>
    <cfRule type="expression" priority="632" dxfId="1">
      <formula>OR(AND(IF($J79="",INDEX(primary_jama_2018_17075_disposition,MATCH($A79,primary_jama_2018_17075_key,0)),$J79)&lt;&gt;"",IF($J79="",INDEX(primary_jama_2018_17075_disposition,MATCH($A79,primary_jama_2018_17075_key,0)),$J79)&lt;&gt;"retain"),NOT(OR(IF($K79="",INDEX(primary_jama_2018_17075_domain,MATCH($A79,primary_jama_2018_17075_key,0)),$K79)="statistical_results")))</formula>
    </cfRule>
  </conditionalFormatting>
  <conditionalFormatting sqref="N80">
    <cfRule type="expression" priority="633" dxfId="0" stopIfTrue="1">
      <formula>AND(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N80&lt;&gt;"",N80&lt;&gt;"not_applicable")</formula>
    </cfRule>
    <cfRule type="expression" priority="634" dxfId="1">
      <formula>OR(AND(IF($J80="",INDEX(primary_jama_2018_17075_disposition,MATCH($A80,primary_jama_2018_17075_key,0)),$J80)&lt;&gt;"",IF($J80="",INDEX(primary_jama_2018_17075_disposition,MATCH($A80,primary_jama_2018_17075_key,0)),$J80)&lt;&gt;"retain"),NOT(OR(IF($K80="",INDEX(primary_jama_2018_17075_domain,MATCH($A80,primary_jama_2018_17075_key,0)),$K80)="statistical_results")))</formula>
    </cfRule>
  </conditionalFormatting>
  <conditionalFormatting sqref="N81">
    <cfRule type="expression" priority="635" dxfId="0" stopIfTrue="1">
      <formula>AND(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N81&lt;&gt;"",N81&lt;&gt;"not_applicable")</formula>
    </cfRule>
    <cfRule type="expression" priority="636" dxfId="1">
      <formula>OR(AND(IF($J81="",INDEX(primary_jama_2018_17075_disposition,MATCH($A81,primary_jama_2018_17075_key,0)),$J81)&lt;&gt;"",IF($J81="",INDEX(primary_jama_2018_17075_disposition,MATCH($A81,primary_jama_2018_17075_key,0)),$J81)&lt;&gt;"retain"),NOT(OR(IF($K81="",INDEX(primary_jama_2018_17075_domain,MATCH($A81,primary_jama_2018_17075_key,0)),$K81)="statistical_results")))</formula>
    </cfRule>
  </conditionalFormatting>
  <conditionalFormatting sqref="N82">
    <cfRule type="expression" priority="637" dxfId="0" stopIfTrue="1">
      <formula>AND(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N82&lt;&gt;"",N82&lt;&gt;"not_applicable")</formula>
    </cfRule>
    <cfRule type="expression" priority="638" dxfId="1">
      <formula>OR(AND(IF($J82="",INDEX(primary_jama_2018_18020_disposition,MATCH($A82,primary_jama_2018_18020_key,0)),$J82)&lt;&gt;"",IF($J82="",INDEX(primary_jama_2018_18020_disposition,MATCH($A82,primary_jama_2018_18020_key,0)),$J82)&lt;&gt;"retain"),NOT(OR(IF($K82="",INDEX(primary_jama_2018_18020_domain,MATCH($A82,primary_jama_2018_18020_key,0)),$K82)="statistical_results")))</formula>
    </cfRule>
  </conditionalFormatting>
  <conditionalFormatting sqref="N83">
    <cfRule type="expression" priority="639" dxfId="0" stopIfTrue="1">
      <formula>AND(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N83&lt;&gt;"",N83&lt;&gt;"not_applicable")</formula>
    </cfRule>
    <cfRule type="expression" priority="640" dxfId="1">
      <formula>OR(AND(IF($J83="",INDEX(primary_jama_2018_18020_disposition,MATCH($A83,primary_jama_2018_18020_key,0)),$J83)&lt;&gt;"",IF($J83="",INDEX(primary_jama_2018_18020_disposition,MATCH($A83,primary_jama_2018_18020_key,0)),$J83)&lt;&gt;"retain"),NOT(OR(IF($K83="",INDEX(primary_jama_2018_18020_domain,MATCH($A83,primary_jama_2018_18020_key,0)),$K83)="statistical_results")))</formula>
    </cfRule>
  </conditionalFormatting>
  <conditionalFormatting sqref="N84">
    <cfRule type="expression" priority="641" dxfId="0" stopIfTrue="1">
      <formula>AND(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N84&lt;&gt;"",N84&lt;&gt;"not_applicable")</formula>
    </cfRule>
    <cfRule type="expression" priority="642" dxfId="1">
      <formula>OR(AND(IF($J84="",INDEX(primary_jama_2018_18020_disposition,MATCH($A84,primary_jama_2018_18020_key,0)),$J84)&lt;&gt;"",IF($J84="",INDEX(primary_jama_2018_18020_disposition,MATCH($A84,primary_jama_2018_18020_key,0)),$J84)&lt;&gt;"retain"),NOT(OR(IF($K84="",INDEX(primary_jama_2018_18020_domain,MATCH($A84,primary_jama_2018_18020_key,0)),$K84)="statistical_results")))</formula>
    </cfRule>
  </conditionalFormatting>
  <conditionalFormatting sqref="N85">
    <cfRule type="expression" priority="643" dxfId="0" stopIfTrue="1">
      <formula>AND(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N85&lt;&gt;"",N85&lt;&gt;"not_applicable")</formula>
    </cfRule>
    <cfRule type="expression" priority="644" dxfId="1">
      <formula>OR(AND(IF($J85="",INDEX(primary_jama_2018_18020_disposition,MATCH($A85,primary_jama_2018_18020_key,0)),$J85)&lt;&gt;"",IF($J85="",INDEX(primary_jama_2018_18020_disposition,MATCH($A85,primary_jama_2018_18020_key,0)),$J85)&lt;&gt;"retain"),NOT(OR(IF($K85="",INDEX(primary_jama_2018_18020_domain,MATCH($A85,primary_jama_2018_18020_key,0)),$K85)="statistical_results")))</formula>
    </cfRule>
  </conditionalFormatting>
  <conditionalFormatting sqref="N86">
    <cfRule type="expression" priority="645" dxfId="0" stopIfTrue="1">
      <formula>AND(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N86&lt;&gt;"",N86&lt;&gt;"not_applicable")</formula>
    </cfRule>
    <cfRule type="expression" priority="646" dxfId="1">
      <formula>OR(AND(IF($J86="",INDEX(primary_jama_2018_18020_disposition,MATCH($A86,primary_jama_2018_18020_key,0)),$J86)&lt;&gt;"",IF($J86="",INDEX(primary_jama_2018_18020_disposition,MATCH($A86,primary_jama_2018_18020_key,0)),$J86)&lt;&gt;"retain"),NOT(OR(IF($K86="",INDEX(primary_jama_2018_18020_domain,MATCH($A86,primary_jama_2018_18020_key,0)),$K86)="statistical_results")))</formula>
    </cfRule>
  </conditionalFormatting>
  <conditionalFormatting sqref="N87">
    <cfRule type="expression" priority="647" dxfId="0" stopIfTrue="1">
      <formula>AND(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N87&lt;&gt;"",N87&lt;&gt;"not_applicable")</formula>
    </cfRule>
    <cfRule type="expression" priority="648" dxfId="1">
      <formula>OR(AND(IF($J87="",INDEX(primary_jama_2018_18020_disposition,MATCH($A87,primary_jama_2018_18020_key,0)),$J87)&lt;&gt;"",IF($J87="",INDEX(primary_jama_2018_18020_disposition,MATCH($A87,primary_jama_2018_18020_key,0)),$J87)&lt;&gt;"retain"),NOT(OR(IF($K87="",INDEX(primary_jama_2018_18020_domain,MATCH($A87,primary_jama_2018_18020_key,0)),$K87)="statistical_results")))</formula>
    </cfRule>
  </conditionalFormatting>
  <conditionalFormatting sqref="N88">
    <cfRule type="expression" priority="649" dxfId="0" stopIfTrue="1">
      <formula>AND(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N88&lt;&gt;"",N88&lt;&gt;"not_applicable")</formula>
    </cfRule>
    <cfRule type="expression" priority="650" dxfId="1">
      <formula>OR(AND(IF($J88="",INDEX(primary_jama_2018_18020_disposition,MATCH($A88,primary_jama_2018_18020_key,0)),$J88)&lt;&gt;"",IF($J88="",INDEX(primary_jama_2018_18020_disposition,MATCH($A88,primary_jama_2018_18020_key,0)),$J88)&lt;&gt;"retain"),NOT(OR(IF($K88="",INDEX(primary_jama_2018_18020_domain,MATCH($A88,primary_jama_2018_18020_key,0)),$K88)="statistical_results")))</formula>
    </cfRule>
  </conditionalFormatting>
  <conditionalFormatting sqref="N89">
    <cfRule type="expression" priority="651" dxfId="0" stopIfTrue="1">
      <formula>AND(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N89&lt;&gt;"",N89&lt;&gt;"not_applicable")</formula>
    </cfRule>
    <cfRule type="expression" priority="652" dxfId="1">
      <formula>OR(AND(IF($J89="",INDEX(primary_jama_2018_18020_disposition,MATCH($A89,primary_jama_2018_18020_key,0)),$J89)&lt;&gt;"",IF($J89="",INDEX(primary_jama_2018_18020_disposition,MATCH($A89,primary_jama_2018_18020_key,0)),$J89)&lt;&gt;"retain"),NOT(OR(IF($K89="",INDEX(primary_jama_2018_18020_domain,MATCH($A89,primary_jama_2018_18020_key,0)),$K89)="statistical_results")))</formula>
    </cfRule>
  </conditionalFormatting>
  <conditionalFormatting sqref="N90">
    <cfRule type="expression" priority="653" dxfId="0" stopIfTrue="1">
      <formula>AND(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N90&lt;&gt;"",N90&lt;&gt;"not_applicable")</formula>
    </cfRule>
    <cfRule type="expression" priority="654" dxfId="1">
      <formula>OR(AND(IF($J90="",INDEX(primary_jama_2018_18020_disposition,MATCH($A90,primary_jama_2018_18020_key,0)),$J90)&lt;&gt;"",IF($J90="",INDEX(primary_jama_2018_18020_disposition,MATCH($A90,primary_jama_2018_18020_key,0)),$J90)&lt;&gt;"retain"),NOT(OR(IF($K90="",INDEX(primary_jama_2018_18020_domain,MATCH($A90,primary_jama_2018_18020_key,0)),$K90)="statistical_results")))</formula>
    </cfRule>
  </conditionalFormatting>
  <conditionalFormatting sqref="N91">
    <cfRule type="expression" priority="655" dxfId="0" stopIfTrue="1">
      <formula>AND(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N91&lt;&gt;"",N91&lt;&gt;"not_applicable")</formula>
    </cfRule>
    <cfRule type="expression" priority="656" dxfId="1">
      <formula>OR(AND(IF($J91="",INDEX(primary_jama_2018_18020_disposition,MATCH($A91,primary_jama_2018_18020_key,0)),$J91)&lt;&gt;"",IF($J91="",INDEX(primary_jama_2018_18020_disposition,MATCH($A91,primary_jama_2018_18020_key,0)),$J91)&lt;&gt;"retain"),NOT(OR(IF($K91="",INDEX(primary_jama_2018_18020_domain,MATCH($A91,primary_jama_2018_18020_key,0)),$K91)="statistical_results")))</formula>
    </cfRule>
  </conditionalFormatting>
  <conditionalFormatting sqref="N92">
    <cfRule type="expression" priority="657" dxfId="0" stopIfTrue="1">
      <formula>AND(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N92&lt;&gt;"",N92&lt;&gt;"not_applicable")</formula>
    </cfRule>
    <cfRule type="expression" priority="658" dxfId="1">
      <formula>OR(AND(IF($J92="",INDEX(primary_jama_2018_18020_disposition,MATCH($A92,primary_jama_2018_18020_key,0)),$J92)&lt;&gt;"",IF($J92="",INDEX(primary_jama_2018_18020_disposition,MATCH($A92,primary_jama_2018_18020_key,0)),$J92)&lt;&gt;"retain"),NOT(OR(IF($K92="",INDEX(primary_jama_2018_18020_domain,MATCH($A92,primary_jama_2018_18020_key,0)),$K92)="statistical_results")))</formula>
    </cfRule>
  </conditionalFormatting>
  <conditionalFormatting sqref="N93">
    <cfRule type="expression" priority="659" dxfId="0" stopIfTrue="1">
      <formula>AND(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N93&lt;&gt;"",N93&lt;&gt;"not_applicable")</formula>
    </cfRule>
    <cfRule type="expression" priority="660" dxfId="1">
      <formula>OR(AND(IF($J93="",INDEX(primary_jama_2018_18020_disposition,MATCH($A93,primary_jama_2018_18020_key,0)),$J93)&lt;&gt;"",IF($J93="",INDEX(primary_jama_2018_18020_disposition,MATCH($A93,primary_jama_2018_18020_key,0)),$J93)&lt;&gt;"retain"),NOT(OR(IF($K93="",INDEX(primary_jama_2018_18020_domain,MATCH($A93,primary_jama_2018_18020_key,0)),$K93)="statistical_results")))</formula>
    </cfRule>
  </conditionalFormatting>
  <conditionalFormatting sqref="N94">
    <cfRule type="expression" priority="661" dxfId="0" stopIfTrue="1">
      <formula>AND(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N94&lt;&gt;"",N94&lt;&gt;"not_applicable")</formula>
    </cfRule>
    <cfRule type="expression" priority="662" dxfId="1">
      <formula>OR(AND(IF($J94="",INDEX(primary_jama_2018_18020_disposition,MATCH($A94,primary_jama_2018_18020_key,0)),$J94)&lt;&gt;"",IF($J94="",INDEX(primary_jama_2018_18020_disposition,MATCH($A94,primary_jama_2018_18020_key,0)),$J94)&lt;&gt;"retain"),NOT(OR(IF($K94="",INDEX(primary_jama_2018_18020_domain,MATCH($A94,primary_jama_2018_18020_key,0)),$K94)="statistical_results")))</formula>
    </cfRule>
  </conditionalFormatting>
  <conditionalFormatting sqref="N95">
    <cfRule type="expression" priority="663" dxfId="0" stopIfTrue="1">
      <formula>AND(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N95&lt;&gt;"",N95&lt;&gt;"not_applicable")</formula>
    </cfRule>
    <cfRule type="expression" priority="664" dxfId="1">
      <formula>OR(AND(IF($J95="",INDEX(primary_jama_2018_18020_disposition,MATCH($A95,primary_jama_2018_18020_key,0)),$J95)&lt;&gt;"",IF($J95="",INDEX(primary_jama_2018_18020_disposition,MATCH($A95,primary_jama_2018_18020_key,0)),$J95)&lt;&gt;"retain"),NOT(OR(IF($K95="",INDEX(primary_jama_2018_18020_domain,MATCH($A95,primary_jama_2018_18020_key,0)),$K95)="statistical_results")))</formula>
    </cfRule>
  </conditionalFormatting>
  <conditionalFormatting sqref="N96">
    <cfRule type="expression" priority="665" dxfId="0" stopIfTrue="1">
      <formula>AND(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N96&lt;&gt;"",N96&lt;&gt;"not_applicable")</formula>
    </cfRule>
    <cfRule type="expression" priority="666" dxfId="1">
      <formula>OR(AND(IF($J96="",INDEX(primary_jama_2018_6496_disposition,MATCH($A96,primary_jama_2018_6496_key,0)),$J96)&lt;&gt;"",IF($J96="",INDEX(primary_jama_2018_6496_disposition,MATCH($A96,primary_jama_2018_6496_key,0)),$J96)&lt;&gt;"retain"),NOT(OR(IF($K96="",INDEX(primary_jama_2018_6496_domain,MATCH($A96,primary_jama_2018_6496_key,0)),$K96)="statistical_results")))</formula>
    </cfRule>
  </conditionalFormatting>
  <conditionalFormatting sqref="N97">
    <cfRule type="expression" priority="667" dxfId="0" stopIfTrue="1">
      <formula>AND(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N97&lt;&gt;"",N97&lt;&gt;"not_applicable")</formula>
    </cfRule>
    <cfRule type="expression" priority="668" dxfId="1">
      <formula>OR(AND(IF($J97="",INDEX(primary_jama_2018_6496_disposition,MATCH($A97,primary_jama_2018_6496_key,0)),$J97)&lt;&gt;"",IF($J97="",INDEX(primary_jama_2018_6496_disposition,MATCH($A97,primary_jama_2018_6496_key,0)),$J97)&lt;&gt;"retain"),NOT(OR(IF($K97="",INDEX(primary_jama_2018_6496_domain,MATCH($A97,primary_jama_2018_6496_key,0)),$K97)="statistical_results")))</formula>
    </cfRule>
  </conditionalFormatting>
  <conditionalFormatting sqref="N98">
    <cfRule type="expression" priority="669" dxfId="0" stopIfTrue="1">
      <formula>AND(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N98&lt;&gt;"",N98&lt;&gt;"not_applicable")</formula>
    </cfRule>
    <cfRule type="expression" priority="670" dxfId="1">
      <formula>OR(AND(IF($J98="",INDEX(primary_jama_2018_6496_disposition,MATCH($A98,primary_jama_2018_6496_key,0)),$J98)&lt;&gt;"",IF($J98="",INDEX(primary_jama_2018_6496_disposition,MATCH($A98,primary_jama_2018_6496_key,0)),$J98)&lt;&gt;"retain"),NOT(OR(IF($K98="",INDEX(primary_jama_2018_6496_domain,MATCH($A98,primary_jama_2018_6496_key,0)),$K98)="statistical_results")))</formula>
    </cfRule>
  </conditionalFormatting>
  <conditionalFormatting sqref="N99">
    <cfRule type="expression" priority="671" dxfId="0" stopIfTrue="1">
      <formula>AND(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N99&lt;&gt;"",N99&lt;&gt;"not_applicable")</formula>
    </cfRule>
    <cfRule type="expression" priority="672" dxfId="1">
      <formula>OR(AND(IF($J99="",INDEX(primary_jama_2018_6496_disposition,MATCH($A99,primary_jama_2018_6496_key,0)),$J99)&lt;&gt;"",IF($J99="",INDEX(primary_jama_2018_6496_disposition,MATCH($A99,primary_jama_2018_6496_key,0)),$J99)&lt;&gt;"retain"),NOT(OR(IF($K99="",INDEX(primary_jama_2018_6496_domain,MATCH($A99,primary_jama_2018_6496_key,0)),$K99)="statistical_results")))</formula>
    </cfRule>
  </conditionalFormatting>
  <conditionalFormatting sqref="N100">
    <cfRule type="expression" priority="673" dxfId="0" stopIfTrue="1">
      <formula>AND(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N100&lt;&gt;"",N100&lt;&gt;"not_applicable")</formula>
    </cfRule>
    <cfRule type="expression" priority="674" dxfId="1">
      <formula>OR(AND(IF($J100="",INDEX(primary_jama_2018_8802_disposition,MATCH($A100,primary_jama_2018_8802_key,0)),$J100)&lt;&gt;"",IF($J100="",INDEX(primary_jama_2018_8802_disposition,MATCH($A100,primary_jama_2018_8802_key,0)),$J100)&lt;&gt;"retain"),NOT(OR(IF($K100="",INDEX(primary_jama_2018_8802_domain,MATCH($A100,primary_jama_2018_8802_key,0)),$K100)="statistical_results")))</formula>
    </cfRule>
  </conditionalFormatting>
  <conditionalFormatting sqref="N101">
    <cfRule type="expression" priority="675" dxfId="0" stopIfTrue="1">
      <formula>AND(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N101&lt;&gt;"",N101&lt;&gt;"not_applicable")</formula>
    </cfRule>
    <cfRule type="expression" priority="676" dxfId="1">
      <formula>OR(AND(IF($J101="",INDEX(primary_jama_2018_8802_disposition,MATCH($A101,primary_jama_2018_8802_key,0)),$J101)&lt;&gt;"",IF($J101="",INDEX(primary_jama_2018_8802_disposition,MATCH($A101,primary_jama_2018_8802_key,0)),$J101)&lt;&gt;"retain"),NOT(OR(IF($K101="",INDEX(primary_jama_2018_8802_domain,MATCH($A101,primary_jama_2018_8802_key,0)),$K101)="statistical_results")))</formula>
    </cfRule>
  </conditionalFormatting>
  <conditionalFormatting sqref="N102">
    <cfRule type="expression" priority="677" dxfId="0" stopIfTrue="1">
      <formula>AND(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N102&lt;&gt;"",N102&lt;&gt;"not_applicable")</formula>
    </cfRule>
    <cfRule type="expression" priority="678" dxfId="1">
      <formula>OR(AND(IF($J102="",INDEX(primary_jama_2018_8802_disposition,MATCH($A102,primary_jama_2018_8802_key,0)),$J102)&lt;&gt;"",IF($J102="",INDEX(primary_jama_2018_8802_disposition,MATCH($A102,primary_jama_2018_8802_key,0)),$J102)&lt;&gt;"retain"),NOT(OR(IF($K102="",INDEX(primary_jama_2018_8802_domain,MATCH($A102,primary_jama_2018_8802_key,0)),$K102)="statistical_results")))</formula>
    </cfRule>
  </conditionalFormatting>
  <conditionalFormatting sqref="N103">
    <cfRule type="expression" priority="679" dxfId="0" stopIfTrue="1">
      <formula>AND(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N103&lt;&gt;"",N103&lt;&gt;"not_applicable")</formula>
    </cfRule>
    <cfRule type="expression" priority="680" dxfId="1">
      <formula>OR(AND(IF($J103="",INDEX(primary_jama_2018_8802_disposition,MATCH($A103,primary_jama_2018_8802_key,0)),$J103)&lt;&gt;"",IF($J103="",INDEX(primary_jama_2018_8802_disposition,MATCH($A103,primary_jama_2018_8802_key,0)),$J103)&lt;&gt;"retain"),NOT(OR(IF($K103="",INDEX(primary_jama_2018_8802_domain,MATCH($A103,primary_jama_2018_8802_key,0)),$K103)="statistical_results")))</formula>
    </cfRule>
  </conditionalFormatting>
  <conditionalFormatting sqref="N104">
    <cfRule type="expression" priority="681" dxfId="0" stopIfTrue="1">
      <formula>AND(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N104&lt;&gt;"",N104&lt;&gt;"not_applicable")</formula>
    </cfRule>
    <cfRule type="expression" priority="682" dxfId="1">
      <formula>OR(AND(IF($J104="",INDEX(primary_jama_2018_8802_disposition,MATCH($A104,primary_jama_2018_8802_key,0)),$J104)&lt;&gt;"",IF($J104="",INDEX(primary_jama_2018_8802_disposition,MATCH($A104,primary_jama_2018_8802_key,0)),$J104)&lt;&gt;"retain"),NOT(OR(IF($K104="",INDEX(primary_jama_2018_8802_domain,MATCH($A104,primary_jama_2018_8802_key,0)),$K104)="statistical_results")))</formula>
    </cfRule>
  </conditionalFormatting>
  <conditionalFormatting sqref="N105">
    <cfRule type="expression" priority="683" dxfId="0" stopIfTrue="1">
      <formula>AND(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N105&lt;&gt;"",N105&lt;&gt;"not_applicable")</formula>
    </cfRule>
    <cfRule type="expression" priority="684" dxfId="1">
      <formula>OR(AND(IF($J105="",INDEX(primary_jama_2018_8802_disposition,MATCH($A105,primary_jama_2018_8802_key,0)),$J105)&lt;&gt;"",IF($J105="",INDEX(primary_jama_2018_8802_disposition,MATCH($A105,primary_jama_2018_8802_key,0)),$J105)&lt;&gt;"retain"),NOT(OR(IF($K105="",INDEX(primary_jama_2018_8802_domain,MATCH($A105,primary_jama_2018_8802_key,0)),$K105)="statistical_results")))</formula>
    </cfRule>
  </conditionalFormatting>
  <conditionalFormatting sqref="N106">
    <cfRule type="expression" priority="685" dxfId="0" stopIfTrue="1">
      <formula>AND(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N106&lt;&gt;"",N106&lt;&gt;"not_applicable")</formula>
    </cfRule>
    <cfRule type="expression" priority="686" dxfId="1">
      <formula>OR(AND(IF($J106="",INDEX(primary_jama_2018_8802_disposition,MATCH($A106,primary_jama_2018_8802_key,0)),$J106)&lt;&gt;"",IF($J106="",INDEX(primary_jama_2018_8802_disposition,MATCH($A106,primary_jama_2018_8802_key,0)),$J106)&lt;&gt;"retain"),NOT(OR(IF($K106="",INDEX(primary_jama_2018_8802_domain,MATCH($A106,primary_jama_2018_8802_key,0)),$K106)="statistical_results")))</formula>
    </cfRule>
  </conditionalFormatting>
  <conditionalFormatting sqref="N107">
    <cfRule type="expression" priority="687" dxfId="0" stopIfTrue="1">
      <formula>AND(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N107&lt;&gt;"",N107&lt;&gt;"not_applicable")</formula>
    </cfRule>
    <cfRule type="expression" priority="688" dxfId="1">
      <formula>OR(AND(IF($J107="",INDEX(primary_jama_2018_8802_disposition,MATCH($A107,primary_jama_2018_8802_key,0)),$J107)&lt;&gt;"",IF($J107="",INDEX(primary_jama_2018_8802_disposition,MATCH($A107,primary_jama_2018_8802_key,0)),$J107)&lt;&gt;"retain"),NOT(OR(IF($K107="",INDEX(primary_jama_2018_8802_domain,MATCH($A107,primary_jama_2018_8802_key,0)),$K107)="statistical_results")))</formula>
    </cfRule>
  </conditionalFormatting>
  <conditionalFormatting sqref="N108">
    <cfRule type="expression" priority="689" dxfId="0" stopIfTrue="1">
      <formula>AND(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N108&lt;&gt;"",N108&lt;&gt;"not_applicable")</formula>
    </cfRule>
    <cfRule type="expression" priority="690" dxfId="1">
      <formula>OR(AND(IF($J108="",INDEX(primary_jama_2018_9128_disposition,MATCH($A108,primary_jama_2018_9128_key,0)),$J108)&lt;&gt;"",IF($J108="",INDEX(primary_jama_2018_9128_disposition,MATCH($A108,primary_jama_2018_9128_key,0)),$J108)&lt;&gt;"retain"),NOT(OR(IF($K108="",INDEX(primary_jama_2018_9128_domain,MATCH($A108,primary_jama_2018_9128_key,0)),$K108)="statistical_results")))</formula>
    </cfRule>
  </conditionalFormatting>
  <conditionalFormatting sqref="N109">
    <cfRule type="expression" priority="691" dxfId="0" stopIfTrue="1">
      <formula>AND(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N109&lt;&gt;"",N109&lt;&gt;"not_applicable")</formula>
    </cfRule>
    <cfRule type="expression" priority="692" dxfId="1">
      <formula>OR(AND(IF($J109="",INDEX(primary_jama_2018_9128_disposition,MATCH($A109,primary_jama_2018_9128_key,0)),$J109)&lt;&gt;"",IF($J109="",INDEX(primary_jama_2018_9128_disposition,MATCH($A109,primary_jama_2018_9128_key,0)),$J109)&lt;&gt;"retain"),NOT(OR(IF($K109="",INDEX(primary_jama_2018_9128_domain,MATCH($A109,primary_jama_2018_9128_key,0)),$K109)="statistical_results")))</formula>
    </cfRule>
  </conditionalFormatting>
  <conditionalFormatting sqref="N110">
    <cfRule type="expression" priority="693" dxfId="0" stopIfTrue="1">
      <formula>AND(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N110&lt;&gt;"",N110&lt;&gt;"not_applicable")</formula>
    </cfRule>
    <cfRule type="expression" priority="694" dxfId="1">
      <formula>OR(AND(IF($J110="",INDEX(primary_jama_2018_9128_disposition,MATCH($A110,primary_jama_2018_9128_key,0)),$J110)&lt;&gt;"",IF($J110="",INDEX(primary_jama_2018_9128_disposition,MATCH($A110,primary_jama_2018_9128_key,0)),$J110)&lt;&gt;"retain"),NOT(OR(IF($K110="",INDEX(primary_jama_2018_9128_domain,MATCH($A110,primary_jama_2018_9128_key,0)),$K110)="statistical_results")))</formula>
    </cfRule>
  </conditionalFormatting>
  <conditionalFormatting sqref="N111">
    <cfRule type="expression" priority="695" dxfId="0" stopIfTrue="1">
      <formula>AND(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N111&lt;&gt;"",N111&lt;&gt;"not_applicable")</formula>
    </cfRule>
    <cfRule type="expression" priority="696" dxfId="1">
      <formula>OR(AND(IF($J111="",INDEX(primary_jama_2018_9128_disposition,MATCH($A111,primary_jama_2018_9128_key,0)),$J111)&lt;&gt;"",IF($J111="",INDEX(primary_jama_2018_9128_disposition,MATCH($A111,primary_jama_2018_9128_key,0)),$J111)&lt;&gt;"retain"),NOT(OR(IF($K111="",INDEX(primary_jama_2018_9128_domain,MATCH($A111,primary_jama_2018_9128_key,0)),$K111)="statistical_results")))</formula>
    </cfRule>
  </conditionalFormatting>
  <conditionalFormatting sqref="N112">
    <cfRule type="expression" priority="697" dxfId="0" stopIfTrue="1">
      <formula>AND(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N112&lt;&gt;"",N112&lt;&gt;"not_applicable")</formula>
    </cfRule>
    <cfRule type="expression" priority="698" dxfId="1">
      <formula>OR(AND(IF($J112="",INDEX(primary_jama_2018_9128_disposition,MATCH($A112,primary_jama_2018_9128_key,0)),$J112)&lt;&gt;"",IF($J112="",INDEX(primary_jama_2018_9128_disposition,MATCH($A112,primary_jama_2018_9128_key,0)),$J112)&lt;&gt;"retain"),NOT(OR(IF($K112="",INDEX(primary_jama_2018_9128_domain,MATCH($A112,primary_jama_2018_9128_key,0)),$K112)="statistical_results")))</formula>
    </cfRule>
  </conditionalFormatting>
  <conditionalFormatting sqref="N113">
    <cfRule type="expression" priority="699" dxfId="0" stopIfTrue="1">
      <formula>AND(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N113&lt;&gt;"",N113&lt;&gt;"not_applicable")</formula>
    </cfRule>
    <cfRule type="expression" priority="700" dxfId="1">
      <formula>OR(AND(IF($J113="",INDEX(primary_jama_2018_9128_disposition,MATCH($A113,primary_jama_2018_9128_key,0)),$J113)&lt;&gt;"",IF($J113="",INDEX(primary_jama_2018_9128_disposition,MATCH($A113,primary_jama_2018_9128_key,0)),$J113)&lt;&gt;"retain"),NOT(OR(IF($K113="",INDEX(primary_jama_2018_9128_domain,MATCH($A113,primary_jama_2018_9128_key,0)),$K113)="statistical_results")))</formula>
    </cfRule>
  </conditionalFormatting>
  <conditionalFormatting sqref="N114">
    <cfRule type="expression" priority="701" dxfId="0" stopIfTrue="1">
      <formula>AND(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N114&lt;&gt;"",N114&lt;&gt;"not_applicable")</formula>
    </cfRule>
    <cfRule type="expression" priority="702" dxfId="1">
      <formula>OR(AND(IF($J114="",INDEX(primary_jama_2018_9128_disposition,MATCH($A114,primary_jama_2018_9128_key,0)),$J114)&lt;&gt;"",IF($J114="",INDEX(primary_jama_2018_9128_disposition,MATCH($A114,primary_jama_2018_9128_key,0)),$J114)&lt;&gt;"retain"),NOT(OR(IF($K114="",INDEX(primary_jama_2018_9128_domain,MATCH($A114,primary_jama_2018_9128_key,0)),$K114)="statistical_results")))</formula>
    </cfRule>
  </conditionalFormatting>
  <conditionalFormatting sqref="N115">
    <cfRule type="expression" priority="703" dxfId="0" stopIfTrue="1">
      <formula>AND(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N115&lt;&gt;"",N115&lt;&gt;"not_applicable")</formula>
    </cfRule>
    <cfRule type="expression" priority="704" dxfId="1">
      <formula>OR(AND(IF($J115="",INDEX(primary_jama_2018_9128_disposition,MATCH($A115,primary_jama_2018_9128_key,0)),$J115)&lt;&gt;"",IF($J115="",INDEX(primary_jama_2018_9128_disposition,MATCH($A115,primary_jama_2018_9128_key,0)),$J115)&lt;&gt;"retain"),NOT(OR(IF($K115="",INDEX(primary_jama_2018_9128_domain,MATCH($A115,primary_jama_2018_9128_key,0)),$K115)="statistical_results")))</formula>
    </cfRule>
  </conditionalFormatting>
  <conditionalFormatting sqref="N116">
    <cfRule type="expression" priority="705" dxfId="0" stopIfTrue="1">
      <formula>AND(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N116&lt;&gt;"",N116&lt;&gt;"not_applicable")</formula>
    </cfRule>
    <cfRule type="expression" priority="706" dxfId="1">
      <formula>OR(AND(IF($J116="",INDEX(primary_jama_2018_9128_disposition,MATCH($A116,primary_jama_2018_9128_key,0)),$J116)&lt;&gt;"",IF($J116="",INDEX(primary_jama_2018_9128_disposition,MATCH($A116,primary_jama_2018_9128_key,0)),$J116)&lt;&gt;"retain"),NOT(OR(IF($K116="",INDEX(primary_jama_2018_9128_domain,MATCH($A116,primary_jama_2018_9128_key,0)),$K116)="statistical_results")))</formula>
    </cfRule>
  </conditionalFormatting>
  <conditionalFormatting sqref="N117">
    <cfRule type="expression" priority="707" dxfId="0" stopIfTrue="1">
      <formula>AND(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N117&lt;&gt;"",N117&lt;&gt;"not_applicable")</formula>
    </cfRule>
    <cfRule type="expression" priority="708" dxfId="1">
      <formula>OR(AND(IF($J117="",INDEX(primary_jama_2018_9128_disposition,MATCH($A117,primary_jama_2018_9128_key,0)),$J117)&lt;&gt;"",IF($J117="",INDEX(primary_jama_2018_9128_disposition,MATCH($A117,primary_jama_2018_9128_key,0)),$J117)&lt;&gt;"retain"),NOT(OR(IF($K117="",INDEX(primary_jama_2018_9128_domain,MATCH($A117,primary_jama_2018_9128_key,0)),$K117)="statistical_results")))</formula>
    </cfRule>
  </conditionalFormatting>
  <conditionalFormatting sqref="N118">
    <cfRule type="expression" priority="709" dxfId="0" stopIfTrue="1">
      <formula>AND(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N118&lt;&gt;"",N118&lt;&gt;"not_applicable")</formula>
    </cfRule>
    <cfRule type="expression" priority="710" dxfId="1">
      <formula>OR(AND(IF($J118="",INDEX(primary_jama_2018_9128_disposition,MATCH($A118,primary_jama_2018_9128_key,0)),$J118)&lt;&gt;"",IF($J118="",INDEX(primary_jama_2018_9128_disposition,MATCH($A118,primary_jama_2018_9128_key,0)),$J118)&lt;&gt;"retain"),NOT(OR(IF($K118="",INDEX(primary_jama_2018_9128_domain,MATCH($A118,primary_jama_2018_9128_key,0)),$K118)="statistical_results")))</formula>
    </cfRule>
  </conditionalFormatting>
  <conditionalFormatting sqref="N119">
    <cfRule type="expression" priority="711" dxfId="0" stopIfTrue="1">
      <formula>AND(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N119&lt;&gt;"",N119&lt;&gt;"not_applicable")</formula>
    </cfRule>
    <cfRule type="expression" priority="712" dxfId="1">
      <formula>OR(AND(IF($J119="",INDEX(primary_jama_2018_9128_disposition,MATCH($A119,primary_jama_2018_9128_key,0)),$J119)&lt;&gt;"",IF($J119="",INDEX(primary_jama_2018_9128_disposition,MATCH($A119,primary_jama_2018_9128_key,0)),$J119)&lt;&gt;"retain"),NOT(OR(IF($K119="",INDEX(primary_jama_2018_9128_domain,MATCH($A119,primary_jama_2018_9128_key,0)),$K119)="statistical_results")))</formula>
    </cfRule>
  </conditionalFormatting>
  <conditionalFormatting sqref="N120">
    <cfRule type="expression" priority="713" dxfId="0" stopIfTrue="1">
      <formula>AND(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N120&lt;&gt;"",N120&lt;&gt;"not_applicable")</formula>
    </cfRule>
    <cfRule type="expression" priority="714" dxfId="1">
      <formula>OR(AND(IF($J120="",INDEX(primary_jama_2018_9128_disposition,MATCH($A120,primary_jama_2018_9128_key,0)),$J120)&lt;&gt;"",IF($J120="",INDEX(primary_jama_2018_9128_disposition,MATCH($A120,primary_jama_2018_9128_key,0)),$J120)&lt;&gt;"retain"),NOT(OR(IF($K120="",INDEX(primary_jama_2018_9128_domain,MATCH($A120,primary_jama_2018_9128_key,0)),$K120)="statistical_results")))</formula>
    </cfRule>
  </conditionalFormatting>
  <conditionalFormatting sqref="O2">
    <cfRule type="expression" priority="715" dxfId="0" stopIfTrue="1">
      <formula>AND(OR(AND(IF($J2="",INDEX(primary_jama_2017_21906_disposition,MATCH($A2,primary_jama_2017_21906_key,0)),$J2)&lt;&gt;"",IF($J2="",INDEX(primary_jama_2017_21906_disposition,MATCH($A2,primary_jama_2017_21906_key,0)),$J2)&lt;&gt;"retain"),NOT(OR(IF($K2="",INDEX(primary_jama_2017_21906_domain,MATCH($A2,primary_jama_2017_21906_key,0)),$K2)="internal_nonstatistical",IF($K2="",INDEX(primary_jama_2017_21906_domain,MATCH($A2,primary_jama_2017_21906_key,0)),$K2)="plan_material"))),O2&lt;&gt;"",O2&lt;&gt;"not_applicable")</formula>
    </cfRule>
    <cfRule type="expression" priority="716" dxfId="1">
      <formula>OR(AND(IF($J2="",INDEX(primary_jama_2017_21906_disposition,MATCH($A2,primary_jama_2017_21906_key,0)),$J2)&lt;&gt;"",IF($J2="",INDEX(primary_jama_2017_21906_disposition,MATCH($A2,primary_jama_2017_21906_key,0)),$J2)&lt;&gt;"retain"),NOT(OR(IF($K2="",INDEX(primary_jama_2017_21906_domain,MATCH($A2,primary_jama_2017_21906_key,0)),$K2)="internal_nonstatistical",IF($K2="",INDEX(primary_jama_2017_21906_domain,MATCH($A2,primary_jama_2017_21906_key,0)),$K2)="plan_material")))</formula>
    </cfRule>
  </conditionalFormatting>
  <conditionalFormatting sqref="O3">
    <cfRule type="expression" priority="717" dxfId="0" stopIfTrue="1">
      <formula>AND(OR(AND(IF($J3="",INDEX(primary_jama_2017_21906_disposition,MATCH($A3,primary_jama_2017_21906_key,0)),$J3)&lt;&gt;"",IF($J3="",INDEX(primary_jama_2017_21906_disposition,MATCH($A3,primary_jama_2017_21906_key,0)),$J3)&lt;&gt;"retain"),NOT(OR(IF($K3="",INDEX(primary_jama_2017_21906_domain,MATCH($A3,primary_jama_2017_21906_key,0)),$K3)="internal_nonstatistical",IF($K3="",INDEX(primary_jama_2017_21906_domain,MATCH($A3,primary_jama_2017_21906_key,0)),$K3)="plan_material"))),O3&lt;&gt;"",O3&lt;&gt;"not_applicable")</formula>
    </cfRule>
    <cfRule type="expression" priority="718" dxfId="1">
      <formula>OR(AND(IF($J3="",INDEX(primary_jama_2017_21906_disposition,MATCH($A3,primary_jama_2017_21906_key,0)),$J3)&lt;&gt;"",IF($J3="",INDEX(primary_jama_2017_21906_disposition,MATCH($A3,primary_jama_2017_21906_key,0)),$J3)&lt;&gt;"retain"),NOT(OR(IF($K3="",INDEX(primary_jama_2017_21906_domain,MATCH($A3,primary_jama_2017_21906_key,0)),$K3)="internal_nonstatistical",IF($K3="",INDEX(primary_jama_2017_21906_domain,MATCH($A3,primary_jama_2017_21906_key,0)),$K3)="plan_material")))</formula>
    </cfRule>
  </conditionalFormatting>
  <conditionalFormatting sqref="O4">
    <cfRule type="expression" priority="719" dxfId="0" stopIfTrue="1">
      <formula>AND(OR(AND(IF($J4="",INDEX(primary_jama_2017_21906_disposition,MATCH($A4,primary_jama_2017_21906_key,0)),$J4)&lt;&gt;"",IF($J4="",INDEX(primary_jama_2017_21906_disposition,MATCH($A4,primary_jama_2017_21906_key,0)),$J4)&lt;&gt;"retain"),NOT(OR(IF($K4="",INDEX(primary_jama_2017_21906_domain,MATCH($A4,primary_jama_2017_21906_key,0)),$K4)="internal_nonstatistical",IF($K4="",INDEX(primary_jama_2017_21906_domain,MATCH($A4,primary_jama_2017_21906_key,0)),$K4)="plan_material"))),O4&lt;&gt;"",O4&lt;&gt;"not_applicable")</formula>
    </cfRule>
    <cfRule type="expression" priority="720" dxfId="1">
      <formula>OR(AND(IF($J4="",INDEX(primary_jama_2017_21906_disposition,MATCH($A4,primary_jama_2017_21906_key,0)),$J4)&lt;&gt;"",IF($J4="",INDEX(primary_jama_2017_21906_disposition,MATCH($A4,primary_jama_2017_21906_key,0)),$J4)&lt;&gt;"retain"),NOT(OR(IF($K4="",INDEX(primary_jama_2017_21906_domain,MATCH($A4,primary_jama_2017_21906_key,0)),$K4)="internal_nonstatistical",IF($K4="",INDEX(primary_jama_2017_21906_domain,MATCH($A4,primary_jama_2017_21906_key,0)),$K4)="plan_material")))</formula>
    </cfRule>
  </conditionalFormatting>
  <conditionalFormatting sqref="O5">
    <cfRule type="expression" priority="721" dxfId="0" stopIfTrue="1">
      <formula>AND(OR(AND(IF($J5="",INDEX(primary_jama_2017_21906_disposition,MATCH($A5,primary_jama_2017_21906_key,0)),$J5)&lt;&gt;"",IF($J5="",INDEX(primary_jama_2017_21906_disposition,MATCH($A5,primary_jama_2017_21906_key,0)),$J5)&lt;&gt;"retain"),NOT(OR(IF($K5="",INDEX(primary_jama_2017_21906_domain,MATCH($A5,primary_jama_2017_21906_key,0)),$K5)="internal_nonstatistical",IF($K5="",INDEX(primary_jama_2017_21906_domain,MATCH($A5,primary_jama_2017_21906_key,0)),$K5)="plan_material"))),O5&lt;&gt;"",O5&lt;&gt;"not_applicable")</formula>
    </cfRule>
    <cfRule type="expression" priority="722" dxfId="1">
      <formula>OR(AND(IF($J5="",INDEX(primary_jama_2017_21906_disposition,MATCH($A5,primary_jama_2017_21906_key,0)),$J5)&lt;&gt;"",IF($J5="",INDEX(primary_jama_2017_21906_disposition,MATCH($A5,primary_jama_2017_21906_key,0)),$J5)&lt;&gt;"retain"),NOT(OR(IF($K5="",INDEX(primary_jama_2017_21906_domain,MATCH($A5,primary_jama_2017_21906_key,0)),$K5)="internal_nonstatistical",IF($K5="",INDEX(primary_jama_2017_21906_domain,MATCH($A5,primary_jama_2017_21906_key,0)),$K5)="plan_material")))</formula>
    </cfRule>
  </conditionalFormatting>
  <conditionalFormatting sqref="O6">
    <cfRule type="expression" priority="723" dxfId="0" stopIfTrue="1">
      <formula>AND(OR(AND(IF($J6="",INDEX(primary_jama_2017_21906_disposition,MATCH($A6,primary_jama_2017_21906_key,0)),$J6)&lt;&gt;"",IF($J6="",INDEX(primary_jama_2017_21906_disposition,MATCH($A6,primary_jama_2017_21906_key,0)),$J6)&lt;&gt;"retain"),NOT(OR(IF($K6="",INDEX(primary_jama_2017_21906_domain,MATCH($A6,primary_jama_2017_21906_key,0)),$K6)="internal_nonstatistical",IF($K6="",INDEX(primary_jama_2017_21906_domain,MATCH($A6,primary_jama_2017_21906_key,0)),$K6)="plan_material"))),O6&lt;&gt;"",O6&lt;&gt;"not_applicable")</formula>
    </cfRule>
    <cfRule type="expression" priority="724" dxfId="1">
      <formula>OR(AND(IF($J6="",INDEX(primary_jama_2017_21906_disposition,MATCH($A6,primary_jama_2017_21906_key,0)),$J6)&lt;&gt;"",IF($J6="",INDEX(primary_jama_2017_21906_disposition,MATCH($A6,primary_jama_2017_21906_key,0)),$J6)&lt;&gt;"retain"),NOT(OR(IF($K6="",INDEX(primary_jama_2017_21906_domain,MATCH($A6,primary_jama_2017_21906_key,0)),$K6)="internal_nonstatistical",IF($K6="",INDEX(primary_jama_2017_21906_domain,MATCH($A6,primary_jama_2017_21906_key,0)),$K6)="plan_material")))</formula>
    </cfRule>
  </conditionalFormatting>
  <conditionalFormatting sqref="O7">
    <cfRule type="expression" priority="725" dxfId="0" stopIfTrue="1">
      <formula>AND(OR(AND(IF($J7="",INDEX(primary_jama_2017_21906_disposition,MATCH($A7,primary_jama_2017_21906_key,0)),$J7)&lt;&gt;"",IF($J7="",INDEX(primary_jama_2017_21906_disposition,MATCH($A7,primary_jama_2017_21906_key,0)),$J7)&lt;&gt;"retain"),NOT(OR(IF($K7="",INDEX(primary_jama_2017_21906_domain,MATCH($A7,primary_jama_2017_21906_key,0)),$K7)="internal_nonstatistical",IF($K7="",INDEX(primary_jama_2017_21906_domain,MATCH($A7,primary_jama_2017_21906_key,0)),$K7)="plan_material"))),O7&lt;&gt;"",O7&lt;&gt;"not_applicable")</formula>
    </cfRule>
    <cfRule type="expression" priority="726" dxfId="1">
      <formula>OR(AND(IF($J7="",INDEX(primary_jama_2017_21906_disposition,MATCH($A7,primary_jama_2017_21906_key,0)),$J7)&lt;&gt;"",IF($J7="",INDEX(primary_jama_2017_21906_disposition,MATCH($A7,primary_jama_2017_21906_key,0)),$J7)&lt;&gt;"retain"),NOT(OR(IF($K7="",INDEX(primary_jama_2017_21906_domain,MATCH($A7,primary_jama_2017_21906_key,0)),$K7)="internal_nonstatistical",IF($K7="",INDEX(primary_jama_2017_21906_domain,MATCH($A7,primary_jama_2017_21906_key,0)),$K7)="plan_material")))</formula>
    </cfRule>
  </conditionalFormatting>
  <conditionalFormatting sqref="O8">
    <cfRule type="expression" priority="727" dxfId="0" stopIfTrue="1">
      <formula>AND(OR(AND(IF($J8="",INDEX(primary_jama_2018_0156_disposition,MATCH($A8,primary_jama_2018_0156_key,0)),$J8)&lt;&gt;"",IF($J8="",INDEX(primary_jama_2018_0156_disposition,MATCH($A8,primary_jama_2018_0156_key,0)),$J8)&lt;&gt;"retain"),NOT(OR(IF($K8="",INDEX(primary_jama_2018_0156_domain,MATCH($A8,primary_jama_2018_0156_key,0)),$K8)="internal_nonstatistical",IF($K8="",INDEX(primary_jama_2018_0156_domain,MATCH($A8,primary_jama_2018_0156_key,0)),$K8)="plan_material"))),O8&lt;&gt;"",O8&lt;&gt;"not_applicable")</formula>
    </cfRule>
    <cfRule type="expression" priority="728" dxfId="1">
      <formula>OR(AND(IF($J8="",INDEX(primary_jama_2018_0156_disposition,MATCH($A8,primary_jama_2018_0156_key,0)),$J8)&lt;&gt;"",IF($J8="",INDEX(primary_jama_2018_0156_disposition,MATCH($A8,primary_jama_2018_0156_key,0)),$J8)&lt;&gt;"retain"),NOT(OR(IF($K8="",INDEX(primary_jama_2018_0156_domain,MATCH($A8,primary_jama_2018_0156_key,0)),$K8)="internal_nonstatistical",IF($K8="",INDEX(primary_jama_2018_0156_domain,MATCH($A8,primary_jama_2018_0156_key,0)),$K8)="plan_material")))</formula>
    </cfRule>
  </conditionalFormatting>
  <conditionalFormatting sqref="O9">
    <cfRule type="expression" priority="729" dxfId="0" stopIfTrue="1">
      <formula>AND(OR(AND(IF($J9="",INDEX(primary_jama_2018_0156_disposition,MATCH($A9,primary_jama_2018_0156_key,0)),$J9)&lt;&gt;"",IF($J9="",INDEX(primary_jama_2018_0156_disposition,MATCH($A9,primary_jama_2018_0156_key,0)),$J9)&lt;&gt;"retain"),NOT(OR(IF($K9="",INDEX(primary_jama_2018_0156_domain,MATCH($A9,primary_jama_2018_0156_key,0)),$K9)="internal_nonstatistical",IF($K9="",INDEX(primary_jama_2018_0156_domain,MATCH($A9,primary_jama_2018_0156_key,0)),$K9)="plan_material"))),O9&lt;&gt;"",O9&lt;&gt;"not_applicable")</formula>
    </cfRule>
    <cfRule type="expression" priority="730" dxfId="1">
      <formula>OR(AND(IF($J9="",INDEX(primary_jama_2018_0156_disposition,MATCH($A9,primary_jama_2018_0156_key,0)),$J9)&lt;&gt;"",IF($J9="",INDEX(primary_jama_2018_0156_disposition,MATCH($A9,primary_jama_2018_0156_key,0)),$J9)&lt;&gt;"retain"),NOT(OR(IF($K9="",INDEX(primary_jama_2018_0156_domain,MATCH($A9,primary_jama_2018_0156_key,0)),$K9)="internal_nonstatistical",IF($K9="",INDEX(primary_jama_2018_0156_domain,MATCH($A9,primary_jama_2018_0156_key,0)),$K9)="plan_material")))</formula>
    </cfRule>
  </conditionalFormatting>
  <conditionalFormatting sqref="O10">
    <cfRule type="expression" priority="731" dxfId="0" stopIfTrue="1">
      <formula>AND(OR(AND(IF($J10="",INDEX(primary_jama_2018_0156_disposition,MATCH($A10,primary_jama_2018_0156_key,0)),$J10)&lt;&gt;"",IF($J10="",INDEX(primary_jama_2018_0156_disposition,MATCH($A10,primary_jama_2018_0156_key,0)),$J10)&lt;&gt;"retain"),NOT(OR(IF($K10="",INDEX(primary_jama_2018_0156_domain,MATCH($A10,primary_jama_2018_0156_key,0)),$K10)="internal_nonstatistical",IF($K10="",INDEX(primary_jama_2018_0156_domain,MATCH($A10,primary_jama_2018_0156_key,0)),$K10)="plan_material"))),O10&lt;&gt;"",O10&lt;&gt;"not_applicable")</formula>
    </cfRule>
    <cfRule type="expression" priority="732" dxfId="1">
      <formula>OR(AND(IF($J10="",INDEX(primary_jama_2018_0156_disposition,MATCH($A10,primary_jama_2018_0156_key,0)),$J10)&lt;&gt;"",IF($J10="",INDEX(primary_jama_2018_0156_disposition,MATCH($A10,primary_jama_2018_0156_key,0)),$J10)&lt;&gt;"retain"),NOT(OR(IF($K10="",INDEX(primary_jama_2018_0156_domain,MATCH($A10,primary_jama_2018_0156_key,0)),$K10)="internal_nonstatistical",IF($K10="",INDEX(primary_jama_2018_0156_domain,MATCH($A10,primary_jama_2018_0156_key,0)),$K10)="plan_material")))</formula>
    </cfRule>
  </conditionalFormatting>
  <conditionalFormatting sqref="O11">
    <cfRule type="expression" priority="733" dxfId="0" stopIfTrue="1">
      <formula>AND(OR(AND(IF($J11="",INDEX(primary_jama_2018_0156_disposition,MATCH($A11,primary_jama_2018_0156_key,0)),$J11)&lt;&gt;"",IF($J11="",INDEX(primary_jama_2018_0156_disposition,MATCH($A11,primary_jama_2018_0156_key,0)),$J11)&lt;&gt;"retain"),NOT(OR(IF($K11="",INDEX(primary_jama_2018_0156_domain,MATCH($A11,primary_jama_2018_0156_key,0)),$K11)="internal_nonstatistical",IF($K11="",INDEX(primary_jama_2018_0156_domain,MATCH($A11,primary_jama_2018_0156_key,0)),$K11)="plan_material"))),O11&lt;&gt;"",O11&lt;&gt;"not_applicable")</formula>
    </cfRule>
    <cfRule type="expression" priority="734" dxfId="1">
      <formula>OR(AND(IF($J11="",INDEX(primary_jama_2018_0156_disposition,MATCH($A11,primary_jama_2018_0156_key,0)),$J11)&lt;&gt;"",IF($J11="",INDEX(primary_jama_2018_0156_disposition,MATCH($A11,primary_jama_2018_0156_key,0)),$J11)&lt;&gt;"retain"),NOT(OR(IF($K11="",INDEX(primary_jama_2018_0156_domain,MATCH($A11,primary_jama_2018_0156_key,0)),$K11)="internal_nonstatistical",IF($K11="",INDEX(primary_jama_2018_0156_domain,MATCH($A11,primary_jama_2018_0156_key,0)),$K11)="plan_material")))</formula>
    </cfRule>
  </conditionalFormatting>
  <conditionalFormatting sqref="O12">
    <cfRule type="expression" priority="735" dxfId="0" stopIfTrue="1">
      <formula>AND(OR(AND(IF($J12="",INDEX(primary_jama_2018_0156_disposition,MATCH($A12,primary_jama_2018_0156_key,0)),$J12)&lt;&gt;"",IF($J12="",INDEX(primary_jama_2018_0156_disposition,MATCH($A12,primary_jama_2018_0156_key,0)),$J12)&lt;&gt;"retain"),NOT(OR(IF($K12="",INDEX(primary_jama_2018_0156_domain,MATCH($A12,primary_jama_2018_0156_key,0)),$K12)="internal_nonstatistical",IF($K12="",INDEX(primary_jama_2018_0156_domain,MATCH($A12,primary_jama_2018_0156_key,0)),$K12)="plan_material"))),O12&lt;&gt;"",O12&lt;&gt;"not_applicable")</formula>
    </cfRule>
    <cfRule type="expression" priority="736" dxfId="1">
      <formula>OR(AND(IF($J12="",INDEX(primary_jama_2018_0156_disposition,MATCH($A12,primary_jama_2018_0156_key,0)),$J12)&lt;&gt;"",IF($J12="",INDEX(primary_jama_2018_0156_disposition,MATCH($A12,primary_jama_2018_0156_key,0)),$J12)&lt;&gt;"retain"),NOT(OR(IF($K12="",INDEX(primary_jama_2018_0156_domain,MATCH($A12,primary_jama_2018_0156_key,0)),$K12)="internal_nonstatistical",IF($K12="",INDEX(primary_jama_2018_0156_domain,MATCH($A12,primary_jama_2018_0156_key,0)),$K12)="plan_material")))</formula>
    </cfRule>
  </conditionalFormatting>
  <conditionalFormatting sqref="O13">
    <cfRule type="expression" priority="737" dxfId="0" stopIfTrue="1">
      <formula>AND(OR(AND(IF($J13="",INDEX(primary_jama_2018_0156_disposition,MATCH($A13,primary_jama_2018_0156_key,0)),$J13)&lt;&gt;"",IF($J13="",INDEX(primary_jama_2018_0156_disposition,MATCH($A13,primary_jama_2018_0156_key,0)),$J13)&lt;&gt;"retain"),NOT(OR(IF($K13="",INDEX(primary_jama_2018_0156_domain,MATCH($A13,primary_jama_2018_0156_key,0)),$K13)="internal_nonstatistical",IF($K13="",INDEX(primary_jama_2018_0156_domain,MATCH($A13,primary_jama_2018_0156_key,0)),$K13)="plan_material"))),O13&lt;&gt;"",O13&lt;&gt;"not_applicable")</formula>
    </cfRule>
    <cfRule type="expression" priority="738" dxfId="1">
      <formula>OR(AND(IF($J13="",INDEX(primary_jama_2018_0156_disposition,MATCH($A13,primary_jama_2018_0156_key,0)),$J13)&lt;&gt;"",IF($J13="",INDEX(primary_jama_2018_0156_disposition,MATCH($A13,primary_jama_2018_0156_key,0)),$J13)&lt;&gt;"retain"),NOT(OR(IF($K13="",INDEX(primary_jama_2018_0156_domain,MATCH($A13,primary_jama_2018_0156_key,0)),$K13)="internal_nonstatistical",IF($K13="",INDEX(primary_jama_2018_0156_domain,MATCH($A13,primary_jama_2018_0156_key,0)),$K13)="plan_material")))</formula>
    </cfRule>
  </conditionalFormatting>
  <conditionalFormatting sqref="O14">
    <cfRule type="expression" priority="739" dxfId="0" stopIfTrue="1">
      <formula>AND(OR(AND(IF($J14="",INDEX(primary_jama_2018_0156_disposition,MATCH($A14,primary_jama_2018_0156_key,0)),$J14)&lt;&gt;"",IF($J14="",INDEX(primary_jama_2018_0156_disposition,MATCH($A14,primary_jama_2018_0156_key,0)),$J14)&lt;&gt;"retain"),NOT(OR(IF($K14="",INDEX(primary_jama_2018_0156_domain,MATCH($A14,primary_jama_2018_0156_key,0)),$K14)="internal_nonstatistical",IF($K14="",INDEX(primary_jama_2018_0156_domain,MATCH($A14,primary_jama_2018_0156_key,0)),$K14)="plan_material"))),O14&lt;&gt;"",O14&lt;&gt;"not_applicable")</formula>
    </cfRule>
    <cfRule type="expression" priority="740" dxfId="1">
      <formula>OR(AND(IF($J14="",INDEX(primary_jama_2018_0156_disposition,MATCH($A14,primary_jama_2018_0156_key,0)),$J14)&lt;&gt;"",IF($J14="",INDEX(primary_jama_2018_0156_disposition,MATCH($A14,primary_jama_2018_0156_key,0)),$J14)&lt;&gt;"retain"),NOT(OR(IF($K14="",INDEX(primary_jama_2018_0156_domain,MATCH($A14,primary_jama_2018_0156_key,0)),$K14)="internal_nonstatistical",IF($K14="",INDEX(primary_jama_2018_0156_domain,MATCH($A14,primary_jama_2018_0156_key,0)),$K14)="plan_material")))</formula>
    </cfRule>
  </conditionalFormatting>
  <conditionalFormatting sqref="O15">
    <cfRule type="expression" priority="741" dxfId="0" stopIfTrue="1">
      <formula>AND(OR(AND(IF($J15="",INDEX(primary_jama_2018_0156_disposition,MATCH($A15,primary_jama_2018_0156_key,0)),$J15)&lt;&gt;"",IF($J15="",INDEX(primary_jama_2018_0156_disposition,MATCH($A15,primary_jama_2018_0156_key,0)),$J15)&lt;&gt;"retain"),NOT(OR(IF($K15="",INDEX(primary_jama_2018_0156_domain,MATCH($A15,primary_jama_2018_0156_key,0)),$K15)="internal_nonstatistical",IF($K15="",INDEX(primary_jama_2018_0156_domain,MATCH($A15,primary_jama_2018_0156_key,0)),$K15)="plan_material"))),O15&lt;&gt;"",O15&lt;&gt;"not_applicable")</formula>
    </cfRule>
    <cfRule type="expression" priority="742" dxfId="1">
      <formula>OR(AND(IF($J15="",INDEX(primary_jama_2018_0156_disposition,MATCH($A15,primary_jama_2018_0156_key,0)),$J15)&lt;&gt;"",IF($J15="",INDEX(primary_jama_2018_0156_disposition,MATCH($A15,primary_jama_2018_0156_key,0)),$J15)&lt;&gt;"retain"),NOT(OR(IF($K15="",INDEX(primary_jama_2018_0156_domain,MATCH($A15,primary_jama_2018_0156_key,0)),$K15)="internal_nonstatistical",IF($K15="",INDEX(primary_jama_2018_0156_domain,MATCH($A15,primary_jama_2018_0156_key,0)),$K15)="plan_material")))</formula>
    </cfRule>
  </conditionalFormatting>
  <conditionalFormatting sqref="O16">
    <cfRule type="expression" priority="743" dxfId="0" stopIfTrue="1">
      <formula>AND(OR(AND(IF($J16="",INDEX(primary_jama_2018_0948_disposition,MATCH($A16,primary_jama_2018_0948_key,0)),$J16)&lt;&gt;"",IF($J16="",INDEX(primary_jama_2018_0948_disposition,MATCH($A16,primary_jama_2018_0948_key,0)),$J16)&lt;&gt;"retain"),NOT(OR(IF($K16="",INDEX(primary_jama_2018_0948_domain,MATCH($A16,primary_jama_2018_0948_key,0)),$K16)="internal_nonstatistical",IF($K16="",INDEX(primary_jama_2018_0948_domain,MATCH($A16,primary_jama_2018_0948_key,0)),$K16)="plan_material"))),O16&lt;&gt;"",O16&lt;&gt;"not_applicable")</formula>
    </cfRule>
    <cfRule type="expression" priority="744" dxfId="1">
      <formula>OR(AND(IF($J16="",INDEX(primary_jama_2018_0948_disposition,MATCH($A16,primary_jama_2018_0948_key,0)),$J16)&lt;&gt;"",IF($J16="",INDEX(primary_jama_2018_0948_disposition,MATCH($A16,primary_jama_2018_0948_key,0)),$J16)&lt;&gt;"retain"),NOT(OR(IF($K16="",INDEX(primary_jama_2018_0948_domain,MATCH($A16,primary_jama_2018_0948_key,0)),$K16)="internal_nonstatistical",IF($K16="",INDEX(primary_jama_2018_0948_domain,MATCH($A16,primary_jama_2018_0948_key,0)),$K16)="plan_material")))</formula>
    </cfRule>
  </conditionalFormatting>
  <conditionalFormatting sqref="O17">
    <cfRule type="expression" priority="745" dxfId="0" stopIfTrue="1">
      <formula>AND(OR(AND(IF($J17="",INDEX(primary_jama_2018_0948_disposition,MATCH($A17,primary_jama_2018_0948_key,0)),$J17)&lt;&gt;"",IF($J17="",INDEX(primary_jama_2018_0948_disposition,MATCH($A17,primary_jama_2018_0948_key,0)),$J17)&lt;&gt;"retain"),NOT(OR(IF($K17="",INDEX(primary_jama_2018_0948_domain,MATCH($A17,primary_jama_2018_0948_key,0)),$K17)="internal_nonstatistical",IF($K17="",INDEX(primary_jama_2018_0948_domain,MATCH($A17,primary_jama_2018_0948_key,0)),$K17)="plan_material"))),O17&lt;&gt;"",O17&lt;&gt;"not_applicable")</formula>
    </cfRule>
    <cfRule type="expression" priority="746" dxfId="1">
      <formula>OR(AND(IF($J17="",INDEX(primary_jama_2018_0948_disposition,MATCH($A17,primary_jama_2018_0948_key,0)),$J17)&lt;&gt;"",IF($J17="",INDEX(primary_jama_2018_0948_disposition,MATCH($A17,primary_jama_2018_0948_key,0)),$J17)&lt;&gt;"retain"),NOT(OR(IF($K17="",INDEX(primary_jama_2018_0948_domain,MATCH($A17,primary_jama_2018_0948_key,0)),$K17)="internal_nonstatistical",IF($K17="",INDEX(primary_jama_2018_0948_domain,MATCH($A17,primary_jama_2018_0948_key,0)),$K17)="plan_material")))</formula>
    </cfRule>
  </conditionalFormatting>
  <conditionalFormatting sqref="O18">
    <cfRule type="expression" priority="747" dxfId="0" stopIfTrue="1">
      <formula>AND(OR(AND(IF($J18="",INDEX(primary_jama_2018_0948_disposition,MATCH($A18,primary_jama_2018_0948_key,0)),$J18)&lt;&gt;"",IF($J18="",INDEX(primary_jama_2018_0948_disposition,MATCH($A18,primary_jama_2018_0948_key,0)),$J18)&lt;&gt;"retain"),NOT(OR(IF($K18="",INDEX(primary_jama_2018_0948_domain,MATCH($A18,primary_jama_2018_0948_key,0)),$K18)="internal_nonstatistical",IF($K18="",INDEX(primary_jama_2018_0948_domain,MATCH($A18,primary_jama_2018_0948_key,0)),$K18)="plan_material"))),O18&lt;&gt;"",O18&lt;&gt;"not_applicable")</formula>
    </cfRule>
    <cfRule type="expression" priority="748" dxfId="1">
      <formula>OR(AND(IF($J18="",INDEX(primary_jama_2018_0948_disposition,MATCH($A18,primary_jama_2018_0948_key,0)),$J18)&lt;&gt;"",IF($J18="",INDEX(primary_jama_2018_0948_disposition,MATCH($A18,primary_jama_2018_0948_key,0)),$J18)&lt;&gt;"retain"),NOT(OR(IF($K18="",INDEX(primary_jama_2018_0948_domain,MATCH($A18,primary_jama_2018_0948_key,0)),$K18)="internal_nonstatistical",IF($K18="",INDEX(primary_jama_2018_0948_domain,MATCH($A18,primary_jama_2018_0948_key,0)),$K18)="plan_material")))</formula>
    </cfRule>
  </conditionalFormatting>
  <conditionalFormatting sqref="O19">
    <cfRule type="expression" priority="749" dxfId="0" stopIfTrue="1">
      <formula>AND(OR(AND(IF($J19="",INDEX(primary_jama_2018_0948_disposition,MATCH($A19,primary_jama_2018_0948_key,0)),$J19)&lt;&gt;"",IF($J19="",INDEX(primary_jama_2018_0948_disposition,MATCH($A19,primary_jama_2018_0948_key,0)),$J19)&lt;&gt;"retain"),NOT(OR(IF($K19="",INDEX(primary_jama_2018_0948_domain,MATCH($A19,primary_jama_2018_0948_key,0)),$K19)="internal_nonstatistical",IF($K19="",INDEX(primary_jama_2018_0948_domain,MATCH($A19,primary_jama_2018_0948_key,0)),$K19)="plan_material"))),O19&lt;&gt;"",O19&lt;&gt;"not_applicable")</formula>
    </cfRule>
    <cfRule type="expression" priority="750" dxfId="1">
      <formula>OR(AND(IF($J19="",INDEX(primary_jama_2018_0948_disposition,MATCH($A19,primary_jama_2018_0948_key,0)),$J19)&lt;&gt;"",IF($J19="",INDEX(primary_jama_2018_0948_disposition,MATCH($A19,primary_jama_2018_0948_key,0)),$J19)&lt;&gt;"retain"),NOT(OR(IF($K19="",INDEX(primary_jama_2018_0948_domain,MATCH($A19,primary_jama_2018_0948_key,0)),$K19)="internal_nonstatistical",IF($K19="",INDEX(primary_jama_2018_0948_domain,MATCH($A19,primary_jama_2018_0948_key,0)),$K19)="plan_material")))</formula>
    </cfRule>
  </conditionalFormatting>
  <conditionalFormatting sqref="O20">
    <cfRule type="expression" priority="751" dxfId="0" stopIfTrue="1">
      <formula>AND(OR(AND(IF($J20="",INDEX(primary_jama_2018_0948_disposition,MATCH($A20,primary_jama_2018_0948_key,0)),$J20)&lt;&gt;"",IF($J20="",INDEX(primary_jama_2018_0948_disposition,MATCH($A20,primary_jama_2018_0948_key,0)),$J20)&lt;&gt;"retain"),NOT(OR(IF($K20="",INDEX(primary_jama_2018_0948_domain,MATCH($A20,primary_jama_2018_0948_key,0)),$K20)="internal_nonstatistical",IF($K20="",INDEX(primary_jama_2018_0948_domain,MATCH($A20,primary_jama_2018_0948_key,0)),$K20)="plan_material"))),O20&lt;&gt;"",O20&lt;&gt;"not_applicable")</formula>
    </cfRule>
    <cfRule type="expression" priority="752" dxfId="1">
      <formula>OR(AND(IF($J20="",INDEX(primary_jama_2018_0948_disposition,MATCH($A20,primary_jama_2018_0948_key,0)),$J20)&lt;&gt;"",IF($J20="",INDEX(primary_jama_2018_0948_disposition,MATCH($A20,primary_jama_2018_0948_key,0)),$J20)&lt;&gt;"retain"),NOT(OR(IF($K20="",INDEX(primary_jama_2018_0948_domain,MATCH($A20,primary_jama_2018_0948_key,0)),$K20)="internal_nonstatistical",IF($K20="",INDEX(primary_jama_2018_0948_domain,MATCH($A20,primary_jama_2018_0948_key,0)),$K20)="plan_material")))</formula>
    </cfRule>
  </conditionalFormatting>
  <conditionalFormatting sqref="O21">
    <cfRule type="expression" priority="753" dxfId="0" stopIfTrue="1">
      <formula>AND(OR(AND(IF($J21="",INDEX(primary_jama_2018_0948_disposition,MATCH($A21,primary_jama_2018_0948_key,0)),$J21)&lt;&gt;"",IF($J21="",INDEX(primary_jama_2018_0948_disposition,MATCH($A21,primary_jama_2018_0948_key,0)),$J21)&lt;&gt;"retain"),NOT(OR(IF($K21="",INDEX(primary_jama_2018_0948_domain,MATCH($A21,primary_jama_2018_0948_key,0)),$K21)="internal_nonstatistical",IF($K21="",INDEX(primary_jama_2018_0948_domain,MATCH($A21,primary_jama_2018_0948_key,0)),$K21)="plan_material"))),O21&lt;&gt;"",O21&lt;&gt;"not_applicable")</formula>
    </cfRule>
    <cfRule type="expression" priority="754" dxfId="1">
      <formula>OR(AND(IF($J21="",INDEX(primary_jama_2018_0948_disposition,MATCH($A21,primary_jama_2018_0948_key,0)),$J21)&lt;&gt;"",IF($J21="",INDEX(primary_jama_2018_0948_disposition,MATCH($A21,primary_jama_2018_0948_key,0)),$J21)&lt;&gt;"retain"),NOT(OR(IF($K21="",INDEX(primary_jama_2018_0948_domain,MATCH($A21,primary_jama_2018_0948_key,0)),$K21)="internal_nonstatistical",IF($K21="",INDEX(primary_jama_2018_0948_domain,MATCH($A21,primary_jama_2018_0948_key,0)),$K21)="plan_material")))</formula>
    </cfRule>
  </conditionalFormatting>
  <conditionalFormatting sqref="O22">
    <cfRule type="expression" priority="755" dxfId="0" stopIfTrue="1">
      <formula>AND(OR(AND(IF($J22="",INDEX(primary_jama_2018_0948_disposition,MATCH($A22,primary_jama_2018_0948_key,0)),$J22)&lt;&gt;"",IF($J22="",INDEX(primary_jama_2018_0948_disposition,MATCH($A22,primary_jama_2018_0948_key,0)),$J22)&lt;&gt;"retain"),NOT(OR(IF($K22="",INDEX(primary_jama_2018_0948_domain,MATCH($A22,primary_jama_2018_0948_key,0)),$K22)="internal_nonstatistical",IF($K22="",INDEX(primary_jama_2018_0948_domain,MATCH($A22,primary_jama_2018_0948_key,0)),$K22)="plan_material"))),O22&lt;&gt;"",O22&lt;&gt;"not_applicable")</formula>
    </cfRule>
    <cfRule type="expression" priority="756" dxfId="1">
      <formula>OR(AND(IF($J22="",INDEX(primary_jama_2018_0948_disposition,MATCH($A22,primary_jama_2018_0948_key,0)),$J22)&lt;&gt;"",IF($J22="",INDEX(primary_jama_2018_0948_disposition,MATCH($A22,primary_jama_2018_0948_key,0)),$J22)&lt;&gt;"retain"),NOT(OR(IF($K22="",INDEX(primary_jama_2018_0948_domain,MATCH($A22,primary_jama_2018_0948_key,0)),$K22)="internal_nonstatistical",IF($K22="",INDEX(primary_jama_2018_0948_domain,MATCH($A22,primary_jama_2018_0948_key,0)),$K22)="plan_material")))</formula>
    </cfRule>
  </conditionalFormatting>
  <conditionalFormatting sqref="O23">
    <cfRule type="expression" priority="757" dxfId="0" stopIfTrue="1">
      <formula>AND(OR(AND(IF($J23="",INDEX(primary_jama_2018_14280_disposition,MATCH($A23,primary_jama_2018_14280_key,0)),$J23)&lt;&gt;"",IF($J23="",INDEX(primary_jama_2018_14280_disposition,MATCH($A23,primary_jama_2018_14280_key,0)),$J23)&lt;&gt;"retain"),NOT(OR(IF($K23="",INDEX(primary_jama_2018_14280_domain,MATCH($A23,primary_jama_2018_14280_key,0)),$K23)="internal_nonstatistical",IF($K23="",INDEX(primary_jama_2018_14280_domain,MATCH($A23,primary_jama_2018_14280_key,0)),$K23)="plan_material"))),O23&lt;&gt;"",O23&lt;&gt;"not_applicable")</formula>
    </cfRule>
    <cfRule type="expression" priority="758" dxfId="1">
      <formula>OR(AND(IF($J23="",INDEX(primary_jama_2018_14280_disposition,MATCH($A23,primary_jama_2018_14280_key,0)),$J23)&lt;&gt;"",IF($J23="",INDEX(primary_jama_2018_14280_disposition,MATCH($A23,primary_jama_2018_14280_key,0)),$J23)&lt;&gt;"retain"),NOT(OR(IF($K23="",INDEX(primary_jama_2018_14280_domain,MATCH($A23,primary_jama_2018_14280_key,0)),$K23)="internal_nonstatistical",IF($K23="",INDEX(primary_jama_2018_14280_domain,MATCH($A23,primary_jama_2018_14280_key,0)),$K23)="plan_material")))</formula>
    </cfRule>
  </conditionalFormatting>
  <conditionalFormatting sqref="O24">
    <cfRule type="expression" priority="759" dxfId="0" stopIfTrue="1">
      <formula>AND(OR(AND(IF($J24="",INDEX(primary_jama_2018_14280_disposition,MATCH($A24,primary_jama_2018_14280_key,0)),$J24)&lt;&gt;"",IF($J24="",INDEX(primary_jama_2018_14280_disposition,MATCH($A24,primary_jama_2018_14280_key,0)),$J24)&lt;&gt;"retain"),NOT(OR(IF($K24="",INDEX(primary_jama_2018_14280_domain,MATCH($A24,primary_jama_2018_14280_key,0)),$K24)="internal_nonstatistical",IF($K24="",INDEX(primary_jama_2018_14280_domain,MATCH($A24,primary_jama_2018_14280_key,0)),$K24)="plan_material"))),O24&lt;&gt;"",O24&lt;&gt;"not_applicable")</formula>
    </cfRule>
    <cfRule type="expression" priority="760" dxfId="1">
      <formula>OR(AND(IF($J24="",INDEX(primary_jama_2018_14280_disposition,MATCH($A24,primary_jama_2018_14280_key,0)),$J24)&lt;&gt;"",IF($J24="",INDEX(primary_jama_2018_14280_disposition,MATCH($A24,primary_jama_2018_14280_key,0)),$J24)&lt;&gt;"retain"),NOT(OR(IF($K24="",INDEX(primary_jama_2018_14280_domain,MATCH($A24,primary_jama_2018_14280_key,0)),$K24)="internal_nonstatistical",IF($K24="",INDEX(primary_jama_2018_14280_domain,MATCH($A24,primary_jama_2018_14280_key,0)),$K24)="plan_material")))</formula>
    </cfRule>
  </conditionalFormatting>
  <conditionalFormatting sqref="O25">
    <cfRule type="expression" priority="761" dxfId="0" stopIfTrue="1">
      <formula>AND(OR(AND(IF($J25="",INDEX(primary_jama_2018_14280_disposition,MATCH($A25,primary_jama_2018_14280_key,0)),$J25)&lt;&gt;"",IF($J25="",INDEX(primary_jama_2018_14280_disposition,MATCH($A25,primary_jama_2018_14280_key,0)),$J25)&lt;&gt;"retain"),NOT(OR(IF($K25="",INDEX(primary_jama_2018_14280_domain,MATCH($A25,primary_jama_2018_14280_key,0)),$K25)="internal_nonstatistical",IF($K25="",INDEX(primary_jama_2018_14280_domain,MATCH($A25,primary_jama_2018_14280_key,0)),$K25)="plan_material"))),O25&lt;&gt;"",O25&lt;&gt;"not_applicable")</formula>
    </cfRule>
    <cfRule type="expression" priority="762" dxfId="1">
      <formula>OR(AND(IF($J25="",INDEX(primary_jama_2018_14280_disposition,MATCH($A25,primary_jama_2018_14280_key,0)),$J25)&lt;&gt;"",IF($J25="",INDEX(primary_jama_2018_14280_disposition,MATCH($A25,primary_jama_2018_14280_key,0)),$J25)&lt;&gt;"retain"),NOT(OR(IF($K25="",INDEX(primary_jama_2018_14280_domain,MATCH($A25,primary_jama_2018_14280_key,0)),$K25)="internal_nonstatistical",IF($K25="",INDEX(primary_jama_2018_14280_domain,MATCH($A25,primary_jama_2018_14280_key,0)),$K25)="plan_material")))</formula>
    </cfRule>
  </conditionalFormatting>
  <conditionalFormatting sqref="O26">
    <cfRule type="expression" priority="763" dxfId="0" stopIfTrue="1">
      <formula>AND(OR(AND(IF($J26="",INDEX(primary_jama_2018_14280_disposition,MATCH($A26,primary_jama_2018_14280_key,0)),$J26)&lt;&gt;"",IF($J26="",INDEX(primary_jama_2018_14280_disposition,MATCH($A26,primary_jama_2018_14280_key,0)),$J26)&lt;&gt;"retain"),NOT(OR(IF($K26="",INDEX(primary_jama_2018_14280_domain,MATCH($A26,primary_jama_2018_14280_key,0)),$K26)="internal_nonstatistical",IF($K26="",INDEX(primary_jama_2018_14280_domain,MATCH($A26,primary_jama_2018_14280_key,0)),$K26)="plan_material"))),O26&lt;&gt;"",O26&lt;&gt;"not_applicable")</formula>
    </cfRule>
    <cfRule type="expression" priority="764" dxfId="1">
      <formula>OR(AND(IF($J26="",INDEX(primary_jama_2018_14280_disposition,MATCH($A26,primary_jama_2018_14280_key,0)),$J26)&lt;&gt;"",IF($J26="",INDEX(primary_jama_2018_14280_disposition,MATCH($A26,primary_jama_2018_14280_key,0)),$J26)&lt;&gt;"retain"),NOT(OR(IF($K26="",INDEX(primary_jama_2018_14280_domain,MATCH($A26,primary_jama_2018_14280_key,0)),$K26)="internal_nonstatistical",IF($K26="",INDEX(primary_jama_2018_14280_domain,MATCH($A26,primary_jama_2018_14280_key,0)),$K26)="plan_material")))</formula>
    </cfRule>
  </conditionalFormatting>
  <conditionalFormatting sqref="O27">
    <cfRule type="expression" priority="765" dxfId="0" stopIfTrue="1">
      <formula>AND(OR(AND(IF($J27="",INDEX(primary_jama_2018_14280_disposition,MATCH($A27,primary_jama_2018_14280_key,0)),$J27)&lt;&gt;"",IF($J27="",INDEX(primary_jama_2018_14280_disposition,MATCH($A27,primary_jama_2018_14280_key,0)),$J27)&lt;&gt;"retain"),NOT(OR(IF($K27="",INDEX(primary_jama_2018_14280_domain,MATCH($A27,primary_jama_2018_14280_key,0)),$K27)="internal_nonstatistical",IF($K27="",INDEX(primary_jama_2018_14280_domain,MATCH($A27,primary_jama_2018_14280_key,0)),$K27)="plan_material"))),O27&lt;&gt;"",O27&lt;&gt;"not_applicable")</formula>
    </cfRule>
    <cfRule type="expression" priority="766" dxfId="1">
      <formula>OR(AND(IF($J27="",INDEX(primary_jama_2018_14280_disposition,MATCH($A27,primary_jama_2018_14280_key,0)),$J27)&lt;&gt;"",IF($J27="",INDEX(primary_jama_2018_14280_disposition,MATCH($A27,primary_jama_2018_14280_key,0)),$J27)&lt;&gt;"retain"),NOT(OR(IF($K27="",INDEX(primary_jama_2018_14280_domain,MATCH($A27,primary_jama_2018_14280_key,0)),$K27)="internal_nonstatistical",IF($K27="",INDEX(primary_jama_2018_14280_domain,MATCH($A27,primary_jama_2018_14280_key,0)),$K27)="plan_material")))</formula>
    </cfRule>
  </conditionalFormatting>
  <conditionalFormatting sqref="O28">
    <cfRule type="expression" priority="767" dxfId="0" stopIfTrue="1">
      <formula>AND(OR(AND(IF($J28="",INDEX(primary_jama_2018_14280_disposition,MATCH($A28,primary_jama_2018_14280_key,0)),$J28)&lt;&gt;"",IF($J28="",INDEX(primary_jama_2018_14280_disposition,MATCH($A28,primary_jama_2018_14280_key,0)),$J28)&lt;&gt;"retain"),NOT(OR(IF($K28="",INDEX(primary_jama_2018_14280_domain,MATCH($A28,primary_jama_2018_14280_key,0)),$K28)="internal_nonstatistical",IF($K28="",INDEX(primary_jama_2018_14280_domain,MATCH($A28,primary_jama_2018_14280_key,0)),$K28)="plan_material"))),O28&lt;&gt;"",O28&lt;&gt;"not_applicable")</formula>
    </cfRule>
    <cfRule type="expression" priority="768" dxfId="1">
      <formula>OR(AND(IF($J28="",INDEX(primary_jama_2018_14280_disposition,MATCH($A28,primary_jama_2018_14280_key,0)),$J28)&lt;&gt;"",IF($J28="",INDEX(primary_jama_2018_14280_disposition,MATCH($A28,primary_jama_2018_14280_key,0)),$J28)&lt;&gt;"retain"),NOT(OR(IF($K28="",INDEX(primary_jama_2018_14280_domain,MATCH($A28,primary_jama_2018_14280_key,0)),$K28)="internal_nonstatistical",IF($K28="",INDEX(primary_jama_2018_14280_domain,MATCH($A28,primary_jama_2018_14280_key,0)),$K28)="plan_material")))</formula>
    </cfRule>
  </conditionalFormatting>
  <conditionalFormatting sqref="O29">
    <cfRule type="expression" priority="769" dxfId="0" stopIfTrue="1">
      <formula>AND(OR(AND(IF($J29="",INDEX(primary_jama_2018_14280_disposition,MATCH($A29,primary_jama_2018_14280_key,0)),$J29)&lt;&gt;"",IF($J29="",INDEX(primary_jama_2018_14280_disposition,MATCH($A29,primary_jama_2018_14280_key,0)),$J29)&lt;&gt;"retain"),NOT(OR(IF($K29="",INDEX(primary_jama_2018_14280_domain,MATCH($A29,primary_jama_2018_14280_key,0)),$K29)="internal_nonstatistical",IF($K29="",INDEX(primary_jama_2018_14280_domain,MATCH($A29,primary_jama_2018_14280_key,0)),$K29)="plan_material"))),O29&lt;&gt;"",O29&lt;&gt;"not_applicable")</formula>
    </cfRule>
    <cfRule type="expression" priority="770" dxfId="1">
      <formula>OR(AND(IF($J29="",INDEX(primary_jama_2018_14280_disposition,MATCH($A29,primary_jama_2018_14280_key,0)),$J29)&lt;&gt;"",IF($J29="",INDEX(primary_jama_2018_14280_disposition,MATCH($A29,primary_jama_2018_14280_key,0)),$J29)&lt;&gt;"retain"),NOT(OR(IF($K29="",INDEX(primary_jama_2018_14280_domain,MATCH($A29,primary_jama_2018_14280_key,0)),$K29)="internal_nonstatistical",IF($K29="",INDEX(primary_jama_2018_14280_domain,MATCH($A29,primary_jama_2018_14280_key,0)),$K29)="plan_material")))</formula>
    </cfRule>
  </conditionalFormatting>
  <conditionalFormatting sqref="O30">
    <cfRule type="expression" priority="771" dxfId="0" stopIfTrue="1">
      <formula>AND(OR(AND(IF($J30="",INDEX(primary_jama_2018_14280_disposition,MATCH($A30,primary_jama_2018_14280_key,0)),$J30)&lt;&gt;"",IF($J30="",INDEX(primary_jama_2018_14280_disposition,MATCH($A30,primary_jama_2018_14280_key,0)),$J30)&lt;&gt;"retain"),NOT(OR(IF($K30="",INDEX(primary_jama_2018_14280_domain,MATCH($A30,primary_jama_2018_14280_key,0)),$K30)="internal_nonstatistical",IF($K30="",INDEX(primary_jama_2018_14280_domain,MATCH($A30,primary_jama_2018_14280_key,0)),$K30)="plan_material"))),O30&lt;&gt;"",O30&lt;&gt;"not_applicable")</formula>
    </cfRule>
    <cfRule type="expression" priority="772" dxfId="1">
      <formula>OR(AND(IF($J30="",INDEX(primary_jama_2018_14280_disposition,MATCH($A30,primary_jama_2018_14280_key,0)),$J30)&lt;&gt;"",IF($J30="",INDEX(primary_jama_2018_14280_disposition,MATCH($A30,primary_jama_2018_14280_key,0)),$J30)&lt;&gt;"retain"),NOT(OR(IF($K30="",INDEX(primary_jama_2018_14280_domain,MATCH($A30,primary_jama_2018_14280_key,0)),$K30)="internal_nonstatistical",IF($K30="",INDEX(primary_jama_2018_14280_domain,MATCH($A30,primary_jama_2018_14280_key,0)),$K30)="plan_material")))</formula>
    </cfRule>
  </conditionalFormatting>
  <conditionalFormatting sqref="O31">
    <cfRule type="expression" priority="773" dxfId="0" stopIfTrue="1">
      <formula>AND(OR(AND(IF($J31="",INDEX(primary_jama_2018_14280_disposition,MATCH($A31,primary_jama_2018_14280_key,0)),$J31)&lt;&gt;"",IF($J31="",INDEX(primary_jama_2018_14280_disposition,MATCH($A31,primary_jama_2018_14280_key,0)),$J31)&lt;&gt;"retain"),NOT(OR(IF($K31="",INDEX(primary_jama_2018_14280_domain,MATCH($A31,primary_jama_2018_14280_key,0)),$K31)="internal_nonstatistical",IF($K31="",INDEX(primary_jama_2018_14280_domain,MATCH($A31,primary_jama_2018_14280_key,0)),$K31)="plan_material"))),O31&lt;&gt;"",O31&lt;&gt;"not_applicable")</formula>
    </cfRule>
    <cfRule type="expression" priority="774" dxfId="1">
      <formula>OR(AND(IF($J31="",INDEX(primary_jama_2018_14280_disposition,MATCH($A31,primary_jama_2018_14280_key,0)),$J31)&lt;&gt;"",IF($J31="",INDEX(primary_jama_2018_14280_disposition,MATCH($A31,primary_jama_2018_14280_key,0)),$J31)&lt;&gt;"retain"),NOT(OR(IF($K31="",INDEX(primary_jama_2018_14280_domain,MATCH($A31,primary_jama_2018_14280_key,0)),$K31)="internal_nonstatistical",IF($K31="",INDEX(primary_jama_2018_14280_domain,MATCH($A31,primary_jama_2018_14280_key,0)),$K31)="plan_material")))</formula>
    </cfRule>
  </conditionalFormatting>
  <conditionalFormatting sqref="O32">
    <cfRule type="expression" priority="775" dxfId="0" stopIfTrue="1">
      <formula>AND(OR(AND(IF($J32="",INDEX(primary_jama_2018_14280_disposition,MATCH($A32,primary_jama_2018_14280_key,0)),$J32)&lt;&gt;"",IF($J32="",INDEX(primary_jama_2018_14280_disposition,MATCH($A32,primary_jama_2018_14280_key,0)),$J32)&lt;&gt;"retain"),NOT(OR(IF($K32="",INDEX(primary_jama_2018_14280_domain,MATCH($A32,primary_jama_2018_14280_key,0)),$K32)="internal_nonstatistical",IF($K32="",INDEX(primary_jama_2018_14280_domain,MATCH($A32,primary_jama_2018_14280_key,0)),$K32)="plan_material"))),O32&lt;&gt;"",O32&lt;&gt;"not_applicable")</formula>
    </cfRule>
    <cfRule type="expression" priority="776" dxfId="1">
      <formula>OR(AND(IF($J32="",INDEX(primary_jama_2018_14280_disposition,MATCH($A32,primary_jama_2018_14280_key,0)),$J32)&lt;&gt;"",IF($J32="",INDEX(primary_jama_2018_14280_disposition,MATCH($A32,primary_jama_2018_14280_key,0)),$J32)&lt;&gt;"retain"),NOT(OR(IF($K32="",INDEX(primary_jama_2018_14280_domain,MATCH($A32,primary_jama_2018_14280_key,0)),$K32)="internal_nonstatistical",IF($K32="",INDEX(primary_jama_2018_14280_domain,MATCH($A32,primary_jama_2018_14280_key,0)),$K32)="plan_material")))</formula>
    </cfRule>
  </conditionalFormatting>
  <conditionalFormatting sqref="O33">
    <cfRule type="expression" priority="777" dxfId="0" stopIfTrue="1">
      <formula>AND(OR(AND(IF($J33="",INDEX(primary_jama_2018_14280_disposition,MATCH($A33,primary_jama_2018_14280_key,0)),$J33)&lt;&gt;"",IF($J33="",INDEX(primary_jama_2018_14280_disposition,MATCH($A33,primary_jama_2018_14280_key,0)),$J33)&lt;&gt;"retain"),NOT(OR(IF($K33="",INDEX(primary_jama_2018_14280_domain,MATCH($A33,primary_jama_2018_14280_key,0)),$K33)="internal_nonstatistical",IF($K33="",INDEX(primary_jama_2018_14280_domain,MATCH($A33,primary_jama_2018_14280_key,0)),$K33)="plan_material"))),O33&lt;&gt;"",O33&lt;&gt;"not_applicable")</formula>
    </cfRule>
    <cfRule type="expression" priority="778" dxfId="1">
      <formula>OR(AND(IF($J33="",INDEX(primary_jama_2018_14280_disposition,MATCH($A33,primary_jama_2018_14280_key,0)),$J33)&lt;&gt;"",IF($J33="",INDEX(primary_jama_2018_14280_disposition,MATCH($A33,primary_jama_2018_14280_key,0)),$J33)&lt;&gt;"retain"),NOT(OR(IF($K33="",INDEX(primary_jama_2018_14280_domain,MATCH($A33,primary_jama_2018_14280_key,0)),$K33)="internal_nonstatistical",IF($K33="",INDEX(primary_jama_2018_14280_domain,MATCH($A33,primary_jama_2018_14280_key,0)),$K33)="plan_material")))</formula>
    </cfRule>
  </conditionalFormatting>
  <conditionalFormatting sqref="O34">
    <cfRule type="expression" priority="779" dxfId="0" stopIfTrue="1">
      <formula>AND(OR(AND(IF($J34="",INDEX(primary_jama_2018_14280_disposition,MATCH($A34,primary_jama_2018_14280_key,0)),$J34)&lt;&gt;"",IF($J34="",INDEX(primary_jama_2018_14280_disposition,MATCH($A34,primary_jama_2018_14280_key,0)),$J34)&lt;&gt;"retain"),NOT(OR(IF($K34="",INDEX(primary_jama_2018_14280_domain,MATCH($A34,primary_jama_2018_14280_key,0)),$K34)="internal_nonstatistical",IF($K34="",INDEX(primary_jama_2018_14280_domain,MATCH($A34,primary_jama_2018_14280_key,0)),$K34)="plan_material"))),O34&lt;&gt;"",O34&lt;&gt;"not_applicable")</formula>
    </cfRule>
    <cfRule type="expression" priority="780" dxfId="1">
      <formula>OR(AND(IF($J34="",INDEX(primary_jama_2018_14280_disposition,MATCH($A34,primary_jama_2018_14280_key,0)),$J34)&lt;&gt;"",IF($J34="",INDEX(primary_jama_2018_14280_disposition,MATCH($A34,primary_jama_2018_14280_key,0)),$J34)&lt;&gt;"retain"),NOT(OR(IF($K34="",INDEX(primary_jama_2018_14280_domain,MATCH($A34,primary_jama_2018_14280_key,0)),$K34)="internal_nonstatistical",IF($K34="",INDEX(primary_jama_2018_14280_domain,MATCH($A34,primary_jama_2018_14280_key,0)),$K34)="plan_material")))</formula>
    </cfRule>
  </conditionalFormatting>
  <conditionalFormatting sqref="O35">
    <cfRule type="expression" priority="781" dxfId="0" stopIfTrue="1">
      <formula>AND(OR(AND(IF($J35="",INDEX(primary_jama_2018_14280_disposition,MATCH($A35,primary_jama_2018_14280_key,0)),$J35)&lt;&gt;"",IF($J35="",INDEX(primary_jama_2018_14280_disposition,MATCH($A35,primary_jama_2018_14280_key,0)),$J35)&lt;&gt;"retain"),NOT(OR(IF($K35="",INDEX(primary_jama_2018_14280_domain,MATCH($A35,primary_jama_2018_14280_key,0)),$K35)="internal_nonstatistical",IF($K35="",INDEX(primary_jama_2018_14280_domain,MATCH($A35,primary_jama_2018_14280_key,0)),$K35)="plan_material"))),O35&lt;&gt;"",O35&lt;&gt;"not_applicable")</formula>
    </cfRule>
    <cfRule type="expression" priority="782" dxfId="1">
      <formula>OR(AND(IF($J35="",INDEX(primary_jama_2018_14280_disposition,MATCH($A35,primary_jama_2018_14280_key,0)),$J35)&lt;&gt;"",IF($J35="",INDEX(primary_jama_2018_14280_disposition,MATCH($A35,primary_jama_2018_14280_key,0)),$J35)&lt;&gt;"retain"),NOT(OR(IF($K35="",INDEX(primary_jama_2018_14280_domain,MATCH($A35,primary_jama_2018_14280_key,0)),$K35)="internal_nonstatistical",IF($K35="",INDEX(primary_jama_2018_14280_domain,MATCH($A35,primary_jama_2018_14280_key,0)),$K35)="plan_material")))</formula>
    </cfRule>
  </conditionalFormatting>
  <conditionalFormatting sqref="O36">
    <cfRule type="expression" priority="783" dxfId="0" stopIfTrue="1">
      <formula>AND(OR(AND(IF($J36="",INDEX(primary_jama_2018_14280_disposition,MATCH($A36,primary_jama_2018_14280_key,0)),$J36)&lt;&gt;"",IF($J36="",INDEX(primary_jama_2018_14280_disposition,MATCH($A36,primary_jama_2018_14280_key,0)),$J36)&lt;&gt;"retain"),NOT(OR(IF($K36="",INDEX(primary_jama_2018_14280_domain,MATCH($A36,primary_jama_2018_14280_key,0)),$K36)="internal_nonstatistical",IF($K36="",INDEX(primary_jama_2018_14280_domain,MATCH($A36,primary_jama_2018_14280_key,0)),$K36)="plan_material"))),O36&lt;&gt;"",O36&lt;&gt;"not_applicable")</formula>
    </cfRule>
    <cfRule type="expression" priority="784" dxfId="1">
      <formula>OR(AND(IF($J36="",INDEX(primary_jama_2018_14280_disposition,MATCH($A36,primary_jama_2018_14280_key,0)),$J36)&lt;&gt;"",IF($J36="",INDEX(primary_jama_2018_14280_disposition,MATCH($A36,primary_jama_2018_14280_key,0)),$J36)&lt;&gt;"retain"),NOT(OR(IF($K36="",INDEX(primary_jama_2018_14280_domain,MATCH($A36,primary_jama_2018_14280_key,0)),$K36)="internal_nonstatistical",IF($K36="",INDEX(primary_jama_2018_14280_domain,MATCH($A36,primary_jama_2018_14280_key,0)),$K36)="plan_material")))</formula>
    </cfRule>
  </conditionalFormatting>
  <conditionalFormatting sqref="O37">
    <cfRule type="expression" priority="785" dxfId="0" stopIfTrue="1">
      <formula>AND(OR(AND(IF($J37="",INDEX(primary_jama_2018_14280_disposition,MATCH($A37,primary_jama_2018_14280_key,0)),$J37)&lt;&gt;"",IF($J37="",INDEX(primary_jama_2018_14280_disposition,MATCH($A37,primary_jama_2018_14280_key,0)),$J37)&lt;&gt;"retain"),NOT(OR(IF($K37="",INDEX(primary_jama_2018_14280_domain,MATCH($A37,primary_jama_2018_14280_key,0)),$K37)="internal_nonstatistical",IF($K37="",INDEX(primary_jama_2018_14280_domain,MATCH($A37,primary_jama_2018_14280_key,0)),$K37)="plan_material"))),O37&lt;&gt;"",O37&lt;&gt;"not_applicable")</formula>
    </cfRule>
    <cfRule type="expression" priority="786" dxfId="1">
      <formula>OR(AND(IF($J37="",INDEX(primary_jama_2018_14280_disposition,MATCH($A37,primary_jama_2018_14280_key,0)),$J37)&lt;&gt;"",IF($J37="",INDEX(primary_jama_2018_14280_disposition,MATCH($A37,primary_jama_2018_14280_key,0)),$J37)&lt;&gt;"retain"),NOT(OR(IF($K37="",INDEX(primary_jama_2018_14280_domain,MATCH($A37,primary_jama_2018_14280_key,0)),$K37)="internal_nonstatistical",IF($K37="",INDEX(primary_jama_2018_14280_domain,MATCH($A37,primary_jama_2018_14280_key,0)),$K37)="plan_material")))</formula>
    </cfRule>
  </conditionalFormatting>
  <conditionalFormatting sqref="O38">
    <cfRule type="expression" priority="787" dxfId="0" stopIfTrue="1">
      <formula>AND(OR(AND(IF($J38="",INDEX(primary_jama_2018_14280_disposition,MATCH($A38,primary_jama_2018_14280_key,0)),$J38)&lt;&gt;"",IF($J38="",INDEX(primary_jama_2018_14280_disposition,MATCH($A38,primary_jama_2018_14280_key,0)),$J38)&lt;&gt;"retain"),NOT(OR(IF($K38="",INDEX(primary_jama_2018_14280_domain,MATCH($A38,primary_jama_2018_14280_key,0)),$K38)="internal_nonstatistical",IF($K38="",INDEX(primary_jama_2018_14280_domain,MATCH($A38,primary_jama_2018_14280_key,0)),$K38)="plan_material"))),O38&lt;&gt;"",O38&lt;&gt;"not_applicable")</formula>
    </cfRule>
    <cfRule type="expression" priority="788" dxfId="1">
      <formula>OR(AND(IF($J38="",INDEX(primary_jama_2018_14280_disposition,MATCH($A38,primary_jama_2018_14280_key,0)),$J38)&lt;&gt;"",IF($J38="",INDEX(primary_jama_2018_14280_disposition,MATCH($A38,primary_jama_2018_14280_key,0)),$J38)&lt;&gt;"retain"),NOT(OR(IF($K38="",INDEX(primary_jama_2018_14280_domain,MATCH($A38,primary_jama_2018_14280_key,0)),$K38)="internal_nonstatistical",IF($K38="",INDEX(primary_jama_2018_14280_domain,MATCH($A38,primary_jama_2018_14280_key,0)),$K38)="plan_material")))</formula>
    </cfRule>
  </conditionalFormatting>
  <conditionalFormatting sqref="O39">
    <cfRule type="expression" priority="789" dxfId="0" stopIfTrue="1">
      <formula>AND(OR(AND(IF($J39="",INDEX(primary_jama_2018_14280_disposition,MATCH($A39,primary_jama_2018_14280_key,0)),$J39)&lt;&gt;"",IF($J39="",INDEX(primary_jama_2018_14280_disposition,MATCH($A39,primary_jama_2018_14280_key,0)),$J39)&lt;&gt;"retain"),NOT(OR(IF($K39="",INDEX(primary_jama_2018_14280_domain,MATCH($A39,primary_jama_2018_14280_key,0)),$K39)="internal_nonstatistical",IF($K39="",INDEX(primary_jama_2018_14280_domain,MATCH($A39,primary_jama_2018_14280_key,0)),$K39)="plan_material"))),O39&lt;&gt;"",O39&lt;&gt;"not_applicable")</formula>
    </cfRule>
    <cfRule type="expression" priority="790" dxfId="1">
      <formula>OR(AND(IF($J39="",INDEX(primary_jama_2018_14280_disposition,MATCH($A39,primary_jama_2018_14280_key,0)),$J39)&lt;&gt;"",IF($J39="",INDEX(primary_jama_2018_14280_disposition,MATCH($A39,primary_jama_2018_14280_key,0)),$J39)&lt;&gt;"retain"),NOT(OR(IF($K39="",INDEX(primary_jama_2018_14280_domain,MATCH($A39,primary_jama_2018_14280_key,0)),$K39)="internal_nonstatistical",IF($K39="",INDEX(primary_jama_2018_14280_domain,MATCH($A39,primary_jama_2018_14280_key,0)),$K39)="plan_material")))</formula>
    </cfRule>
  </conditionalFormatting>
  <conditionalFormatting sqref="O40">
    <cfRule type="expression" priority="791" dxfId="0" stopIfTrue="1">
      <formula>AND(OR(AND(IF($J40="",INDEX(primary_jama_2018_14280_disposition,MATCH($A40,primary_jama_2018_14280_key,0)),$J40)&lt;&gt;"",IF($J40="",INDEX(primary_jama_2018_14280_disposition,MATCH($A40,primary_jama_2018_14280_key,0)),$J40)&lt;&gt;"retain"),NOT(OR(IF($K40="",INDEX(primary_jama_2018_14280_domain,MATCH($A40,primary_jama_2018_14280_key,0)),$K40)="internal_nonstatistical",IF($K40="",INDEX(primary_jama_2018_14280_domain,MATCH($A40,primary_jama_2018_14280_key,0)),$K40)="plan_material"))),O40&lt;&gt;"",O40&lt;&gt;"not_applicable")</formula>
    </cfRule>
    <cfRule type="expression" priority="792" dxfId="1">
      <formula>OR(AND(IF($J40="",INDEX(primary_jama_2018_14280_disposition,MATCH($A40,primary_jama_2018_14280_key,0)),$J40)&lt;&gt;"",IF($J40="",INDEX(primary_jama_2018_14280_disposition,MATCH($A40,primary_jama_2018_14280_key,0)),$J40)&lt;&gt;"retain"),NOT(OR(IF($K40="",INDEX(primary_jama_2018_14280_domain,MATCH($A40,primary_jama_2018_14280_key,0)),$K40)="internal_nonstatistical",IF($K40="",INDEX(primary_jama_2018_14280_domain,MATCH($A40,primary_jama_2018_14280_key,0)),$K40)="plan_material")))</formula>
    </cfRule>
  </conditionalFormatting>
  <conditionalFormatting sqref="O41">
    <cfRule type="expression" priority="793" dxfId="0" stopIfTrue="1">
      <formula>AND(OR(AND(IF($J41="",INDEX(primary_jama_2018_14280_disposition,MATCH($A41,primary_jama_2018_14280_key,0)),$J41)&lt;&gt;"",IF($J41="",INDEX(primary_jama_2018_14280_disposition,MATCH($A41,primary_jama_2018_14280_key,0)),$J41)&lt;&gt;"retain"),NOT(OR(IF($K41="",INDEX(primary_jama_2018_14280_domain,MATCH($A41,primary_jama_2018_14280_key,0)),$K41)="internal_nonstatistical",IF($K41="",INDEX(primary_jama_2018_14280_domain,MATCH($A41,primary_jama_2018_14280_key,0)),$K41)="plan_material"))),O41&lt;&gt;"",O41&lt;&gt;"not_applicable")</formula>
    </cfRule>
    <cfRule type="expression" priority="794" dxfId="1">
      <formula>OR(AND(IF($J41="",INDEX(primary_jama_2018_14280_disposition,MATCH($A41,primary_jama_2018_14280_key,0)),$J41)&lt;&gt;"",IF($J41="",INDEX(primary_jama_2018_14280_disposition,MATCH($A41,primary_jama_2018_14280_key,0)),$J41)&lt;&gt;"retain"),NOT(OR(IF($K41="",INDEX(primary_jama_2018_14280_domain,MATCH($A41,primary_jama_2018_14280_key,0)),$K41)="internal_nonstatistical",IF($K41="",INDEX(primary_jama_2018_14280_domain,MATCH($A41,primary_jama_2018_14280_key,0)),$K41)="plan_material")))</formula>
    </cfRule>
  </conditionalFormatting>
  <conditionalFormatting sqref="O42">
    <cfRule type="expression" priority="795" dxfId="0" stopIfTrue="1">
      <formula>AND(OR(AND(IF($J42="",INDEX(primary_jama_2018_14280_disposition,MATCH($A42,primary_jama_2018_14280_key,0)),$J42)&lt;&gt;"",IF($J42="",INDEX(primary_jama_2018_14280_disposition,MATCH($A42,primary_jama_2018_14280_key,0)),$J42)&lt;&gt;"retain"),NOT(OR(IF($K42="",INDEX(primary_jama_2018_14280_domain,MATCH($A42,primary_jama_2018_14280_key,0)),$K42)="internal_nonstatistical",IF($K42="",INDEX(primary_jama_2018_14280_domain,MATCH($A42,primary_jama_2018_14280_key,0)),$K42)="plan_material"))),O42&lt;&gt;"",O42&lt;&gt;"not_applicable")</formula>
    </cfRule>
    <cfRule type="expression" priority="796" dxfId="1">
      <formula>OR(AND(IF($J42="",INDEX(primary_jama_2018_14280_disposition,MATCH($A42,primary_jama_2018_14280_key,0)),$J42)&lt;&gt;"",IF($J42="",INDEX(primary_jama_2018_14280_disposition,MATCH($A42,primary_jama_2018_14280_key,0)),$J42)&lt;&gt;"retain"),NOT(OR(IF($K42="",INDEX(primary_jama_2018_14280_domain,MATCH($A42,primary_jama_2018_14280_key,0)),$K42)="internal_nonstatistical",IF($K42="",INDEX(primary_jama_2018_14280_domain,MATCH($A42,primary_jama_2018_14280_key,0)),$K42)="plan_material")))</formula>
    </cfRule>
  </conditionalFormatting>
  <conditionalFormatting sqref="O43">
    <cfRule type="expression" priority="797" dxfId="0" stopIfTrue="1">
      <formula>AND(OR(AND(IF($J43="",INDEX(primary_jama_2018_14280_disposition,MATCH($A43,primary_jama_2018_14280_key,0)),$J43)&lt;&gt;"",IF($J43="",INDEX(primary_jama_2018_14280_disposition,MATCH($A43,primary_jama_2018_14280_key,0)),$J43)&lt;&gt;"retain"),NOT(OR(IF($K43="",INDEX(primary_jama_2018_14280_domain,MATCH($A43,primary_jama_2018_14280_key,0)),$K43)="internal_nonstatistical",IF($K43="",INDEX(primary_jama_2018_14280_domain,MATCH($A43,primary_jama_2018_14280_key,0)),$K43)="plan_material"))),O43&lt;&gt;"",O43&lt;&gt;"not_applicable")</formula>
    </cfRule>
    <cfRule type="expression" priority="798" dxfId="1">
      <formula>OR(AND(IF($J43="",INDEX(primary_jama_2018_14280_disposition,MATCH($A43,primary_jama_2018_14280_key,0)),$J43)&lt;&gt;"",IF($J43="",INDEX(primary_jama_2018_14280_disposition,MATCH($A43,primary_jama_2018_14280_key,0)),$J43)&lt;&gt;"retain"),NOT(OR(IF($K43="",INDEX(primary_jama_2018_14280_domain,MATCH($A43,primary_jama_2018_14280_key,0)),$K43)="internal_nonstatistical",IF($K43="",INDEX(primary_jama_2018_14280_domain,MATCH($A43,primary_jama_2018_14280_key,0)),$K43)="plan_material")))</formula>
    </cfRule>
  </conditionalFormatting>
  <conditionalFormatting sqref="O44">
    <cfRule type="expression" priority="799" dxfId="0" stopIfTrue="1">
      <formula>AND(OR(AND(IF($J44="",INDEX(primary_jama_2018_14280_disposition,MATCH($A44,primary_jama_2018_14280_key,0)),$J44)&lt;&gt;"",IF($J44="",INDEX(primary_jama_2018_14280_disposition,MATCH($A44,primary_jama_2018_14280_key,0)),$J44)&lt;&gt;"retain"),NOT(OR(IF($K44="",INDEX(primary_jama_2018_14280_domain,MATCH($A44,primary_jama_2018_14280_key,0)),$K44)="internal_nonstatistical",IF($K44="",INDEX(primary_jama_2018_14280_domain,MATCH($A44,primary_jama_2018_14280_key,0)),$K44)="plan_material"))),O44&lt;&gt;"",O44&lt;&gt;"not_applicable")</formula>
    </cfRule>
    <cfRule type="expression" priority="800" dxfId="1">
      <formula>OR(AND(IF($J44="",INDEX(primary_jama_2018_14280_disposition,MATCH($A44,primary_jama_2018_14280_key,0)),$J44)&lt;&gt;"",IF($J44="",INDEX(primary_jama_2018_14280_disposition,MATCH($A44,primary_jama_2018_14280_key,0)),$J44)&lt;&gt;"retain"),NOT(OR(IF($K44="",INDEX(primary_jama_2018_14280_domain,MATCH($A44,primary_jama_2018_14280_key,0)),$K44)="internal_nonstatistical",IF($K44="",INDEX(primary_jama_2018_14280_domain,MATCH($A44,primary_jama_2018_14280_key,0)),$K44)="plan_material")))</formula>
    </cfRule>
  </conditionalFormatting>
  <conditionalFormatting sqref="O45">
    <cfRule type="expression" priority="801" dxfId="0" stopIfTrue="1">
      <formula>AND(OR(AND(IF($J45="",INDEX(primary_jama_2018_14280_disposition,MATCH($A45,primary_jama_2018_14280_key,0)),$J45)&lt;&gt;"",IF($J45="",INDEX(primary_jama_2018_14280_disposition,MATCH($A45,primary_jama_2018_14280_key,0)),$J45)&lt;&gt;"retain"),NOT(OR(IF($K45="",INDEX(primary_jama_2018_14280_domain,MATCH($A45,primary_jama_2018_14280_key,0)),$K45)="internal_nonstatistical",IF($K45="",INDEX(primary_jama_2018_14280_domain,MATCH($A45,primary_jama_2018_14280_key,0)),$K45)="plan_material"))),O45&lt;&gt;"",O45&lt;&gt;"not_applicable")</formula>
    </cfRule>
    <cfRule type="expression" priority="802" dxfId="1">
      <formula>OR(AND(IF($J45="",INDEX(primary_jama_2018_14280_disposition,MATCH($A45,primary_jama_2018_14280_key,0)),$J45)&lt;&gt;"",IF($J45="",INDEX(primary_jama_2018_14280_disposition,MATCH($A45,primary_jama_2018_14280_key,0)),$J45)&lt;&gt;"retain"),NOT(OR(IF($K45="",INDEX(primary_jama_2018_14280_domain,MATCH($A45,primary_jama_2018_14280_key,0)),$K45)="internal_nonstatistical",IF($K45="",INDEX(primary_jama_2018_14280_domain,MATCH($A45,primary_jama_2018_14280_key,0)),$K45)="plan_material")))</formula>
    </cfRule>
  </conditionalFormatting>
  <conditionalFormatting sqref="O46">
    <cfRule type="expression" priority="803" dxfId="0" stopIfTrue="1">
      <formula>AND(OR(AND(IF($J46="",INDEX(primary_jama_2018_14282_disposition,MATCH($A46,primary_jama_2018_14282_key,0)),$J46)&lt;&gt;"",IF($J46="",INDEX(primary_jama_2018_14282_disposition,MATCH($A46,primary_jama_2018_14282_key,0)),$J46)&lt;&gt;"retain"),NOT(OR(IF($K46="",INDEX(primary_jama_2018_14282_domain,MATCH($A46,primary_jama_2018_14282_key,0)),$K46)="internal_nonstatistical",IF($K46="",INDEX(primary_jama_2018_14282_domain,MATCH($A46,primary_jama_2018_14282_key,0)),$K46)="plan_material"))),O46&lt;&gt;"",O46&lt;&gt;"not_applicable")</formula>
    </cfRule>
    <cfRule type="expression" priority="804" dxfId="1">
      <formula>OR(AND(IF($J46="",INDEX(primary_jama_2018_14282_disposition,MATCH($A46,primary_jama_2018_14282_key,0)),$J46)&lt;&gt;"",IF($J46="",INDEX(primary_jama_2018_14282_disposition,MATCH($A46,primary_jama_2018_14282_key,0)),$J46)&lt;&gt;"retain"),NOT(OR(IF($K46="",INDEX(primary_jama_2018_14282_domain,MATCH($A46,primary_jama_2018_14282_key,0)),$K46)="internal_nonstatistical",IF($K46="",INDEX(primary_jama_2018_14282_domain,MATCH($A46,primary_jama_2018_14282_key,0)),$K46)="plan_material")))</formula>
    </cfRule>
  </conditionalFormatting>
  <conditionalFormatting sqref="O47">
    <cfRule type="expression" priority="805" dxfId="0" stopIfTrue="1">
      <formula>AND(OR(AND(IF($J47="",INDEX(primary_jama_2018_14282_disposition,MATCH($A47,primary_jama_2018_14282_key,0)),$J47)&lt;&gt;"",IF($J47="",INDEX(primary_jama_2018_14282_disposition,MATCH($A47,primary_jama_2018_14282_key,0)),$J47)&lt;&gt;"retain"),NOT(OR(IF($K47="",INDEX(primary_jama_2018_14282_domain,MATCH($A47,primary_jama_2018_14282_key,0)),$K47)="internal_nonstatistical",IF($K47="",INDEX(primary_jama_2018_14282_domain,MATCH($A47,primary_jama_2018_14282_key,0)),$K47)="plan_material"))),O47&lt;&gt;"",O47&lt;&gt;"not_applicable")</formula>
    </cfRule>
    <cfRule type="expression" priority="806" dxfId="1">
      <formula>OR(AND(IF($J47="",INDEX(primary_jama_2018_14282_disposition,MATCH($A47,primary_jama_2018_14282_key,0)),$J47)&lt;&gt;"",IF($J47="",INDEX(primary_jama_2018_14282_disposition,MATCH($A47,primary_jama_2018_14282_key,0)),$J47)&lt;&gt;"retain"),NOT(OR(IF($K47="",INDEX(primary_jama_2018_14282_domain,MATCH($A47,primary_jama_2018_14282_key,0)),$K47)="internal_nonstatistical",IF($K47="",INDEX(primary_jama_2018_14282_domain,MATCH($A47,primary_jama_2018_14282_key,0)),$K47)="plan_material")))</formula>
    </cfRule>
  </conditionalFormatting>
  <conditionalFormatting sqref="O48">
    <cfRule type="expression" priority="807" dxfId="0" stopIfTrue="1">
      <formula>AND(OR(AND(IF($J48="",INDEX(primary_jama_2018_14282_disposition,MATCH($A48,primary_jama_2018_14282_key,0)),$J48)&lt;&gt;"",IF($J48="",INDEX(primary_jama_2018_14282_disposition,MATCH($A48,primary_jama_2018_14282_key,0)),$J48)&lt;&gt;"retain"),NOT(OR(IF($K48="",INDEX(primary_jama_2018_14282_domain,MATCH($A48,primary_jama_2018_14282_key,0)),$K48)="internal_nonstatistical",IF($K48="",INDEX(primary_jama_2018_14282_domain,MATCH($A48,primary_jama_2018_14282_key,0)),$K48)="plan_material"))),O48&lt;&gt;"",O48&lt;&gt;"not_applicable")</formula>
    </cfRule>
    <cfRule type="expression" priority="808" dxfId="1">
      <formula>OR(AND(IF($J48="",INDEX(primary_jama_2018_14282_disposition,MATCH($A48,primary_jama_2018_14282_key,0)),$J48)&lt;&gt;"",IF($J48="",INDEX(primary_jama_2018_14282_disposition,MATCH($A48,primary_jama_2018_14282_key,0)),$J48)&lt;&gt;"retain"),NOT(OR(IF($K48="",INDEX(primary_jama_2018_14282_domain,MATCH($A48,primary_jama_2018_14282_key,0)),$K48)="internal_nonstatistical",IF($K48="",INDEX(primary_jama_2018_14282_domain,MATCH($A48,primary_jama_2018_14282_key,0)),$K48)="plan_material")))</formula>
    </cfRule>
  </conditionalFormatting>
  <conditionalFormatting sqref="O49">
    <cfRule type="expression" priority="809" dxfId="0" stopIfTrue="1">
      <formula>AND(OR(AND(IF($J49="",INDEX(primary_jama_2018_14282_disposition,MATCH($A49,primary_jama_2018_14282_key,0)),$J49)&lt;&gt;"",IF($J49="",INDEX(primary_jama_2018_14282_disposition,MATCH($A49,primary_jama_2018_14282_key,0)),$J49)&lt;&gt;"retain"),NOT(OR(IF($K49="",INDEX(primary_jama_2018_14282_domain,MATCH($A49,primary_jama_2018_14282_key,0)),$K49)="internal_nonstatistical",IF($K49="",INDEX(primary_jama_2018_14282_domain,MATCH($A49,primary_jama_2018_14282_key,0)),$K49)="plan_material"))),O49&lt;&gt;"",O49&lt;&gt;"not_applicable")</formula>
    </cfRule>
    <cfRule type="expression" priority="810" dxfId="1">
      <formula>OR(AND(IF($J49="",INDEX(primary_jama_2018_14282_disposition,MATCH($A49,primary_jama_2018_14282_key,0)),$J49)&lt;&gt;"",IF($J49="",INDEX(primary_jama_2018_14282_disposition,MATCH($A49,primary_jama_2018_14282_key,0)),$J49)&lt;&gt;"retain"),NOT(OR(IF($K49="",INDEX(primary_jama_2018_14282_domain,MATCH($A49,primary_jama_2018_14282_key,0)),$K49)="internal_nonstatistical",IF($K49="",INDEX(primary_jama_2018_14282_domain,MATCH($A49,primary_jama_2018_14282_key,0)),$K49)="plan_material")))</formula>
    </cfRule>
  </conditionalFormatting>
  <conditionalFormatting sqref="O50">
    <cfRule type="expression" priority="811" dxfId="0" stopIfTrue="1">
      <formula>AND(OR(AND(IF($J50="",INDEX(primary_jama_2018_14282_disposition,MATCH($A50,primary_jama_2018_14282_key,0)),$J50)&lt;&gt;"",IF($J50="",INDEX(primary_jama_2018_14282_disposition,MATCH($A50,primary_jama_2018_14282_key,0)),$J50)&lt;&gt;"retain"),NOT(OR(IF($K50="",INDEX(primary_jama_2018_14282_domain,MATCH($A50,primary_jama_2018_14282_key,0)),$K50)="internal_nonstatistical",IF($K50="",INDEX(primary_jama_2018_14282_domain,MATCH($A50,primary_jama_2018_14282_key,0)),$K50)="plan_material"))),O50&lt;&gt;"",O50&lt;&gt;"not_applicable")</formula>
    </cfRule>
    <cfRule type="expression" priority="812" dxfId="1">
      <formula>OR(AND(IF($J50="",INDEX(primary_jama_2018_14282_disposition,MATCH($A50,primary_jama_2018_14282_key,0)),$J50)&lt;&gt;"",IF($J50="",INDEX(primary_jama_2018_14282_disposition,MATCH($A50,primary_jama_2018_14282_key,0)),$J50)&lt;&gt;"retain"),NOT(OR(IF($K50="",INDEX(primary_jama_2018_14282_domain,MATCH($A50,primary_jama_2018_14282_key,0)),$K50)="internal_nonstatistical",IF($K50="",INDEX(primary_jama_2018_14282_domain,MATCH($A50,primary_jama_2018_14282_key,0)),$K50)="plan_material")))</formula>
    </cfRule>
  </conditionalFormatting>
  <conditionalFormatting sqref="O51">
    <cfRule type="expression" priority="813" dxfId="0" stopIfTrue="1">
      <formula>AND(OR(AND(IF($J51="",INDEX(primary_jama_2018_14282_disposition,MATCH($A51,primary_jama_2018_14282_key,0)),$J51)&lt;&gt;"",IF($J51="",INDEX(primary_jama_2018_14282_disposition,MATCH($A51,primary_jama_2018_14282_key,0)),$J51)&lt;&gt;"retain"),NOT(OR(IF($K51="",INDEX(primary_jama_2018_14282_domain,MATCH($A51,primary_jama_2018_14282_key,0)),$K51)="internal_nonstatistical",IF($K51="",INDEX(primary_jama_2018_14282_domain,MATCH($A51,primary_jama_2018_14282_key,0)),$K51)="plan_material"))),O51&lt;&gt;"",O51&lt;&gt;"not_applicable")</formula>
    </cfRule>
    <cfRule type="expression" priority="814" dxfId="1">
      <formula>OR(AND(IF($J51="",INDEX(primary_jama_2018_14282_disposition,MATCH($A51,primary_jama_2018_14282_key,0)),$J51)&lt;&gt;"",IF($J51="",INDEX(primary_jama_2018_14282_disposition,MATCH($A51,primary_jama_2018_14282_key,0)),$J51)&lt;&gt;"retain"),NOT(OR(IF($K51="",INDEX(primary_jama_2018_14282_domain,MATCH($A51,primary_jama_2018_14282_key,0)),$K51)="internal_nonstatistical",IF($K51="",INDEX(primary_jama_2018_14282_domain,MATCH($A51,primary_jama_2018_14282_key,0)),$K51)="plan_material")))</formula>
    </cfRule>
  </conditionalFormatting>
  <conditionalFormatting sqref="O52">
    <cfRule type="expression" priority="815" dxfId="0" stopIfTrue="1">
      <formula>AND(OR(AND(IF($J52="",INDEX(primary_jama_2018_14282_disposition,MATCH($A52,primary_jama_2018_14282_key,0)),$J52)&lt;&gt;"",IF($J52="",INDEX(primary_jama_2018_14282_disposition,MATCH($A52,primary_jama_2018_14282_key,0)),$J52)&lt;&gt;"retain"),NOT(OR(IF($K52="",INDEX(primary_jama_2018_14282_domain,MATCH($A52,primary_jama_2018_14282_key,0)),$K52)="internal_nonstatistical",IF($K52="",INDEX(primary_jama_2018_14282_domain,MATCH($A52,primary_jama_2018_14282_key,0)),$K52)="plan_material"))),O52&lt;&gt;"",O52&lt;&gt;"not_applicable")</formula>
    </cfRule>
    <cfRule type="expression" priority="816" dxfId="1">
      <formula>OR(AND(IF($J52="",INDEX(primary_jama_2018_14282_disposition,MATCH($A52,primary_jama_2018_14282_key,0)),$J52)&lt;&gt;"",IF($J52="",INDEX(primary_jama_2018_14282_disposition,MATCH($A52,primary_jama_2018_14282_key,0)),$J52)&lt;&gt;"retain"),NOT(OR(IF($K52="",INDEX(primary_jama_2018_14282_domain,MATCH($A52,primary_jama_2018_14282_key,0)),$K52)="internal_nonstatistical",IF($K52="",INDEX(primary_jama_2018_14282_domain,MATCH($A52,primary_jama_2018_14282_key,0)),$K52)="plan_material")))</formula>
    </cfRule>
  </conditionalFormatting>
  <conditionalFormatting sqref="O53">
    <cfRule type="expression" priority="817" dxfId="0" stopIfTrue="1">
      <formula>AND(OR(AND(IF($J53="",INDEX(primary_jama_2018_14282_disposition,MATCH($A53,primary_jama_2018_14282_key,0)),$J53)&lt;&gt;"",IF($J53="",INDEX(primary_jama_2018_14282_disposition,MATCH($A53,primary_jama_2018_14282_key,0)),$J53)&lt;&gt;"retain"),NOT(OR(IF($K53="",INDEX(primary_jama_2018_14282_domain,MATCH($A53,primary_jama_2018_14282_key,0)),$K53)="internal_nonstatistical",IF($K53="",INDEX(primary_jama_2018_14282_domain,MATCH($A53,primary_jama_2018_14282_key,0)),$K53)="plan_material"))),O53&lt;&gt;"",O53&lt;&gt;"not_applicable")</formula>
    </cfRule>
    <cfRule type="expression" priority="818" dxfId="1">
      <formula>OR(AND(IF($J53="",INDEX(primary_jama_2018_14282_disposition,MATCH($A53,primary_jama_2018_14282_key,0)),$J53)&lt;&gt;"",IF($J53="",INDEX(primary_jama_2018_14282_disposition,MATCH($A53,primary_jama_2018_14282_key,0)),$J53)&lt;&gt;"retain"),NOT(OR(IF($K53="",INDEX(primary_jama_2018_14282_domain,MATCH($A53,primary_jama_2018_14282_key,0)),$K53)="internal_nonstatistical",IF($K53="",INDEX(primary_jama_2018_14282_domain,MATCH($A53,primary_jama_2018_14282_key,0)),$K53)="plan_material")))</formula>
    </cfRule>
  </conditionalFormatting>
  <conditionalFormatting sqref="O54">
    <cfRule type="expression" priority="819" dxfId="0" stopIfTrue="1">
      <formula>AND(OR(AND(IF($J54="",INDEX(primary_jama_2018_14282_disposition,MATCH($A54,primary_jama_2018_14282_key,0)),$J54)&lt;&gt;"",IF($J54="",INDEX(primary_jama_2018_14282_disposition,MATCH($A54,primary_jama_2018_14282_key,0)),$J54)&lt;&gt;"retain"),NOT(OR(IF($K54="",INDEX(primary_jama_2018_14282_domain,MATCH($A54,primary_jama_2018_14282_key,0)),$K54)="internal_nonstatistical",IF($K54="",INDEX(primary_jama_2018_14282_domain,MATCH($A54,primary_jama_2018_14282_key,0)),$K54)="plan_material"))),O54&lt;&gt;"",O54&lt;&gt;"not_applicable")</formula>
    </cfRule>
    <cfRule type="expression" priority="820" dxfId="1">
      <formula>OR(AND(IF($J54="",INDEX(primary_jama_2018_14282_disposition,MATCH($A54,primary_jama_2018_14282_key,0)),$J54)&lt;&gt;"",IF($J54="",INDEX(primary_jama_2018_14282_disposition,MATCH($A54,primary_jama_2018_14282_key,0)),$J54)&lt;&gt;"retain"),NOT(OR(IF($K54="",INDEX(primary_jama_2018_14282_domain,MATCH($A54,primary_jama_2018_14282_key,0)),$K54)="internal_nonstatistical",IF($K54="",INDEX(primary_jama_2018_14282_domain,MATCH($A54,primary_jama_2018_14282_key,0)),$K54)="plan_material")))</formula>
    </cfRule>
  </conditionalFormatting>
  <conditionalFormatting sqref="O55">
    <cfRule type="expression" priority="821" dxfId="0" stopIfTrue="1">
      <formula>AND(OR(AND(IF($J55="",INDEX(primary_jama_2018_14282_disposition,MATCH($A55,primary_jama_2018_14282_key,0)),$J55)&lt;&gt;"",IF($J55="",INDEX(primary_jama_2018_14282_disposition,MATCH($A55,primary_jama_2018_14282_key,0)),$J55)&lt;&gt;"retain"),NOT(OR(IF($K55="",INDEX(primary_jama_2018_14282_domain,MATCH($A55,primary_jama_2018_14282_key,0)),$K55)="internal_nonstatistical",IF($K55="",INDEX(primary_jama_2018_14282_domain,MATCH($A55,primary_jama_2018_14282_key,0)),$K55)="plan_material"))),O55&lt;&gt;"",O55&lt;&gt;"not_applicable")</formula>
    </cfRule>
    <cfRule type="expression" priority="822" dxfId="1">
      <formula>OR(AND(IF($J55="",INDEX(primary_jama_2018_14282_disposition,MATCH($A55,primary_jama_2018_14282_key,0)),$J55)&lt;&gt;"",IF($J55="",INDEX(primary_jama_2018_14282_disposition,MATCH($A55,primary_jama_2018_14282_key,0)),$J55)&lt;&gt;"retain"),NOT(OR(IF($K55="",INDEX(primary_jama_2018_14282_domain,MATCH($A55,primary_jama_2018_14282_key,0)),$K55)="internal_nonstatistical",IF($K55="",INDEX(primary_jama_2018_14282_domain,MATCH($A55,primary_jama_2018_14282_key,0)),$K55)="plan_material")))</formula>
    </cfRule>
  </conditionalFormatting>
  <conditionalFormatting sqref="O56">
    <cfRule type="expression" priority="823" dxfId="0" stopIfTrue="1">
      <formula>AND(OR(AND(IF($J56="",INDEX(primary_jama_2018_14282_disposition,MATCH($A56,primary_jama_2018_14282_key,0)),$J56)&lt;&gt;"",IF($J56="",INDEX(primary_jama_2018_14282_disposition,MATCH($A56,primary_jama_2018_14282_key,0)),$J56)&lt;&gt;"retain"),NOT(OR(IF($K56="",INDEX(primary_jama_2018_14282_domain,MATCH($A56,primary_jama_2018_14282_key,0)),$K56)="internal_nonstatistical",IF($K56="",INDEX(primary_jama_2018_14282_domain,MATCH($A56,primary_jama_2018_14282_key,0)),$K56)="plan_material"))),O56&lt;&gt;"",O56&lt;&gt;"not_applicable")</formula>
    </cfRule>
    <cfRule type="expression" priority="824" dxfId="1">
      <formula>OR(AND(IF($J56="",INDEX(primary_jama_2018_14282_disposition,MATCH($A56,primary_jama_2018_14282_key,0)),$J56)&lt;&gt;"",IF($J56="",INDEX(primary_jama_2018_14282_disposition,MATCH($A56,primary_jama_2018_14282_key,0)),$J56)&lt;&gt;"retain"),NOT(OR(IF($K56="",INDEX(primary_jama_2018_14282_domain,MATCH($A56,primary_jama_2018_14282_key,0)),$K56)="internal_nonstatistical",IF($K56="",INDEX(primary_jama_2018_14282_domain,MATCH($A56,primary_jama_2018_14282_key,0)),$K56)="plan_material")))</formula>
    </cfRule>
  </conditionalFormatting>
  <conditionalFormatting sqref="O57">
    <cfRule type="expression" priority="825" dxfId="0" stopIfTrue="1">
      <formula>AND(OR(AND(IF($J57="",INDEX(primary_jama_2018_14282_disposition,MATCH($A57,primary_jama_2018_14282_key,0)),$J57)&lt;&gt;"",IF($J57="",INDEX(primary_jama_2018_14282_disposition,MATCH($A57,primary_jama_2018_14282_key,0)),$J57)&lt;&gt;"retain"),NOT(OR(IF($K57="",INDEX(primary_jama_2018_14282_domain,MATCH($A57,primary_jama_2018_14282_key,0)),$K57)="internal_nonstatistical",IF($K57="",INDEX(primary_jama_2018_14282_domain,MATCH($A57,primary_jama_2018_14282_key,0)),$K57)="plan_material"))),O57&lt;&gt;"",O57&lt;&gt;"not_applicable")</formula>
    </cfRule>
    <cfRule type="expression" priority="826" dxfId="1">
      <formula>OR(AND(IF($J57="",INDEX(primary_jama_2018_14282_disposition,MATCH($A57,primary_jama_2018_14282_key,0)),$J57)&lt;&gt;"",IF($J57="",INDEX(primary_jama_2018_14282_disposition,MATCH($A57,primary_jama_2018_14282_key,0)),$J57)&lt;&gt;"retain"),NOT(OR(IF($K57="",INDEX(primary_jama_2018_14282_domain,MATCH($A57,primary_jama_2018_14282_key,0)),$K57)="internal_nonstatistical",IF($K57="",INDEX(primary_jama_2018_14282_domain,MATCH($A57,primary_jama_2018_14282_key,0)),$K57)="plan_material")))</formula>
    </cfRule>
  </conditionalFormatting>
  <conditionalFormatting sqref="O58">
    <cfRule type="expression" priority="827" dxfId="0" stopIfTrue="1">
      <formula>AND(OR(AND(IF($J58="",INDEX(primary_jama_2018_14282_disposition,MATCH($A58,primary_jama_2018_14282_key,0)),$J58)&lt;&gt;"",IF($J58="",INDEX(primary_jama_2018_14282_disposition,MATCH($A58,primary_jama_2018_14282_key,0)),$J58)&lt;&gt;"retain"),NOT(OR(IF($K58="",INDEX(primary_jama_2018_14282_domain,MATCH($A58,primary_jama_2018_14282_key,0)),$K58)="internal_nonstatistical",IF($K58="",INDEX(primary_jama_2018_14282_domain,MATCH($A58,primary_jama_2018_14282_key,0)),$K58)="plan_material"))),O58&lt;&gt;"",O58&lt;&gt;"not_applicable")</formula>
    </cfRule>
    <cfRule type="expression" priority="828" dxfId="1">
      <formula>OR(AND(IF($J58="",INDEX(primary_jama_2018_14282_disposition,MATCH($A58,primary_jama_2018_14282_key,0)),$J58)&lt;&gt;"",IF($J58="",INDEX(primary_jama_2018_14282_disposition,MATCH($A58,primary_jama_2018_14282_key,0)),$J58)&lt;&gt;"retain"),NOT(OR(IF($K58="",INDEX(primary_jama_2018_14282_domain,MATCH($A58,primary_jama_2018_14282_key,0)),$K58)="internal_nonstatistical",IF($K58="",INDEX(primary_jama_2018_14282_domain,MATCH($A58,primary_jama_2018_14282_key,0)),$K58)="plan_material")))</formula>
    </cfRule>
  </conditionalFormatting>
  <conditionalFormatting sqref="O59">
    <cfRule type="expression" priority="829" dxfId="0" stopIfTrue="1">
      <formula>AND(OR(AND(IF($J59="",INDEX(primary_jama_2018_14282_disposition,MATCH($A59,primary_jama_2018_14282_key,0)),$J59)&lt;&gt;"",IF($J59="",INDEX(primary_jama_2018_14282_disposition,MATCH($A59,primary_jama_2018_14282_key,0)),$J59)&lt;&gt;"retain"),NOT(OR(IF($K59="",INDEX(primary_jama_2018_14282_domain,MATCH($A59,primary_jama_2018_14282_key,0)),$K59)="internal_nonstatistical",IF($K59="",INDEX(primary_jama_2018_14282_domain,MATCH($A59,primary_jama_2018_14282_key,0)),$K59)="plan_material"))),O59&lt;&gt;"",O59&lt;&gt;"not_applicable")</formula>
    </cfRule>
    <cfRule type="expression" priority="830" dxfId="1">
      <formula>OR(AND(IF($J59="",INDEX(primary_jama_2018_14282_disposition,MATCH($A59,primary_jama_2018_14282_key,0)),$J59)&lt;&gt;"",IF($J59="",INDEX(primary_jama_2018_14282_disposition,MATCH($A59,primary_jama_2018_14282_key,0)),$J59)&lt;&gt;"retain"),NOT(OR(IF($K59="",INDEX(primary_jama_2018_14282_domain,MATCH($A59,primary_jama_2018_14282_key,0)),$K59)="internal_nonstatistical",IF($K59="",INDEX(primary_jama_2018_14282_domain,MATCH($A59,primary_jama_2018_14282_key,0)),$K59)="plan_material")))</formula>
    </cfRule>
  </conditionalFormatting>
  <conditionalFormatting sqref="O60">
    <cfRule type="expression" priority="831" dxfId="0" stopIfTrue="1">
      <formula>AND(OR(AND(IF($J60="",INDEX(primary_jama_2018_14282_disposition,MATCH($A60,primary_jama_2018_14282_key,0)),$J60)&lt;&gt;"",IF($J60="",INDEX(primary_jama_2018_14282_disposition,MATCH($A60,primary_jama_2018_14282_key,0)),$J60)&lt;&gt;"retain"),NOT(OR(IF($K60="",INDEX(primary_jama_2018_14282_domain,MATCH($A60,primary_jama_2018_14282_key,0)),$K60)="internal_nonstatistical",IF($K60="",INDEX(primary_jama_2018_14282_domain,MATCH($A60,primary_jama_2018_14282_key,0)),$K60)="plan_material"))),O60&lt;&gt;"",O60&lt;&gt;"not_applicable")</formula>
    </cfRule>
    <cfRule type="expression" priority="832" dxfId="1">
      <formula>OR(AND(IF($J60="",INDEX(primary_jama_2018_14282_disposition,MATCH($A60,primary_jama_2018_14282_key,0)),$J60)&lt;&gt;"",IF($J60="",INDEX(primary_jama_2018_14282_disposition,MATCH($A60,primary_jama_2018_14282_key,0)),$J60)&lt;&gt;"retain"),NOT(OR(IF($K60="",INDEX(primary_jama_2018_14282_domain,MATCH($A60,primary_jama_2018_14282_key,0)),$K60)="internal_nonstatistical",IF($K60="",INDEX(primary_jama_2018_14282_domain,MATCH($A60,primary_jama_2018_14282_key,0)),$K60)="plan_material")))</formula>
    </cfRule>
  </conditionalFormatting>
  <conditionalFormatting sqref="O61">
    <cfRule type="expression" priority="833" dxfId="0" stopIfTrue="1">
      <formula>AND(OR(AND(IF($J61="",INDEX(primary_jama_2018_14282_disposition,MATCH($A61,primary_jama_2018_14282_key,0)),$J61)&lt;&gt;"",IF($J61="",INDEX(primary_jama_2018_14282_disposition,MATCH($A61,primary_jama_2018_14282_key,0)),$J61)&lt;&gt;"retain"),NOT(OR(IF($K61="",INDEX(primary_jama_2018_14282_domain,MATCH($A61,primary_jama_2018_14282_key,0)),$K61)="internal_nonstatistical",IF($K61="",INDEX(primary_jama_2018_14282_domain,MATCH($A61,primary_jama_2018_14282_key,0)),$K61)="plan_material"))),O61&lt;&gt;"",O61&lt;&gt;"not_applicable")</formula>
    </cfRule>
    <cfRule type="expression" priority="834" dxfId="1">
      <formula>OR(AND(IF($J61="",INDEX(primary_jama_2018_14282_disposition,MATCH($A61,primary_jama_2018_14282_key,0)),$J61)&lt;&gt;"",IF($J61="",INDEX(primary_jama_2018_14282_disposition,MATCH($A61,primary_jama_2018_14282_key,0)),$J61)&lt;&gt;"retain"),NOT(OR(IF($K61="",INDEX(primary_jama_2018_14282_domain,MATCH($A61,primary_jama_2018_14282_key,0)),$K61)="internal_nonstatistical",IF($K61="",INDEX(primary_jama_2018_14282_domain,MATCH($A61,primary_jama_2018_14282_key,0)),$K61)="plan_material")))</formula>
    </cfRule>
  </conditionalFormatting>
  <conditionalFormatting sqref="O62">
    <cfRule type="expression" priority="835" dxfId="0" stopIfTrue="1">
      <formula>AND(OR(AND(IF($J62="",INDEX(primary_jama_2018_14282_disposition,MATCH($A62,primary_jama_2018_14282_key,0)),$J62)&lt;&gt;"",IF($J62="",INDEX(primary_jama_2018_14282_disposition,MATCH($A62,primary_jama_2018_14282_key,0)),$J62)&lt;&gt;"retain"),NOT(OR(IF($K62="",INDEX(primary_jama_2018_14282_domain,MATCH($A62,primary_jama_2018_14282_key,0)),$K62)="internal_nonstatistical",IF($K62="",INDEX(primary_jama_2018_14282_domain,MATCH($A62,primary_jama_2018_14282_key,0)),$K62)="plan_material"))),O62&lt;&gt;"",O62&lt;&gt;"not_applicable")</formula>
    </cfRule>
    <cfRule type="expression" priority="836" dxfId="1">
      <formula>OR(AND(IF($J62="",INDEX(primary_jama_2018_14282_disposition,MATCH($A62,primary_jama_2018_14282_key,0)),$J62)&lt;&gt;"",IF($J62="",INDEX(primary_jama_2018_14282_disposition,MATCH($A62,primary_jama_2018_14282_key,0)),$J62)&lt;&gt;"retain"),NOT(OR(IF($K62="",INDEX(primary_jama_2018_14282_domain,MATCH($A62,primary_jama_2018_14282_key,0)),$K62)="internal_nonstatistical",IF($K62="",INDEX(primary_jama_2018_14282_domain,MATCH($A62,primary_jama_2018_14282_key,0)),$K62)="plan_material")))</formula>
    </cfRule>
  </conditionalFormatting>
  <conditionalFormatting sqref="O63">
    <cfRule type="expression" priority="837" dxfId="0" stopIfTrue="1">
      <formula>AND(OR(AND(IF($J63="",INDEX(primary_jama_2018_14282_disposition,MATCH($A63,primary_jama_2018_14282_key,0)),$J63)&lt;&gt;"",IF($J63="",INDEX(primary_jama_2018_14282_disposition,MATCH($A63,primary_jama_2018_14282_key,0)),$J63)&lt;&gt;"retain"),NOT(OR(IF($K63="",INDEX(primary_jama_2018_14282_domain,MATCH($A63,primary_jama_2018_14282_key,0)),$K63)="internal_nonstatistical",IF($K63="",INDEX(primary_jama_2018_14282_domain,MATCH($A63,primary_jama_2018_14282_key,0)),$K63)="plan_material"))),O63&lt;&gt;"",O63&lt;&gt;"not_applicable")</formula>
    </cfRule>
    <cfRule type="expression" priority="838" dxfId="1">
      <formula>OR(AND(IF($J63="",INDEX(primary_jama_2018_14282_disposition,MATCH($A63,primary_jama_2018_14282_key,0)),$J63)&lt;&gt;"",IF($J63="",INDEX(primary_jama_2018_14282_disposition,MATCH($A63,primary_jama_2018_14282_key,0)),$J63)&lt;&gt;"retain"),NOT(OR(IF($K63="",INDEX(primary_jama_2018_14282_domain,MATCH($A63,primary_jama_2018_14282_key,0)),$K63)="internal_nonstatistical",IF($K63="",INDEX(primary_jama_2018_14282_domain,MATCH($A63,primary_jama_2018_14282_key,0)),$K63)="plan_material")))</formula>
    </cfRule>
  </conditionalFormatting>
  <conditionalFormatting sqref="O64">
    <cfRule type="expression" priority="839" dxfId="0" stopIfTrue="1">
      <formula>AND(OR(AND(IF($J64="",INDEX(primary_jama_2018_14282_disposition,MATCH($A64,primary_jama_2018_14282_key,0)),$J64)&lt;&gt;"",IF($J64="",INDEX(primary_jama_2018_14282_disposition,MATCH($A64,primary_jama_2018_14282_key,0)),$J64)&lt;&gt;"retain"),NOT(OR(IF($K64="",INDEX(primary_jama_2018_14282_domain,MATCH($A64,primary_jama_2018_14282_key,0)),$K64)="internal_nonstatistical",IF($K64="",INDEX(primary_jama_2018_14282_domain,MATCH($A64,primary_jama_2018_14282_key,0)),$K64)="plan_material"))),O64&lt;&gt;"",O64&lt;&gt;"not_applicable")</formula>
    </cfRule>
    <cfRule type="expression" priority="840" dxfId="1">
      <formula>OR(AND(IF($J64="",INDEX(primary_jama_2018_14282_disposition,MATCH($A64,primary_jama_2018_14282_key,0)),$J64)&lt;&gt;"",IF($J64="",INDEX(primary_jama_2018_14282_disposition,MATCH($A64,primary_jama_2018_14282_key,0)),$J64)&lt;&gt;"retain"),NOT(OR(IF($K64="",INDEX(primary_jama_2018_14282_domain,MATCH($A64,primary_jama_2018_14282_key,0)),$K64)="internal_nonstatistical",IF($K64="",INDEX(primary_jama_2018_14282_domain,MATCH($A64,primary_jama_2018_14282_key,0)),$K64)="plan_material")))</formula>
    </cfRule>
  </conditionalFormatting>
  <conditionalFormatting sqref="O65">
    <cfRule type="expression" priority="841" dxfId="0" stopIfTrue="1">
      <formula>AND(OR(AND(IF($J65="",INDEX(primary_jama_2018_14282_disposition,MATCH($A65,primary_jama_2018_14282_key,0)),$J65)&lt;&gt;"",IF($J65="",INDEX(primary_jama_2018_14282_disposition,MATCH($A65,primary_jama_2018_14282_key,0)),$J65)&lt;&gt;"retain"),NOT(OR(IF($K65="",INDEX(primary_jama_2018_14282_domain,MATCH($A65,primary_jama_2018_14282_key,0)),$K65)="internal_nonstatistical",IF($K65="",INDEX(primary_jama_2018_14282_domain,MATCH($A65,primary_jama_2018_14282_key,0)),$K65)="plan_material"))),O65&lt;&gt;"",O65&lt;&gt;"not_applicable")</formula>
    </cfRule>
    <cfRule type="expression" priority="842" dxfId="1">
      <formula>OR(AND(IF($J65="",INDEX(primary_jama_2018_14282_disposition,MATCH($A65,primary_jama_2018_14282_key,0)),$J65)&lt;&gt;"",IF($J65="",INDEX(primary_jama_2018_14282_disposition,MATCH($A65,primary_jama_2018_14282_key,0)),$J65)&lt;&gt;"retain"),NOT(OR(IF($K65="",INDEX(primary_jama_2018_14282_domain,MATCH($A65,primary_jama_2018_14282_key,0)),$K65)="internal_nonstatistical",IF($K65="",INDEX(primary_jama_2018_14282_domain,MATCH($A65,primary_jama_2018_14282_key,0)),$K65)="plan_material")))</formula>
    </cfRule>
  </conditionalFormatting>
  <conditionalFormatting sqref="O66">
    <cfRule type="expression" priority="843" dxfId="0" stopIfTrue="1">
      <formula>AND(OR(AND(IF($J66="",INDEX(primary_jama_2018_14282_disposition,MATCH($A66,primary_jama_2018_14282_key,0)),$J66)&lt;&gt;"",IF($J66="",INDEX(primary_jama_2018_14282_disposition,MATCH($A66,primary_jama_2018_14282_key,0)),$J66)&lt;&gt;"retain"),NOT(OR(IF($K66="",INDEX(primary_jama_2018_14282_domain,MATCH($A66,primary_jama_2018_14282_key,0)),$K66)="internal_nonstatistical",IF($K66="",INDEX(primary_jama_2018_14282_domain,MATCH($A66,primary_jama_2018_14282_key,0)),$K66)="plan_material"))),O66&lt;&gt;"",O66&lt;&gt;"not_applicable")</formula>
    </cfRule>
    <cfRule type="expression" priority="844" dxfId="1">
      <formula>OR(AND(IF($J66="",INDEX(primary_jama_2018_14282_disposition,MATCH($A66,primary_jama_2018_14282_key,0)),$J66)&lt;&gt;"",IF($J66="",INDEX(primary_jama_2018_14282_disposition,MATCH($A66,primary_jama_2018_14282_key,0)),$J66)&lt;&gt;"retain"),NOT(OR(IF($K66="",INDEX(primary_jama_2018_14282_domain,MATCH($A66,primary_jama_2018_14282_key,0)),$K66)="internal_nonstatistical",IF($K66="",INDEX(primary_jama_2018_14282_domain,MATCH($A66,primary_jama_2018_14282_key,0)),$K66)="plan_material")))</formula>
    </cfRule>
  </conditionalFormatting>
  <conditionalFormatting sqref="O67">
    <cfRule type="expression" priority="845" dxfId="0" stopIfTrue="1">
      <formula>AND(OR(AND(IF($J67="",INDEX(primary_jama_2018_14282_disposition,MATCH($A67,primary_jama_2018_14282_key,0)),$J67)&lt;&gt;"",IF($J67="",INDEX(primary_jama_2018_14282_disposition,MATCH($A67,primary_jama_2018_14282_key,0)),$J67)&lt;&gt;"retain"),NOT(OR(IF($K67="",INDEX(primary_jama_2018_14282_domain,MATCH($A67,primary_jama_2018_14282_key,0)),$K67)="internal_nonstatistical",IF($K67="",INDEX(primary_jama_2018_14282_domain,MATCH($A67,primary_jama_2018_14282_key,0)),$K67)="plan_material"))),O67&lt;&gt;"",O67&lt;&gt;"not_applicable")</formula>
    </cfRule>
    <cfRule type="expression" priority="846" dxfId="1">
      <formula>OR(AND(IF($J67="",INDEX(primary_jama_2018_14282_disposition,MATCH($A67,primary_jama_2018_14282_key,0)),$J67)&lt;&gt;"",IF($J67="",INDEX(primary_jama_2018_14282_disposition,MATCH($A67,primary_jama_2018_14282_key,0)),$J67)&lt;&gt;"retain"),NOT(OR(IF($K67="",INDEX(primary_jama_2018_14282_domain,MATCH($A67,primary_jama_2018_14282_key,0)),$K67)="internal_nonstatistical",IF($K67="",INDEX(primary_jama_2018_14282_domain,MATCH($A67,primary_jama_2018_14282_key,0)),$K67)="plan_material")))</formula>
    </cfRule>
  </conditionalFormatting>
  <conditionalFormatting sqref="O68">
    <cfRule type="expression" priority="847" dxfId="0" stopIfTrue="1">
      <formula>AND(OR(AND(IF($J68="",INDEX(primary_jama_2018_14282_disposition,MATCH($A68,primary_jama_2018_14282_key,0)),$J68)&lt;&gt;"",IF($J68="",INDEX(primary_jama_2018_14282_disposition,MATCH($A68,primary_jama_2018_14282_key,0)),$J68)&lt;&gt;"retain"),NOT(OR(IF($K68="",INDEX(primary_jama_2018_14282_domain,MATCH($A68,primary_jama_2018_14282_key,0)),$K68)="internal_nonstatistical",IF($K68="",INDEX(primary_jama_2018_14282_domain,MATCH($A68,primary_jama_2018_14282_key,0)),$K68)="plan_material"))),O68&lt;&gt;"",O68&lt;&gt;"not_applicable")</formula>
    </cfRule>
    <cfRule type="expression" priority="848" dxfId="1">
      <formula>OR(AND(IF($J68="",INDEX(primary_jama_2018_14282_disposition,MATCH($A68,primary_jama_2018_14282_key,0)),$J68)&lt;&gt;"",IF($J68="",INDEX(primary_jama_2018_14282_disposition,MATCH($A68,primary_jama_2018_14282_key,0)),$J68)&lt;&gt;"retain"),NOT(OR(IF($K68="",INDEX(primary_jama_2018_14282_domain,MATCH($A68,primary_jama_2018_14282_key,0)),$K68)="internal_nonstatistical",IF($K68="",INDEX(primary_jama_2018_14282_domain,MATCH($A68,primary_jama_2018_14282_key,0)),$K68)="plan_material")))</formula>
    </cfRule>
  </conditionalFormatting>
  <conditionalFormatting sqref="O69">
    <cfRule type="expression" priority="849" dxfId="0" stopIfTrue="1">
      <formula>AND(OR(AND(IF($J69="",INDEX(primary_jama_2018_14282_disposition,MATCH($A69,primary_jama_2018_14282_key,0)),$J69)&lt;&gt;"",IF($J69="",INDEX(primary_jama_2018_14282_disposition,MATCH($A69,primary_jama_2018_14282_key,0)),$J69)&lt;&gt;"retain"),NOT(OR(IF($K69="",INDEX(primary_jama_2018_14282_domain,MATCH($A69,primary_jama_2018_14282_key,0)),$K69)="internal_nonstatistical",IF($K69="",INDEX(primary_jama_2018_14282_domain,MATCH($A69,primary_jama_2018_14282_key,0)),$K69)="plan_material"))),O69&lt;&gt;"",O69&lt;&gt;"not_applicable")</formula>
    </cfRule>
    <cfRule type="expression" priority="850" dxfId="1">
      <formula>OR(AND(IF($J69="",INDEX(primary_jama_2018_14282_disposition,MATCH($A69,primary_jama_2018_14282_key,0)),$J69)&lt;&gt;"",IF($J69="",INDEX(primary_jama_2018_14282_disposition,MATCH($A69,primary_jama_2018_14282_key,0)),$J69)&lt;&gt;"retain"),NOT(OR(IF($K69="",INDEX(primary_jama_2018_14282_domain,MATCH($A69,primary_jama_2018_14282_key,0)),$K69)="internal_nonstatistical",IF($K69="",INDEX(primary_jama_2018_14282_domain,MATCH($A69,primary_jama_2018_14282_key,0)),$K69)="plan_material")))</formula>
    </cfRule>
  </conditionalFormatting>
  <conditionalFormatting sqref="O70">
    <cfRule type="expression" priority="851" dxfId="0" stopIfTrue="1">
      <formula>AND(OR(AND(IF($J70="",INDEX(primary_jama_2018_14282_disposition,MATCH($A70,primary_jama_2018_14282_key,0)),$J70)&lt;&gt;"",IF($J70="",INDEX(primary_jama_2018_14282_disposition,MATCH($A70,primary_jama_2018_14282_key,0)),$J70)&lt;&gt;"retain"),NOT(OR(IF($K70="",INDEX(primary_jama_2018_14282_domain,MATCH($A70,primary_jama_2018_14282_key,0)),$K70)="internal_nonstatistical",IF($K70="",INDEX(primary_jama_2018_14282_domain,MATCH($A70,primary_jama_2018_14282_key,0)),$K70)="plan_material"))),O70&lt;&gt;"",O70&lt;&gt;"not_applicable")</formula>
    </cfRule>
    <cfRule type="expression" priority="852" dxfId="1">
      <formula>OR(AND(IF($J70="",INDEX(primary_jama_2018_14282_disposition,MATCH($A70,primary_jama_2018_14282_key,0)),$J70)&lt;&gt;"",IF($J70="",INDEX(primary_jama_2018_14282_disposition,MATCH($A70,primary_jama_2018_14282_key,0)),$J70)&lt;&gt;"retain"),NOT(OR(IF($K70="",INDEX(primary_jama_2018_14282_domain,MATCH($A70,primary_jama_2018_14282_key,0)),$K70)="internal_nonstatistical",IF($K70="",INDEX(primary_jama_2018_14282_domain,MATCH($A70,primary_jama_2018_14282_key,0)),$K70)="plan_material")))</formula>
    </cfRule>
  </conditionalFormatting>
  <conditionalFormatting sqref="O71">
    <cfRule type="expression" priority="853" dxfId="0" stopIfTrue="1">
      <formula>AND(OR(AND(IF($J71="",INDEX(primary_jama_2018_14282_disposition,MATCH($A71,primary_jama_2018_14282_key,0)),$J71)&lt;&gt;"",IF($J71="",INDEX(primary_jama_2018_14282_disposition,MATCH($A71,primary_jama_2018_14282_key,0)),$J71)&lt;&gt;"retain"),NOT(OR(IF($K71="",INDEX(primary_jama_2018_14282_domain,MATCH($A71,primary_jama_2018_14282_key,0)),$K71)="internal_nonstatistical",IF($K71="",INDEX(primary_jama_2018_14282_domain,MATCH($A71,primary_jama_2018_14282_key,0)),$K71)="plan_material"))),O71&lt;&gt;"",O71&lt;&gt;"not_applicable")</formula>
    </cfRule>
    <cfRule type="expression" priority="854" dxfId="1">
      <formula>OR(AND(IF($J71="",INDEX(primary_jama_2018_14282_disposition,MATCH($A71,primary_jama_2018_14282_key,0)),$J71)&lt;&gt;"",IF($J71="",INDEX(primary_jama_2018_14282_disposition,MATCH($A71,primary_jama_2018_14282_key,0)),$J71)&lt;&gt;"retain"),NOT(OR(IF($K71="",INDEX(primary_jama_2018_14282_domain,MATCH($A71,primary_jama_2018_14282_key,0)),$K71)="internal_nonstatistical",IF($K71="",INDEX(primary_jama_2018_14282_domain,MATCH($A71,primary_jama_2018_14282_key,0)),$K71)="plan_material")))</formula>
    </cfRule>
  </conditionalFormatting>
  <conditionalFormatting sqref="O72">
    <cfRule type="expression" priority="855" dxfId="0" stopIfTrue="1">
      <formula>AND(OR(AND(IF($J72="",INDEX(primary_jama_2018_14282_disposition,MATCH($A72,primary_jama_2018_14282_key,0)),$J72)&lt;&gt;"",IF($J72="",INDEX(primary_jama_2018_14282_disposition,MATCH($A72,primary_jama_2018_14282_key,0)),$J72)&lt;&gt;"retain"),NOT(OR(IF($K72="",INDEX(primary_jama_2018_14282_domain,MATCH($A72,primary_jama_2018_14282_key,0)),$K72)="internal_nonstatistical",IF($K72="",INDEX(primary_jama_2018_14282_domain,MATCH($A72,primary_jama_2018_14282_key,0)),$K72)="plan_material"))),O72&lt;&gt;"",O72&lt;&gt;"not_applicable")</formula>
    </cfRule>
    <cfRule type="expression" priority="856" dxfId="1">
      <formula>OR(AND(IF($J72="",INDEX(primary_jama_2018_14282_disposition,MATCH($A72,primary_jama_2018_14282_key,0)),$J72)&lt;&gt;"",IF($J72="",INDEX(primary_jama_2018_14282_disposition,MATCH($A72,primary_jama_2018_14282_key,0)),$J72)&lt;&gt;"retain"),NOT(OR(IF($K72="",INDEX(primary_jama_2018_14282_domain,MATCH($A72,primary_jama_2018_14282_key,0)),$K72)="internal_nonstatistical",IF($K72="",INDEX(primary_jama_2018_14282_domain,MATCH($A72,primary_jama_2018_14282_key,0)),$K72)="plan_material")))</formula>
    </cfRule>
  </conditionalFormatting>
  <conditionalFormatting sqref="O73">
    <cfRule type="expression" priority="857" dxfId="0" stopIfTrue="1">
      <formula>AND(OR(AND(IF($J73="",INDEX(primary_jama_2018_14282_disposition,MATCH($A73,primary_jama_2018_14282_key,0)),$J73)&lt;&gt;"",IF($J73="",INDEX(primary_jama_2018_14282_disposition,MATCH($A73,primary_jama_2018_14282_key,0)),$J73)&lt;&gt;"retain"),NOT(OR(IF($K73="",INDEX(primary_jama_2018_14282_domain,MATCH($A73,primary_jama_2018_14282_key,0)),$K73)="internal_nonstatistical",IF($K73="",INDEX(primary_jama_2018_14282_domain,MATCH($A73,primary_jama_2018_14282_key,0)),$K73)="plan_material"))),O73&lt;&gt;"",O73&lt;&gt;"not_applicable")</formula>
    </cfRule>
    <cfRule type="expression" priority="858" dxfId="1">
      <formula>OR(AND(IF($J73="",INDEX(primary_jama_2018_14282_disposition,MATCH($A73,primary_jama_2018_14282_key,0)),$J73)&lt;&gt;"",IF($J73="",INDEX(primary_jama_2018_14282_disposition,MATCH($A73,primary_jama_2018_14282_key,0)),$J73)&lt;&gt;"retain"),NOT(OR(IF($K73="",INDEX(primary_jama_2018_14282_domain,MATCH($A73,primary_jama_2018_14282_key,0)),$K73)="internal_nonstatistical",IF($K73="",INDEX(primary_jama_2018_14282_domain,MATCH($A73,primary_jama_2018_14282_key,0)),$K73)="plan_material")))</formula>
    </cfRule>
  </conditionalFormatting>
  <conditionalFormatting sqref="O74">
    <cfRule type="expression" priority="859" dxfId="0" stopIfTrue="1">
      <formula>AND(OR(AND(IF($J74="",INDEX(primary_jama_2018_17075_disposition,MATCH($A74,primary_jama_2018_17075_key,0)),$J74)&lt;&gt;"",IF($J74="",INDEX(primary_jama_2018_17075_disposition,MATCH($A74,primary_jama_2018_17075_key,0)),$J74)&lt;&gt;"retain"),NOT(OR(IF($K74="",INDEX(primary_jama_2018_17075_domain,MATCH($A74,primary_jama_2018_17075_key,0)),$K74)="internal_nonstatistical",IF($K74="",INDEX(primary_jama_2018_17075_domain,MATCH($A74,primary_jama_2018_17075_key,0)),$K74)="plan_material"))),O74&lt;&gt;"",O74&lt;&gt;"not_applicable")</formula>
    </cfRule>
    <cfRule type="expression" priority="860" dxfId="1">
      <formula>OR(AND(IF($J74="",INDEX(primary_jama_2018_17075_disposition,MATCH($A74,primary_jama_2018_17075_key,0)),$J74)&lt;&gt;"",IF($J74="",INDEX(primary_jama_2018_17075_disposition,MATCH($A74,primary_jama_2018_17075_key,0)),$J74)&lt;&gt;"retain"),NOT(OR(IF($K74="",INDEX(primary_jama_2018_17075_domain,MATCH($A74,primary_jama_2018_17075_key,0)),$K74)="internal_nonstatistical",IF($K74="",INDEX(primary_jama_2018_17075_domain,MATCH($A74,primary_jama_2018_17075_key,0)),$K74)="plan_material")))</formula>
    </cfRule>
  </conditionalFormatting>
  <conditionalFormatting sqref="O75">
    <cfRule type="expression" priority="861" dxfId="0" stopIfTrue="1">
      <formula>AND(OR(AND(IF($J75="",INDEX(primary_jama_2018_17075_disposition,MATCH($A75,primary_jama_2018_17075_key,0)),$J75)&lt;&gt;"",IF($J75="",INDEX(primary_jama_2018_17075_disposition,MATCH($A75,primary_jama_2018_17075_key,0)),$J75)&lt;&gt;"retain"),NOT(OR(IF($K75="",INDEX(primary_jama_2018_17075_domain,MATCH($A75,primary_jama_2018_17075_key,0)),$K75)="internal_nonstatistical",IF($K75="",INDEX(primary_jama_2018_17075_domain,MATCH($A75,primary_jama_2018_17075_key,0)),$K75)="plan_material"))),O75&lt;&gt;"",O75&lt;&gt;"not_applicable")</formula>
    </cfRule>
    <cfRule type="expression" priority="862" dxfId="1">
      <formula>OR(AND(IF($J75="",INDEX(primary_jama_2018_17075_disposition,MATCH($A75,primary_jama_2018_17075_key,0)),$J75)&lt;&gt;"",IF($J75="",INDEX(primary_jama_2018_17075_disposition,MATCH($A75,primary_jama_2018_17075_key,0)),$J75)&lt;&gt;"retain"),NOT(OR(IF($K75="",INDEX(primary_jama_2018_17075_domain,MATCH($A75,primary_jama_2018_17075_key,0)),$K75)="internal_nonstatistical",IF($K75="",INDEX(primary_jama_2018_17075_domain,MATCH($A75,primary_jama_2018_17075_key,0)),$K75)="plan_material")))</formula>
    </cfRule>
  </conditionalFormatting>
  <conditionalFormatting sqref="O76">
    <cfRule type="expression" priority="863" dxfId="0" stopIfTrue="1">
      <formula>AND(OR(AND(IF($J76="",INDEX(primary_jama_2018_17075_disposition,MATCH($A76,primary_jama_2018_17075_key,0)),$J76)&lt;&gt;"",IF($J76="",INDEX(primary_jama_2018_17075_disposition,MATCH($A76,primary_jama_2018_17075_key,0)),$J76)&lt;&gt;"retain"),NOT(OR(IF($K76="",INDEX(primary_jama_2018_17075_domain,MATCH($A76,primary_jama_2018_17075_key,0)),$K76)="internal_nonstatistical",IF($K76="",INDEX(primary_jama_2018_17075_domain,MATCH($A76,primary_jama_2018_17075_key,0)),$K76)="plan_material"))),O76&lt;&gt;"",O76&lt;&gt;"not_applicable")</formula>
    </cfRule>
    <cfRule type="expression" priority="864" dxfId="1">
      <formula>OR(AND(IF($J76="",INDEX(primary_jama_2018_17075_disposition,MATCH($A76,primary_jama_2018_17075_key,0)),$J76)&lt;&gt;"",IF($J76="",INDEX(primary_jama_2018_17075_disposition,MATCH($A76,primary_jama_2018_17075_key,0)),$J76)&lt;&gt;"retain"),NOT(OR(IF($K76="",INDEX(primary_jama_2018_17075_domain,MATCH($A76,primary_jama_2018_17075_key,0)),$K76)="internal_nonstatistical",IF($K76="",INDEX(primary_jama_2018_17075_domain,MATCH($A76,primary_jama_2018_17075_key,0)),$K76)="plan_material")))</formula>
    </cfRule>
  </conditionalFormatting>
  <conditionalFormatting sqref="O77">
    <cfRule type="expression" priority="865" dxfId="0" stopIfTrue="1">
      <formula>AND(OR(AND(IF($J77="",INDEX(primary_jama_2018_17075_disposition,MATCH($A77,primary_jama_2018_17075_key,0)),$J77)&lt;&gt;"",IF($J77="",INDEX(primary_jama_2018_17075_disposition,MATCH($A77,primary_jama_2018_17075_key,0)),$J77)&lt;&gt;"retain"),NOT(OR(IF($K77="",INDEX(primary_jama_2018_17075_domain,MATCH($A77,primary_jama_2018_17075_key,0)),$K77)="internal_nonstatistical",IF($K77="",INDEX(primary_jama_2018_17075_domain,MATCH($A77,primary_jama_2018_17075_key,0)),$K77)="plan_material"))),O77&lt;&gt;"",O77&lt;&gt;"not_applicable")</formula>
    </cfRule>
    <cfRule type="expression" priority="866" dxfId="1">
      <formula>OR(AND(IF($J77="",INDEX(primary_jama_2018_17075_disposition,MATCH($A77,primary_jama_2018_17075_key,0)),$J77)&lt;&gt;"",IF($J77="",INDEX(primary_jama_2018_17075_disposition,MATCH($A77,primary_jama_2018_17075_key,0)),$J77)&lt;&gt;"retain"),NOT(OR(IF($K77="",INDEX(primary_jama_2018_17075_domain,MATCH($A77,primary_jama_2018_17075_key,0)),$K77)="internal_nonstatistical",IF($K77="",INDEX(primary_jama_2018_17075_domain,MATCH($A77,primary_jama_2018_17075_key,0)),$K77)="plan_material")))</formula>
    </cfRule>
  </conditionalFormatting>
  <conditionalFormatting sqref="O78">
    <cfRule type="expression" priority="867" dxfId="0" stopIfTrue="1">
      <formula>AND(OR(AND(IF($J78="",INDEX(primary_jama_2018_17075_disposition,MATCH($A78,primary_jama_2018_17075_key,0)),$J78)&lt;&gt;"",IF($J78="",INDEX(primary_jama_2018_17075_disposition,MATCH($A78,primary_jama_2018_17075_key,0)),$J78)&lt;&gt;"retain"),NOT(OR(IF($K78="",INDEX(primary_jama_2018_17075_domain,MATCH($A78,primary_jama_2018_17075_key,0)),$K78)="internal_nonstatistical",IF($K78="",INDEX(primary_jama_2018_17075_domain,MATCH($A78,primary_jama_2018_17075_key,0)),$K78)="plan_material"))),O78&lt;&gt;"",O78&lt;&gt;"not_applicable")</formula>
    </cfRule>
    <cfRule type="expression" priority="868" dxfId="1">
      <formula>OR(AND(IF($J78="",INDEX(primary_jama_2018_17075_disposition,MATCH($A78,primary_jama_2018_17075_key,0)),$J78)&lt;&gt;"",IF($J78="",INDEX(primary_jama_2018_17075_disposition,MATCH($A78,primary_jama_2018_17075_key,0)),$J78)&lt;&gt;"retain"),NOT(OR(IF($K78="",INDEX(primary_jama_2018_17075_domain,MATCH($A78,primary_jama_2018_17075_key,0)),$K78)="internal_nonstatistical",IF($K78="",INDEX(primary_jama_2018_17075_domain,MATCH($A78,primary_jama_2018_17075_key,0)),$K78)="plan_material")))</formula>
    </cfRule>
  </conditionalFormatting>
  <conditionalFormatting sqref="O79">
    <cfRule type="expression" priority="869" dxfId="0" stopIfTrue="1">
      <formula>AND(OR(AND(IF($J79="",INDEX(primary_jama_2018_17075_disposition,MATCH($A79,primary_jama_2018_17075_key,0)),$J79)&lt;&gt;"",IF($J79="",INDEX(primary_jama_2018_17075_disposition,MATCH($A79,primary_jama_2018_17075_key,0)),$J79)&lt;&gt;"retain"),NOT(OR(IF($K79="",INDEX(primary_jama_2018_17075_domain,MATCH($A79,primary_jama_2018_17075_key,0)),$K79)="internal_nonstatistical",IF($K79="",INDEX(primary_jama_2018_17075_domain,MATCH($A79,primary_jama_2018_17075_key,0)),$K79)="plan_material"))),O79&lt;&gt;"",O79&lt;&gt;"not_applicable")</formula>
    </cfRule>
    <cfRule type="expression" priority="870" dxfId="1">
      <formula>OR(AND(IF($J79="",INDEX(primary_jama_2018_17075_disposition,MATCH($A79,primary_jama_2018_17075_key,0)),$J79)&lt;&gt;"",IF($J79="",INDEX(primary_jama_2018_17075_disposition,MATCH($A79,primary_jama_2018_17075_key,0)),$J79)&lt;&gt;"retain"),NOT(OR(IF($K79="",INDEX(primary_jama_2018_17075_domain,MATCH($A79,primary_jama_2018_17075_key,0)),$K79)="internal_nonstatistical",IF($K79="",INDEX(primary_jama_2018_17075_domain,MATCH($A79,primary_jama_2018_17075_key,0)),$K79)="plan_material")))</formula>
    </cfRule>
  </conditionalFormatting>
  <conditionalFormatting sqref="O80">
    <cfRule type="expression" priority="871" dxfId="0" stopIfTrue="1">
      <formula>AND(OR(AND(IF($J80="",INDEX(primary_jama_2018_17075_disposition,MATCH($A80,primary_jama_2018_17075_key,0)),$J80)&lt;&gt;"",IF($J80="",INDEX(primary_jama_2018_17075_disposition,MATCH($A80,primary_jama_2018_17075_key,0)),$J80)&lt;&gt;"retain"),NOT(OR(IF($K80="",INDEX(primary_jama_2018_17075_domain,MATCH($A80,primary_jama_2018_17075_key,0)),$K80)="internal_nonstatistical",IF($K80="",INDEX(primary_jama_2018_17075_domain,MATCH($A80,primary_jama_2018_17075_key,0)),$K80)="plan_material"))),O80&lt;&gt;"",O80&lt;&gt;"not_applicable")</formula>
    </cfRule>
    <cfRule type="expression" priority="872" dxfId="1">
      <formula>OR(AND(IF($J80="",INDEX(primary_jama_2018_17075_disposition,MATCH($A80,primary_jama_2018_17075_key,0)),$J80)&lt;&gt;"",IF($J80="",INDEX(primary_jama_2018_17075_disposition,MATCH($A80,primary_jama_2018_17075_key,0)),$J80)&lt;&gt;"retain"),NOT(OR(IF($K80="",INDEX(primary_jama_2018_17075_domain,MATCH($A80,primary_jama_2018_17075_key,0)),$K80)="internal_nonstatistical",IF($K80="",INDEX(primary_jama_2018_17075_domain,MATCH($A80,primary_jama_2018_17075_key,0)),$K80)="plan_material")))</formula>
    </cfRule>
  </conditionalFormatting>
  <conditionalFormatting sqref="O81">
    <cfRule type="expression" priority="873" dxfId="0" stopIfTrue="1">
      <formula>AND(OR(AND(IF($J81="",INDEX(primary_jama_2018_17075_disposition,MATCH($A81,primary_jama_2018_17075_key,0)),$J81)&lt;&gt;"",IF($J81="",INDEX(primary_jama_2018_17075_disposition,MATCH($A81,primary_jama_2018_17075_key,0)),$J81)&lt;&gt;"retain"),NOT(OR(IF($K81="",INDEX(primary_jama_2018_17075_domain,MATCH($A81,primary_jama_2018_17075_key,0)),$K81)="internal_nonstatistical",IF($K81="",INDEX(primary_jama_2018_17075_domain,MATCH($A81,primary_jama_2018_17075_key,0)),$K81)="plan_material"))),O81&lt;&gt;"",O81&lt;&gt;"not_applicable")</formula>
    </cfRule>
    <cfRule type="expression" priority="874" dxfId="1">
      <formula>OR(AND(IF($J81="",INDEX(primary_jama_2018_17075_disposition,MATCH($A81,primary_jama_2018_17075_key,0)),$J81)&lt;&gt;"",IF($J81="",INDEX(primary_jama_2018_17075_disposition,MATCH($A81,primary_jama_2018_17075_key,0)),$J81)&lt;&gt;"retain"),NOT(OR(IF($K81="",INDEX(primary_jama_2018_17075_domain,MATCH($A81,primary_jama_2018_17075_key,0)),$K81)="internal_nonstatistical",IF($K81="",INDEX(primary_jama_2018_17075_domain,MATCH($A81,primary_jama_2018_17075_key,0)),$K81)="plan_material")))</formula>
    </cfRule>
  </conditionalFormatting>
  <conditionalFormatting sqref="O82">
    <cfRule type="expression" priority="875" dxfId="0" stopIfTrue="1">
      <formula>AND(OR(AND(IF($J82="",INDEX(primary_jama_2018_18020_disposition,MATCH($A82,primary_jama_2018_18020_key,0)),$J82)&lt;&gt;"",IF($J82="",INDEX(primary_jama_2018_18020_disposition,MATCH($A82,primary_jama_2018_18020_key,0)),$J82)&lt;&gt;"retain"),NOT(OR(IF($K82="",INDEX(primary_jama_2018_18020_domain,MATCH($A82,primary_jama_2018_18020_key,0)),$K82)="internal_nonstatistical",IF($K82="",INDEX(primary_jama_2018_18020_domain,MATCH($A82,primary_jama_2018_18020_key,0)),$K82)="plan_material"))),O82&lt;&gt;"",O82&lt;&gt;"not_applicable")</formula>
    </cfRule>
    <cfRule type="expression" priority="876" dxfId="1">
      <formula>OR(AND(IF($J82="",INDEX(primary_jama_2018_18020_disposition,MATCH($A82,primary_jama_2018_18020_key,0)),$J82)&lt;&gt;"",IF($J82="",INDEX(primary_jama_2018_18020_disposition,MATCH($A82,primary_jama_2018_18020_key,0)),$J82)&lt;&gt;"retain"),NOT(OR(IF($K82="",INDEX(primary_jama_2018_18020_domain,MATCH($A82,primary_jama_2018_18020_key,0)),$K82)="internal_nonstatistical",IF($K82="",INDEX(primary_jama_2018_18020_domain,MATCH($A82,primary_jama_2018_18020_key,0)),$K82)="plan_material")))</formula>
    </cfRule>
  </conditionalFormatting>
  <conditionalFormatting sqref="O83">
    <cfRule type="expression" priority="877" dxfId="0" stopIfTrue="1">
      <formula>AND(OR(AND(IF($J83="",INDEX(primary_jama_2018_18020_disposition,MATCH($A83,primary_jama_2018_18020_key,0)),$J83)&lt;&gt;"",IF($J83="",INDEX(primary_jama_2018_18020_disposition,MATCH($A83,primary_jama_2018_18020_key,0)),$J83)&lt;&gt;"retain"),NOT(OR(IF($K83="",INDEX(primary_jama_2018_18020_domain,MATCH($A83,primary_jama_2018_18020_key,0)),$K83)="internal_nonstatistical",IF($K83="",INDEX(primary_jama_2018_18020_domain,MATCH($A83,primary_jama_2018_18020_key,0)),$K83)="plan_material"))),O83&lt;&gt;"",O83&lt;&gt;"not_applicable")</formula>
    </cfRule>
    <cfRule type="expression" priority="878" dxfId="1">
      <formula>OR(AND(IF($J83="",INDEX(primary_jama_2018_18020_disposition,MATCH($A83,primary_jama_2018_18020_key,0)),$J83)&lt;&gt;"",IF($J83="",INDEX(primary_jama_2018_18020_disposition,MATCH($A83,primary_jama_2018_18020_key,0)),$J83)&lt;&gt;"retain"),NOT(OR(IF($K83="",INDEX(primary_jama_2018_18020_domain,MATCH($A83,primary_jama_2018_18020_key,0)),$K83)="internal_nonstatistical",IF($K83="",INDEX(primary_jama_2018_18020_domain,MATCH($A83,primary_jama_2018_18020_key,0)),$K83)="plan_material")))</formula>
    </cfRule>
  </conditionalFormatting>
  <conditionalFormatting sqref="O84">
    <cfRule type="expression" priority="879" dxfId="0" stopIfTrue="1">
      <formula>AND(OR(AND(IF($J84="",INDEX(primary_jama_2018_18020_disposition,MATCH($A84,primary_jama_2018_18020_key,0)),$J84)&lt;&gt;"",IF($J84="",INDEX(primary_jama_2018_18020_disposition,MATCH($A84,primary_jama_2018_18020_key,0)),$J84)&lt;&gt;"retain"),NOT(OR(IF($K84="",INDEX(primary_jama_2018_18020_domain,MATCH($A84,primary_jama_2018_18020_key,0)),$K84)="internal_nonstatistical",IF($K84="",INDEX(primary_jama_2018_18020_domain,MATCH($A84,primary_jama_2018_18020_key,0)),$K84)="plan_material"))),O84&lt;&gt;"",O84&lt;&gt;"not_applicable")</formula>
    </cfRule>
    <cfRule type="expression" priority="880" dxfId="1">
      <formula>OR(AND(IF($J84="",INDEX(primary_jama_2018_18020_disposition,MATCH($A84,primary_jama_2018_18020_key,0)),$J84)&lt;&gt;"",IF($J84="",INDEX(primary_jama_2018_18020_disposition,MATCH($A84,primary_jama_2018_18020_key,0)),$J84)&lt;&gt;"retain"),NOT(OR(IF($K84="",INDEX(primary_jama_2018_18020_domain,MATCH($A84,primary_jama_2018_18020_key,0)),$K84)="internal_nonstatistical",IF($K84="",INDEX(primary_jama_2018_18020_domain,MATCH($A84,primary_jama_2018_18020_key,0)),$K84)="plan_material")))</formula>
    </cfRule>
  </conditionalFormatting>
  <conditionalFormatting sqref="O85">
    <cfRule type="expression" priority="881" dxfId="0" stopIfTrue="1">
      <formula>AND(OR(AND(IF($J85="",INDEX(primary_jama_2018_18020_disposition,MATCH($A85,primary_jama_2018_18020_key,0)),$J85)&lt;&gt;"",IF($J85="",INDEX(primary_jama_2018_18020_disposition,MATCH($A85,primary_jama_2018_18020_key,0)),$J85)&lt;&gt;"retain"),NOT(OR(IF($K85="",INDEX(primary_jama_2018_18020_domain,MATCH($A85,primary_jama_2018_18020_key,0)),$K85)="internal_nonstatistical",IF($K85="",INDEX(primary_jama_2018_18020_domain,MATCH($A85,primary_jama_2018_18020_key,0)),$K85)="plan_material"))),O85&lt;&gt;"",O85&lt;&gt;"not_applicable")</formula>
    </cfRule>
    <cfRule type="expression" priority="882" dxfId="1">
      <formula>OR(AND(IF($J85="",INDEX(primary_jama_2018_18020_disposition,MATCH($A85,primary_jama_2018_18020_key,0)),$J85)&lt;&gt;"",IF($J85="",INDEX(primary_jama_2018_18020_disposition,MATCH($A85,primary_jama_2018_18020_key,0)),$J85)&lt;&gt;"retain"),NOT(OR(IF($K85="",INDEX(primary_jama_2018_18020_domain,MATCH($A85,primary_jama_2018_18020_key,0)),$K85)="internal_nonstatistical",IF($K85="",INDEX(primary_jama_2018_18020_domain,MATCH($A85,primary_jama_2018_18020_key,0)),$K85)="plan_material")))</formula>
    </cfRule>
  </conditionalFormatting>
  <conditionalFormatting sqref="O86">
    <cfRule type="expression" priority="883" dxfId="0" stopIfTrue="1">
      <formula>AND(OR(AND(IF($J86="",INDEX(primary_jama_2018_18020_disposition,MATCH($A86,primary_jama_2018_18020_key,0)),$J86)&lt;&gt;"",IF($J86="",INDEX(primary_jama_2018_18020_disposition,MATCH($A86,primary_jama_2018_18020_key,0)),$J86)&lt;&gt;"retain"),NOT(OR(IF($K86="",INDEX(primary_jama_2018_18020_domain,MATCH($A86,primary_jama_2018_18020_key,0)),$K86)="internal_nonstatistical",IF($K86="",INDEX(primary_jama_2018_18020_domain,MATCH($A86,primary_jama_2018_18020_key,0)),$K86)="plan_material"))),O86&lt;&gt;"",O86&lt;&gt;"not_applicable")</formula>
    </cfRule>
    <cfRule type="expression" priority="884" dxfId="1">
      <formula>OR(AND(IF($J86="",INDEX(primary_jama_2018_18020_disposition,MATCH($A86,primary_jama_2018_18020_key,0)),$J86)&lt;&gt;"",IF($J86="",INDEX(primary_jama_2018_18020_disposition,MATCH($A86,primary_jama_2018_18020_key,0)),$J86)&lt;&gt;"retain"),NOT(OR(IF($K86="",INDEX(primary_jama_2018_18020_domain,MATCH($A86,primary_jama_2018_18020_key,0)),$K86)="internal_nonstatistical",IF($K86="",INDEX(primary_jama_2018_18020_domain,MATCH($A86,primary_jama_2018_18020_key,0)),$K86)="plan_material")))</formula>
    </cfRule>
  </conditionalFormatting>
  <conditionalFormatting sqref="O87">
    <cfRule type="expression" priority="885" dxfId="0" stopIfTrue="1">
      <formula>AND(OR(AND(IF($J87="",INDEX(primary_jama_2018_18020_disposition,MATCH($A87,primary_jama_2018_18020_key,0)),$J87)&lt;&gt;"",IF($J87="",INDEX(primary_jama_2018_18020_disposition,MATCH($A87,primary_jama_2018_18020_key,0)),$J87)&lt;&gt;"retain"),NOT(OR(IF($K87="",INDEX(primary_jama_2018_18020_domain,MATCH($A87,primary_jama_2018_18020_key,0)),$K87)="internal_nonstatistical",IF($K87="",INDEX(primary_jama_2018_18020_domain,MATCH($A87,primary_jama_2018_18020_key,0)),$K87)="plan_material"))),O87&lt;&gt;"",O87&lt;&gt;"not_applicable")</formula>
    </cfRule>
    <cfRule type="expression" priority="886" dxfId="1">
      <formula>OR(AND(IF($J87="",INDEX(primary_jama_2018_18020_disposition,MATCH($A87,primary_jama_2018_18020_key,0)),$J87)&lt;&gt;"",IF($J87="",INDEX(primary_jama_2018_18020_disposition,MATCH($A87,primary_jama_2018_18020_key,0)),$J87)&lt;&gt;"retain"),NOT(OR(IF($K87="",INDEX(primary_jama_2018_18020_domain,MATCH($A87,primary_jama_2018_18020_key,0)),$K87)="internal_nonstatistical",IF($K87="",INDEX(primary_jama_2018_18020_domain,MATCH($A87,primary_jama_2018_18020_key,0)),$K87)="plan_material")))</formula>
    </cfRule>
  </conditionalFormatting>
  <conditionalFormatting sqref="O88">
    <cfRule type="expression" priority="887" dxfId="0" stopIfTrue="1">
      <formula>AND(OR(AND(IF($J88="",INDEX(primary_jama_2018_18020_disposition,MATCH($A88,primary_jama_2018_18020_key,0)),$J88)&lt;&gt;"",IF($J88="",INDEX(primary_jama_2018_18020_disposition,MATCH($A88,primary_jama_2018_18020_key,0)),$J88)&lt;&gt;"retain"),NOT(OR(IF($K88="",INDEX(primary_jama_2018_18020_domain,MATCH($A88,primary_jama_2018_18020_key,0)),$K88)="internal_nonstatistical",IF($K88="",INDEX(primary_jama_2018_18020_domain,MATCH($A88,primary_jama_2018_18020_key,0)),$K88)="plan_material"))),O88&lt;&gt;"",O88&lt;&gt;"not_applicable")</formula>
    </cfRule>
    <cfRule type="expression" priority="888" dxfId="1">
      <formula>OR(AND(IF($J88="",INDEX(primary_jama_2018_18020_disposition,MATCH($A88,primary_jama_2018_18020_key,0)),$J88)&lt;&gt;"",IF($J88="",INDEX(primary_jama_2018_18020_disposition,MATCH($A88,primary_jama_2018_18020_key,0)),$J88)&lt;&gt;"retain"),NOT(OR(IF($K88="",INDEX(primary_jama_2018_18020_domain,MATCH($A88,primary_jama_2018_18020_key,0)),$K88)="internal_nonstatistical",IF($K88="",INDEX(primary_jama_2018_18020_domain,MATCH($A88,primary_jama_2018_18020_key,0)),$K88)="plan_material")))</formula>
    </cfRule>
  </conditionalFormatting>
  <conditionalFormatting sqref="O89">
    <cfRule type="expression" priority="889" dxfId="0" stopIfTrue="1">
      <formula>AND(OR(AND(IF($J89="",INDEX(primary_jama_2018_18020_disposition,MATCH($A89,primary_jama_2018_18020_key,0)),$J89)&lt;&gt;"",IF($J89="",INDEX(primary_jama_2018_18020_disposition,MATCH($A89,primary_jama_2018_18020_key,0)),$J89)&lt;&gt;"retain"),NOT(OR(IF($K89="",INDEX(primary_jama_2018_18020_domain,MATCH($A89,primary_jama_2018_18020_key,0)),$K89)="internal_nonstatistical",IF($K89="",INDEX(primary_jama_2018_18020_domain,MATCH($A89,primary_jama_2018_18020_key,0)),$K89)="plan_material"))),O89&lt;&gt;"",O89&lt;&gt;"not_applicable")</formula>
    </cfRule>
    <cfRule type="expression" priority="890" dxfId="1">
      <formula>OR(AND(IF($J89="",INDEX(primary_jama_2018_18020_disposition,MATCH($A89,primary_jama_2018_18020_key,0)),$J89)&lt;&gt;"",IF($J89="",INDEX(primary_jama_2018_18020_disposition,MATCH($A89,primary_jama_2018_18020_key,0)),$J89)&lt;&gt;"retain"),NOT(OR(IF($K89="",INDEX(primary_jama_2018_18020_domain,MATCH($A89,primary_jama_2018_18020_key,0)),$K89)="internal_nonstatistical",IF($K89="",INDEX(primary_jama_2018_18020_domain,MATCH($A89,primary_jama_2018_18020_key,0)),$K89)="plan_material")))</formula>
    </cfRule>
  </conditionalFormatting>
  <conditionalFormatting sqref="O90">
    <cfRule type="expression" priority="891" dxfId="0" stopIfTrue="1">
      <formula>AND(OR(AND(IF($J90="",INDEX(primary_jama_2018_18020_disposition,MATCH($A90,primary_jama_2018_18020_key,0)),$J90)&lt;&gt;"",IF($J90="",INDEX(primary_jama_2018_18020_disposition,MATCH($A90,primary_jama_2018_18020_key,0)),$J90)&lt;&gt;"retain"),NOT(OR(IF($K90="",INDEX(primary_jama_2018_18020_domain,MATCH($A90,primary_jama_2018_18020_key,0)),$K90)="internal_nonstatistical",IF($K90="",INDEX(primary_jama_2018_18020_domain,MATCH($A90,primary_jama_2018_18020_key,0)),$K90)="plan_material"))),O90&lt;&gt;"",O90&lt;&gt;"not_applicable")</formula>
    </cfRule>
    <cfRule type="expression" priority="892" dxfId="1">
      <formula>OR(AND(IF($J90="",INDEX(primary_jama_2018_18020_disposition,MATCH($A90,primary_jama_2018_18020_key,0)),$J90)&lt;&gt;"",IF($J90="",INDEX(primary_jama_2018_18020_disposition,MATCH($A90,primary_jama_2018_18020_key,0)),$J90)&lt;&gt;"retain"),NOT(OR(IF($K90="",INDEX(primary_jama_2018_18020_domain,MATCH($A90,primary_jama_2018_18020_key,0)),$K90)="internal_nonstatistical",IF($K90="",INDEX(primary_jama_2018_18020_domain,MATCH($A90,primary_jama_2018_18020_key,0)),$K90)="plan_material")))</formula>
    </cfRule>
  </conditionalFormatting>
  <conditionalFormatting sqref="O91">
    <cfRule type="expression" priority="893" dxfId="0" stopIfTrue="1">
      <formula>AND(OR(AND(IF($J91="",INDEX(primary_jama_2018_18020_disposition,MATCH($A91,primary_jama_2018_18020_key,0)),$J91)&lt;&gt;"",IF($J91="",INDEX(primary_jama_2018_18020_disposition,MATCH($A91,primary_jama_2018_18020_key,0)),$J91)&lt;&gt;"retain"),NOT(OR(IF($K91="",INDEX(primary_jama_2018_18020_domain,MATCH($A91,primary_jama_2018_18020_key,0)),$K91)="internal_nonstatistical",IF($K91="",INDEX(primary_jama_2018_18020_domain,MATCH($A91,primary_jama_2018_18020_key,0)),$K91)="plan_material"))),O91&lt;&gt;"",O91&lt;&gt;"not_applicable")</formula>
    </cfRule>
    <cfRule type="expression" priority="894" dxfId="1">
      <formula>OR(AND(IF($J91="",INDEX(primary_jama_2018_18020_disposition,MATCH($A91,primary_jama_2018_18020_key,0)),$J91)&lt;&gt;"",IF($J91="",INDEX(primary_jama_2018_18020_disposition,MATCH($A91,primary_jama_2018_18020_key,0)),$J91)&lt;&gt;"retain"),NOT(OR(IF($K91="",INDEX(primary_jama_2018_18020_domain,MATCH($A91,primary_jama_2018_18020_key,0)),$K91)="internal_nonstatistical",IF($K91="",INDEX(primary_jama_2018_18020_domain,MATCH($A91,primary_jama_2018_18020_key,0)),$K91)="plan_material")))</formula>
    </cfRule>
  </conditionalFormatting>
  <conditionalFormatting sqref="O92">
    <cfRule type="expression" priority="895" dxfId="0" stopIfTrue="1">
      <formula>AND(OR(AND(IF($J92="",INDEX(primary_jama_2018_18020_disposition,MATCH($A92,primary_jama_2018_18020_key,0)),$J92)&lt;&gt;"",IF($J92="",INDEX(primary_jama_2018_18020_disposition,MATCH($A92,primary_jama_2018_18020_key,0)),$J92)&lt;&gt;"retain"),NOT(OR(IF($K92="",INDEX(primary_jama_2018_18020_domain,MATCH($A92,primary_jama_2018_18020_key,0)),$K92)="internal_nonstatistical",IF($K92="",INDEX(primary_jama_2018_18020_domain,MATCH($A92,primary_jama_2018_18020_key,0)),$K92)="plan_material"))),O92&lt;&gt;"",O92&lt;&gt;"not_applicable")</formula>
    </cfRule>
    <cfRule type="expression" priority="896" dxfId="1">
      <formula>OR(AND(IF($J92="",INDEX(primary_jama_2018_18020_disposition,MATCH($A92,primary_jama_2018_18020_key,0)),$J92)&lt;&gt;"",IF($J92="",INDEX(primary_jama_2018_18020_disposition,MATCH($A92,primary_jama_2018_18020_key,0)),$J92)&lt;&gt;"retain"),NOT(OR(IF($K92="",INDEX(primary_jama_2018_18020_domain,MATCH($A92,primary_jama_2018_18020_key,0)),$K92)="internal_nonstatistical",IF($K92="",INDEX(primary_jama_2018_18020_domain,MATCH($A92,primary_jama_2018_18020_key,0)),$K92)="plan_material")))</formula>
    </cfRule>
  </conditionalFormatting>
  <conditionalFormatting sqref="O93">
    <cfRule type="expression" priority="897" dxfId="0" stopIfTrue="1">
      <formula>AND(OR(AND(IF($J93="",INDEX(primary_jama_2018_18020_disposition,MATCH($A93,primary_jama_2018_18020_key,0)),$J93)&lt;&gt;"",IF($J93="",INDEX(primary_jama_2018_18020_disposition,MATCH($A93,primary_jama_2018_18020_key,0)),$J93)&lt;&gt;"retain"),NOT(OR(IF($K93="",INDEX(primary_jama_2018_18020_domain,MATCH($A93,primary_jama_2018_18020_key,0)),$K93)="internal_nonstatistical",IF($K93="",INDEX(primary_jama_2018_18020_domain,MATCH($A93,primary_jama_2018_18020_key,0)),$K93)="plan_material"))),O93&lt;&gt;"",O93&lt;&gt;"not_applicable")</formula>
    </cfRule>
    <cfRule type="expression" priority="898" dxfId="1">
      <formula>OR(AND(IF($J93="",INDEX(primary_jama_2018_18020_disposition,MATCH($A93,primary_jama_2018_18020_key,0)),$J93)&lt;&gt;"",IF($J93="",INDEX(primary_jama_2018_18020_disposition,MATCH($A93,primary_jama_2018_18020_key,0)),$J93)&lt;&gt;"retain"),NOT(OR(IF($K93="",INDEX(primary_jama_2018_18020_domain,MATCH($A93,primary_jama_2018_18020_key,0)),$K93)="internal_nonstatistical",IF($K93="",INDEX(primary_jama_2018_18020_domain,MATCH($A93,primary_jama_2018_18020_key,0)),$K93)="plan_material")))</formula>
    </cfRule>
  </conditionalFormatting>
  <conditionalFormatting sqref="O94">
    <cfRule type="expression" priority="899" dxfId="0" stopIfTrue="1">
      <formula>AND(OR(AND(IF($J94="",INDEX(primary_jama_2018_18020_disposition,MATCH($A94,primary_jama_2018_18020_key,0)),$J94)&lt;&gt;"",IF($J94="",INDEX(primary_jama_2018_18020_disposition,MATCH($A94,primary_jama_2018_18020_key,0)),$J94)&lt;&gt;"retain"),NOT(OR(IF($K94="",INDEX(primary_jama_2018_18020_domain,MATCH($A94,primary_jama_2018_18020_key,0)),$K94)="internal_nonstatistical",IF($K94="",INDEX(primary_jama_2018_18020_domain,MATCH($A94,primary_jama_2018_18020_key,0)),$K94)="plan_material"))),O94&lt;&gt;"",O94&lt;&gt;"not_applicable")</formula>
    </cfRule>
    <cfRule type="expression" priority="900" dxfId="1">
      <formula>OR(AND(IF($J94="",INDEX(primary_jama_2018_18020_disposition,MATCH($A94,primary_jama_2018_18020_key,0)),$J94)&lt;&gt;"",IF($J94="",INDEX(primary_jama_2018_18020_disposition,MATCH($A94,primary_jama_2018_18020_key,0)),$J94)&lt;&gt;"retain"),NOT(OR(IF($K94="",INDEX(primary_jama_2018_18020_domain,MATCH($A94,primary_jama_2018_18020_key,0)),$K94)="internal_nonstatistical",IF($K94="",INDEX(primary_jama_2018_18020_domain,MATCH($A94,primary_jama_2018_18020_key,0)),$K94)="plan_material")))</formula>
    </cfRule>
  </conditionalFormatting>
  <conditionalFormatting sqref="O95">
    <cfRule type="expression" priority="901" dxfId="0" stopIfTrue="1">
      <formula>AND(OR(AND(IF($J95="",INDEX(primary_jama_2018_18020_disposition,MATCH($A95,primary_jama_2018_18020_key,0)),$J95)&lt;&gt;"",IF($J95="",INDEX(primary_jama_2018_18020_disposition,MATCH($A95,primary_jama_2018_18020_key,0)),$J95)&lt;&gt;"retain"),NOT(OR(IF($K95="",INDEX(primary_jama_2018_18020_domain,MATCH($A95,primary_jama_2018_18020_key,0)),$K95)="internal_nonstatistical",IF($K95="",INDEX(primary_jama_2018_18020_domain,MATCH($A95,primary_jama_2018_18020_key,0)),$K95)="plan_material"))),O95&lt;&gt;"",O95&lt;&gt;"not_applicable")</formula>
    </cfRule>
    <cfRule type="expression" priority="902" dxfId="1">
      <formula>OR(AND(IF($J95="",INDEX(primary_jama_2018_18020_disposition,MATCH($A95,primary_jama_2018_18020_key,0)),$J95)&lt;&gt;"",IF($J95="",INDEX(primary_jama_2018_18020_disposition,MATCH($A95,primary_jama_2018_18020_key,0)),$J95)&lt;&gt;"retain"),NOT(OR(IF($K95="",INDEX(primary_jama_2018_18020_domain,MATCH($A95,primary_jama_2018_18020_key,0)),$K95)="internal_nonstatistical",IF($K95="",INDEX(primary_jama_2018_18020_domain,MATCH($A95,primary_jama_2018_18020_key,0)),$K95)="plan_material")))</formula>
    </cfRule>
  </conditionalFormatting>
  <conditionalFormatting sqref="O96">
    <cfRule type="expression" priority="903" dxfId="0" stopIfTrue="1">
      <formula>AND(OR(AND(IF($J96="",INDEX(primary_jama_2018_6496_disposition,MATCH($A96,primary_jama_2018_6496_key,0)),$J96)&lt;&gt;"",IF($J96="",INDEX(primary_jama_2018_6496_disposition,MATCH($A96,primary_jama_2018_6496_key,0)),$J96)&lt;&gt;"retain"),NOT(OR(IF($K96="",INDEX(primary_jama_2018_6496_domain,MATCH($A96,primary_jama_2018_6496_key,0)),$K96)="internal_nonstatistical",IF($K96="",INDEX(primary_jama_2018_6496_domain,MATCH($A96,primary_jama_2018_6496_key,0)),$K96)="plan_material"))),O96&lt;&gt;"",O96&lt;&gt;"not_applicable")</formula>
    </cfRule>
    <cfRule type="expression" priority="904" dxfId="1">
      <formula>OR(AND(IF($J96="",INDEX(primary_jama_2018_6496_disposition,MATCH($A96,primary_jama_2018_6496_key,0)),$J96)&lt;&gt;"",IF($J96="",INDEX(primary_jama_2018_6496_disposition,MATCH($A96,primary_jama_2018_6496_key,0)),$J96)&lt;&gt;"retain"),NOT(OR(IF($K96="",INDEX(primary_jama_2018_6496_domain,MATCH($A96,primary_jama_2018_6496_key,0)),$K96)="internal_nonstatistical",IF($K96="",INDEX(primary_jama_2018_6496_domain,MATCH($A96,primary_jama_2018_6496_key,0)),$K96)="plan_material")))</formula>
    </cfRule>
  </conditionalFormatting>
  <conditionalFormatting sqref="O97">
    <cfRule type="expression" priority="905" dxfId="0" stopIfTrue="1">
      <formula>AND(OR(AND(IF($J97="",INDEX(primary_jama_2018_6496_disposition,MATCH($A97,primary_jama_2018_6496_key,0)),$J97)&lt;&gt;"",IF($J97="",INDEX(primary_jama_2018_6496_disposition,MATCH($A97,primary_jama_2018_6496_key,0)),$J97)&lt;&gt;"retain"),NOT(OR(IF($K97="",INDEX(primary_jama_2018_6496_domain,MATCH($A97,primary_jama_2018_6496_key,0)),$K97)="internal_nonstatistical",IF($K97="",INDEX(primary_jama_2018_6496_domain,MATCH($A97,primary_jama_2018_6496_key,0)),$K97)="plan_material"))),O97&lt;&gt;"",O97&lt;&gt;"not_applicable")</formula>
    </cfRule>
    <cfRule type="expression" priority="906" dxfId="1">
      <formula>OR(AND(IF($J97="",INDEX(primary_jama_2018_6496_disposition,MATCH($A97,primary_jama_2018_6496_key,0)),$J97)&lt;&gt;"",IF($J97="",INDEX(primary_jama_2018_6496_disposition,MATCH($A97,primary_jama_2018_6496_key,0)),$J97)&lt;&gt;"retain"),NOT(OR(IF($K97="",INDEX(primary_jama_2018_6496_domain,MATCH($A97,primary_jama_2018_6496_key,0)),$K97)="internal_nonstatistical",IF($K97="",INDEX(primary_jama_2018_6496_domain,MATCH($A97,primary_jama_2018_6496_key,0)),$K97)="plan_material")))</formula>
    </cfRule>
  </conditionalFormatting>
  <conditionalFormatting sqref="O98">
    <cfRule type="expression" priority="907" dxfId="0" stopIfTrue="1">
      <formula>AND(OR(AND(IF($J98="",INDEX(primary_jama_2018_6496_disposition,MATCH($A98,primary_jama_2018_6496_key,0)),$J98)&lt;&gt;"",IF($J98="",INDEX(primary_jama_2018_6496_disposition,MATCH($A98,primary_jama_2018_6496_key,0)),$J98)&lt;&gt;"retain"),NOT(OR(IF($K98="",INDEX(primary_jama_2018_6496_domain,MATCH($A98,primary_jama_2018_6496_key,0)),$K98)="internal_nonstatistical",IF($K98="",INDEX(primary_jama_2018_6496_domain,MATCH($A98,primary_jama_2018_6496_key,0)),$K98)="plan_material"))),O98&lt;&gt;"",O98&lt;&gt;"not_applicable")</formula>
    </cfRule>
    <cfRule type="expression" priority="908" dxfId="1">
      <formula>OR(AND(IF($J98="",INDEX(primary_jama_2018_6496_disposition,MATCH($A98,primary_jama_2018_6496_key,0)),$J98)&lt;&gt;"",IF($J98="",INDEX(primary_jama_2018_6496_disposition,MATCH($A98,primary_jama_2018_6496_key,0)),$J98)&lt;&gt;"retain"),NOT(OR(IF($K98="",INDEX(primary_jama_2018_6496_domain,MATCH($A98,primary_jama_2018_6496_key,0)),$K98)="internal_nonstatistical",IF($K98="",INDEX(primary_jama_2018_6496_domain,MATCH($A98,primary_jama_2018_6496_key,0)),$K98)="plan_material")))</formula>
    </cfRule>
  </conditionalFormatting>
  <conditionalFormatting sqref="O99">
    <cfRule type="expression" priority="909" dxfId="0" stopIfTrue="1">
      <formula>AND(OR(AND(IF($J99="",INDEX(primary_jama_2018_6496_disposition,MATCH($A99,primary_jama_2018_6496_key,0)),$J99)&lt;&gt;"",IF($J99="",INDEX(primary_jama_2018_6496_disposition,MATCH($A99,primary_jama_2018_6496_key,0)),$J99)&lt;&gt;"retain"),NOT(OR(IF($K99="",INDEX(primary_jama_2018_6496_domain,MATCH($A99,primary_jama_2018_6496_key,0)),$K99)="internal_nonstatistical",IF($K99="",INDEX(primary_jama_2018_6496_domain,MATCH($A99,primary_jama_2018_6496_key,0)),$K99)="plan_material"))),O99&lt;&gt;"",O99&lt;&gt;"not_applicable")</formula>
    </cfRule>
    <cfRule type="expression" priority="910" dxfId="1">
      <formula>OR(AND(IF($J99="",INDEX(primary_jama_2018_6496_disposition,MATCH($A99,primary_jama_2018_6496_key,0)),$J99)&lt;&gt;"",IF($J99="",INDEX(primary_jama_2018_6496_disposition,MATCH($A99,primary_jama_2018_6496_key,0)),$J99)&lt;&gt;"retain"),NOT(OR(IF($K99="",INDEX(primary_jama_2018_6496_domain,MATCH($A99,primary_jama_2018_6496_key,0)),$K99)="internal_nonstatistical",IF($K99="",INDEX(primary_jama_2018_6496_domain,MATCH($A99,primary_jama_2018_6496_key,0)),$K99)="plan_material")))</formula>
    </cfRule>
  </conditionalFormatting>
  <conditionalFormatting sqref="O100">
    <cfRule type="expression" priority="911" dxfId="0" stopIfTrue="1">
      <formula>AND(OR(AND(IF($J100="",INDEX(primary_jama_2018_8802_disposition,MATCH($A100,primary_jama_2018_8802_key,0)),$J100)&lt;&gt;"",IF($J100="",INDEX(primary_jama_2018_8802_disposition,MATCH($A100,primary_jama_2018_8802_key,0)),$J100)&lt;&gt;"retain"),NOT(OR(IF($K100="",INDEX(primary_jama_2018_8802_domain,MATCH($A100,primary_jama_2018_8802_key,0)),$K100)="internal_nonstatistical",IF($K100="",INDEX(primary_jama_2018_8802_domain,MATCH($A100,primary_jama_2018_8802_key,0)),$K100)="plan_material"))),O100&lt;&gt;"",O100&lt;&gt;"not_applicable")</formula>
    </cfRule>
    <cfRule type="expression" priority="912" dxfId="1">
      <formula>OR(AND(IF($J100="",INDEX(primary_jama_2018_8802_disposition,MATCH($A100,primary_jama_2018_8802_key,0)),$J100)&lt;&gt;"",IF($J100="",INDEX(primary_jama_2018_8802_disposition,MATCH($A100,primary_jama_2018_8802_key,0)),$J100)&lt;&gt;"retain"),NOT(OR(IF($K100="",INDEX(primary_jama_2018_8802_domain,MATCH($A100,primary_jama_2018_8802_key,0)),$K100)="internal_nonstatistical",IF($K100="",INDEX(primary_jama_2018_8802_domain,MATCH($A100,primary_jama_2018_8802_key,0)),$K100)="plan_material")))</formula>
    </cfRule>
  </conditionalFormatting>
  <conditionalFormatting sqref="O101">
    <cfRule type="expression" priority="913" dxfId="0" stopIfTrue="1">
      <formula>AND(OR(AND(IF($J101="",INDEX(primary_jama_2018_8802_disposition,MATCH($A101,primary_jama_2018_8802_key,0)),$J101)&lt;&gt;"",IF($J101="",INDEX(primary_jama_2018_8802_disposition,MATCH($A101,primary_jama_2018_8802_key,0)),$J101)&lt;&gt;"retain"),NOT(OR(IF($K101="",INDEX(primary_jama_2018_8802_domain,MATCH($A101,primary_jama_2018_8802_key,0)),$K101)="internal_nonstatistical",IF($K101="",INDEX(primary_jama_2018_8802_domain,MATCH($A101,primary_jama_2018_8802_key,0)),$K101)="plan_material"))),O101&lt;&gt;"",O101&lt;&gt;"not_applicable")</formula>
    </cfRule>
    <cfRule type="expression" priority="914" dxfId="1">
      <formula>OR(AND(IF($J101="",INDEX(primary_jama_2018_8802_disposition,MATCH($A101,primary_jama_2018_8802_key,0)),$J101)&lt;&gt;"",IF($J101="",INDEX(primary_jama_2018_8802_disposition,MATCH($A101,primary_jama_2018_8802_key,0)),$J101)&lt;&gt;"retain"),NOT(OR(IF($K101="",INDEX(primary_jama_2018_8802_domain,MATCH($A101,primary_jama_2018_8802_key,0)),$K101)="internal_nonstatistical",IF($K101="",INDEX(primary_jama_2018_8802_domain,MATCH($A101,primary_jama_2018_8802_key,0)),$K101)="plan_material")))</formula>
    </cfRule>
  </conditionalFormatting>
  <conditionalFormatting sqref="O102">
    <cfRule type="expression" priority="915" dxfId="0" stopIfTrue="1">
      <formula>AND(OR(AND(IF($J102="",INDEX(primary_jama_2018_8802_disposition,MATCH($A102,primary_jama_2018_8802_key,0)),$J102)&lt;&gt;"",IF($J102="",INDEX(primary_jama_2018_8802_disposition,MATCH($A102,primary_jama_2018_8802_key,0)),$J102)&lt;&gt;"retain"),NOT(OR(IF($K102="",INDEX(primary_jama_2018_8802_domain,MATCH($A102,primary_jama_2018_8802_key,0)),$K102)="internal_nonstatistical",IF($K102="",INDEX(primary_jama_2018_8802_domain,MATCH($A102,primary_jama_2018_8802_key,0)),$K102)="plan_material"))),O102&lt;&gt;"",O102&lt;&gt;"not_applicable")</formula>
    </cfRule>
    <cfRule type="expression" priority="916" dxfId="1">
      <formula>OR(AND(IF($J102="",INDEX(primary_jama_2018_8802_disposition,MATCH($A102,primary_jama_2018_8802_key,0)),$J102)&lt;&gt;"",IF($J102="",INDEX(primary_jama_2018_8802_disposition,MATCH($A102,primary_jama_2018_8802_key,0)),$J102)&lt;&gt;"retain"),NOT(OR(IF($K102="",INDEX(primary_jama_2018_8802_domain,MATCH($A102,primary_jama_2018_8802_key,0)),$K102)="internal_nonstatistical",IF($K102="",INDEX(primary_jama_2018_8802_domain,MATCH($A102,primary_jama_2018_8802_key,0)),$K102)="plan_material")))</formula>
    </cfRule>
  </conditionalFormatting>
  <conditionalFormatting sqref="O103">
    <cfRule type="expression" priority="917" dxfId="0" stopIfTrue="1">
      <formula>AND(OR(AND(IF($J103="",INDEX(primary_jama_2018_8802_disposition,MATCH($A103,primary_jama_2018_8802_key,0)),$J103)&lt;&gt;"",IF($J103="",INDEX(primary_jama_2018_8802_disposition,MATCH($A103,primary_jama_2018_8802_key,0)),$J103)&lt;&gt;"retain"),NOT(OR(IF($K103="",INDEX(primary_jama_2018_8802_domain,MATCH($A103,primary_jama_2018_8802_key,0)),$K103)="internal_nonstatistical",IF($K103="",INDEX(primary_jama_2018_8802_domain,MATCH($A103,primary_jama_2018_8802_key,0)),$K103)="plan_material"))),O103&lt;&gt;"",O103&lt;&gt;"not_applicable")</formula>
    </cfRule>
    <cfRule type="expression" priority="918" dxfId="1">
      <formula>OR(AND(IF($J103="",INDEX(primary_jama_2018_8802_disposition,MATCH($A103,primary_jama_2018_8802_key,0)),$J103)&lt;&gt;"",IF($J103="",INDEX(primary_jama_2018_8802_disposition,MATCH($A103,primary_jama_2018_8802_key,0)),$J103)&lt;&gt;"retain"),NOT(OR(IF($K103="",INDEX(primary_jama_2018_8802_domain,MATCH($A103,primary_jama_2018_8802_key,0)),$K103)="internal_nonstatistical",IF($K103="",INDEX(primary_jama_2018_8802_domain,MATCH($A103,primary_jama_2018_8802_key,0)),$K103)="plan_material")))</formula>
    </cfRule>
  </conditionalFormatting>
  <conditionalFormatting sqref="O104">
    <cfRule type="expression" priority="919" dxfId="0" stopIfTrue="1">
      <formula>AND(OR(AND(IF($J104="",INDEX(primary_jama_2018_8802_disposition,MATCH($A104,primary_jama_2018_8802_key,0)),$J104)&lt;&gt;"",IF($J104="",INDEX(primary_jama_2018_8802_disposition,MATCH($A104,primary_jama_2018_8802_key,0)),$J104)&lt;&gt;"retain"),NOT(OR(IF($K104="",INDEX(primary_jama_2018_8802_domain,MATCH($A104,primary_jama_2018_8802_key,0)),$K104)="internal_nonstatistical",IF($K104="",INDEX(primary_jama_2018_8802_domain,MATCH($A104,primary_jama_2018_8802_key,0)),$K104)="plan_material"))),O104&lt;&gt;"",O104&lt;&gt;"not_applicable")</formula>
    </cfRule>
    <cfRule type="expression" priority="920" dxfId="1">
      <formula>OR(AND(IF($J104="",INDEX(primary_jama_2018_8802_disposition,MATCH($A104,primary_jama_2018_8802_key,0)),$J104)&lt;&gt;"",IF($J104="",INDEX(primary_jama_2018_8802_disposition,MATCH($A104,primary_jama_2018_8802_key,0)),$J104)&lt;&gt;"retain"),NOT(OR(IF($K104="",INDEX(primary_jama_2018_8802_domain,MATCH($A104,primary_jama_2018_8802_key,0)),$K104)="internal_nonstatistical",IF($K104="",INDEX(primary_jama_2018_8802_domain,MATCH($A104,primary_jama_2018_8802_key,0)),$K104)="plan_material")))</formula>
    </cfRule>
  </conditionalFormatting>
  <conditionalFormatting sqref="O105">
    <cfRule type="expression" priority="921" dxfId="0" stopIfTrue="1">
      <formula>AND(OR(AND(IF($J105="",INDEX(primary_jama_2018_8802_disposition,MATCH($A105,primary_jama_2018_8802_key,0)),$J105)&lt;&gt;"",IF($J105="",INDEX(primary_jama_2018_8802_disposition,MATCH($A105,primary_jama_2018_8802_key,0)),$J105)&lt;&gt;"retain"),NOT(OR(IF($K105="",INDEX(primary_jama_2018_8802_domain,MATCH($A105,primary_jama_2018_8802_key,0)),$K105)="internal_nonstatistical",IF($K105="",INDEX(primary_jama_2018_8802_domain,MATCH($A105,primary_jama_2018_8802_key,0)),$K105)="plan_material"))),O105&lt;&gt;"",O105&lt;&gt;"not_applicable")</formula>
    </cfRule>
    <cfRule type="expression" priority="922" dxfId="1">
      <formula>OR(AND(IF($J105="",INDEX(primary_jama_2018_8802_disposition,MATCH($A105,primary_jama_2018_8802_key,0)),$J105)&lt;&gt;"",IF($J105="",INDEX(primary_jama_2018_8802_disposition,MATCH($A105,primary_jama_2018_8802_key,0)),$J105)&lt;&gt;"retain"),NOT(OR(IF($K105="",INDEX(primary_jama_2018_8802_domain,MATCH($A105,primary_jama_2018_8802_key,0)),$K105)="internal_nonstatistical",IF($K105="",INDEX(primary_jama_2018_8802_domain,MATCH($A105,primary_jama_2018_8802_key,0)),$K105)="plan_material")))</formula>
    </cfRule>
  </conditionalFormatting>
  <conditionalFormatting sqref="O106">
    <cfRule type="expression" priority="923" dxfId="0" stopIfTrue="1">
      <formula>AND(OR(AND(IF($J106="",INDEX(primary_jama_2018_8802_disposition,MATCH($A106,primary_jama_2018_8802_key,0)),$J106)&lt;&gt;"",IF($J106="",INDEX(primary_jama_2018_8802_disposition,MATCH($A106,primary_jama_2018_8802_key,0)),$J106)&lt;&gt;"retain"),NOT(OR(IF($K106="",INDEX(primary_jama_2018_8802_domain,MATCH($A106,primary_jama_2018_8802_key,0)),$K106)="internal_nonstatistical",IF($K106="",INDEX(primary_jama_2018_8802_domain,MATCH($A106,primary_jama_2018_8802_key,0)),$K106)="plan_material"))),O106&lt;&gt;"",O106&lt;&gt;"not_applicable")</formula>
    </cfRule>
    <cfRule type="expression" priority="924" dxfId="1">
      <formula>OR(AND(IF($J106="",INDEX(primary_jama_2018_8802_disposition,MATCH($A106,primary_jama_2018_8802_key,0)),$J106)&lt;&gt;"",IF($J106="",INDEX(primary_jama_2018_8802_disposition,MATCH($A106,primary_jama_2018_8802_key,0)),$J106)&lt;&gt;"retain"),NOT(OR(IF($K106="",INDEX(primary_jama_2018_8802_domain,MATCH($A106,primary_jama_2018_8802_key,0)),$K106)="internal_nonstatistical",IF($K106="",INDEX(primary_jama_2018_8802_domain,MATCH($A106,primary_jama_2018_8802_key,0)),$K106)="plan_material")))</formula>
    </cfRule>
  </conditionalFormatting>
  <conditionalFormatting sqref="O107">
    <cfRule type="expression" priority="925" dxfId="0" stopIfTrue="1">
      <formula>AND(OR(AND(IF($J107="",INDEX(primary_jama_2018_8802_disposition,MATCH($A107,primary_jama_2018_8802_key,0)),$J107)&lt;&gt;"",IF($J107="",INDEX(primary_jama_2018_8802_disposition,MATCH($A107,primary_jama_2018_8802_key,0)),$J107)&lt;&gt;"retain"),NOT(OR(IF($K107="",INDEX(primary_jama_2018_8802_domain,MATCH($A107,primary_jama_2018_8802_key,0)),$K107)="internal_nonstatistical",IF($K107="",INDEX(primary_jama_2018_8802_domain,MATCH($A107,primary_jama_2018_8802_key,0)),$K107)="plan_material"))),O107&lt;&gt;"",O107&lt;&gt;"not_applicable")</formula>
    </cfRule>
    <cfRule type="expression" priority="926" dxfId="1">
      <formula>OR(AND(IF($J107="",INDEX(primary_jama_2018_8802_disposition,MATCH($A107,primary_jama_2018_8802_key,0)),$J107)&lt;&gt;"",IF($J107="",INDEX(primary_jama_2018_8802_disposition,MATCH($A107,primary_jama_2018_8802_key,0)),$J107)&lt;&gt;"retain"),NOT(OR(IF($K107="",INDEX(primary_jama_2018_8802_domain,MATCH($A107,primary_jama_2018_8802_key,0)),$K107)="internal_nonstatistical",IF($K107="",INDEX(primary_jama_2018_8802_domain,MATCH($A107,primary_jama_2018_8802_key,0)),$K107)="plan_material")))</formula>
    </cfRule>
  </conditionalFormatting>
  <conditionalFormatting sqref="O108">
    <cfRule type="expression" priority="927" dxfId="0" stopIfTrue="1">
      <formula>AND(OR(AND(IF($J108="",INDEX(primary_jama_2018_9128_disposition,MATCH($A108,primary_jama_2018_9128_key,0)),$J108)&lt;&gt;"",IF($J108="",INDEX(primary_jama_2018_9128_disposition,MATCH($A108,primary_jama_2018_9128_key,0)),$J108)&lt;&gt;"retain"),NOT(OR(IF($K108="",INDEX(primary_jama_2018_9128_domain,MATCH($A108,primary_jama_2018_9128_key,0)),$K108)="internal_nonstatistical",IF($K108="",INDEX(primary_jama_2018_9128_domain,MATCH($A108,primary_jama_2018_9128_key,0)),$K108)="plan_material"))),O108&lt;&gt;"",O108&lt;&gt;"not_applicable")</formula>
    </cfRule>
    <cfRule type="expression" priority="928" dxfId="1">
      <formula>OR(AND(IF($J108="",INDEX(primary_jama_2018_9128_disposition,MATCH($A108,primary_jama_2018_9128_key,0)),$J108)&lt;&gt;"",IF($J108="",INDEX(primary_jama_2018_9128_disposition,MATCH($A108,primary_jama_2018_9128_key,0)),$J108)&lt;&gt;"retain"),NOT(OR(IF($K108="",INDEX(primary_jama_2018_9128_domain,MATCH($A108,primary_jama_2018_9128_key,0)),$K108)="internal_nonstatistical",IF($K108="",INDEX(primary_jama_2018_9128_domain,MATCH($A108,primary_jama_2018_9128_key,0)),$K108)="plan_material")))</formula>
    </cfRule>
  </conditionalFormatting>
  <conditionalFormatting sqref="O109">
    <cfRule type="expression" priority="929" dxfId="0" stopIfTrue="1">
      <formula>AND(OR(AND(IF($J109="",INDEX(primary_jama_2018_9128_disposition,MATCH($A109,primary_jama_2018_9128_key,0)),$J109)&lt;&gt;"",IF($J109="",INDEX(primary_jama_2018_9128_disposition,MATCH($A109,primary_jama_2018_9128_key,0)),$J109)&lt;&gt;"retain"),NOT(OR(IF($K109="",INDEX(primary_jama_2018_9128_domain,MATCH($A109,primary_jama_2018_9128_key,0)),$K109)="internal_nonstatistical",IF($K109="",INDEX(primary_jama_2018_9128_domain,MATCH($A109,primary_jama_2018_9128_key,0)),$K109)="plan_material"))),O109&lt;&gt;"",O109&lt;&gt;"not_applicable")</formula>
    </cfRule>
    <cfRule type="expression" priority="930" dxfId="1">
      <formula>OR(AND(IF($J109="",INDEX(primary_jama_2018_9128_disposition,MATCH($A109,primary_jama_2018_9128_key,0)),$J109)&lt;&gt;"",IF($J109="",INDEX(primary_jama_2018_9128_disposition,MATCH($A109,primary_jama_2018_9128_key,0)),$J109)&lt;&gt;"retain"),NOT(OR(IF($K109="",INDEX(primary_jama_2018_9128_domain,MATCH($A109,primary_jama_2018_9128_key,0)),$K109)="internal_nonstatistical",IF($K109="",INDEX(primary_jama_2018_9128_domain,MATCH($A109,primary_jama_2018_9128_key,0)),$K109)="plan_material")))</formula>
    </cfRule>
  </conditionalFormatting>
  <conditionalFormatting sqref="O110">
    <cfRule type="expression" priority="931" dxfId="0" stopIfTrue="1">
      <formula>AND(OR(AND(IF($J110="",INDEX(primary_jama_2018_9128_disposition,MATCH($A110,primary_jama_2018_9128_key,0)),$J110)&lt;&gt;"",IF($J110="",INDEX(primary_jama_2018_9128_disposition,MATCH($A110,primary_jama_2018_9128_key,0)),$J110)&lt;&gt;"retain"),NOT(OR(IF($K110="",INDEX(primary_jama_2018_9128_domain,MATCH($A110,primary_jama_2018_9128_key,0)),$K110)="internal_nonstatistical",IF($K110="",INDEX(primary_jama_2018_9128_domain,MATCH($A110,primary_jama_2018_9128_key,0)),$K110)="plan_material"))),O110&lt;&gt;"",O110&lt;&gt;"not_applicable")</formula>
    </cfRule>
    <cfRule type="expression" priority="932" dxfId="1">
      <formula>OR(AND(IF($J110="",INDEX(primary_jama_2018_9128_disposition,MATCH($A110,primary_jama_2018_9128_key,0)),$J110)&lt;&gt;"",IF($J110="",INDEX(primary_jama_2018_9128_disposition,MATCH($A110,primary_jama_2018_9128_key,0)),$J110)&lt;&gt;"retain"),NOT(OR(IF($K110="",INDEX(primary_jama_2018_9128_domain,MATCH($A110,primary_jama_2018_9128_key,0)),$K110)="internal_nonstatistical",IF($K110="",INDEX(primary_jama_2018_9128_domain,MATCH($A110,primary_jama_2018_9128_key,0)),$K110)="plan_material")))</formula>
    </cfRule>
  </conditionalFormatting>
  <conditionalFormatting sqref="O111">
    <cfRule type="expression" priority="933" dxfId="0" stopIfTrue="1">
      <formula>AND(OR(AND(IF($J111="",INDEX(primary_jama_2018_9128_disposition,MATCH($A111,primary_jama_2018_9128_key,0)),$J111)&lt;&gt;"",IF($J111="",INDEX(primary_jama_2018_9128_disposition,MATCH($A111,primary_jama_2018_9128_key,0)),$J111)&lt;&gt;"retain"),NOT(OR(IF($K111="",INDEX(primary_jama_2018_9128_domain,MATCH($A111,primary_jama_2018_9128_key,0)),$K111)="internal_nonstatistical",IF($K111="",INDEX(primary_jama_2018_9128_domain,MATCH($A111,primary_jama_2018_9128_key,0)),$K111)="plan_material"))),O111&lt;&gt;"",O111&lt;&gt;"not_applicable")</formula>
    </cfRule>
    <cfRule type="expression" priority="934" dxfId="1">
      <formula>OR(AND(IF($J111="",INDEX(primary_jama_2018_9128_disposition,MATCH($A111,primary_jama_2018_9128_key,0)),$J111)&lt;&gt;"",IF($J111="",INDEX(primary_jama_2018_9128_disposition,MATCH($A111,primary_jama_2018_9128_key,0)),$J111)&lt;&gt;"retain"),NOT(OR(IF($K111="",INDEX(primary_jama_2018_9128_domain,MATCH($A111,primary_jama_2018_9128_key,0)),$K111)="internal_nonstatistical",IF($K111="",INDEX(primary_jama_2018_9128_domain,MATCH($A111,primary_jama_2018_9128_key,0)),$K111)="plan_material")))</formula>
    </cfRule>
  </conditionalFormatting>
  <conditionalFormatting sqref="O112">
    <cfRule type="expression" priority="935" dxfId="0" stopIfTrue="1">
      <formula>AND(OR(AND(IF($J112="",INDEX(primary_jama_2018_9128_disposition,MATCH($A112,primary_jama_2018_9128_key,0)),$J112)&lt;&gt;"",IF($J112="",INDEX(primary_jama_2018_9128_disposition,MATCH($A112,primary_jama_2018_9128_key,0)),$J112)&lt;&gt;"retain"),NOT(OR(IF($K112="",INDEX(primary_jama_2018_9128_domain,MATCH($A112,primary_jama_2018_9128_key,0)),$K112)="internal_nonstatistical",IF($K112="",INDEX(primary_jama_2018_9128_domain,MATCH($A112,primary_jama_2018_9128_key,0)),$K112)="plan_material"))),O112&lt;&gt;"",O112&lt;&gt;"not_applicable")</formula>
    </cfRule>
    <cfRule type="expression" priority="936" dxfId="1">
      <formula>OR(AND(IF($J112="",INDEX(primary_jama_2018_9128_disposition,MATCH($A112,primary_jama_2018_9128_key,0)),$J112)&lt;&gt;"",IF($J112="",INDEX(primary_jama_2018_9128_disposition,MATCH($A112,primary_jama_2018_9128_key,0)),$J112)&lt;&gt;"retain"),NOT(OR(IF($K112="",INDEX(primary_jama_2018_9128_domain,MATCH($A112,primary_jama_2018_9128_key,0)),$K112)="internal_nonstatistical",IF($K112="",INDEX(primary_jama_2018_9128_domain,MATCH($A112,primary_jama_2018_9128_key,0)),$K112)="plan_material")))</formula>
    </cfRule>
  </conditionalFormatting>
  <conditionalFormatting sqref="O113">
    <cfRule type="expression" priority="937" dxfId="0" stopIfTrue="1">
      <formula>AND(OR(AND(IF($J113="",INDEX(primary_jama_2018_9128_disposition,MATCH($A113,primary_jama_2018_9128_key,0)),$J113)&lt;&gt;"",IF($J113="",INDEX(primary_jama_2018_9128_disposition,MATCH($A113,primary_jama_2018_9128_key,0)),$J113)&lt;&gt;"retain"),NOT(OR(IF($K113="",INDEX(primary_jama_2018_9128_domain,MATCH($A113,primary_jama_2018_9128_key,0)),$K113)="internal_nonstatistical",IF($K113="",INDEX(primary_jama_2018_9128_domain,MATCH($A113,primary_jama_2018_9128_key,0)),$K113)="plan_material"))),O113&lt;&gt;"",O113&lt;&gt;"not_applicable")</formula>
    </cfRule>
    <cfRule type="expression" priority="938" dxfId="1">
      <formula>OR(AND(IF($J113="",INDEX(primary_jama_2018_9128_disposition,MATCH($A113,primary_jama_2018_9128_key,0)),$J113)&lt;&gt;"",IF($J113="",INDEX(primary_jama_2018_9128_disposition,MATCH($A113,primary_jama_2018_9128_key,0)),$J113)&lt;&gt;"retain"),NOT(OR(IF($K113="",INDEX(primary_jama_2018_9128_domain,MATCH($A113,primary_jama_2018_9128_key,0)),$K113)="internal_nonstatistical",IF($K113="",INDEX(primary_jama_2018_9128_domain,MATCH($A113,primary_jama_2018_9128_key,0)),$K113)="plan_material")))</formula>
    </cfRule>
  </conditionalFormatting>
  <conditionalFormatting sqref="O114">
    <cfRule type="expression" priority="939" dxfId="0" stopIfTrue="1">
      <formula>AND(OR(AND(IF($J114="",INDEX(primary_jama_2018_9128_disposition,MATCH($A114,primary_jama_2018_9128_key,0)),$J114)&lt;&gt;"",IF($J114="",INDEX(primary_jama_2018_9128_disposition,MATCH($A114,primary_jama_2018_9128_key,0)),$J114)&lt;&gt;"retain"),NOT(OR(IF($K114="",INDEX(primary_jama_2018_9128_domain,MATCH($A114,primary_jama_2018_9128_key,0)),$K114)="internal_nonstatistical",IF($K114="",INDEX(primary_jama_2018_9128_domain,MATCH($A114,primary_jama_2018_9128_key,0)),$K114)="plan_material"))),O114&lt;&gt;"",O114&lt;&gt;"not_applicable")</formula>
    </cfRule>
    <cfRule type="expression" priority="940" dxfId="1">
      <formula>OR(AND(IF($J114="",INDEX(primary_jama_2018_9128_disposition,MATCH($A114,primary_jama_2018_9128_key,0)),$J114)&lt;&gt;"",IF($J114="",INDEX(primary_jama_2018_9128_disposition,MATCH($A114,primary_jama_2018_9128_key,0)),$J114)&lt;&gt;"retain"),NOT(OR(IF($K114="",INDEX(primary_jama_2018_9128_domain,MATCH($A114,primary_jama_2018_9128_key,0)),$K114)="internal_nonstatistical",IF($K114="",INDEX(primary_jama_2018_9128_domain,MATCH($A114,primary_jama_2018_9128_key,0)),$K114)="plan_material")))</formula>
    </cfRule>
  </conditionalFormatting>
  <conditionalFormatting sqref="O115">
    <cfRule type="expression" priority="941" dxfId="0" stopIfTrue="1">
      <formula>AND(OR(AND(IF($J115="",INDEX(primary_jama_2018_9128_disposition,MATCH($A115,primary_jama_2018_9128_key,0)),$J115)&lt;&gt;"",IF($J115="",INDEX(primary_jama_2018_9128_disposition,MATCH($A115,primary_jama_2018_9128_key,0)),$J115)&lt;&gt;"retain"),NOT(OR(IF($K115="",INDEX(primary_jama_2018_9128_domain,MATCH($A115,primary_jama_2018_9128_key,0)),$K115)="internal_nonstatistical",IF($K115="",INDEX(primary_jama_2018_9128_domain,MATCH($A115,primary_jama_2018_9128_key,0)),$K115)="plan_material"))),O115&lt;&gt;"",O115&lt;&gt;"not_applicable")</formula>
    </cfRule>
    <cfRule type="expression" priority="942" dxfId="1">
      <formula>OR(AND(IF($J115="",INDEX(primary_jama_2018_9128_disposition,MATCH($A115,primary_jama_2018_9128_key,0)),$J115)&lt;&gt;"",IF($J115="",INDEX(primary_jama_2018_9128_disposition,MATCH($A115,primary_jama_2018_9128_key,0)),$J115)&lt;&gt;"retain"),NOT(OR(IF($K115="",INDEX(primary_jama_2018_9128_domain,MATCH($A115,primary_jama_2018_9128_key,0)),$K115)="internal_nonstatistical",IF($K115="",INDEX(primary_jama_2018_9128_domain,MATCH($A115,primary_jama_2018_9128_key,0)),$K115)="plan_material")))</formula>
    </cfRule>
  </conditionalFormatting>
  <conditionalFormatting sqref="O116">
    <cfRule type="expression" priority="943" dxfId="0" stopIfTrue="1">
      <formula>AND(OR(AND(IF($J116="",INDEX(primary_jama_2018_9128_disposition,MATCH($A116,primary_jama_2018_9128_key,0)),$J116)&lt;&gt;"",IF($J116="",INDEX(primary_jama_2018_9128_disposition,MATCH($A116,primary_jama_2018_9128_key,0)),$J116)&lt;&gt;"retain"),NOT(OR(IF($K116="",INDEX(primary_jama_2018_9128_domain,MATCH($A116,primary_jama_2018_9128_key,0)),$K116)="internal_nonstatistical",IF($K116="",INDEX(primary_jama_2018_9128_domain,MATCH($A116,primary_jama_2018_9128_key,0)),$K116)="plan_material"))),O116&lt;&gt;"",O116&lt;&gt;"not_applicable")</formula>
    </cfRule>
    <cfRule type="expression" priority="944" dxfId="1">
      <formula>OR(AND(IF($J116="",INDEX(primary_jama_2018_9128_disposition,MATCH($A116,primary_jama_2018_9128_key,0)),$J116)&lt;&gt;"",IF($J116="",INDEX(primary_jama_2018_9128_disposition,MATCH($A116,primary_jama_2018_9128_key,0)),$J116)&lt;&gt;"retain"),NOT(OR(IF($K116="",INDEX(primary_jama_2018_9128_domain,MATCH($A116,primary_jama_2018_9128_key,0)),$K116)="internal_nonstatistical",IF($K116="",INDEX(primary_jama_2018_9128_domain,MATCH($A116,primary_jama_2018_9128_key,0)),$K116)="plan_material")))</formula>
    </cfRule>
  </conditionalFormatting>
  <conditionalFormatting sqref="O117">
    <cfRule type="expression" priority="945" dxfId="0" stopIfTrue="1">
      <formula>AND(OR(AND(IF($J117="",INDEX(primary_jama_2018_9128_disposition,MATCH($A117,primary_jama_2018_9128_key,0)),$J117)&lt;&gt;"",IF($J117="",INDEX(primary_jama_2018_9128_disposition,MATCH($A117,primary_jama_2018_9128_key,0)),$J117)&lt;&gt;"retain"),NOT(OR(IF($K117="",INDEX(primary_jama_2018_9128_domain,MATCH($A117,primary_jama_2018_9128_key,0)),$K117)="internal_nonstatistical",IF($K117="",INDEX(primary_jama_2018_9128_domain,MATCH($A117,primary_jama_2018_9128_key,0)),$K117)="plan_material"))),O117&lt;&gt;"",O117&lt;&gt;"not_applicable")</formula>
    </cfRule>
    <cfRule type="expression" priority="946" dxfId="1">
      <formula>OR(AND(IF($J117="",INDEX(primary_jama_2018_9128_disposition,MATCH($A117,primary_jama_2018_9128_key,0)),$J117)&lt;&gt;"",IF($J117="",INDEX(primary_jama_2018_9128_disposition,MATCH($A117,primary_jama_2018_9128_key,0)),$J117)&lt;&gt;"retain"),NOT(OR(IF($K117="",INDEX(primary_jama_2018_9128_domain,MATCH($A117,primary_jama_2018_9128_key,0)),$K117)="internal_nonstatistical",IF($K117="",INDEX(primary_jama_2018_9128_domain,MATCH($A117,primary_jama_2018_9128_key,0)),$K117)="plan_material")))</formula>
    </cfRule>
  </conditionalFormatting>
  <conditionalFormatting sqref="O118">
    <cfRule type="expression" priority="947" dxfId="0" stopIfTrue="1">
      <formula>AND(OR(AND(IF($J118="",INDEX(primary_jama_2018_9128_disposition,MATCH($A118,primary_jama_2018_9128_key,0)),$J118)&lt;&gt;"",IF($J118="",INDEX(primary_jama_2018_9128_disposition,MATCH($A118,primary_jama_2018_9128_key,0)),$J118)&lt;&gt;"retain"),NOT(OR(IF($K118="",INDEX(primary_jama_2018_9128_domain,MATCH($A118,primary_jama_2018_9128_key,0)),$K118)="internal_nonstatistical",IF($K118="",INDEX(primary_jama_2018_9128_domain,MATCH($A118,primary_jama_2018_9128_key,0)),$K118)="plan_material"))),O118&lt;&gt;"",O118&lt;&gt;"not_applicable")</formula>
    </cfRule>
    <cfRule type="expression" priority="948" dxfId="1">
      <formula>OR(AND(IF($J118="",INDEX(primary_jama_2018_9128_disposition,MATCH($A118,primary_jama_2018_9128_key,0)),$J118)&lt;&gt;"",IF($J118="",INDEX(primary_jama_2018_9128_disposition,MATCH($A118,primary_jama_2018_9128_key,0)),$J118)&lt;&gt;"retain"),NOT(OR(IF($K118="",INDEX(primary_jama_2018_9128_domain,MATCH($A118,primary_jama_2018_9128_key,0)),$K118)="internal_nonstatistical",IF($K118="",INDEX(primary_jama_2018_9128_domain,MATCH($A118,primary_jama_2018_9128_key,0)),$K118)="plan_material")))</formula>
    </cfRule>
  </conditionalFormatting>
  <conditionalFormatting sqref="O119">
    <cfRule type="expression" priority="949" dxfId="0" stopIfTrue="1">
      <formula>AND(OR(AND(IF($J119="",INDEX(primary_jama_2018_9128_disposition,MATCH($A119,primary_jama_2018_9128_key,0)),$J119)&lt;&gt;"",IF($J119="",INDEX(primary_jama_2018_9128_disposition,MATCH($A119,primary_jama_2018_9128_key,0)),$J119)&lt;&gt;"retain"),NOT(OR(IF($K119="",INDEX(primary_jama_2018_9128_domain,MATCH($A119,primary_jama_2018_9128_key,0)),$K119)="internal_nonstatistical",IF($K119="",INDEX(primary_jama_2018_9128_domain,MATCH($A119,primary_jama_2018_9128_key,0)),$K119)="plan_material"))),O119&lt;&gt;"",O119&lt;&gt;"not_applicable")</formula>
    </cfRule>
    <cfRule type="expression" priority="950" dxfId="1">
      <formula>OR(AND(IF($J119="",INDEX(primary_jama_2018_9128_disposition,MATCH($A119,primary_jama_2018_9128_key,0)),$J119)&lt;&gt;"",IF($J119="",INDEX(primary_jama_2018_9128_disposition,MATCH($A119,primary_jama_2018_9128_key,0)),$J119)&lt;&gt;"retain"),NOT(OR(IF($K119="",INDEX(primary_jama_2018_9128_domain,MATCH($A119,primary_jama_2018_9128_key,0)),$K119)="internal_nonstatistical",IF($K119="",INDEX(primary_jama_2018_9128_domain,MATCH($A119,primary_jama_2018_9128_key,0)),$K119)="plan_material")))</formula>
    </cfRule>
  </conditionalFormatting>
  <conditionalFormatting sqref="O120">
    <cfRule type="expression" priority="951" dxfId="0" stopIfTrue="1">
      <formula>AND(OR(AND(IF($J120="",INDEX(primary_jama_2018_9128_disposition,MATCH($A120,primary_jama_2018_9128_key,0)),$J120)&lt;&gt;"",IF($J120="",INDEX(primary_jama_2018_9128_disposition,MATCH($A120,primary_jama_2018_9128_key,0)),$J120)&lt;&gt;"retain"),NOT(OR(IF($K120="",INDEX(primary_jama_2018_9128_domain,MATCH($A120,primary_jama_2018_9128_key,0)),$K120)="internal_nonstatistical",IF($K120="",INDEX(primary_jama_2018_9128_domain,MATCH($A120,primary_jama_2018_9128_key,0)),$K120)="plan_material"))),O120&lt;&gt;"",O120&lt;&gt;"not_applicable")</formula>
    </cfRule>
    <cfRule type="expression" priority="952" dxfId="1">
      <formula>OR(AND(IF($J120="",INDEX(primary_jama_2018_9128_disposition,MATCH($A120,primary_jama_2018_9128_key,0)),$J120)&lt;&gt;"",IF($J120="",INDEX(primary_jama_2018_9128_disposition,MATCH($A120,primary_jama_2018_9128_key,0)),$J120)&lt;&gt;"retain"),NOT(OR(IF($K120="",INDEX(primary_jama_2018_9128_domain,MATCH($A120,primary_jama_2018_9128_key,0)),$K120)="internal_nonstatistical",IF($K120="",INDEX(primary_jama_2018_9128_domain,MATCH($A120,primary_jama_2018_9128_key,0)),$K120)="plan_material")))</formula>
    </cfRule>
  </conditionalFormatting>
  <conditionalFormatting sqref="P2">
    <cfRule type="expression" priority="953" dxfId="0" stopIfTrue="1">
      <formula>AND(OR(AND(IF($J2="",INDEX(primary_jama_2017_21906_disposition,MATCH($A2,primary_jama_2017_21906_key,0)),$J2)&lt;&gt;"",IF($J2="",INDEX(primary_jama_2017_21906_disposition,MATCH($A2,primary_jama_2017_21906_key,0)),$J2)&lt;&gt;"retain"),NOT(OR(IF($K2="",INDEX(primary_jama_2017_21906_domain,MATCH($A2,primary_jama_2017_21906_key,0)),$K2)="protocol_report"))),P2&lt;&gt;"",P2&lt;&gt;"not_applicable")</formula>
    </cfRule>
    <cfRule type="expression" priority="954" dxfId="1">
      <formula>OR(AND(IF($J2="",INDEX(primary_jama_2017_21906_disposition,MATCH($A2,primary_jama_2017_21906_key,0)),$J2)&lt;&gt;"",IF($J2="",INDEX(primary_jama_2017_21906_disposition,MATCH($A2,primary_jama_2017_21906_key,0)),$J2)&lt;&gt;"retain"),NOT(OR(IF($K2="",INDEX(primary_jama_2017_21906_domain,MATCH($A2,primary_jama_2017_21906_key,0)),$K2)="protocol_report")))</formula>
    </cfRule>
  </conditionalFormatting>
  <conditionalFormatting sqref="P3">
    <cfRule type="expression" priority="955" dxfId="0" stopIfTrue="1">
      <formula>AND(OR(AND(IF($J3="",INDEX(primary_jama_2017_21906_disposition,MATCH($A3,primary_jama_2017_21906_key,0)),$J3)&lt;&gt;"",IF($J3="",INDEX(primary_jama_2017_21906_disposition,MATCH($A3,primary_jama_2017_21906_key,0)),$J3)&lt;&gt;"retain"),NOT(OR(IF($K3="",INDEX(primary_jama_2017_21906_domain,MATCH($A3,primary_jama_2017_21906_key,0)),$K3)="protocol_report"))),P3&lt;&gt;"",P3&lt;&gt;"not_applicable")</formula>
    </cfRule>
    <cfRule type="expression" priority="956" dxfId="1">
      <formula>OR(AND(IF($J3="",INDEX(primary_jama_2017_21906_disposition,MATCH($A3,primary_jama_2017_21906_key,0)),$J3)&lt;&gt;"",IF($J3="",INDEX(primary_jama_2017_21906_disposition,MATCH($A3,primary_jama_2017_21906_key,0)),$J3)&lt;&gt;"retain"),NOT(OR(IF($K3="",INDEX(primary_jama_2017_21906_domain,MATCH($A3,primary_jama_2017_21906_key,0)),$K3)="protocol_report")))</formula>
    </cfRule>
  </conditionalFormatting>
  <conditionalFormatting sqref="P4">
    <cfRule type="expression" priority="957" dxfId="0" stopIfTrue="1">
      <formula>AND(OR(AND(IF($J4="",INDEX(primary_jama_2017_21906_disposition,MATCH($A4,primary_jama_2017_21906_key,0)),$J4)&lt;&gt;"",IF($J4="",INDEX(primary_jama_2017_21906_disposition,MATCH($A4,primary_jama_2017_21906_key,0)),$J4)&lt;&gt;"retain"),NOT(OR(IF($K4="",INDEX(primary_jama_2017_21906_domain,MATCH($A4,primary_jama_2017_21906_key,0)),$K4)="protocol_report"))),P4&lt;&gt;"",P4&lt;&gt;"not_applicable")</formula>
    </cfRule>
    <cfRule type="expression" priority="958" dxfId="1">
      <formula>OR(AND(IF($J4="",INDEX(primary_jama_2017_21906_disposition,MATCH($A4,primary_jama_2017_21906_key,0)),$J4)&lt;&gt;"",IF($J4="",INDEX(primary_jama_2017_21906_disposition,MATCH($A4,primary_jama_2017_21906_key,0)),$J4)&lt;&gt;"retain"),NOT(OR(IF($K4="",INDEX(primary_jama_2017_21906_domain,MATCH($A4,primary_jama_2017_21906_key,0)),$K4)="protocol_report")))</formula>
    </cfRule>
  </conditionalFormatting>
  <conditionalFormatting sqref="P5">
    <cfRule type="expression" priority="959" dxfId="0" stopIfTrue="1">
      <formula>AND(OR(AND(IF($J5="",INDEX(primary_jama_2017_21906_disposition,MATCH($A5,primary_jama_2017_21906_key,0)),$J5)&lt;&gt;"",IF($J5="",INDEX(primary_jama_2017_21906_disposition,MATCH($A5,primary_jama_2017_21906_key,0)),$J5)&lt;&gt;"retain"),NOT(OR(IF($K5="",INDEX(primary_jama_2017_21906_domain,MATCH($A5,primary_jama_2017_21906_key,0)),$K5)="protocol_report"))),P5&lt;&gt;"",P5&lt;&gt;"not_applicable")</formula>
    </cfRule>
    <cfRule type="expression" priority="960" dxfId="1">
      <formula>OR(AND(IF($J5="",INDEX(primary_jama_2017_21906_disposition,MATCH($A5,primary_jama_2017_21906_key,0)),$J5)&lt;&gt;"",IF($J5="",INDEX(primary_jama_2017_21906_disposition,MATCH($A5,primary_jama_2017_21906_key,0)),$J5)&lt;&gt;"retain"),NOT(OR(IF($K5="",INDEX(primary_jama_2017_21906_domain,MATCH($A5,primary_jama_2017_21906_key,0)),$K5)="protocol_report")))</formula>
    </cfRule>
  </conditionalFormatting>
  <conditionalFormatting sqref="P6">
    <cfRule type="expression" priority="961" dxfId="0" stopIfTrue="1">
      <formula>AND(OR(AND(IF($J6="",INDEX(primary_jama_2017_21906_disposition,MATCH($A6,primary_jama_2017_21906_key,0)),$J6)&lt;&gt;"",IF($J6="",INDEX(primary_jama_2017_21906_disposition,MATCH($A6,primary_jama_2017_21906_key,0)),$J6)&lt;&gt;"retain"),NOT(OR(IF($K6="",INDEX(primary_jama_2017_21906_domain,MATCH($A6,primary_jama_2017_21906_key,0)),$K6)="protocol_report"))),P6&lt;&gt;"",P6&lt;&gt;"not_applicable")</formula>
    </cfRule>
    <cfRule type="expression" priority="962" dxfId="1">
      <formula>OR(AND(IF($J6="",INDEX(primary_jama_2017_21906_disposition,MATCH($A6,primary_jama_2017_21906_key,0)),$J6)&lt;&gt;"",IF($J6="",INDEX(primary_jama_2017_21906_disposition,MATCH($A6,primary_jama_2017_21906_key,0)),$J6)&lt;&gt;"retain"),NOT(OR(IF($K6="",INDEX(primary_jama_2017_21906_domain,MATCH($A6,primary_jama_2017_21906_key,0)),$K6)="protocol_report")))</formula>
    </cfRule>
  </conditionalFormatting>
  <conditionalFormatting sqref="P7">
    <cfRule type="expression" priority="963" dxfId="0" stopIfTrue="1">
      <formula>AND(OR(AND(IF($J7="",INDEX(primary_jama_2017_21906_disposition,MATCH($A7,primary_jama_2017_21906_key,0)),$J7)&lt;&gt;"",IF($J7="",INDEX(primary_jama_2017_21906_disposition,MATCH($A7,primary_jama_2017_21906_key,0)),$J7)&lt;&gt;"retain"),NOT(OR(IF($K7="",INDEX(primary_jama_2017_21906_domain,MATCH($A7,primary_jama_2017_21906_key,0)),$K7)="protocol_report"))),P7&lt;&gt;"",P7&lt;&gt;"not_applicable")</formula>
    </cfRule>
    <cfRule type="expression" priority="964" dxfId="1">
      <formula>OR(AND(IF($J7="",INDEX(primary_jama_2017_21906_disposition,MATCH($A7,primary_jama_2017_21906_key,0)),$J7)&lt;&gt;"",IF($J7="",INDEX(primary_jama_2017_21906_disposition,MATCH($A7,primary_jama_2017_21906_key,0)),$J7)&lt;&gt;"retain"),NOT(OR(IF($K7="",INDEX(primary_jama_2017_21906_domain,MATCH($A7,primary_jama_2017_21906_key,0)),$K7)="protocol_report")))</formula>
    </cfRule>
  </conditionalFormatting>
  <conditionalFormatting sqref="P8">
    <cfRule type="expression" priority="965" dxfId="0" stopIfTrue="1">
      <formula>AND(OR(AND(IF($J8="",INDEX(primary_jama_2018_0156_disposition,MATCH($A8,primary_jama_2018_0156_key,0)),$J8)&lt;&gt;"",IF($J8="",INDEX(primary_jama_2018_0156_disposition,MATCH($A8,primary_jama_2018_0156_key,0)),$J8)&lt;&gt;"retain"),NOT(OR(IF($K8="",INDEX(primary_jama_2018_0156_domain,MATCH($A8,primary_jama_2018_0156_key,0)),$K8)="protocol_report"))),P8&lt;&gt;"",P8&lt;&gt;"not_applicable")</formula>
    </cfRule>
    <cfRule type="expression" priority="966" dxfId="1">
      <formula>OR(AND(IF($J8="",INDEX(primary_jama_2018_0156_disposition,MATCH($A8,primary_jama_2018_0156_key,0)),$J8)&lt;&gt;"",IF($J8="",INDEX(primary_jama_2018_0156_disposition,MATCH($A8,primary_jama_2018_0156_key,0)),$J8)&lt;&gt;"retain"),NOT(OR(IF($K8="",INDEX(primary_jama_2018_0156_domain,MATCH($A8,primary_jama_2018_0156_key,0)),$K8)="protocol_report")))</formula>
    </cfRule>
  </conditionalFormatting>
  <conditionalFormatting sqref="P9">
    <cfRule type="expression" priority="967" dxfId="0" stopIfTrue="1">
      <formula>AND(OR(AND(IF($J9="",INDEX(primary_jama_2018_0156_disposition,MATCH($A9,primary_jama_2018_0156_key,0)),$J9)&lt;&gt;"",IF($J9="",INDEX(primary_jama_2018_0156_disposition,MATCH($A9,primary_jama_2018_0156_key,0)),$J9)&lt;&gt;"retain"),NOT(OR(IF($K9="",INDEX(primary_jama_2018_0156_domain,MATCH($A9,primary_jama_2018_0156_key,0)),$K9)="protocol_report"))),P9&lt;&gt;"",P9&lt;&gt;"not_applicable")</formula>
    </cfRule>
    <cfRule type="expression" priority="968" dxfId="1">
      <formula>OR(AND(IF($J9="",INDEX(primary_jama_2018_0156_disposition,MATCH($A9,primary_jama_2018_0156_key,0)),$J9)&lt;&gt;"",IF($J9="",INDEX(primary_jama_2018_0156_disposition,MATCH($A9,primary_jama_2018_0156_key,0)),$J9)&lt;&gt;"retain"),NOT(OR(IF($K9="",INDEX(primary_jama_2018_0156_domain,MATCH($A9,primary_jama_2018_0156_key,0)),$K9)="protocol_report")))</formula>
    </cfRule>
  </conditionalFormatting>
  <conditionalFormatting sqref="P10">
    <cfRule type="expression" priority="969" dxfId="0" stopIfTrue="1">
      <formula>AND(OR(AND(IF($J10="",INDEX(primary_jama_2018_0156_disposition,MATCH($A10,primary_jama_2018_0156_key,0)),$J10)&lt;&gt;"",IF($J10="",INDEX(primary_jama_2018_0156_disposition,MATCH($A10,primary_jama_2018_0156_key,0)),$J10)&lt;&gt;"retain"),NOT(OR(IF($K10="",INDEX(primary_jama_2018_0156_domain,MATCH($A10,primary_jama_2018_0156_key,0)),$K10)="protocol_report"))),P10&lt;&gt;"",P10&lt;&gt;"not_applicable")</formula>
    </cfRule>
    <cfRule type="expression" priority="970" dxfId="1">
      <formula>OR(AND(IF($J10="",INDEX(primary_jama_2018_0156_disposition,MATCH($A10,primary_jama_2018_0156_key,0)),$J10)&lt;&gt;"",IF($J10="",INDEX(primary_jama_2018_0156_disposition,MATCH($A10,primary_jama_2018_0156_key,0)),$J10)&lt;&gt;"retain"),NOT(OR(IF($K10="",INDEX(primary_jama_2018_0156_domain,MATCH($A10,primary_jama_2018_0156_key,0)),$K10)="protocol_report")))</formula>
    </cfRule>
  </conditionalFormatting>
  <conditionalFormatting sqref="P11">
    <cfRule type="expression" priority="971" dxfId="0" stopIfTrue="1">
      <formula>AND(OR(AND(IF($J11="",INDEX(primary_jama_2018_0156_disposition,MATCH($A11,primary_jama_2018_0156_key,0)),$J11)&lt;&gt;"",IF($J11="",INDEX(primary_jama_2018_0156_disposition,MATCH($A11,primary_jama_2018_0156_key,0)),$J11)&lt;&gt;"retain"),NOT(OR(IF($K11="",INDEX(primary_jama_2018_0156_domain,MATCH($A11,primary_jama_2018_0156_key,0)),$K11)="protocol_report"))),P11&lt;&gt;"",P11&lt;&gt;"not_applicable")</formula>
    </cfRule>
    <cfRule type="expression" priority="972" dxfId="1">
      <formula>OR(AND(IF($J11="",INDEX(primary_jama_2018_0156_disposition,MATCH($A11,primary_jama_2018_0156_key,0)),$J11)&lt;&gt;"",IF($J11="",INDEX(primary_jama_2018_0156_disposition,MATCH($A11,primary_jama_2018_0156_key,0)),$J11)&lt;&gt;"retain"),NOT(OR(IF($K11="",INDEX(primary_jama_2018_0156_domain,MATCH($A11,primary_jama_2018_0156_key,0)),$K11)="protocol_report")))</formula>
    </cfRule>
  </conditionalFormatting>
  <conditionalFormatting sqref="P12">
    <cfRule type="expression" priority="973" dxfId="0" stopIfTrue="1">
      <formula>AND(OR(AND(IF($J12="",INDEX(primary_jama_2018_0156_disposition,MATCH($A12,primary_jama_2018_0156_key,0)),$J12)&lt;&gt;"",IF($J12="",INDEX(primary_jama_2018_0156_disposition,MATCH($A12,primary_jama_2018_0156_key,0)),$J12)&lt;&gt;"retain"),NOT(OR(IF($K12="",INDEX(primary_jama_2018_0156_domain,MATCH($A12,primary_jama_2018_0156_key,0)),$K12)="protocol_report"))),P12&lt;&gt;"",P12&lt;&gt;"not_applicable")</formula>
    </cfRule>
    <cfRule type="expression" priority="974" dxfId="1">
      <formula>OR(AND(IF($J12="",INDEX(primary_jama_2018_0156_disposition,MATCH($A12,primary_jama_2018_0156_key,0)),$J12)&lt;&gt;"",IF($J12="",INDEX(primary_jama_2018_0156_disposition,MATCH($A12,primary_jama_2018_0156_key,0)),$J12)&lt;&gt;"retain"),NOT(OR(IF($K12="",INDEX(primary_jama_2018_0156_domain,MATCH($A12,primary_jama_2018_0156_key,0)),$K12)="protocol_report")))</formula>
    </cfRule>
  </conditionalFormatting>
  <conditionalFormatting sqref="P13">
    <cfRule type="expression" priority="975" dxfId="0" stopIfTrue="1">
      <formula>AND(OR(AND(IF($J13="",INDEX(primary_jama_2018_0156_disposition,MATCH($A13,primary_jama_2018_0156_key,0)),$J13)&lt;&gt;"",IF($J13="",INDEX(primary_jama_2018_0156_disposition,MATCH($A13,primary_jama_2018_0156_key,0)),$J13)&lt;&gt;"retain"),NOT(OR(IF($K13="",INDEX(primary_jama_2018_0156_domain,MATCH($A13,primary_jama_2018_0156_key,0)),$K13)="protocol_report"))),P13&lt;&gt;"",P13&lt;&gt;"not_applicable")</formula>
    </cfRule>
    <cfRule type="expression" priority="976" dxfId="1">
      <formula>OR(AND(IF($J13="",INDEX(primary_jama_2018_0156_disposition,MATCH($A13,primary_jama_2018_0156_key,0)),$J13)&lt;&gt;"",IF($J13="",INDEX(primary_jama_2018_0156_disposition,MATCH($A13,primary_jama_2018_0156_key,0)),$J13)&lt;&gt;"retain"),NOT(OR(IF($K13="",INDEX(primary_jama_2018_0156_domain,MATCH($A13,primary_jama_2018_0156_key,0)),$K13)="protocol_report")))</formula>
    </cfRule>
  </conditionalFormatting>
  <conditionalFormatting sqref="P14">
    <cfRule type="expression" priority="977" dxfId="0" stopIfTrue="1">
      <formula>AND(OR(AND(IF($J14="",INDEX(primary_jama_2018_0156_disposition,MATCH($A14,primary_jama_2018_0156_key,0)),$J14)&lt;&gt;"",IF($J14="",INDEX(primary_jama_2018_0156_disposition,MATCH($A14,primary_jama_2018_0156_key,0)),$J14)&lt;&gt;"retain"),NOT(OR(IF($K14="",INDEX(primary_jama_2018_0156_domain,MATCH($A14,primary_jama_2018_0156_key,0)),$K14)="protocol_report"))),P14&lt;&gt;"",P14&lt;&gt;"not_applicable")</formula>
    </cfRule>
    <cfRule type="expression" priority="978" dxfId="1">
      <formula>OR(AND(IF($J14="",INDEX(primary_jama_2018_0156_disposition,MATCH($A14,primary_jama_2018_0156_key,0)),$J14)&lt;&gt;"",IF($J14="",INDEX(primary_jama_2018_0156_disposition,MATCH($A14,primary_jama_2018_0156_key,0)),$J14)&lt;&gt;"retain"),NOT(OR(IF($K14="",INDEX(primary_jama_2018_0156_domain,MATCH($A14,primary_jama_2018_0156_key,0)),$K14)="protocol_report")))</formula>
    </cfRule>
  </conditionalFormatting>
  <conditionalFormatting sqref="P15">
    <cfRule type="expression" priority="979" dxfId="0" stopIfTrue="1">
      <formula>AND(OR(AND(IF($J15="",INDEX(primary_jama_2018_0156_disposition,MATCH($A15,primary_jama_2018_0156_key,0)),$J15)&lt;&gt;"",IF($J15="",INDEX(primary_jama_2018_0156_disposition,MATCH($A15,primary_jama_2018_0156_key,0)),$J15)&lt;&gt;"retain"),NOT(OR(IF($K15="",INDEX(primary_jama_2018_0156_domain,MATCH($A15,primary_jama_2018_0156_key,0)),$K15)="protocol_report"))),P15&lt;&gt;"",P15&lt;&gt;"not_applicable")</formula>
    </cfRule>
    <cfRule type="expression" priority="980" dxfId="1">
      <formula>OR(AND(IF($J15="",INDEX(primary_jama_2018_0156_disposition,MATCH($A15,primary_jama_2018_0156_key,0)),$J15)&lt;&gt;"",IF($J15="",INDEX(primary_jama_2018_0156_disposition,MATCH($A15,primary_jama_2018_0156_key,0)),$J15)&lt;&gt;"retain"),NOT(OR(IF($K15="",INDEX(primary_jama_2018_0156_domain,MATCH($A15,primary_jama_2018_0156_key,0)),$K15)="protocol_report")))</formula>
    </cfRule>
  </conditionalFormatting>
  <conditionalFormatting sqref="P16">
    <cfRule type="expression" priority="981" dxfId="0" stopIfTrue="1">
      <formula>AND(OR(AND(IF($J16="",INDEX(primary_jama_2018_0948_disposition,MATCH($A16,primary_jama_2018_0948_key,0)),$J16)&lt;&gt;"",IF($J16="",INDEX(primary_jama_2018_0948_disposition,MATCH($A16,primary_jama_2018_0948_key,0)),$J16)&lt;&gt;"retain"),NOT(OR(IF($K16="",INDEX(primary_jama_2018_0948_domain,MATCH($A16,primary_jama_2018_0948_key,0)),$K16)="protocol_report"))),P16&lt;&gt;"",P16&lt;&gt;"not_applicable")</formula>
    </cfRule>
    <cfRule type="expression" priority="982" dxfId="1">
      <formula>OR(AND(IF($J16="",INDEX(primary_jama_2018_0948_disposition,MATCH($A16,primary_jama_2018_0948_key,0)),$J16)&lt;&gt;"",IF($J16="",INDEX(primary_jama_2018_0948_disposition,MATCH($A16,primary_jama_2018_0948_key,0)),$J16)&lt;&gt;"retain"),NOT(OR(IF($K16="",INDEX(primary_jama_2018_0948_domain,MATCH($A16,primary_jama_2018_0948_key,0)),$K16)="protocol_report")))</formula>
    </cfRule>
  </conditionalFormatting>
  <conditionalFormatting sqref="P17">
    <cfRule type="expression" priority="983" dxfId="0" stopIfTrue="1">
      <formula>AND(OR(AND(IF($J17="",INDEX(primary_jama_2018_0948_disposition,MATCH($A17,primary_jama_2018_0948_key,0)),$J17)&lt;&gt;"",IF($J17="",INDEX(primary_jama_2018_0948_disposition,MATCH($A17,primary_jama_2018_0948_key,0)),$J17)&lt;&gt;"retain"),NOT(OR(IF($K17="",INDEX(primary_jama_2018_0948_domain,MATCH($A17,primary_jama_2018_0948_key,0)),$K17)="protocol_report"))),P17&lt;&gt;"",P17&lt;&gt;"not_applicable")</formula>
    </cfRule>
    <cfRule type="expression" priority="984" dxfId="1">
      <formula>OR(AND(IF($J17="",INDEX(primary_jama_2018_0948_disposition,MATCH($A17,primary_jama_2018_0948_key,0)),$J17)&lt;&gt;"",IF($J17="",INDEX(primary_jama_2018_0948_disposition,MATCH($A17,primary_jama_2018_0948_key,0)),$J17)&lt;&gt;"retain"),NOT(OR(IF($K17="",INDEX(primary_jama_2018_0948_domain,MATCH($A17,primary_jama_2018_0948_key,0)),$K17)="protocol_report")))</formula>
    </cfRule>
  </conditionalFormatting>
  <conditionalFormatting sqref="P18">
    <cfRule type="expression" priority="985" dxfId="0" stopIfTrue="1">
      <formula>AND(OR(AND(IF($J18="",INDEX(primary_jama_2018_0948_disposition,MATCH($A18,primary_jama_2018_0948_key,0)),$J18)&lt;&gt;"",IF($J18="",INDEX(primary_jama_2018_0948_disposition,MATCH($A18,primary_jama_2018_0948_key,0)),$J18)&lt;&gt;"retain"),NOT(OR(IF($K18="",INDEX(primary_jama_2018_0948_domain,MATCH($A18,primary_jama_2018_0948_key,0)),$K18)="protocol_report"))),P18&lt;&gt;"",P18&lt;&gt;"not_applicable")</formula>
    </cfRule>
    <cfRule type="expression" priority="986" dxfId="1">
      <formula>OR(AND(IF($J18="",INDEX(primary_jama_2018_0948_disposition,MATCH($A18,primary_jama_2018_0948_key,0)),$J18)&lt;&gt;"",IF($J18="",INDEX(primary_jama_2018_0948_disposition,MATCH($A18,primary_jama_2018_0948_key,0)),$J18)&lt;&gt;"retain"),NOT(OR(IF($K18="",INDEX(primary_jama_2018_0948_domain,MATCH($A18,primary_jama_2018_0948_key,0)),$K18)="protocol_report")))</formula>
    </cfRule>
  </conditionalFormatting>
  <conditionalFormatting sqref="P19">
    <cfRule type="expression" priority="987" dxfId="0" stopIfTrue="1">
      <formula>AND(OR(AND(IF($J19="",INDEX(primary_jama_2018_0948_disposition,MATCH($A19,primary_jama_2018_0948_key,0)),$J19)&lt;&gt;"",IF($J19="",INDEX(primary_jama_2018_0948_disposition,MATCH($A19,primary_jama_2018_0948_key,0)),$J19)&lt;&gt;"retain"),NOT(OR(IF($K19="",INDEX(primary_jama_2018_0948_domain,MATCH($A19,primary_jama_2018_0948_key,0)),$K19)="protocol_report"))),P19&lt;&gt;"",P19&lt;&gt;"not_applicable")</formula>
    </cfRule>
    <cfRule type="expression" priority="988" dxfId="1">
      <formula>OR(AND(IF($J19="",INDEX(primary_jama_2018_0948_disposition,MATCH($A19,primary_jama_2018_0948_key,0)),$J19)&lt;&gt;"",IF($J19="",INDEX(primary_jama_2018_0948_disposition,MATCH($A19,primary_jama_2018_0948_key,0)),$J19)&lt;&gt;"retain"),NOT(OR(IF($K19="",INDEX(primary_jama_2018_0948_domain,MATCH($A19,primary_jama_2018_0948_key,0)),$K19)="protocol_report")))</formula>
    </cfRule>
  </conditionalFormatting>
  <conditionalFormatting sqref="P20">
    <cfRule type="expression" priority="989" dxfId="0" stopIfTrue="1">
      <formula>AND(OR(AND(IF($J20="",INDEX(primary_jama_2018_0948_disposition,MATCH($A20,primary_jama_2018_0948_key,0)),$J20)&lt;&gt;"",IF($J20="",INDEX(primary_jama_2018_0948_disposition,MATCH($A20,primary_jama_2018_0948_key,0)),$J20)&lt;&gt;"retain"),NOT(OR(IF($K20="",INDEX(primary_jama_2018_0948_domain,MATCH($A20,primary_jama_2018_0948_key,0)),$K20)="protocol_report"))),P20&lt;&gt;"",P20&lt;&gt;"not_applicable")</formula>
    </cfRule>
    <cfRule type="expression" priority="990" dxfId="1">
      <formula>OR(AND(IF($J20="",INDEX(primary_jama_2018_0948_disposition,MATCH($A20,primary_jama_2018_0948_key,0)),$J20)&lt;&gt;"",IF($J20="",INDEX(primary_jama_2018_0948_disposition,MATCH($A20,primary_jama_2018_0948_key,0)),$J20)&lt;&gt;"retain"),NOT(OR(IF($K20="",INDEX(primary_jama_2018_0948_domain,MATCH($A20,primary_jama_2018_0948_key,0)),$K20)="protocol_report")))</formula>
    </cfRule>
  </conditionalFormatting>
  <conditionalFormatting sqref="P21">
    <cfRule type="expression" priority="991" dxfId="0" stopIfTrue="1">
      <formula>AND(OR(AND(IF($J21="",INDEX(primary_jama_2018_0948_disposition,MATCH($A21,primary_jama_2018_0948_key,0)),$J21)&lt;&gt;"",IF($J21="",INDEX(primary_jama_2018_0948_disposition,MATCH($A21,primary_jama_2018_0948_key,0)),$J21)&lt;&gt;"retain"),NOT(OR(IF($K21="",INDEX(primary_jama_2018_0948_domain,MATCH($A21,primary_jama_2018_0948_key,0)),$K21)="protocol_report"))),P21&lt;&gt;"",P21&lt;&gt;"not_applicable")</formula>
    </cfRule>
    <cfRule type="expression" priority="992" dxfId="1">
      <formula>OR(AND(IF($J21="",INDEX(primary_jama_2018_0948_disposition,MATCH($A21,primary_jama_2018_0948_key,0)),$J21)&lt;&gt;"",IF($J21="",INDEX(primary_jama_2018_0948_disposition,MATCH($A21,primary_jama_2018_0948_key,0)),$J21)&lt;&gt;"retain"),NOT(OR(IF($K21="",INDEX(primary_jama_2018_0948_domain,MATCH($A21,primary_jama_2018_0948_key,0)),$K21)="protocol_report")))</formula>
    </cfRule>
  </conditionalFormatting>
  <conditionalFormatting sqref="P22">
    <cfRule type="expression" priority="993" dxfId="0" stopIfTrue="1">
      <formula>AND(OR(AND(IF($J22="",INDEX(primary_jama_2018_0948_disposition,MATCH($A22,primary_jama_2018_0948_key,0)),$J22)&lt;&gt;"",IF($J22="",INDEX(primary_jama_2018_0948_disposition,MATCH($A22,primary_jama_2018_0948_key,0)),$J22)&lt;&gt;"retain"),NOT(OR(IF($K22="",INDEX(primary_jama_2018_0948_domain,MATCH($A22,primary_jama_2018_0948_key,0)),$K22)="protocol_report"))),P22&lt;&gt;"",P22&lt;&gt;"not_applicable")</formula>
    </cfRule>
    <cfRule type="expression" priority="994" dxfId="1">
      <formula>OR(AND(IF($J22="",INDEX(primary_jama_2018_0948_disposition,MATCH($A22,primary_jama_2018_0948_key,0)),$J22)&lt;&gt;"",IF($J22="",INDEX(primary_jama_2018_0948_disposition,MATCH($A22,primary_jama_2018_0948_key,0)),$J22)&lt;&gt;"retain"),NOT(OR(IF($K22="",INDEX(primary_jama_2018_0948_domain,MATCH($A22,primary_jama_2018_0948_key,0)),$K22)="protocol_report")))</formula>
    </cfRule>
  </conditionalFormatting>
  <conditionalFormatting sqref="P23">
    <cfRule type="expression" priority="995" dxfId="0" stopIfTrue="1">
      <formula>AND(OR(AND(IF($J23="",INDEX(primary_jama_2018_14280_disposition,MATCH($A23,primary_jama_2018_14280_key,0)),$J23)&lt;&gt;"",IF($J23="",INDEX(primary_jama_2018_14280_disposition,MATCH($A23,primary_jama_2018_14280_key,0)),$J23)&lt;&gt;"retain"),NOT(OR(IF($K23="",INDEX(primary_jama_2018_14280_domain,MATCH($A23,primary_jama_2018_14280_key,0)),$K23)="protocol_report"))),P23&lt;&gt;"",P23&lt;&gt;"not_applicable")</formula>
    </cfRule>
    <cfRule type="expression" priority="996" dxfId="1">
      <formula>OR(AND(IF($J23="",INDEX(primary_jama_2018_14280_disposition,MATCH($A23,primary_jama_2018_14280_key,0)),$J23)&lt;&gt;"",IF($J23="",INDEX(primary_jama_2018_14280_disposition,MATCH($A23,primary_jama_2018_14280_key,0)),$J23)&lt;&gt;"retain"),NOT(OR(IF($K23="",INDEX(primary_jama_2018_14280_domain,MATCH($A23,primary_jama_2018_14280_key,0)),$K23)="protocol_report")))</formula>
    </cfRule>
  </conditionalFormatting>
  <conditionalFormatting sqref="P24">
    <cfRule type="expression" priority="997" dxfId="0" stopIfTrue="1">
      <formula>AND(OR(AND(IF($J24="",INDEX(primary_jama_2018_14280_disposition,MATCH($A24,primary_jama_2018_14280_key,0)),$J24)&lt;&gt;"",IF($J24="",INDEX(primary_jama_2018_14280_disposition,MATCH($A24,primary_jama_2018_14280_key,0)),$J24)&lt;&gt;"retain"),NOT(OR(IF($K24="",INDEX(primary_jama_2018_14280_domain,MATCH($A24,primary_jama_2018_14280_key,0)),$K24)="protocol_report"))),P24&lt;&gt;"",P24&lt;&gt;"not_applicable")</formula>
    </cfRule>
    <cfRule type="expression" priority="998" dxfId="1">
      <formula>OR(AND(IF($J24="",INDEX(primary_jama_2018_14280_disposition,MATCH($A24,primary_jama_2018_14280_key,0)),$J24)&lt;&gt;"",IF($J24="",INDEX(primary_jama_2018_14280_disposition,MATCH($A24,primary_jama_2018_14280_key,0)),$J24)&lt;&gt;"retain"),NOT(OR(IF($K24="",INDEX(primary_jama_2018_14280_domain,MATCH($A24,primary_jama_2018_14280_key,0)),$K24)="protocol_report")))</formula>
    </cfRule>
  </conditionalFormatting>
  <conditionalFormatting sqref="P25">
    <cfRule type="expression" priority="999" dxfId="0" stopIfTrue="1">
      <formula>AND(OR(AND(IF($J25="",INDEX(primary_jama_2018_14280_disposition,MATCH($A25,primary_jama_2018_14280_key,0)),$J25)&lt;&gt;"",IF($J25="",INDEX(primary_jama_2018_14280_disposition,MATCH($A25,primary_jama_2018_14280_key,0)),$J25)&lt;&gt;"retain"),NOT(OR(IF($K25="",INDEX(primary_jama_2018_14280_domain,MATCH($A25,primary_jama_2018_14280_key,0)),$K25)="protocol_report"))),P25&lt;&gt;"",P25&lt;&gt;"not_applicable")</formula>
    </cfRule>
    <cfRule type="expression" priority="1000" dxfId="1">
      <formula>OR(AND(IF($J25="",INDEX(primary_jama_2018_14280_disposition,MATCH($A25,primary_jama_2018_14280_key,0)),$J25)&lt;&gt;"",IF($J25="",INDEX(primary_jama_2018_14280_disposition,MATCH($A25,primary_jama_2018_14280_key,0)),$J25)&lt;&gt;"retain"),NOT(OR(IF($K25="",INDEX(primary_jama_2018_14280_domain,MATCH($A25,primary_jama_2018_14280_key,0)),$K25)="protocol_report")))</formula>
    </cfRule>
  </conditionalFormatting>
  <conditionalFormatting sqref="P26">
    <cfRule type="expression" priority="1001" dxfId="0" stopIfTrue="1">
      <formula>AND(OR(AND(IF($J26="",INDEX(primary_jama_2018_14280_disposition,MATCH($A26,primary_jama_2018_14280_key,0)),$J26)&lt;&gt;"",IF($J26="",INDEX(primary_jama_2018_14280_disposition,MATCH($A26,primary_jama_2018_14280_key,0)),$J26)&lt;&gt;"retain"),NOT(OR(IF($K26="",INDEX(primary_jama_2018_14280_domain,MATCH($A26,primary_jama_2018_14280_key,0)),$K26)="protocol_report"))),P26&lt;&gt;"",P26&lt;&gt;"not_applicable")</formula>
    </cfRule>
    <cfRule type="expression" priority="1002" dxfId="1">
      <formula>OR(AND(IF($J26="",INDEX(primary_jama_2018_14280_disposition,MATCH($A26,primary_jama_2018_14280_key,0)),$J26)&lt;&gt;"",IF($J26="",INDEX(primary_jama_2018_14280_disposition,MATCH($A26,primary_jama_2018_14280_key,0)),$J26)&lt;&gt;"retain"),NOT(OR(IF($K26="",INDEX(primary_jama_2018_14280_domain,MATCH($A26,primary_jama_2018_14280_key,0)),$K26)="protocol_report")))</formula>
    </cfRule>
  </conditionalFormatting>
  <conditionalFormatting sqref="P27">
    <cfRule type="expression" priority="1003" dxfId="0" stopIfTrue="1">
      <formula>AND(OR(AND(IF($J27="",INDEX(primary_jama_2018_14280_disposition,MATCH($A27,primary_jama_2018_14280_key,0)),$J27)&lt;&gt;"",IF($J27="",INDEX(primary_jama_2018_14280_disposition,MATCH($A27,primary_jama_2018_14280_key,0)),$J27)&lt;&gt;"retain"),NOT(OR(IF($K27="",INDEX(primary_jama_2018_14280_domain,MATCH($A27,primary_jama_2018_14280_key,0)),$K27)="protocol_report"))),P27&lt;&gt;"",P27&lt;&gt;"not_applicable")</formula>
    </cfRule>
    <cfRule type="expression" priority="1004" dxfId="1">
      <formula>OR(AND(IF($J27="",INDEX(primary_jama_2018_14280_disposition,MATCH($A27,primary_jama_2018_14280_key,0)),$J27)&lt;&gt;"",IF($J27="",INDEX(primary_jama_2018_14280_disposition,MATCH($A27,primary_jama_2018_14280_key,0)),$J27)&lt;&gt;"retain"),NOT(OR(IF($K27="",INDEX(primary_jama_2018_14280_domain,MATCH($A27,primary_jama_2018_14280_key,0)),$K27)="protocol_report")))</formula>
    </cfRule>
  </conditionalFormatting>
  <conditionalFormatting sqref="P28">
    <cfRule type="expression" priority="1005" dxfId="0" stopIfTrue="1">
      <formula>AND(OR(AND(IF($J28="",INDEX(primary_jama_2018_14280_disposition,MATCH($A28,primary_jama_2018_14280_key,0)),$J28)&lt;&gt;"",IF($J28="",INDEX(primary_jama_2018_14280_disposition,MATCH($A28,primary_jama_2018_14280_key,0)),$J28)&lt;&gt;"retain"),NOT(OR(IF($K28="",INDEX(primary_jama_2018_14280_domain,MATCH($A28,primary_jama_2018_14280_key,0)),$K28)="protocol_report"))),P28&lt;&gt;"",P28&lt;&gt;"not_applicable")</formula>
    </cfRule>
    <cfRule type="expression" priority="1006" dxfId="1">
      <formula>OR(AND(IF($J28="",INDEX(primary_jama_2018_14280_disposition,MATCH($A28,primary_jama_2018_14280_key,0)),$J28)&lt;&gt;"",IF($J28="",INDEX(primary_jama_2018_14280_disposition,MATCH($A28,primary_jama_2018_14280_key,0)),$J28)&lt;&gt;"retain"),NOT(OR(IF($K28="",INDEX(primary_jama_2018_14280_domain,MATCH($A28,primary_jama_2018_14280_key,0)),$K28)="protocol_report")))</formula>
    </cfRule>
  </conditionalFormatting>
  <conditionalFormatting sqref="P29">
    <cfRule type="expression" priority="1007" dxfId="0" stopIfTrue="1">
      <formula>AND(OR(AND(IF($J29="",INDEX(primary_jama_2018_14280_disposition,MATCH($A29,primary_jama_2018_14280_key,0)),$J29)&lt;&gt;"",IF($J29="",INDEX(primary_jama_2018_14280_disposition,MATCH($A29,primary_jama_2018_14280_key,0)),$J29)&lt;&gt;"retain"),NOT(OR(IF($K29="",INDEX(primary_jama_2018_14280_domain,MATCH($A29,primary_jama_2018_14280_key,0)),$K29)="protocol_report"))),P29&lt;&gt;"",P29&lt;&gt;"not_applicable")</formula>
    </cfRule>
    <cfRule type="expression" priority="1008" dxfId="1">
      <formula>OR(AND(IF($J29="",INDEX(primary_jama_2018_14280_disposition,MATCH($A29,primary_jama_2018_14280_key,0)),$J29)&lt;&gt;"",IF($J29="",INDEX(primary_jama_2018_14280_disposition,MATCH($A29,primary_jama_2018_14280_key,0)),$J29)&lt;&gt;"retain"),NOT(OR(IF($K29="",INDEX(primary_jama_2018_14280_domain,MATCH($A29,primary_jama_2018_14280_key,0)),$K29)="protocol_report")))</formula>
    </cfRule>
  </conditionalFormatting>
  <conditionalFormatting sqref="P30">
    <cfRule type="expression" priority="1009" dxfId="0" stopIfTrue="1">
      <formula>AND(OR(AND(IF($J30="",INDEX(primary_jama_2018_14280_disposition,MATCH($A30,primary_jama_2018_14280_key,0)),$J30)&lt;&gt;"",IF($J30="",INDEX(primary_jama_2018_14280_disposition,MATCH($A30,primary_jama_2018_14280_key,0)),$J30)&lt;&gt;"retain"),NOT(OR(IF($K30="",INDEX(primary_jama_2018_14280_domain,MATCH($A30,primary_jama_2018_14280_key,0)),$K30)="protocol_report"))),P30&lt;&gt;"",P30&lt;&gt;"not_applicable")</formula>
    </cfRule>
    <cfRule type="expression" priority="1010" dxfId="1">
      <formula>OR(AND(IF($J30="",INDEX(primary_jama_2018_14280_disposition,MATCH($A30,primary_jama_2018_14280_key,0)),$J30)&lt;&gt;"",IF($J30="",INDEX(primary_jama_2018_14280_disposition,MATCH($A30,primary_jama_2018_14280_key,0)),$J30)&lt;&gt;"retain"),NOT(OR(IF($K30="",INDEX(primary_jama_2018_14280_domain,MATCH($A30,primary_jama_2018_14280_key,0)),$K30)="protocol_report")))</formula>
    </cfRule>
  </conditionalFormatting>
  <conditionalFormatting sqref="P31">
    <cfRule type="expression" priority="1011" dxfId="0" stopIfTrue="1">
      <formula>AND(OR(AND(IF($J31="",INDEX(primary_jama_2018_14280_disposition,MATCH($A31,primary_jama_2018_14280_key,0)),$J31)&lt;&gt;"",IF($J31="",INDEX(primary_jama_2018_14280_disposition,MATCH($A31,primary_jama_2018_14280_key,0)),$J31)&lt;&gt;"retain"),NOT(OR(IF($K31="",INDEX(primary_jama_2018_14280_domain,MATCH($A31,primary_jama_2018_14280_key,0)),$K31)="protocol_report"))),P31&lt;&gt;"",P31&lt;&gt;"not_applicable")</formula>
    </cfRule>
    <cfRule type="expression" priority="1012" dxfId="1">
      <formula>OR(AND(IF($J31="",INDEX(primary_jama_2018_14280_disposition,MATCH($A31,primary_jama_2018_14280_key,0)),$J31)&lt;&gt;"",IF($J31="",INDEX(primary_jama_2018_14280_disposition,MATCH($A31,primary_jama_2018_14280_key,0)),$J31)&lt;&gt;"retain"),NOT(OR(IF($K31="",INDEX(primary_jama_2018_14280_domain,MATCH($A31,primary_jama_2018_14280_key,0)),$K31)="protocol_report")))</formula>
    </cfRule>
  </conditionalFormatting>
  <conditionalFormatting sqref="P32">
    <cfRule type="expression" priority="1013" dxfId="0" stopIfTrue="1">
      <formula>AND(OR(AND(IF($J32="",INDEX(primary_jama_2018_14280_disposition,MATCH($A32,primary_jama_2018_14280_key,0)),$J32)&lt;&gt;"",IF($J32="",INDEX(primary_jama_2018_14280_disposition,MATCH($A32,primary_jama_2018_14280_key,0)),$J32)&lt;&gt;"retain"),NOT(OR(IF($K32="",INDEX(primary_jama_2018_14280_domain,MATCH($A32,primary_jama_2018_14280_key,0)),$K32)="protocol_report"))),P32&lt;&gt;"",P32&lt;&gt;"not_applicable")</formula>
    </cfRule>
    <cfRule type="expression" priority="1014" dxfId="1">
      <formula>OR(AND(IF($J32="",INDEX(primary_jama_2018_14280_disposition,MATCH($A32,primary_jama_2018_14280_key,0)),$J32)&lt;&gt;"",IF($J32="",INDEX(primary_jama_2018_14280_disposition,MATCH($A32,primary_jama_2018_14280_key,0)),$J32)&lt;&gt;"retain"),NOT(OR(IF($K32="",INDEX(primary_jama_2018_14280_domain,MATCH($A32,primary_jama_2018_14280_key,0)),$K32)="protocol_report")))</formula>
    </cfRule>
  </conditionalFormatting>
  <conditionalFormatting sqref="P33">
    <cfRule type="expression" priority="1015" dxfId="0" stopIfTrue="1">
      <formula>AND(OR(AND(IF($J33="",INDEX(primary_jama_2018_14280_disposition,MATCH($A33,primary_jama_2018_14280_key,0)),$J33)&lt;&gt;"",IF($J33="",INDEX(primary_jama_2018_14280_disposition,MATCH($A33,primary_jama_2018_14280_key,0)),$J33)&lt;&gt;"retain"),NOT(OR(IF($K33="",INDEX(primary_jama_2018_14280_domain,MATCH($A33,primary_jama_2018_14280_key,0)),$K33)="protocol_report"))),P33&lt;&gt;"",P33&lt;&gt;"not_applicable")</formula>
    </cfRule>
    <cfRule type="expression" priority="1016" dxfId="1">
      <formula>OR(AND(IF($J33="",INDEX(primary_jama_2018_14280_disposition,MATCH($A33,primary_jama_2018_14280_key,0)),$J33)&lt;&gt;"",IF($J33="",INDEX(primary_jama_2018_14280_disposition,MATCH($A33,primary_jama_2018_14280_key,0)),$J33)&lt;&gt;"retain"),NOT(OR(IF($K33="",INDEX(primary_jama_2018_14280_domain,MATCH($A33,primary_jama_2018_14280_key,0)),$K33)="protocol_report")))</formula>
    </cfRule>
  </conditionalFormatting>
  <conditionalFormatting sqref="P34">
    <cfRule type="expression" priority="1017" dxfId="0" stopIfTrue="1">
      <formula>AND(OR(AND(IF($J34="",INDEX(primary_jama_2018_14280_disposition,MATCH($A34,primary_jama_2018_14280_key,0)),$J34)&lt;&gt;"",IF($J34="",INDEX(primary_jama_2018_14280_disposition,MATCH($A34,primary_jama_2018_14280_key,0)),$J34)&lt;&gt;"retain"),NOT(OR(IF($K34="",INDEX(primary_jama_2018_14280_domain,MATCH($A34,primary_jama_2018_14280_key,0)),$K34)="protocol_report"))),P34&lt;&gt;"",P34&lt;&gt;"not_applicable")</formula>
    </cfRule>
    <cfRule type="expression" priority="1018" dxfId="1">
      <formula>OR(AND(IF($J34="",INDEX(primary_jama_2018_14280_disposition,MATCH($A34,primary_jama_2018_14280_key,0)),$J34)&lt;&gt;"",IF($J34="",INDEX(primary_jama_2018_14280_disposition,MATCH($A34,primary_jama_2018_14280_key,0)),$J34)&lt;&gt;"retain"),NOT(OR(IF($K34="",INDEX(primary_jama_2018_14280_domain,MATCH($A34,primary_jama_2018_14280_key,0)),$K34)="protocol_report")))</formula>
    </cfRule>
  </conditionalFormatting>
  <conditionalFormatting sqref="P35">
    <cfRule type="expression" priority="1019" dxfId="0" stopIfTrue="1">
      <formula>AND(OR(AND(IF($J35="",INDEX(primary_jama_2018_14280_disposition,MATCH($A35,primary_jama_2018_14280_key,0)),$J35)&lt;&gt;"",IF($J35="",INDEX(primary_jama_2018_14280_disposition,MATCH($A35,primary_jama_2018_14280_key,0)),$J35)&lt;&gt;"retain"),NOT(OR(IF($K35="",INDEX(primary_jama_2018_14280_domain,MATCH($A35,primary_jama_2018_14280_key,0)),$K35)="protocol_report"))),P35&lt;&gt;"",P35&lt;&gt;"not_applicable")</formula>
    </cfRule>
    <cfRule type="expression" priority="1020" dxfId="1">
      <formula>OR(AND(IF($J35="",INDEX(primary_jama_2018_14280_disposition,MATCH($A35,primary_jama_2018_14280_key,0)),$J35)&lt;&gt;"",IF($J35="",INDEX(primary_jama_2018_14280_disposition,MATCH($A35,primary_jama_2018_14280_key,0)),$J35)&lt;&gt;"retain"),NOT(OR(IF($K35="",INDEX(primary_jama_2018_14280_domain,MATCH($A35,primary_jama_2018_14280_key,0)),$K35)="protocol_report")))</formula>
    </cfRule>
  </conditionalFormatting>
  <conditionalFormatting sqref="P36">
    <cfRule type="expression" priority="1021" dxfId="0" stopIfTrue="1">
      <formula>AND(OR(AND(IF($J36="",INDEX(primary_jama_2018_14280_disposition,MATCH($A36,primary_jama_2018_14280_key,0)),$J36)&lt;&gt;"",IF($J36="",INDEX(primary_jama_2018_14280_disposition,MATCH($A36,primary_jama_2018_14280_key,0)),$J36)&lt;&gt;"retain"),NOT(OR(IF($K36="",INDEX(primary_jama_2018_14280_domain,MATCH($A36,primary_jama_2018_14280_key,0)),$K36)="protocol_report"))),P36&lt;&gt;"",P36&lt;&gt;"not_applicable")</formula>
    </cfRule>
    <cfRule type="expression" priority="1022" dxfId="1">
      <formula>OR(AND(IF($J36="",INDEX(primary_jama_2018_14280_disposition,MATCH($A36,primary_jama_2018_14280_key,0)),$J36)&lt;&gt;"",IF($J36="",INDEX(primary_jama_2018_14280_disposition,MATCH($A36,primary_jama_2018_14280_key,0)),$J36)&lt;&gt;"retain"),NOT(OR(IF($K36="",INDEX(primary_jama_2018_14280_domain,MATCH($A36,primary_jama_2018_14280_key,0)),$K36)="protocol_report")))</formula>
    </cfRule>
  </conditionalFormatting>
  <conditionalFormatting sqref="P37">
    <cfRule type="expression" priority="1023" dxfId="0" stopIfTrue="1">
      <formula>AND(OR(AND(IF($J37="",INDEX(primary_jama_2018_14280_disposition,MATCH($A37,primary_jama_2018_14280_key,0)),$J37)&lt;&gt;"",IF($J37="",INDEX(primary_jama_2018_14280_disposition,MATCH($A37,primary_jama_2018_14280_key,0)),$J37)&lt;&gt;"retain"),NOT(OR(IF($K37="",INDEX(primary_jama_2018_14280_domain,MATCH($A37,primary_jama_2018_14280_key,0)),$K37)="protocol_report"))),P37&lt;&gt;"",P37&lt;&gt;"not_applicable")</formula>
    </cfRule>
    <cfRule type="expression" priority="1024" dxfId="1">
      <formula>OR(AND(IF($J37="",INDEX(primary_jama_2018_14280_disposition,MATCH($A37,primary_jama_2018_14280_key,0)),$J37)&lt;&gt;"",IF($J37="",INDEX(primary_jama_2018_14280_disposition,MATCH($A37,primary_jama_2018_14280_key,0)),$J37)&lt;&gt;"retain"),NOT(OR(IF($K37="",INDEX(primary_jama_2018_14280_domain,MATCH($A37,primary_jama_2018_14280_key,0)),$K37)="protocol_report")))</formula>
    </cfRule>
  </conditionalFormatting>
  <conditionalFormatting sqref="P38">
    <cfRule type="expression" priority="1025" dxfId="0" stopIfTrue="1">
      <formula>AND(OR(AND(IF($J38="",INDEX(primary_jama_2018_14280_disposition,MATCH($A38,primary_jama_2018_14280_key,0)),$J38)&lt;&gt;"",IF($J38="",INDEX(primary_jama_2018_14280_disposition,MATCH($A38,primary_jama_2018_14280_key,0)),$J38)&lt;&gt;"retain"),NOT(OR(IF($K38="",INDEX(primary_jama_2018_14280_domain,MATCH($A38,primary_jama_2018_14280_key,0)),$K38)="protocol_report"))),P38&lt;&gt;"",P38&lt;&gt;"not_applicable")</formula>
    </cfRule>
    <cfRule type="expression" priority="1026" dxfId="1">
      <formula>OR(AND(IF($J38="",INDEX(primary_jama_2018_14280_disposition,MATCH($A38,primary_jama_2018_14280_key,0)),$J38)&lt;&gt;"",IF($J38="",INDEX(primary_jama_2018_14280_disposition,MATCH($A38,primary_jama_2018_14280_key,0)),$J38)&lt;&gt;"retain"),NOT(OR(IF($K38="",INDEX(primary_jama_2018_14280_domain,MATCH($A38,primary_jama_2018_14280_key,0)),$K38)="protocol_report")))</formula>
    </cfRule>
  </conditionalFormatting>
  <conditionalFormatting sqref="P39">
    <cfRule type="expression" priority="1027" dxfId="0" stopIfTrue="1">
      <formula>AND(OR(AND(IF($J39="",INDEX(primary_jama_2018_14280_disposition,MATCH($A39,primary_jama_2018_14280_key,0)),$J39)&lt;&gt;"",IF($J39="",INDEX(primary_jama_2018_14280_disposition,MATCH($A39,primary_jama_2018_14280_key,0)),$J39)&lt;&gt;"retain"),NOT(OR(IF($K39="",INDEX(primary_jama_2018_14280_domain,MATCH($A39,primary_jama_2018_14280_key,0)),$K39)="protocol_report"))),P39&lt;&gt;"",P39&lt;&gt;"not_applicable")</formula>
    </cfRule>
    <cfRule type="expression" priority="1028" dxfId="1">
      <formula>OR(AND(IF($J39="",INDEX(primary_jama_2018_14280_disposition,MATCH($A39,primary_jama_2018_14280_key,0)),$J39)&lt;&gt;"",IF($J39="",INDEX(primary_jama_2018_14280_disposition,MATCH($A39,primary_jama_2018_14280_key,0)),$J39)&lt;&gt;"retain"),NOT(OR(IF($K39="",INDEX(primary_jama_2018_14280_domain,MATCH($A39,primary_jama_2018_14280_key,0)),$K39)="protocol_report")))</formula>
    </cfRule>
  </conditionalFormatting>
  <conditionalFormatting sqref="P40">
    <cfRule type="expression" priority="1029" dxfId="0" stopIfTrue="1">
      <formula>AND(OR(AND(IF($J40="",INDEX(primary_jama_2018_14280_disposition,MATCH($A40,primary_jama_2018_14280_key,0)),$J40)&lt;&gt;"",IF($J40="",INDEX(primary_jama_2018_14280_disposition,MATCH($A40,primary_jama_2018_14280_key,0)),$J40)&lt;&gt;"retain"),NOT(OR(IF($K40="",INDEX(primary_jama_2018_14280_domain,MATCH($A40,primary_jama_2018_14280_key,0)),$K40)="protocol_report"))),P40&lt;&gt;"",P40&lt;&gt;"not_applicable")</formula>
    </cfRule>
    <cfRule type="expression" priority="1030" dxfId="1">
      <formula>OR(AND(IF($J40="",INDEX(primary_jama_2018_14280_disposition,MATCH($A40,primary_jama_2018_14280_key,0)),$J40)&lt;&gt;"",IF($J40="",INDEX(primary_jama_2018_14280_disposition,MATCH($A40,primary_jama_2018_14280_key,0)),$J40)&lt;&gt;"retain"),NOT(OR(IF($K40="",INDEX(primary_jama_2018_14280_domain,MATCH($A40,primary_jama_2018_14280_key,0)),$K40)="protocol_report")))</formula>
    </cfRule>
  </conditionalFormatting>
  <conditionalFormatting sqref="P41">
    <cfRule type="expression" priority="1031" dxfId="0" stopIfTrue="1">
      <formula>AND(OR(AND(IF($J41="",INDEX(primary_jama_2018_14280_disposition,MATCH($A41,primary_jama_2018_14280_key,0)),$J41)&lt;&gt;"",IF($J41="",INDEX(primary_jama_2018_14280_disposition,MATCH($A41,primary_jama_2018_14280_key,0)),$J41)&lt;&gt;"retain"),NOT(OR(IF($K41="",INDEX(primary_jama_2018_14280_domain,MATCH($A41,primary_jama_2018_14280_key,0)),$K41)="protocol_report"))),P41&lt;&gt;"",P41&lt;&gt;"not_applicable")</formula>
    </cfRule>
    <cfRule type="expression" priority="1032" dxfId="1">
      <formula>OR(AND(IF($J41="",INDEX(primary_jama_2018_14280_disposition,MATCH($A41,primary_jama_2018_14280_key,0)),$J41)&lt;&gt;"",IF($J41="",INDEX(primary_jama_2018_14280_disposition,MATCH($A41,primary_jama_2018_14280_key,0)),$J41)&lt;&gt;"retain"),NOT(OR(IF($K41="",INDEX(primary_jama_2018_14280_domain,MATCH($A41,primary_jama_2018_14280_key,0)),$K41)="protocol_report")))</formula>
    </cfRule>
  </conditionalFormatting>
  <conditionalFormatting sqref="P42">
    <cfRule type="expression" priority="1033" dxfId="0" stopIfTrue="1">
      <formula>AND(OR(AND(IF($J42="",INDEX(primary_jama_2018_14280_disposition,MATCH($A42,primary_jama_2018_14280_key,0)),$J42)&lt;&gt;"",IF($J42="",INDEX(primary_jama_2018_14280_disposition,MATCH($A42,primary_jama_2018_14280_key,0)),$J42)&lt;&gt;"retain"),NOT(OR(IF($K42="",INDEX(primary_jama_2018_14280_domain,MATCH($A42,primary_jama_2018_14280_key,0)),$K42)="protocol_report"))),P42&lt;&gt;"",P42&lt;&gt;"not_applicable")</formula>
    </cfRule>
    <cfRule type="expression" priority="1034" dxfId="1">
      <formula>OR(AND(IF($J42="",INDEX(primary_jama_2018_14280_disposition,MATCH($A42,primary_jama_2018_14280_key,0)),$J42)&lt;&gt;"",IF($J42="",INDEX(primary_jama_2018_14280_disposition,MATCH($A42,primary_jama_2018_14280_key,0)),$J42)&lt;&gt;"retain"),NOT(OR(IF($K42="",INDEX(primary_jama_2018_14280_domain,MATCH($A42,primary_jama_2018_14280_key,0)),$K42)="protocol_report")))</formula>
    </cfRule>
  </conditionalFormatting>
  <conditionalFormatting sqref="P43">
    <cfRule type="expression" priority="1035" dxfId="0" stopIfTrue="1">
      <formula>AND(OR(AND(IF($J43="",INDEX(primary_jama_2018_14280_disposition,MATCH($A43,primary_jama_2018_14280_key,0)),$J43)&lt;&gt;"",IF($J43="",INDEX(primary_jama_2018_14280_disposition,MATCH($A43,primary_jama_2018_14280_key,0)),$J43)&lt;&gt;"retain"),NOT(OR(IF($K43="",INDEX(primary_jama_2018_14280_domain,MATCH($A43,primary_jama_2018_14280_key,0)),$K43)="protocol_report"))),P43&lt;&gt;"",P43&lt;&gt;"not_applicable")</formula>
    </cfRule>
    <cfRule type="expression" priority="1036" dxfId="1">
      <formula>OR(AND(IF($J43="",INDEX(primary_jama_2018_14280_disposition,MATCH($A43,primary_jama_2018_14280_key,0)),$J43)&lt;&gt;"",IF($J43="",INDEX(primary_jama_2018_14280_disposition,MATCH($A43,primary_jama_2018_14280_key,0)),$J43)&lt;&gt;"retain"),NOT(OR(IF($K43="",INDEX(primary_jama_2018_14280_domain,MATCH($A43,primary_jama_2018_14280_key,0)),$K43)="protocol_report")))</formula>
    </cfRule>
  </conditionalFormatting>
  <conditionalFormatting sqref="P44">
    <cfRule type="expression" priority="1037" dxfId="0" stopIfTrue="1">
      <formula>AND(OR(AND(IF($J44="",INDEX(primary_jama_2018_14280_disposition,MATCH($A44,primary_jama_2018_14280_key,0)),$J44)&lt;&gt;"",IF($J44="",INDEX(primary_jama_2018_14280_disposition,MATCH($A44,primary_jama_2018_14280_key,0)),$J44)&lt;&gt;"retain"),NOT(OR(IF($K44="",INDEX(primary_jama_2018_14280_domain,MATCH($A44,primary_jama_2018_14280_key,0)),$K44)="protocol_report"))),P44&lt;&gt;"",P44&lt;&gt;"not_applicable")</formula>
    </cfRule>
    <cfRule type="expression" priority="1038" dxfId="1">
      <formula>OR(AND(IF($J44="",INDEX(primary_jama_2018_14280_disposition,MATCH($A44,primary_jama_2018_14280_key,0)),$J44)&lt;&gt;"",IF($J44="",INDEX(primary_jama_2018_14280_disposition,MATCH($A44,primary_jama_2018_14280_key,0)),$J44)&lt;&gt;"retain"),NOT(OR(IF($K44="",INDEX(primary_jama_2018_14280_domain,MATCH($A44,primary_jama_2018_14280_key,0)),$K44)="protocol_report")))</formula>
    </cfRule>
  </conditionalFormatting>
  <conditionalFormatting sqref="P45">
    <cfRule type="expression" priority="1039" dxfId="0" stopIfTrue="1">
      <formula>AND(OR(AND(IF($J45="",INDEX(primary_jama_2018_14280_disposition,MATCH($A45,primary_jama_2018_14280_key,0)),$J45)&lt;&gt;"",IF($J45="",INDEX(primary_jama_2018_14280_disposition,MATCH($A45,primary_jama_2018_14280_key,0)),$J45)&lt;&gt;"retain"),NOT(OR(IF($K45="",INDEX(primary_jama_2018_14280_domain,MATCH($A45,primary_jama_2018_14280_key,0)),$K45)="protocol_report"))),P45&lt;&gt;"",P45&lt;&gt;"not_applicable")</formula>
    </cfRule>
    <cfRule type="expression" priority="1040" dxfId="1">
      <formula>OR(AND(IF($J45="",INDEX(primary_jama_2018_14280_disposition,MATCH($A45,primary_jama_2018_14280_key,0)),$J45)&lt;&gt;"",IF($J45="",INDEX(primary_jama_2018_14280_disposition,MATCH($A45,primary_jama_2018_14280_key,0)),$J45)&lt;&gt;"retain"),NOT(OR(IF($K45="",INDEX(primary_jama_2018_14280_domain,MATCH($A45,primary_jama_2018_14280_key,0)),$K45)="protocol_report")))</formula>
    </cfRule>
  </conditionalFormatting>
  <conditionalFormatting sqref="P46">
    <cfRule type="expression" priority="1041" dxfId="0" stopIfTrue="1">
      <formula>AND(OR(AND(IF($J46="",INDEX(primary_jama_2018_14282_disposition,MATCH($A46,primary_jama_2018_14282_key,0)),$J46)&lt;&gt;"",IF($J46="",INDEX(primary_jama_2018_14282_disposition,MATCH($A46,primary_jama_2018_14282_key,0)),$J46)&lt;&gt;"retain"),NOT(OR(IF($K46="",INDEX(primary_jama_2018_14282_domain,MATCH($A46,primary_jama_2018_14282_key,0)),$K46)="protocol_report"))),P46&lt;&gt;"",P46&lt;&gt;"not_applicable")</formula>
    </cfRule>
    <cfRule type="expression" priority="1042" dxfId="1">
      <formula>OR(AND(IF($J46="",INDEX(primary_jama_2018_14282_disposition,MATCH($A46,primary_jama_2018_14282_key,0)),$J46)&lt;&gt;"",IF($J46="",INDEX(primary_jama_2018_14282_disposition,MATCH($A46,primary_jama_2018_14282_key,0)),$J46)&lt;&gt;"retain"),NOT(OR(IF($K46="",INDEX(primary_jama_2018_14282_domain,MATCH($A46,primary_jama_2018_14282_key,0)),$K46)="protocol_report")))</formula>
    </cfRule>
  </conditionalFormatting>
  <conditionalFormatting sqref="P47">
    <cfRule type="expression" priority="1043" dxfId="0" stopIfTrue="1">
      <formula>AND(OR(AND(IF($J47="",INDEX(primary_jama_2018_14282_disposition,MATCH($A47,primary_jama_2018_14282_key,0)),$J47)&lt;&gt;"",IF($J47="",INDEX(primary_jama_2018_14282_disposition,MATCH($A47,primary_jama_2018_14282_key,0)),$J47)&lt;&gt;"retain"),NOT(OR(IF($K47="",INDEX(primary_jama_2018_14282_domain,MATCH($A47,primary_jama_2018_14282_key,0)),$K47)="protocol_report"))),P47&lt;&gt;"",P47&lt;&gt;"not_applicable")</formula>
    </cfRule>
    <cfRule type="expression" priority="1044" dxfId="1">
      <formula>OR(AND(IF($J47="",INDEX(primary_jama_2018_14282_disposition,MATCH($A47,primary_jama_2018_14282_key,0)),$J47)&lt;&gt;"",IF($J47="",INDEX(primary_jama_2018_14282_disposition,MATCH($A47,primary_jama_2018_14282_key,0)),$J47)&lt;&gt;"retain"),NOT(OR(IF($K47="",INDEX(primary_jama_2018_14282_domain,MATCH($A47,primary_jama_2018_14282_key,0)),$K47)="protocol_report")))</formula>
    </cfRule>
  </conditionalFormatting>
  <conditionalFormatting sqref="P48">
    <cfRule type="expression" priority="1045" dxfId="0" stopIfTrue="1">
      <formula>AND(OR(AND(IF($J48="",INDEX(primary_jama_2018_14282_disposition,MATCH($A48,primary_jama_2018_14282_key,0)),$J48)&lt;&gt;"",IF($J48="",INDEX(primary_jama_2018_14282_disposition,MATCH($A48,primary_jama_2018_14282_key,0)),$J48)&lt;&gt;"retain"),NOT(OR(IF($K48="",INDEX(primary_jama_2018_14282_domain,MATCH($A48,primary_jama_2018_14282_key,0)),$K48)="protocol_report"))),P48&lt;&gt;"",P48&lt;&gt;"not_applicable")</formula>
    </cfRule>
    <cfRule type="expression" priority="1046" dxfId="1">
      <formula>OR(AND(IF($J48="",INDEX(primary_jama_2018_14282_disposition,MATCH($A48,primary_jama_2018_14282_key,0)),$J48)&lt;&gt;"",IF($J48="",INDEX(primary_jama_2018_14282_disposition,MATCH($A48,primary_jama_2018_14282_key,0)),$J48)&lt;&gt;"retain"),NOT(OR(IF($K48="",INDEX(primary_jama_2018_14282_domain,MATCH($A48,primary_jama_2018_14282_key,0)),$K48)="protocol_report")))</formula>
    </cfRule>
  </conditionalFormatting>
  <conditionalFormatting sqref="P49">
    <cfRule type="expression" priority="1047" dxfId="0" stopIfTrue="1">
      <formula>AND(OR(AND(IF($J49="",INDEX(primary_jama_2018_14282_disposition,MATCH($A49,primary_jama_2018_14282_key,0)),$J49)&lt;&gt;"",IF($J49="",INDEX(primary_jama_2018_14282_disposition,MATCH($A49,primary_jama_2018_14282_key,0)),$J49)&lt;&gt;"retain"),NOT(OR(IF($K49="",INDEX(primary_jama_2018_14282_domain,MATCH($A49,primary_jama_2018_14282_key,0)),$K49)="protocol_report"))),P49&lt;&gt;"",P49&lt;&gt;"not_applicable")</formula>
    </cfRule>
    <cfRule type="expression" priority="1048" dxfId="1">
      <formula>OR(AND(IF($J49="",INDEX(primary_jama_2018_14282_disposition,MATCH($A49,primary_jama_2018_14282_key,0)),$J49)&lt;&gt;"",IF($J49="",INDEX(primary_jama_2018_14282_disposition,MATCH($A49,primary_jama_2018_14282_key,0)),$J49)&lt;&gt;"retain"),NOT(OR(IF($K49="",INDEX(primary_jama_2018_14282_domain,MATCH($A49,primary_jama_2018_14282_key,0)),$K49)="protocol_report")))</formula>
    </cfRule>
  </conditionalFormatting>
  <conditionalFormatting sqref="P50">
    <cfRule type="expression" priority="1049" dxfId="0" stopIfTrue="1">
      <formula>AND(OR(AND(IF($J50="",INDEX(primary_jama_2018_14282_disposition,MATCH($A50,primary_jama_2018_14282_key,0)),$J50)&lt;&gt;"",IF($J50="",INDEX(primary_jama_2018_14282_disposition,MATCH($A50,primary_jama_2018_14282_key,0)),$J50)&lt;&gt;"retain"),NOT(OR(IF($K50="",INDEX(primary_jama_2018_14282_domain,MATCH($A50,primary_jama_2018_14282_key,0)),$K50)="protocol_report"))),P50&lt;&gt;"",P50&lt;&gt;"not_applicable")</formula>
    </cfRule>
    <cfRule type="expression" priority="1050" dxfId="1">
      <formula>OR(AND(IF($J50="",INDEX(primary_jama_2018_14282_disposition,MATCH($A50,primary_jama_2018_14282_key,0)),$J50)&lt;&gt;"",IF($J50="",INDEX(primary_jama_2018_14282_disposition,MATCH($A50,primary_jama_2018_14282_key,0)),$J50)&lt;&gt;"retain"),NOT(OR(IF($K50="",INDEX(primary_jama_2018_14282_domain,MATCH($A50,primary_jama_2018_14282_key,0)),$K50)="protocol_report")))</formula>
    </cfRule>
  </conditionalFormatting>
  <conditionalFormatting sqref="P51">
    <cfRule type="expression" priority="1051" dxfId="0" stopIfTrue="1">
      <formula>AND(OR(AND(IF($J51="",INDEX(primary_jama_2018_14282_disposition,MATCH($A51,primary_jama_2018_14282_key,0)),$J51)&lt;&gt;"",IF($J51="",INDEX(primary_jama_2018_14282_disposition,MATCH($A51,primary_jama_2018_14282_key,0)),$J51)&lt;&gt;"retain"),NOT(OR(IF($K51="",INDEX(primary_jama_2018_14282_domain,MATCH($A51,primary_jama_2018_14282_key,0)),$K51)="protocol_report"))),P51&lt;&gt;"",P51&lt;&gt;"not_applicable")</formula>
    </cfRule>
    <cfRule type="expression" priority="1052" dxfId="1">
      <formula>OR(AND(IF($J51="",INDEX(primary_jama_2018_14282_disposition,MATCH($A51,primary_jama_2018_14282_key,0)),$J51)&lt;&gt;"",IF($J51="",INDEX(primary_jama_2018_14282_disposition,MATCH($A51,primary_jama_2018_14282_key,0)),$J51)&lt;&gt;"retain"),NOT(OR(IF($K51="",INDEX(primary_jama_2018_14282_domain,MATCH($A51,primary_jama_2018_14282_key,0)),$K51)="protocol_report")))</formula>
    </cfRule>
  </conditionalFormatting>
  <conditionalFormatting sqref="P52">
    <cfRule type="expression" priority="1053" dxfId="0" stopIfTrue="1">
      <formula>AND(OR(AND(IF($J52="",INDEX(primary_jama_2018_14282_disposition,MATCH($A52,primary_jama_2018_14282_key,0)),$J52)&lt;&gt;"",IF($J52="",INDEX(primary_jama_2018_14282_disposition,MATCH($A52,primary_jama_2018_14282_key,0)),$J52)&lt;&gt;"retain"),NOT(OR(IF($K52="",INDEX(primary_jama_2018_14282_domain,MATCH($A52,primary_jama_2018_14282_key,0)),$K52)="protocol_report"))),P52&lt;&gt;"",P52&lt;&gt;"not_applicable")</formula>
    </cfRule>
    <cfRule type="expression" priority="1054" dxfId="1">
      <formula>OR(AND(IF($J52="",INDEX(primary_jama_2018_14282_disposition,MATCH($A52,primary_jama_2018_14282_key,0)),$J52)&lt;&gt;"",IF($J52="",INDEX(primary_jama_2018_14282_disposition,MATCH($A52,primary_jama_2018_14282_key,0)),$J52)&lt;&gt;"retain"),NOT(OR(IF($K52="",INDEX(primary_jama_2018_14282_domain,MATCH($A52,primary_jama_2018_14282_key,0)),$K52)="protocol_report")))</formula>
    </cfRule>
  </conditionalFormatting>
  <conditionalFormatting sqref="P53">
    <cfRule type="expression" priority="1055" dxfId="0" stopIfTrue="1">
      <formula>AND(OR(AND(IF($J53="",INDEX(primary_jama_2018_14282_disposition,MATCH($A53,primary_jama_2018_14282_key,0)),$J53)&lt;&gt;"",IF($J53="",INDEX(primary_jama_2018_14282_disposition,MATCH($A53,primary_jama_2018_14282_key,0)),$J53)&lt;&gt;"retain"),NOT(OR(IF($K53="",INDEX(primary_jama_2018_14282_domain,MATCH($A53,primary_jama_2018_14282_key,0)),$K53)="protocol_report"))),P53&lt;&gt;"",P53&lt;&gt;"not_applicable")</formula>
    </cfRule>
    <cfRule type="expression" priority="1056" dxfId="1">
      <formula>OR(AND(IF($J53="",INDEX(primary_jama_2018_14282_disposition,MATCH($A53,primary_jama_2018_14282_key,0)),$J53)&lt;&gt;"",IF($J53="",INDEX(primary_jama_2018_14282_disposition,MATCH($A53,primary_jama_2018_14282_key,0)),$J53)&lt;&gt;"retain"),NOT(OR(IF($K53="",INDEX(primary_jama_2018_14282_domain,MATCH($A53,primary_jama_2018_14282_key,0)),$K53)="protocol_report")))</formula>
    </cfRule>
  </conditionalFormatting>
  <conditionalFormatting sqref="P54">
    <cfRule type="expression" priority="1057" dxfId="0" stopIfTrue="1">
      <formula>AND(OR(AND(IF($J54="",INDEX(primary_jama_2018_14282_disposition,MATCH($A54,primary_jama_2018_14282_key,0)),$J54)&lt;&gt;"",IF($J54="",INDEX(primary_jama_2018_14282_disposition,MATCH($A54,primary_jama_2018_14282_key,0)),$J54)&lt;&gt;"retain"),NOT(OR(IF($K54="",INDEX(primary_jama_2018_14282_domain,MATCH($A54,primary_jama_2018_14282_key,0)),$K54)="protocol_report"))),P54&lt;&gt;"",P54&lt;&gt;"not_applicable")</formula>
    </cfRule>
    <cfRule type="expression" priority="1058" dxfId="1">
      <formula>OR(AND(IF($J54="",INDEX(primary_jama_2018_14282_disposition,MATCH($A54,primary_jama_2018_14282_key,0)),$J54)&lt;&gt;"",IF($J54="",INDEX(primary_jama_2018_14282_disposition,MATCH($A54,primary_jama_2018_14282_key,0)),$J54)&lt;&gt;"retain"),NOT(OR(IF($K54="",INDEX(primary_jama_2018_14282_domain,MATCH($A54,primary_jama_2018_14282_key,0)),$K54)="protocol_report")))</formula>
    </cfRule>
  </conditionalFormatting>
  <conditionalFormatting sqref="P55">
    <cfRule type="expression" priority="1059" dxfId="0" stopIfTrue="1">
      <formula>AND(OR(AND(IF($J55="",INDEX(primary_jama_2018_14282_disposition,MATCH($A55,primary_jama_2018_14282_key,0)),$J55)&lt;&gt;"",IF($J55="",INDEX(primary_jama_2018_14282_disposition,MATCH($A55,primary_jama_2018_14282_key,0)),$J55)&lt;&gt;"retain"),NOT(OR(IF($K55="",INDEX(primary_jama_2018_14282_domain,MATCH($A55,primary_jama_2018_14282_key,0)),$K55)="protocol_report"))),P55&lt;&gt;"",P55&lt;&gt;"not_applicable")</formula>
    </cfRule>
    <cfRule type="expression" priority="1060" dxfId="1">
      <formula>OR(AND(IF($J55="",INDEX(primary_jama_2018_14282_disposition,MATCH($A55,primary_jama_2018_14282_key,0)),$J55)&lt;&gt;"",IF($J55="",INDEX(primary_jama_2018_14282_disposition,MATCH($A55,primary_jama_2018_14282_key,0)),$J55)&lt;&gt;"retain"),NOT(OR(IF($K55="",INDEX(primary_jama_2018_14282_domain,MATCH($A55,primary_jama_2018_14282_key,0)),$K55)="protocol_report")))</formula>
    </cfRule>
  </conditionalFormatting>
  <conditionalFormatting sqref="P56">
    <cfRule type="expression" priority="1061" dxfId="0" stopIfTrue="1">
      <formula>AND(OR(AND(IF($J56="",INDEX(primary_jama_2018_14282_disposition,MATCH($A56,primary_jama_2018_14282_key,0)),$J56)&lt;&gt;"",IF($J56="",INDEX(primary_jama_2018_14282_disposition,MATCH($A56,primary_jama_2018_14282_key,0)),$J56)&lt;&gt;"retain"),NOT(OR(IF($K56="",INDEX(primary_jama_2018_14282_domain,MATCH($A56,primary_jama_2018_14282_key,0)),$K56)="protocol_report"))),P56&lt;&gt;"",P56&lt;&gt;"not_applicable")</formula>
    </cfRule>
    <cfRule type="expression" priority="1062" dxfId="1">
      <formula>OR(AND(IF($J56="",INDEX(primary_jama_2018_14282_disposition,MATCH($A56,primary_jama_2018_14282_key,0)),$J56)&lt;&gt;"",IF($J56="",INDEX(primary_jama_2018_14282_disposition,MATCH($A56,primary_jama_2018_14282_key,0)),$J56)&lt;&gt;"retain"),NOT(OR(IF($K56="",INDEX(primary_jama_2018_14282_domain,MATCH($A56,primary_jama_2018_14282_key,0)),$K56)="protocol_report")))</formula>
    </cfRule>
  </conditionalFormatting>
  <conditionalFormatting sqref="P57">
    <cfRule type="expression" priority="1063" dxfId="0" stopIfTrue="1">
      <formula>AND(OR(AND(IF($J57="",INDEX(primary_jama_2018_14282_disposition,MATCH($A57,primary_jama_2018_14282_key,0)),$J57)&lt;&gt;"",IF($J57="",INDEX(primary_jama_2018_14282_disposition,MATCH($A57,primary_jama_2018_14282_key,0)),$J57)&lt;&gt;"retain"),NOT(OR(IF($K57="",INDEX(primary_jama_2018_14282_domain,MATCH($A57,primary_jama_2018_14282_key,0)),$K57)="protocol_report"))),P57&lt;&gt;"",P57&lt;&gt;"not_applicable")</formula>
    </cfRule>
    <cfRule type="expression" priority="1064" dxfId="1">
      <formula>OR(AND(IF($J57="",INDEX(primary_jama_2018_14282_disposition,MATCH($A57,primary_jama_2018_14282_key,0)),$J57)&lt;&gt;"",IF($J57="",INDEX(primary_jama_2018_14282_disposition,MATCH($A57,primary_jama_2018_14282_key,0)),$J57)&lt;&gt;"retain"),NOT(OR(IF($K57="",INDEX(primary_jama_2018_14282_domain,MATCH($A57,primary_jama_2018_14282_key,0)),$K57)="protocol_report")))</formula>
    </cfRule>
  </conditionalFormatting>
  <conditionalFormatting sqref="P58">
    <cfRule type="expression" priority="1065" dxfId="0" stopIfTrue="1">
      <formula>AND(OR(AND(IF($J58="",INDEX(primary_jama_2018_14282_disposition,MATCH($A58,primary_jama_2018_14282_key,0)),$J58)&lt;&gt;"",IF($J58="",INDEX(primary_jama_2018_14282_disposition,MATCH($A58,primary_jama_2018_14282_key,0)),$J58)&lt;&gt;"retain"),NOT(OR(IF($K58="",INDEX(primary_jama_2018_14282_domain,MATCH($A58,primary_jama_2018_14282_key,0)),$K58)="protocol_report"))),P58&lt;&gt;"",P58&lt;&gt;"not_applicable")</formula>
    </cfRule>
    <cfRule type="expression" priority="1066" dxfId="1">
      <formula>OR(AND(IF($J58="",INDEX(primary_jama_2018_14282_disposition,MATCH($A58,primary_jama_2018_14282_key,0)),$J58)&lt;&gt;"",IF($J58="",INDEX(primary_jama_2018_14282_disposition,MATCH($A58,primary_jama_2018_14282_key,0)),$J58)&lt;&gt;"retain"),NOT(OR(IF($K58="",INDEX(primary_jama_2018_14282_domain,MATCH($A58,primary_jama_2018_14282_key,0)),$K58)="protocol_report")))</formula>
    </cfRule>
  </conditionalFormatting>
  <conditionalFormatting sqref="P59">
    <cfRule type="expression" priority="1067" dxfId="0" stopIfTrue="1">
      <formula>AND(OR(AND(IF($J59="",INDEX(primary_jama_2018_14282_disposition,MATCH($A59,primary_jama_2018_14282_key,0)),$J59)&lt;&gt;"",IF($J59="",INDEX(primary_jama_2018_14282_disposition,MATCH($A59,primary_jama_2018_14282_key,0)),$J59)&lt;&gt;"retain"),NOT(OR(IF($K59="",INDEX(primary_jama_2018_14282_domain,MATCH($A59,primary_jama_2018_14282_key,0)),$K59)="protocol_report"))),P59&lt;&gt;"",P59&lt;&gt;"not_applicable")</formula>
    </cfRule>
    <cfRule type="expression" priority="1068" dxfId="1">
      <formula>OR(AND(IF($J59="",INDEX(primary_jama_2018_14282_disposition,MATCH($A59,primary_jama_2018_14282_key,0)),$J59)&lt;&gt;"",IF($J59="",INDEX(primary_jama_2018_14282_disposition,MATCH($A59,primary_jama_2018_14282_key,0)),$J59)&lt;&gt;"retain"),NOT(OR(IF($K59="",INDEX(primary_jama_2018_14282_domain,MATCH($A59,primary_jama_2018_14282_key,0)),$K59)="protocol_report")))</formula>
    </cfRule>
  </conditionalFormatting>
  <conditionalFormatting sqref="P60">
    <cfRule type="expression" priority="1069" dxfId="0" stopIfTrue="1">
      <formula>AND(OR(AND(IF($J60="",INDEX(primary_jama_2018_14282_disposition,MATCH($A60,primary_jama_2018_14282_key,0)),$J60)&lt;&gt;"",IF($J60="",INDEX(primary_jama_2018_14282_disposition,MATCH($A60,primary_jama_2018_14282_key,0)),$J60)&lt;&gt;"retain"),NOT(OR(IF($K60="",INDEX(primary_jama_2018_14282_domain,MATCH($A60,primary_jama_2018_14282_key,0)),$K60)="protocol_report"))),P60&lt;&gt;"",P60&lt;&gt;"not_applicable")</formula>
    </cfRule>
    <cfRule type="expression" priority="1070" dxfId="1">
      <formula>OR(AND(IF($J60="",INDEX(primary_jama_2018_14282_disposition,MATCH($A60,primary_jama_2018_14282_key,0)),$J60)&lt;&gt;"",IF($J60="",INDEX(primary_jama_2018_14282_disposition,MATCH($A60,primary_jama_2018_14282_key,0)),$J60)&lt;&gt;"retain"),NOT(OR(IF($K60="",INDEX(primary_jama_2018_14282_domain,MATCH($A60,primary_jama_2018_14282_key,0)),$K60)="protocol_report")))</formula>
    </cfRule>
  </conditionalFormatting>
  <conditionalFormatting sqref="P61">
    <cfRule type="expression" priority="1071" dxfId="0" stopIfTrue="1">
      <formula>AND(OR(AND(IF($J61="",INDEX(primary_jama_2018_14282_disposition,MATCH($A61,primary_jama_2018_14282_key,0)),$J61)&lt;&gt;"",IF($J61="",INDEX(primary_jama_2018_14282_disposition,MATCH($A61,primary_jama_2018_14282_key,0)),$J61)&lt;&gt;"retain"),NOT(OR(IF($K61="",INDEX(primary_jama_2018_14282_domain,MATCH($A61,primary_jama_2018_14282_key,0)),$K61)="protocol_report"))),P61&lt;&gt;"",P61&lt;&gt;"not_applicable")</formula>
    </cfRule>
    <cfRule type="expression" priority="1072" dxfId="1">
      <formula>OR(AND(IF($J61="",INDEX(primary_jama_2018_14282_disposition,MATCH($A61,primary_jama_2018_14282_key,0)),$J61)&lt;&gt;"",IF($J61="",INDEX(primary_jama_2018_14282_disposition,MATCH($A61,primary_jama_2018_14282_key,0)),$J61)&lt;&gt;"retain"),NOT(OR(IF($K61="",INDEX(primary_jama_2018_14282_domain,MATCH($A61,primary_jama_2018_14282_key,0)),$K61)="protocol_report")))</formula>
    </cfRule>
  </conditionalFormatting>
  <conditionalFormatting sqref="P62">
    <cfRule type="expression" priority="1073" dxfId="0" stopIfTrue="1">
      <formula>AND(OR(AND(IF($J62="",INDEX(primary_jama_2018_14282_disposition,MATCH($A62,primary_jama_2018_14282_key,0)),$J62)&lt;&gt;"",IF($J62="",INDEX(primary_jama_2018_14282_disposition,MATCH($A62,primary_jama_2018_14282_key,0)),$J62)&lt;&gt;"retain"),NOT(OR(IF($K62="",INDEX(primary_jama_2018_14282_domain,MATCH($A62,primary_jama_2018_14282_key,0)),$K62)="protocol_report"))),P62&lt;&gt;"",P62&lt;&gt;"not_applicable")</formula>
    </cfRule>
    <cfRule type="expression" priority="1074" dxfId="1">
      <formula>OR(AND(IF($J62="",INDEX(primary_jama_2018_14282_disposition,MATCH($A62,primary_jama_2018_14282_key,0)),$J62)&lt;&gt;"",IF($J62="",INDEX(primary_jama_2018_14282_disposition,MATCH($A62,primary_jama_2018_14282_key,0)),$J62)&lt;&gt;"retain"),NOT(OR(IF($K62="",INDEX(primary_jama_2018_14282_domain,MATCH($A62,primary_jama_2018_14282_key,0)),$K62)="protocol_report")))</formula>
    </cfRule>
  </conditionalFormatting>
  <conditionalFormatting sqref="P63">
    <cfRule type="expression" priority="1075" dxfId="0" stopIfTrue="1">
      <formula>AND(OR(AND(IF($J63="",INDEX(primary_jama_2018_14282_disposition,MATCH($A63,primary_jama_2018_14282_key,0)),$J63)&lt;&gt;"",IF($J63="",INDEX(primary_jama_2018_14282_disposition,MATCH($A63,primary_jama_2018_14282_key,0)),$J63)&lt;&gt;"retain"),NOT(OR(IF($K63="",INDEX(primary_jama_2018_14282_domain,MATCH($A63,primary_jama_2018_14282_key,0)),$K63)="protocol_report"))),P63&lt;&gt;"",P63&lt;&gt;"not_applicable")</formula>
    </cfRule>
    <cfRule type="expression" priority="1076" dxfId="1">
      <formula>OR(AND(IF($J63="",INDEX(primary_jama_2018_14282_disposition,MATCH($A63,primary_jama_2018_14282_key,0)),$J63)&lt;&gt;"",IF($J63="",INDEX(primary_jama_2018_14282_disposition,MATCH($A63,primary_jama_2018_14282_key,0)),$J63)&lt;&gt;"retain"),NOT(OR(IF($K63="",INDEX(primary_jama_2018_14282_domain,MATCH($A63,primary_jama_2018_14282_key,0)),$K63)="protocol_report")))</formula>
    </cfRule>
  </conditionalFormatting>
  <conditionalFormatting sqref="P64">
    <cfRule type="expression" priority="1077" dxfId="0" stopIfTrue="1">
      <formula>AND(OR(AND(IF($J64="",INDEX(primary_jama_2018_14282_disposition,MATCH($A64,primary_jama_2018_14282_key,0)),$J64)&lt;&gt;"",IF($J64="",INDEX(primary_jama_2018_14282_disposition,MATCH($A64,primary_jama_2018_14282_key,0)),$J64)&lt;&gt;"retain"),NOT(OR(IF($K64="",INDEX(primary_jama_2018_14282_domain,MATCH($A64,primary_jama_2018_14282_key,0)),$K64)="protocol_report"))),P64&lt;&gt;"",P64&lt;&gt;"not_applicable")</formula>
    </cfRule>
    <cfRule type="expression" priority="1078" dxfId="1">
      <formula>OR(AND(IF($J64="",INDEX(primary_jama_2018_14282_disposition,MATCH($A64,primary_jama_2018_14282_key,0)),$J64)&lt;&gt;"",IF($J64="",INDEX(primary_jama_2018_14282_disposition,MATCH($A64,primary_jama_2018_14282_key,0)),$J64)&lt;&gt;"retain"),NOT(OR(IF($K64="",INDEX(primary_jama_2018_14282_domain,MATCH($A64,primary_jama_2018_14282_key,0)),$K64)="protocol_report")))</formula>
    </cfRule>
  </conditionalFormatting>
  <conditionalFormatting sqref="P65">
    <cfRule type="expression" priority="1079" dxfId="0" stopIfTrue="1">
      <formula>AND(OR(AND(IF($J65="",INDEX(primary_jama_2018_14282_disposition,MATCH($A65,primary_jama_2018_14282_key,0)),$J65)&lt;&gt;"",IF($J65="",INDEX(primary_jama_2018_14282_disposition,MATCH($A65,primary_jama_2018_14282_key,0)),$J65)&lt;&gt;"retain"),NOT(OR(IF($K65="",INDEX(primary_jama_2018_14282_domain,MATCH($A65,primary_jama_2018_14282_key,0)),$K65)="protocol_report"))),P65&lt;&gt;"",P65&lt;&gt;"not_applicable")</formula>
    </cfRule>
    <cfRule type="expression" priority="1080" dxfId="1">
      <formula>OR(AND(IF($J65="",INDEX(primary_jama_2018_14282_disposition,MATCH($A65,primary_jama_2018_14282_key,0)),$J65)&lt;&gt;"",IF($J65="",INDEX(primary_jama_2018_14282_disposition,MATCH($A65,primary_jama_2018_14282_key,0)),$J65)&lt;&gt;"retain"),NOT(OR(IF($K65="",INDEX(primary_jama_2018_14282_domain,MATCH($A65,primary_jama_2018_14282_key,0)),$K65)="protocol_report")))</formula>
    </cfRule>
  </conditionalFormatting>
  <conditionalFormatting sqref="P66">
    <cfRule type="expression" priority="1081" dxfId="0" stopIfTrue="1">
      <formula>AND(OR(AND(IF($J66="",INDEX(primary_jama_2018_14282_disposition,MATCH($A66,primary_jama_2018_14282_key,0)),$J66)&lt;&gt;"",IF($J66="",INDEX(primary_jama_2018_14282_disposition,MATCH($A66,primary_jama_2018_14282_key,0)),$J66)&lt;&gt;"retain"),NOT(OR(IF($K66="",INDEX(primary_jama_2018_14282_domain,MATCH($A66,primary_jama_2018_14282_key,0)),$K66)="protocol_report"))),P66&lt;&gt;"",P66&lt;&gt;"not_applicable")</formula>
    </cfRule>
    <cfRule type="expression" priority="1082" dxfId="1">
      <formula>OR(AND(IF($J66="",INDEX(primary_jama_2018_14282_disposition,MATCH($A66,primary_jama_2018_14282_key,0)),$J66)&lt;&gt;"",IF($J66="",INDEX(primary_jama_2018_14282_disposition,MATCH($A66,primary_jama_2018_14282_key,0)),$J66)&lt;&gt;"retain"),NOT(OR(IF($K66="",INDEX(primary_jama_2018_14282_domain,MATCH($A66,primary_jama_2018_14282_key,0)),$K66)="protocol_report")))</formula>
    </cfRule>
  </conditionalFormatting>
  <conditionalFormatting sqref="P67">
    <cfRule type="expression" priority="1083" dxfId="0" stopIfTrue="1">
      <formula>AND(OR(AND(IF($J67="",INDEX(primary_jama_2018_14282_disposition,MATCH($A67,primary_jama_2018_14282_key,0)),$J67)&lt;&gt;"",IF($J67="",INDEX(primary_jama_2018_14282_disposition,MATCH($A67,primary_jama_2018_14282_key,0)),$J67)&lt;&gt;"retain"),NOT(OR(IF($K67="",INDEX(primary_jama_2018_14282_domain,MATCH($A67,primary_jama_2018_14282_key,0)),$K67)="protocol_report"))),P67&lt;&gt;"",P67&lt;&gt;"not_applicable")</formula>
    </cfRule>
    <cfRule type="expression" priority="1084" dxfId="1">
      <formula>OR(AND(IF($J67="",INDEX(primary_jama_2018_14282_disposition,MATCH($A67,primary_jama_2018_14282_key,0)),$J67)&lt;&gt;"",IF($J67="",INDEX(primary_jama_2018_14282_disposition,MATCH($A67,primary_jama_2018_14282_key,0)),$J67)&lt;&gt;"retain"),NOT(OR(IF($K67="",INDEX(primary_jama_2018_14282_domain,MATCH($A67,primary_jama_2018_14282_key,0)),$K67)="protocol_report")))</formula>
    </cfRule>
  </conditionalFormatting>
  <conditionalFormatting sqref="P68">
    <cfRule type="expression" priority="1085" dxfId="0" stopIfTrue="1">
      <formula>AND(OR(AND(IF($J68="",INDEX(primary_jama_2018_14282_disposition,MATCH($A68,primary_jama_2018_14282_key,0)),$J68)&lt;&gt;"",IF($J68="",INDEX(primary_jama_2018_14282_disposition,MATCH($A68,primary_jama_2018_14282_key,0)),$J68)&lt;&gt;"retain"),NOT(OR(IF($K68="",INDEX(primary_jama_2018_14282_domain,MATCH($A68,primary_jama_2018_14282_key,0)),$K68)="protocol_report"))),P68&lt;&gt;"",P68&lt;&gt;"not_applicable")</formula>
    </cfRule>
    <cfRule type="expression" priority="1086" dxfId="1">
      <formula>OR(AND(IF($J68="",INDEX(primary_jama_2018_14282_disposition,MATCH($A68,primary_jama_2018_14282_key,0)),$J68)&lt;&gt;"",IF($J68="",INDEX(primary_jama_2018_14282_disposition,MATCH($A68,primary_jama_2018_14282_key,0)),$J68)&lt;&gt;"retain"),NOT(OR(IF($K68="",INDEX(primary_jama_2018_14282_domain,MATCH($A68,primary_jama_2018_14282_key,0)),$K68)="protocol_report")))</formula>
    </cfRule>
  </conditionalFormatting>
  <conditionalFormatting sqref="P69">
    <cfRule type="expression" priority="1087" dxfId="0" stopIfTrue="1">
      <formula>AND(OR(AND(IF($J69="",INDEX(primary_jama_2018_14282_disposition,MATCH($A69,primary_jama_2018_14282_key,0)),$J69)&lt;&gt;"",IF($J69="",INDEX(primary_jama_2018_14282_disposition,MATCH($A69,primary_jama_2018_14282_key,0)),$J69)&lt;&gt;"retain"),NOT(OR(IF($K69="",INDEX(primary_jama_2018_14282_domain,MATCH($A69,primary_jama_2018_14282_key,0)),$K69)="protocol_report"))),P69&lt;&gt;"",P69&lt;&gt;"not_applicable")</formula>
    </cfRule>
    <cfRule type="expression" priority="1088" dxfId="1">
      <formula>OR(AND(IF($J69="",INDEX(primary_jama_2018_14282_disposition,MATCH($A69,primary_jama_2018_14282_key,0)),$J69)&lt;&gt;"",IF($J69="",INDEX(primary_jama_2018_14282_disposition,MATCH($A69,primary_jama_2018_14282_key,0)),$J69)&lt;&gt;"retain"),NOT(OR(IF($K69="",INDEX(primary_jama_2018_14282_domain,MATCH($A69,primary_jama_2018_14282_key,0)),$K69)="protocol_report")))</formula>
    </cfRule>
  </conditionalFormatting>
  <conditionalFormatting sqref="P70">
    <cfRule type="expression" priority="1089" dxfId="0" stopIfTrue="1">
      <formula>AND(OR(AND(IF($J70="",INDEX(primary_jama_2018_14282_disposition,MATCH($A70,primary_jama_2018_14282_key,0)),$J70)&lt;&gt;"",IF($J70="",INDEX(primary_jama_2018_14282_disposition,MATCH($A70,primary_jama_2018_14282_key,0)),$J70)&lt;&gt;"retain"),NOT(OR(IF($K70="",INDEX(primary_jama_2018_14282_domain,MATCH($A70,primary_jama_2018_14282_key,0)),$K70)="protocol_report"))),P70&lt;&gt;"",P70&lt;&gt;"not_applicable")</formula>
    </cfRule>
    <cfRule type="expression" priority="1090" dxfId="1">
      <formula>OR(AND(IF($J70="",INDEX(primary_jama_2018_14282_disposition,MATCH($A70,primary_jama_2018_14282_key,0)),$J70)&lt;&gt;"",IF($J70="",INDEX(primary_jama_2018_14282_disposition,MATCH($A70,primary_jama_2018_14282_key,0)),$J70)&lt;&gt;"retain"),NOT(OR(IF($K70="",INDEX(primary_jama_2018_14282_domain,MATCH($A70,primary_jama_2018_14282_key,0)),$K70)="protocol_report")))</formula>
    </cfRule>
  </conditionalFormatting>
  <conditionalFormatting sqref="P71">
    <cfRule type="expression" priority="1091" dxfId="0" stopIfTrue="1">
      <formula>AND(OR(AND(IF($J71="",INDEX(primary_jama_2018_14282_disposition,MATCH($A71,primary_jama_2018_14282_key,0)),$J71)&lt;&gt;"",IF($J71="",INDEX(primary_jama_2018_14282_disposition,MATCH($A71,primary_jama_2018_14282_key,0)),$J71)&lt;&gt;"retain"),NOT(OR(IF($K71="",INDEX(primary_jama_2018_14282_domain,MATCH($A71,primary_jama_2018_14282_key,0)),$K71)="protocol_report"))),P71&lt;&gt;"",P71&lt;&gt;"not_applicable")</formula>
    </cfRule>
    <cfRule type="expression" priority="1092" dxfId="1">
      <formula>OR(AND(IF($J71="",INDEX(primary_jama_2018_14282_disposition,MATCH($A71,primary_jama_2018_14282_key,0)),$J71)&lt;&gt;"",IF($J71="",INDEX(primary_jama_2018_14282_disposition,MATCH($A71,primary_jama_2018_14282_key,0)),$J71)&lt;&gt;"retain"),NOT(OR(IF($K71="",INDEX(primary_jama_2018_14282_domain,MATCH($A71,primary_jama_2018_14282_key,0)),$K71)="protocol_report")))</formula>
    </cfRule>
  </conditionalFormatting>
  <conditionalFormatting sqref="P72">
    <cfRule type="expression" priority="1093" dxfId="0" stopIfTrue="1">
      <formula>AND(OR(AND(IF($J72="",INDEX(primary_jama_2018_14282_disposition,MATCH($A72,primary_jama_2018_14282_key,0)),$J72)&lt;&gt;"",IF($J72="",INDEX(primary_jama_2018_14282_disposition,MATCH($A72,primary_jama_2018_14282_key,0)),$J72)&lt;&gt;"retain"),NOT(OR(IF($K72="",INDEX(primary_jama_2018_14282_domain,MATCH($A72,primary_jama_2018_14282_key,0)),$K72)="protocol_report"))),P72&lt;&gt;"",P72&lt;&gt;"not_applicable")</formula>
    </cfRule>
    <cfRule type="expression" priority="1094" dxfId="1">
      <formula>OR(AND(IF($J72="",INDEX(primary_jama_2018_14282_disposition,MATCH($A72,primary_jama_2018_14282_key,0)),$J72)&lt;&gt;"",IF($J72="",INDEX(primary_jama_2018_14282_disposition,MATCH($A72,primary_jama_2018_14282_key,0)),$J72)&lt;&gt;"retain"),NOT(OR(IF($K72="",INDEX(primary_jama_2018_14282_domain,MATCH($A72,primary_jama_2018_14282_key,0)),$K72)="protocol_report")))</formula>
    </cfRule>
  </conditionalFormatting>
  <conditionalFormatting sqref="P73">
    <cfRule type="expression" priority="1095" dxfId="0" stopIfTrue="1">
      <formula>AND(OR(AND(IF($J73="",INDEX(primary_jama_2018_14282_disposition,MATCH($A73,primary_jama_2018_14282_key,0)),$J73)&lt;&gt;"",IF($J73="",INDEX(primary_jama_2018_14282_disposition,MATCH($A73,primary_jama_2018_14282_key,0)),$J73)&lt;&gt;"retain"),NOT(OR(IF($K73="",INDEX(primary_jama_2018_14282_domain,MATCH($A73,primary_jama_2018_14282_key,0)),$K73)="protocol_report"))),P73&lt;&gt;"",P73&lt;&gt;"not_applicable")</formula>
    </cfRule>
    <cfRule type="expression" priority="1096" dxfId="1">
      <formula>OR(AND(IF($J73="",INDEX(primary_jama_2018_14282_disposition,MATCH($A73,primary_jama_2018_14282_key,0)),$J73)&lt;&gt;"",IF($J73="",INDEX(primary_jama_2018_14282_disposition,MATCH($A73,primary_jama_2018_14282_key,0)),$J73)&lt;&gt;"retain"),NOT(OR(IF($K73="",INDEX(primary_jama_2018_14282_domain,MATCH($A73,primary_jama_2018_14282_key,0)),$K73)="protocol_report")))</formula>
    </cfRule>
  </conditionalFormatting>
  <conditionalFormatting sqref="P74">
    <cfRule type="expression" priority="1097" dxfId="0" stopIfTrue="1">
      <formula>AND(OR(AND(IF($J74="",INDEX(primary_jama_2018_17075_disposition,MATCH($A74,primary_jama_2018_17075_key,0)),$J74)&lt;&gt;"",IF($J74="",INDEX(primary_jama_2018_17075_disposition,MATCH($A74,primary_jama_2018_17075_key,0)),$J74)&lt;&gt;"retain"),NOT(OR(IF($K74="",INDEX(primary_jama_2018_17075_domain,MATCH($A74,primary_jama_2018_17075_key,0)),$K74)="protocol_report"))),P74&lt;&gt;"",P74&lt;&gt;"not_applicable")</formula>
    </cfRule>
    <cfRule type="expression" priority="1098" dxfId="1">
      <formula>OR(AND(IF($J74="",INDEX(primary_jama_2018_17075_disposition,MATCH($A74,primary_jama_2018_17075_key,0)),$J74)&lt;&gt;"",IF($J74="",INDEX(primary_jama_2018_17075_disposition,MATCH($A74,primary_jama_2018_17075_key,0)),$J74)&lt;&gt;"retain"),NOT(OR(IF($K74="",INDEX(primary_jama_2018_17075_domain,MATCH($A74,primary_jama_2018_17075_key,0)),$K74)="protocol_report")))</formula>
    </cfRule>
  </conditionalFormatting>
  <conditionalFormatting sqref="P75">
    <cfRule type="expression" priority="1099" dxfId="0" stopIfTrue="1">
      <formula>AND(OR(AND(IF($J75="",INDEX(primary_jama_2018_17075_disposition,MATCH($A75,primary_jama_2018_17075_key,0)),$J75)&lt;&gt;"",IF($J75="",INDEX(primary_jama_2018_17075_disposition,MATCH($A75,primary_jama_2018_17075_key,0)),$J75)&lt;&gt;"retain"),NOT(OR(IF($K75="",INDEX(primary_jama_2018_17075_domain,MATCH($A75,primary_jama_2018_17075_key,0)),$K75)="protocol_report"))),P75&lt;&gt;"",P75&lt;&gt;"not_applicable")</formula>
    </cfRule>
    <cfRule type="expression" priority="1100" dxfId="1">
      <formula>OR(AND(IF($J75="",INDEX(primary_jama_2018_17075_disposition,MATCH($A75,primary_jama_2018_17075_key,0)),$J75)&lt;&gt;"",IF($J75="",INDEX(primary_jama_2018_17075_disposition,MATCH($A75,primary_jama_2018_17075_key,0)),$J75)&lt;&gt;"retain"),NOT(OR(IF($K75="",INDEX(primary_jama_2018_17075_domain,MATCH($A75,primary_jama_2018_17075_key,0)),$K75)="protocol_report")))</formula>
    </cfRule>
  </conditionalFormatting>
  <conditionalFormatting sqref="P76">
    <cfRule type="expression" priority="1101" dxfId="0" stopIfTrue="1">
      <formula>AND(OR(AND(IF($J76="",INDEX(primary_jama_2018_17075_disposition,MATCH($A76,primary_jama_2018_17075_key,0)),$J76)&lt;&gt;"",IF($J76="",INDEX(primary_jama_2018_17075_disposition,MATCH($A76,primary_jama_2018_17075_key,0)),$J76)&lt;&gt;"retain"),NOT(OR(IF($K76="",INDEX(primary_jama_2018_17075_domain,MATCH($A76,primary_jama_2018_17075_key,0)),$K76)="protocol_report"))),P76&lt;&gt;"",P76&lt;&gt;"not_applicable")</formula>
    </cfRule>
    <cfRule type="expression" priority="1102" dxfId="1">
      <formula>OR(AND(IF($J76="",INDEX(primary_jama_2018_17075_disposition,MATCH($A76,primary_jama_2018_17075_key,0)),$J76)&lt;&gt;"",IF($J76="",INDEX(primary_jama_2018_17075_disposition,MATCH($A76,primary_jama_2018_17075_key,0)),$J76)&lt;&gt;"retain"),NOT(OR(IF($K76="",INDEX(primary_jama_2018_17075_domain,MATCH($A76,primary_jama_2018_17075_key,0)),$K76)="protocol_report")))</formula>
    </cfRule>
  </conditionalFormatting>
  <conditionalFormatting sqref="P77">
    <cfRule type="expression" priority="1103" dxfId="0" stopIfTrue="1">
      <formula>AND(OR(AND(IF($J77="",INDEX(primary_jama_2018_17075_disposition,MATCH($A77,primary_jama_2018_17075_key,0)),$J77)&lt;&gt;"",IF($J77="",INDEX(primary_jama_2018_17075_disposition,MATCH($A77,primary_jama_2018_17075_key,0)),$J77)&lt;&gt;"retain"),NOT(OR(IF($K77="",INDEX(primary_jama_2018_17075_domain,MATCH($A77,primary_jama_2018_17075_key,0)),$K77)="protocol_report"))),P77&lt;&gt;"",P77&lt;&gt;"not_applicable")</formula>
    </cfRule>
    <cfRule type="expression" priority="1104" dxfId="1">
      <formula>OR(AND(IF($J77="",INDEX(primary_jama_2018_17075_disposition,MATCH($A77,primary_jama_2018_17075_key,0)),$J77)&lt;&gt;"",IF($J77="",INDEX(primary_jama_2018_17075_disposition,MATCH($A77,primary_jama_2018_17075_key,0)),$J77)&lt;&gt;"retain"),NOT(OR(IF($K77="",INDEX(primary_jama_2018_17075_domain,MATCH($A77,primary_jama_2018_17075_key,0)),$K77)="protocol_report")))</formula>
    </cfRule>
  </conditionalFormatting>
  <conditionalFormatting sqref="P78">
    <cfRule type="expression" priority="1105" dxfId="0" stopIfTrue="1">
      <formula>AND(OR(AND(IF($J78="",INDEX(primary_jama_2018_17075_disposition,MATCH($A78,primary_jama_2018_17075_key,0)),$J78)&lt;&gt;"",IF($J78="",INDEX(primary_jama_2018_17075_disposition,MATCH($A78,primary_jama_2018_17075_key,0)),$J78)&lt;&gt;"retain"),NOT(OR(IF($K78="",INDEX(primary_jama_2018_17075_domain,MATCH($A78,primary_jama_2018_17075_key,0)),$K78)="protocol_report"))),P78&lt;&gt;"",P78&lt;&gt;"not_applicable")</formula>
    </cfRule>
    <cfRule type="expression" priority="1106" dxfId="1">
      <formula>OR(AND(IF($J78="",INDEX(primary_jama_2018_17075_disposition,MATCH($A78,primary_jama_2018_17075_key,0)),$J78)&lt;&gt;"",IF($J78="",INDEX(primary_jama_2018_17075_disposition,MATCH($A78,primary_jama_2018_17075_key,0)),$J78)&lt;&gt;"retain"),NOT(OR(IF($K78="",INDEX(primary_jama_2018_17075_domain,MATCH($A78,primary_jama_2018_17075_key,0)),$K78)="protocol_report")))</formula>
    </cfRule>
  </conditionalFormatting>
  <conditionalFormatting sqref="P79">
    <cfRule type="expression" priority="1107" dxfId="0" stopIfTrue="1">
      <formula>AND(OR(AND(IF($J79="",INDEX(primary_jama_2018_17075_disposition,MATCH($A79,primary_jama_2018_17075_key,0)),$J79)&lt;&gt;"",IF($J79="",INDEX(primary_jama_2018_17075_disposition,MATCH($A79,primary_jama_2018_17075_key,0)),$J79)&lt;&gt;"retain"),NOT(OR(IF($K79="",INDEX(primary_jama_2018_17075_domain,MATCH($A79,primary_jama_2018_17075_key,0)),$K79)="protocol_report"))),P79&lt;&gt;"",P79&lt;&gt;"not_applicable")</formula>
    </cfRule>
    <cfRule type="expression" priority="1108" dxfId="1">
      <formula>OR(AND(IF($J79="",INDEX(primary_jama_2018_17075_disposition,MATCH($A79,primary_jama_2018_17075_key,0)),$J79)&lt;&gt;"",IF($J79="",INDEX(primary_jama_2018_17075_disposition,MATCH($A79,primary_jama_2018_17075_key,0)),$J79)&lt;&gt;"retain"),NOT(OR(IF($K79="",INDEX(primary_jama_2018_17075_domain,MATCH($A79,primary_jama_2018_17075_key,0)),$K79)="protocol_report")))</formula>
    </cfRule>
  </conditionalFormatting>
  <conditionalFormatting sqref="P80">
    <cfRule type="expression" priority="1109" dxfId="0" stopIfTrue="1">
      <formula>AND(OR(AND(IF($J80="",INDEX(primary_jama_2018_17075_disposition,MATCH($A80,primary_jama_2018_17075_key,0)),$J80)&lt;&gt;"",IF($J80="",INDEX(primary_jama_2018_17075_disposition,MATCH($A80,primary_jama_2018_17075_key,0)),$J80)&lt;&gt;"retain"),NOT(OR(IF($K80="",INDEX(primary_jama_2018_17075_domain,MATCH($A80,primary_jama_2018_17075_key,0)),$K80)="protocol_report"))),P80&lt;&gt;"",P80&lt;&gt;"not_applicable")</formula>
    </cfRule>
    <cfRule type="expression" priority="1110" dxfId="1">
      <formula>OR(AND(IF($J80="",INDEX(primary_jama_2018_17075_disposition,MATCH($A80,primary_jama_2018_17075_key,0)),$J80)&lt;&gt;"",IF($J80="",INDEX(primary_jama_2018_17075_disposition,MATCH($A80,primary_jama_2018_17075_key,0)),$J80)&lt;&gt;"retain"),NOT(OR(IF($K80="",INDEX(primary_jama_2018_17075_domain,MATCH($A80,primary_jama_2018_17075_key,0)),$K80)="protocol_report")))</formula>
    </cfRule>
  </conditionalFormatting>
  <conditionalFormatting sqref="P81">
    <cfRule type="expression" priority="1111" dxfId="0" stopIfTrue="1">
      <formula>AND(OR(AND(IF($J81="",INDEX(primary_jama_2018_17075_disposition,MATCH($A81,primary_jama_2018_17075_key,0)),$J81)&lt;&gt;"",IF($J81="",INDEX(primary_jama_2018_17075_disposition,MATCH($A81,primary_jama_2018_17075_key,0)),$J81)&lt;&gt;"retain"),NOT(OR(IF($K81="",INDEX(primary_jama_2018_17075_domain,MATCH($A81,primary_jama_2018_17075_key,0)),$K81)="protocol_report"))),P81&lt;&gt;"",P81&lt;&gt;"not_applicable")</formula>
    </cfRule>
    <cfRule type="expression" priority="1112" dxfId="1">
      <formula>OR(AND(IF($J81="",INDEX(primary_jama_2018_17075_disposition,MATCH($A81,primary_jama_2018_17075_key,0)),$J81)&lt;&gt;"",IF($J81="",INDEX(primary_jama_2018_17075_disposition,MATCH($A81,primary_jama_2018_17075_key,0)),$J81)&lt;&gt;"retain"),NOT(OR(IF($K81="",INDEX(primary_jama_2018_17075_domain,MATCH($A81,primary_jama_2018_17075_key,0)),$K81)="protocol_report")))</formula>
    </cfRule>
  </conditionalFormatting>
  <conditionalFormatting sqref="P82">
    <cfRule type="expression" priority="1113" dxfId="0" stopIfTrue="1">
      <formula>AND(OR(AND(IF($J82="",INDEX(primary_jama_2018_18020_disposition,MATCH($A82,primary_jama_2018_18020_key,0)),$J82)&lt;&gt;"",IF($J82="",INDEX(primary_jama_2018_18020_disposition,MATCH($A82,primary_jama_2018_18020_key,0)),$J82)&lt;&gt;"retain"),NOT(OR(IF($K82="",INDEX(primary_jama_2018_18020_domain,MATCH($A82,primary_jama_2018_18020_key,0)),$K82)="protocol_report"))),P82&lt;&gt;"",P82&lt;&gt;"not_applicable")</formula>
    </cfRule>
    <cfRule type="expression" priority="1114" dxfId="1">
      <formula>OR(AND(IF($J82="",INDEX(primary_jama_2018_18020_disposition,MATCH($A82,primary_jama_2018_18020_key,0)),$J82)&lt;&gt;"",IF($J82="",INDEX(primary_jama_2018_18020_disposition,MATCH($A82,primary_jama_2018_18020_key,0)),$J82)&lt;&gt;"retain"),NOT(OR(IF($K82="",INDEX(primary_jama_2018_18020_domain,MATCH($A82,primary_jama_2018_18020_key,0)),$K82)="protocol_report")))</formula>
    </cfRule>
  </conditionalFormatting>
  <conditionalFormatting sqref="P83">
    <cfRule type="expression" priority="1115" dxfId="0" stopIfTrue="1">
      <formula>AND(OR(AND(IF($J83="",INDEX(primary_jama_2018_18020_disposition,MATCH($A83,primary_jama_2018_18020_key,0)),$J83)&lt;&gt;"",IF($J83="",INDEX(primary_jama_2018_18020_disposition,MATCH($A83,primary_jama_2018_18020_key,0)),$J83)&lt;&gt;"retain"),NOT(OR(IF($K83="",INDEX(primary_jama_2018_18020_domain,MATCH($A83,primary_jama_2018_18020_key,0)),$K83)="protocol_report"))),P83&lt;&gt;"",P83&lt;&gt;"not_applicable")</formula>
    </cfRule>
    <cfRule type="expression" priority="1116" dxfId="1">
      <formula>OR(AND(IF($J83="",INDEX(primary_jama_2018_18020_disposition,MATCH($A83,primary_jama_2018_18020_key,0)),$J83)&lt;&gt;"",IF($J83="",INDEX(primary_jama_2018_18020_disposition,MATCH($A83,primary_jama_2018_18020_key,0)),$J83)&lt;&gt;"retain"),NOT(OR(IF($K83="",INDEX(primary_jama_2018_18020_domain,MATCH($A83,primary_jama_2018_18020_key,0)),$K83)="protocol_report")))</formula>
    </cfRule>
  </conditionalFormatting>
  <conditionalFormatting sqref="P84">
    <cfRule type="expression" priority="1117" dxfId="0" stopIfTrue="1">
      <formula>AND(OR(AND(IF($J84="",INDEX(primary_jama_2018_18020_disposition,MATCH($A84,primary_jama_2018_18020_key,0)),$J84)&lt;&gt;"",IF($J84="",INDEX(primary_jama_2018_18020_disposition,MATCH($A84,primary_jama_2018_18020_key,0)),$J84)&lt;&gt;"retain"),NOT(OR(IF($K84="",INDEX(primary_jama_2018_18020_domain,MATCH($A84,primary_jama_2018_18020_key,0)),$K84)="protocol_report"))),P84&lt;&gt;"",P84&lt;&gt;"not_applicable")</formula>
    </cfRule>
    <cfRule type="expression" priority="1118" dxfId="1">
      <formula>OR(AND(IF($J84="",INDEX(primary_jama_2018_18020_disposition,MATCH($A84,primary_jama_2018_18020_key,0)),$J84)&lt;&gt;"",IF($J84="",INDEX(primary_jama_2018_18020_disposition,MATCH($A84,primary_jama_2018_18020_key,0)),$J84)&lt;&gt;"retain"),NOT(OR(IF($K84="",INDEX(primary_jama_2018_18020_domain,MATCH($A84,primary_jama_2018_18020_key,0)),$K84)="protocol_report")))</formula>
    </cfRule>
  </conditionalFormatting>
  <conditionalFormatting sqref="P85">
    <cfRule type="expression" priority="1119" dxfId="0" stopIfTrue="1">
      <formula>AND(OR(AND(IF($J85="",INDEX(primary_jama_2018_18020_disposition,MATCH($A85,primary_jama_2018_18020_key,0)),$J85)&lt;&gt;"",IF($J85="",INDEX(primary_jama_2018_18020_disposition,MATCH($A85,primary_jama_2018_18020_key,0)),$J85)&lt;&gt;"retain"),NOT(OR(IF($K85="",INDEX(primary_jama_2018_18020_domain,MATCH($A85,primary_jama_2018_18020_key,0)),$K85)="protocol_report"))),P85&lt;&gt;"",P85&lt;&gt;"not_applicable")</formula>
    </cfRule>
    <cfRule type="expression" priority="1120" dxfId="1">
      <formula>OR(AND(IF($J85="",INDEX(primary_jama_2018_18020_disposition,MATCH($A85,primary_jama_2018_18020_key,0)),$J85)&lt;&gt;"",IF($J85="",INDEX(primary_jama_2018_18020_disposition,MATCH($A85,primary_jama_2018_18020_key,0)),$J85)&lt;&gt;"retain"),NOT(OR(IF($K85="",INDEX(primary_jama_2018_18020_domain,MATCH($A85,primary_jama_2018_18020_key,0)),$K85)="protocol_report")))</formula>
    </cfRule>
  </conditionalFormatting>
  <conditionalFormatting sqref="P86">
    <cfRule type="expression" priority="1121" dxfId="0" stopIfTrue="1">
      <formula>AND(OR(AND(IF($J86="",INDEX(primary_jama_2018_18020_disposition,MATCH($A86,primary_jama_2018_18020_key,0)),$J86)&lt;&gt;"",IF($J86="",INDEX(primary_jama_2018_18020_disposition,MATCH($A86,primary_jama_2018_18020_key,0)),$J86)&lt;&gt;"retain"),NOT(OR(IF($K86="",INDEX(primary_jama_2018_18020_domain,MATCH($A86,primary_jama_2018_18020_key,0)),$K86)="protocol_report"))),P86&lt;&gt;"",P86&lt;&gt;"not_applicable")</formula>
    </cfRule>
    <cfRule type="expression" priority="1122" dxfId="1">
      <formula>OR(AND(IF($J86="",INDEX(primary_jama_2018_18020_disposition,MATCH($A86,primary_jama_2018_18020_key,0)),$J86)&lt;&gt;"",IF($J86="",INDEX(primary_jama_2018_18020_disposition,MATCH($A86,primary_jama_2018_18020_key,0)),$J86)&lt;&gt;"retain"),NOT(OR(IF($K86="",INDEX(primary_jama_2018_18020_domain,MATCH($A86,primary_jama_2018_18020_key,0)),$K86)="protocol_report")))</formula>
    </cfRule>
  </conditionalFormatting>
  <conditionalFormatting sqref="P87">
    <cfRule type="expression" priority="1123" dxfId="0" stopIfTrue="1">
      <formula>AND(OR(AND(IF($J87="",INDEX(primary_jama_2018_18020_disposition,MATCH($A87,primary_jama_2018_18020_key,0)),$J87)&lt;&gt;"",IF($J87="",INDEX(primary_jama_2018_18020_disposition,MATCH($A87,primary_jama_2018_18020_key,0)),$J87)&lt;&gt;"retain"),NOT(OR(IF($K87="",INDEX(primary_jama_2018_18020_domain,MATCH($A87,primary_jama_2018_18020_key,0)),$K87)="protocol_report"))),P87&lt;&gt;"",P87&lt;&gt;"not_applicable")</formula>
    </cfRule>
    <cfRule type="expression" priority="1124" dxfId="1">
      <formula>OR(AND(IF($J87="",INDEX(primary_jama_2018_18020_disposition,MATCH($A87,primary_jama_2018_18020_key,0)),$J87)&lt;&gt;"",IF($J87="",INDEX(primary_jama_2018_18020_disposition,MATCH($A87,primary_jama_2018_18020_key,0)),$J87)&lt;&gt;"retain"),NOT(OR(IF($K87="",INDEX(primary_jama_2018_18020_domain,MATCH($A87,primary_jama_2018_18020_key,0)),$K87)="protocol_report")))</formula>
    </cfRule>
  </conditionalFormatting>
  <conditionalFormatting sqref="P88">
    <cfRule type="expression" priority="1125" dxfId="0" stopIfTrue="1">
      <formula>AND(OR(AND(IF($J88="",INDEX(primary_jama_2018_18020_disposition,MATCH($A88,primary_jama_2018_18020_key,0)),$J88)&lt;&gt;"",IF($J88="",INDEX(primary_jama_2018_18020_disposition,MATCH($A88,primary_jama_2018_18020_key,0)),$J88)&lt;&gt;"retain"),NOT(OR(IF($K88="",INDEX(primary_jama_2018_18020_domain,MATCH($A88,primary_jama_2018_18020_key,0)),$K88)="protocol_report"))),P88&lt;&gt;"",P88&lt;&gt;"not_applicable")</formula>
    </cfRule>
    <cfRule type="expression" priority="1126" dxfId="1">
      <formula>OR(AND(IF($J88="",INDEX(primary_jama_2018_18020_disposition,MATCH($A88,primary_jama_2018_18020_key,0)),$J88)&lt;&gt;"",IF($J88="",INDEX(primary_jama_2018_18020_disposition,MATCH($A88,primary_jama_2018_18020_key,0)),$J88)&lt;&gt;"retain"),NOT(OR(IF($K88="",INDEX(primary_jama_2018_18020_domain,MATCH($A88,primary_jama_2018_18020_key,0)),$K88)="protocol_report")))</formula>
    </cfRule>
  </conditionalFormatting>
  <conditionalFormatting sqref="P89">
    <cfRule type="expression" priority="1127" dxfId="0" stopIfTrue="1">
      <formula>AND(OR(AND(IF($J89="",INDEX(primary_jama_2018_18020_disposition,MATCH($A89,primary_jama_2018_18020_key,0)),$J89)&lt;&gt;"",IF($J89="",INDEX(primary_jama_2018_18020_disposition,MATCH($A89,primary_jama_2018_18020_key,0)),$J89)&lt;&gt;"retain"),NOT(OR(IF($K89="",INDEX(primary_jama_2018_18020_domain,MATCH($A89,primary_jama_2018_18020_key,0)),$K89)="protocol_report"))),P89&lt;&gt;"",P89&lt;&gt;"not_applicable")</formula>
    </cfRule>
    <cfRule type="expression" priority="1128" dxfId="1">
      <formula>OR(AND(IF($J89="",INDEX(primary_jama_2018_18020_disposition,MATCH($A89,primary_jama_2018_18020_key,0)),$J89)&lt;&gt;"",IF($J89="",INDEX(primary_jama_2018_18020_disposition,MATCH($A89,primary_jama_2018_18020_key,0)),$J89)&lt;&gt;"retain"),NOT(OR(IF($K89="",INDEX(primary_jama_2018_18020_domain,MATCH($A89,primary_jama_2018_18020_key,0)),$K89)="protocol_report")))</formula>
    </cfRule>
  </conditionalFormatting>
  <conditionalFormatting sqref="P90">
    <cfRule type="expression" priority="1129" dxfId="0" stopIfTrue="1">
      <formula>AND(OR(AND(IF($J90="",INDEX(primary_jama_2018_18020_disposition,MATCH($A90,primary_jama_2018_18020_key,0)),$J90)&lt;&gt;"",IF($J90="",INDEX(primary_jama_2018_18020_disposition,MATCH($A90,primary_jama_2018_18020_key,0)),$J90)&lt;&gt;"retain"),NOT(OR(IF($K90="",INDEX(primary_jama_2018_18020_domain,MATCH($A90,primary_jama_2018_18020_key,0)),$K90)="protocol_report"))),P90&lt;&gt;"",P90&lt;&gt;"not_applicable")</formula>
    </cfRule>
    <cfRule type="expression" priority="1130" dxfId="1">
      <formula>OR(AND(IF($J90="",INDEX(primary_jama_2018_18020_disposition,MATCH($A90,primary_jama_2018_18020_key,0)),$J90)&lt;&gt;"",IF($J90="",INDEX(primary_jama_2018_18020_disposition,MATCH($A90,primary_jama_2018_18020_key,0)),$J90)&lt;&gt;"retain"),NOT(OR(IF($K90="",INDEX(primary_jama_2018_18020_domain,MATCH($A90,primary_jama_2018_18020_key,0)),$K90)="protocol_report")))</formula>
    </cfRule>
  </conditionalFormatting>
  <conditionalFormatting sqref="P91">
    <cfRule type="expression" priority="1131" dxfId="0" stopIfTrue="1">
      <formula>AND(OR(AND(IF($J91="",INDEX(primary_jama_2018_18020_disposition,MATCH($A91,primary_jama_2018_18020_key,0)),$J91)&lt;&gt;"",IF($J91="",INDEX(primary_jama_2018_18020_disposition,MATCH($A91,primary_jama_2018_18020_key,0)),$J91)&lt;&gt;"retain"),NOT(OR(IF($K91="",INDEX(primary_jama_2018_18020_domain,MATCH($A91,primary_jama_2018_18020_key,0)),$K91)="protocol_report"))),P91&lt;&gt;"",P91&lt;&gt;"not_applicable")</formula>
    </cfRule>
    <cfRule type="expression" priority="1132" dxfId="1">
      <formula>OR(AND(IF($J91="",INDEX(primary_jama_2018_18020_disposition,MATCH($A91,primary_jama_2018_18020_key,0)),$J91)&lt;&gt;"",IF($J91="",INDEX(primary_jama_2018_18020_disposition,MATCH($A91,primary_jama_2018_18020_key,0)),$J91)&lt;&gt;"retain"),NOT(OR(IF($K91="",INDEX(primary_jama_2018_18020_domain,MATCH($A91,primary_jama_2018_18020_key,0)),$K91)="protocol_report")))</formula>
    </cfRule>
  </conditionalFormatting>
  <conditionalFormatting sqref="P92">
    <cfRule type="expression" priority="1133" dxfId="0" stopIfTrue="1">
      <formula>AND(OR(AND(IF($J92="",INDEX(primary_jama_2018_18020_disposition,MATCH($A92,primary_jama_2018_18020_key,0)),$J92)&lt;&gt;"",IF($J92="",INDEX(primary_jama_2018_18020_disposition,MATCH($A92,primary_jama_2018_18020_key,0)),$J92)&lt;&gt;"retain"),NOT(OR(IF($K92="",INDEX(primary_jama_2018_18020_domain,MATCH($A92,primary_jama_2018_18020_key,0)),$K92)="protocol_report"))),P92&lt;&gt;"",P92&lt;&gt;"not_applicable")</formula>
    </cfRule>
    <cfRule type="expression" priority="1134" dxfId="1">
      <formula>OR(AND(IF($J92="",INDEX(primary_jama_2018_18020_disposition,MATCH($A92,primary_jama_2018_18020_key,0)),$J92)&lt;&gt;"",IF($J92="",INDEX(primary_jama_2018_18020_disposition,MATCH($A92,primary_jama_2018_18020_key,0)),$J92)&lt;&gt;"retain"),NOT(OR(IF($K92="",INDEX(primary_jama_2018_18020_domain,MATCH($A92,primary_jama_2018_18020_key,0)),$K92)="protocol_report")))</formula>
    </cfRule>
  </conditionalFormatting>
  <conditionalFormatting sqref="P93">
    <cfRule type="expression" priority="1135" dxfId="0" stopIfTrue="1">
      <formula>AND(OR(AND(IF($J93="",INDEX(primary_jama_2018_18020_disposition,MATCH($A93,primary_jama_2018_18020_key,0)),$J93)&lt;&gt;"",IF($J93="",INDEX(primary_jama_2018_18020_disposition,MATCH($A93,primary_jama_2018_18020_key,0)),$J93)&lt;&gt;"retain"),NOT(OR(IF($K93="",INDEX(primary_jama_2018_18020_domain,MATCH($A93,primary_jama_2018_18020_key,0)),$K93)="protocol_report"))),P93&lt;&gt;"",P93&lt;&gt;"not_applicable")</formula>
    </cfRule>
    <cfRule type="expression" priority="1136" dxfId="1">
      <formula>OR(AND(IF($J93="",INDEX(primary_jama_2018_18020_disposition,MATCH($A93,primary_jama_2018_18020_key,0)),$J93)&lt;&gt;"",IF($J93="",INDEX(primary_jama_2018_18020_disposition,MATCH($A93,primary_jama_2018_18020_key,0)),$J93)&lt;&gt;"retain"),NOT(OR(IF($K93="",INDEX(primary_jama_2018_18020_domain,MATCH($A93,primary_jama_2018_18020_key,0)),$K93)="protocol_report")))</formula>
    </cfRule>
  </conditionalFormatting>
  <conditionalFormatting sqref="P94">
    <cfRule type="expression" priority="1137" dxfId="0" stopIfTrue="1">
      <formula>AND(OR(AND(IF($J94="",INDEX(primary_jama_2018_18020_disposition,MATCH($A94,primary_jama_2018_18020_key,0)),$J94)&lt;&gt;"",IF($J94="",INDEX(primary_jama_2018_18020_disposition,MATCH($A94,primary_jama_2018_18020_key,0)),$J94)&lt;&gt;"retain"),NOT(OR(IF($K94="",INDEX(primary_jama_2018_18020_domain,MATCH($A94,primary_jama_2018_18020_key,0)),$K94)="protocol_report"))),P94&lt;&gt;"",P94&lt;&gt;"not_applicable")</formula>
    </cfRule>
    <cfRule type="expression" priority="1138" dxfId="1">
      <formula>OR(AND(IF($J94="",INDEX(primary_jama_2018_18020_disposition,MATCH($A94,primary_jama_2018_18020_key,0)),$J94)&lt;&gt;"",IF($J94="",INDEX(primary_jama_2018_18020_disposition,MATCH($A94,primary_jama_2018_18020_key,0)),$J94)&lt;&gt;"retain"),NOT(OR(IF($K94="",INDEX(primary_jama_2018_18020_domain,MATCH($A94,primary_jama_2018_18020_key,0)),$K94)="protocol_report")))</formula>
    </cfRule>
  </conditionalFormatting>
  <conditionalFormatting sqref="P95">
    <cfRule type="expression" priority="1139" dxfId="0" stopIfTrue="1">
      <formula>AND(OR(AND(IF($J95="",INDEX(primary_jama_2018_18020_disposition,MATCH($A95,primary_jama_2018_18020_key,0)),$J95)&lt;&gt;"",IF($J95="",INDEX(primary_jama_2018_18020_disposition,MATCH($A95,primary_jama_2018_18020_key,0)),$J95)&lt;&gt;"retain"),NOT(OR(IF($K95="",INDEX(primary_jama_2018_18020_domain,MATCH($A95,primary_jama_2018_18020_key,0)),$K95)="protocol_report"))),P95&lt;&gt;"",P95&lt;&gt;"not_applicable")</formula>
    </cfRule>
    <cfRule type="expression" priority="1140" dxfId="1">
      <formula>OR(AND(IF($J95="",INDEX(primary_jama_2018_18020_disposition,MATCH($A95,primary_jama_2018_18020_key,0)),$J95)&lt;&gt;"",IF($J95="",INDEX(primary_jama_2018_18020_disposition,MATCH($A95,primary_jama_2018_18020_key,0)),$J95)&lt;&gt;"retain"),NOT(OR(IF($K95="",INDEX(primary_jama_2018_18020_domain,MATCH($A95,primary_jama_2018_18020_key,0)),$K95)="protocol_report")))</formula>
    </cfRule>
  </conditionalFormatting>
  <conditionalFormatting sqref="P96">
    <cfRule type="expression" priority="1141" dxfId="0" stopIfTrue="1">
      <formula>AND(OR(AND(IF($J96="",INDEX(primary_jama_2018_6496_disposition,MATCH($A96,primary_jama_2018_6496_key,0)),$J96)&lt;&gt;"",IF($J96="",INDEX(primary_jama_2018_6496_disposition,MATCH($A96,primary_jama_2018_6496_key,0)),$J96)&lt;&gt;"retain"),NOT(OR(IF($K96="",INDEX(primary_jama_2018_6496_domain,MATCH($A96,primary_jama_2018_6496_key,0)),$K96)="protocol_report"))),P96&lt;&gt;"",P96&lt;&gt;"not_applicable")</formula>
    </cfRule>
    <cfRule type="expression" priority="1142" dxfId="1">
      <formula>OR(AND(IF($J96="",INDEX(primary_jama_2018_6496_disposition,MATCH($A96,primary_jama_2018_6496_key,0)),$J96)&lt;&gt;"",IF($J96="",INDEX(primary_jama_2018_6496_disposition,MATCH($A96,primary_jama_2018_6496_key,0)),$J96)&lt;&gt;"retain"),NOT(OR(IF($K96="",INDEX(primary_jama_2018_6496_domain,MATCH($A96,primary_jama_2018_6496_key,0)),$K96)="protocol_report")))</formula>
    </cfRule>
  </conditionalFormatting>
  <conditionalFormatting sqref="P97">
    <cfRule type="expression" priority="1143" dxfId="0" stopIfTrue="1">
      <formula>AND(OR(AND(IF($J97="",INDEX(primary_jama_2018_6496_disposition,MATCH($A97,primary_jama_2018_6496_key,0)),$J97)&lt;&gt;"",IF($J97="",INDEX(primary_jama_2018_6496_disposition,MATCH($A97,primary_jama_2018_6496_key,0)),$J97)&lt;&gt;"retain"),NOT(OR(IF($K97="",INDEX(primary_jama_2018_6496_domain,MATCH($A97,primary_jama_2018_6496_key,0)),$K97)="protocol_report"))),P97&lt;&gt;"",P97&lt;&gt;"not_applicable")</formula>
    </cfRule>
    <cfRule type="expression" priority="1144" dxfId="1">
      <formula>OR(AND(IF($J97="",INDEX(primary_jama_2018_6496_disposition,MATCH($A97,primary_jama_2018_6496_key,0)),$J97)&lt;&gt;"",IF($J97="",INDEX(primary_jama_2018_6496_disposition,MATCH($A97,primary_jama_2018_6496_key,0)),$J97)&lt;&gt;"retain"),NOT(OR(IF($K97="",INDEX(primary_jama_2018_6496_domain,MATCH($A97,primary_jama_2018_6496_key,0)),$K97)="protocol_report")))</formula>
    </cfRule>
  </conditionalFormatting>
  <conditionalFormatting sqref="P98">
    <cfRule type="expression" priority="1145" dxfId="0" stopIfTrue="1">
      <formula>AND(OR(AND(IF($J98="",INDEX(primary_jama_2018_6496_disposition,MATCH($A98,primary_jama_2018_6496_key,0)),$J98)&lt;&gt;"",IF($J98="",INDEX(primary_jama_2018_6496_disposition,MATCH($A98,primary_jama_2018_6496_key,0)),$J98)&lt;&gt;"retain"),NOT(OR(IF($K98="",INDEX(primary_jama_2018_6496_domain,MATCH($A98,primary_jama_2018_6496_key,0)),$K98)="protocol_report"))),P98&lt;&gt;"",P98&lt;&gt;"not_applicable")</formula>
    </cfRule>
    <cfRule type="expression" priority="1146" dxfId="1">
      <formula>OR(AND(IF($J98="",INDEX(primary_jama_2018_6496_disposition,MATCH($A98,primary_jama_2018_6496_key,0)),$J98)&lt;&gt;"",IF($J98="",INDEX(primary_jama_2018_6496_disposition,MATCH($A98,primary_jama_2018_6496_key,0)),$J98)&lt;&gt;"retain"),NOT(OR(IF($K98="",INDEX(primary_jama_2018_6496_domain,MATCH($A98,primary_jama_2018_6496_key,0)),$K98)="protocol_report")))</formula>
    </cfRule>
  </conditionalFormatting>
  <conditionalFormatting sqref="P99">
    <cfRule type="expression" priority="1147" dxfId="0" stopIfTrue="1">
      <formula>AND(OR(AND(IF($J99="",INDEX(primary_jama_2018_6496_disposition,MATCH($A99,primary_jama_2018_6496_key,0)),$J99)&lt;&gt;"",IF($J99="",INDEX(primary_jama_2018_6496_disposition,MATCH($A99,primary_jama_2018_6496_key,0)),$J99)&lt;&gt;"retain"),NOT(OR(IF($K99="",INDEX(primary_jama_2018_6496_domain,MATCH($A99,primary_jama_2018_6496_key,0)),$K99)="protocol_report"))),P99&lt;&gt;"",P99&lt;&gt;"not_applicable")</formula>
    </cfRule>
    <cfRule type="expression" priority="1148" dxfId="1">
      <formula>OR(AND(IF($J99="",INDEX(primary_jama_2018_6496_disposition,MATCH($A99,primary_jama_2018_6496_key,0)),$J99)&lt;&gt;"",IF($J99="",INDEX(primary_jama_2018_6496_disposition,MATCH($A99,primary_jama_2018_6496_key,0)),$J99)&lt;&gt;"retain"),NOT(OR(IF($K99="",INDEX(primary_jama_2018_6496_domain,MATCH($A99,primary_jama_2018_6496_key,0)),$K99)="protocol_report")))</formula>
    </cfRule>
  </conditionalFormatting>
  <conditionalFormatting sqref="P100">
    <cfRule type="expression" priority="1149" dxfId="0" stopIfTrue="1">
      <formula>AND(OR(AND(IF($J100="",INDEX(primary_jama_2018_8802_disposition,MATCH($A100,primary_jama_2018_8802_key,0)),$J100)&lt;&gt;"",IF($J100="",INDEX(primary_jama_2018_8802_disposition,MATCH($A100,primary_jama_2018_8802_key,0)),$J100)&lt;&gt;"retain"),NOT(OR(IF($K100="",INDEX(primary_jama_2018_8802_domain,MATCH($A100,primary_jama_2018_8802_key,0)),$K100)="protocol_report"))),P100&lt;&gt;"",P100&lt;&gt;"not_applicable")</formula>
    </cfRule>
    <cfRule type="expression" priority="1150" dxfId="1">
      <formula>OR(AND(IF($J100="",INDEX(primary_jama_2018_8802_disposition,MATCH($A100,primary_jama_2018_8802_key,0)),$J100)&lt;&gt;"",IF($J100="",INDEX(primary_jama_2018_8802_disposition,MATCH($A100,primary_jama_2018_8802_key,0)),$J100)&lt;&gt;"retain"),NOT(OR(IF($K100="",INDEX(primary_jama_2018_8802_domain,MATCH($A100,primary_jama_2018_8802_key,0)),$K100)="protocol_report")))</formula>
    </cfRule>
  </conditionalFormatting>
  <conditionalFormatting sqref="P101">
    <cfRule type="expression" priority="1151" dxfId="0" stopIfTrue="1">
      <formula>AND(OR(AND(IF($J101="",INDEX(primary_jama_2018_8802_disposition,MATCH($A101,primary_jama_2018_8802_key,0)),$J101)&lt;&gt;"",IF($J101="",INDEX(primary_jama_2018_8802_disposition,MATCH($A101,primary_jama_2018_8802_key,0)),$J101)&lt;&gt;"retain"),NOT(OR(IF($K101="",INDEX(primary_jama_2018_8802_domain,MATCH($A101,primary_jama_2018_8802_key,0)),$K101)="protocol_report"))),P101&lt;&gt;"",P101&lt;&gt;"not_applicable")</formula>
    </cfRule>
    <cfRule type="expression" priority="1152" dxfId="1">
      <formula>OR(AND(IF($J101="",INDEX(primary_jama_2018_8802_disposition,MATCH($A101,primary_jama_2018_8802_key,0)),$J101)&lt;&gt;"",IF($J101="",INDEX(primary_jama_2018_8802_disposition,MATCH($A101,primary_jama_2018_8802_key,0)),$J101)&lt;&gt;"retain"),NOT(OR(IF($K101="",INDEX(primary_jama_2018_8802_domain,MATCH($A101,primary_jama_2018_8802_key,0)),$K101)="protocol_report")))</formula>
    </cfRule>
  </conditionalFormatting>
  <conditionalFormatting sqref="P102">
    <cfRule type="expression" priority="1153" dxfId="0" stopIfTrue="1">
      <formula>AND(OR(AND(IF($J102="",INDEX(primary_jama_2018_8802_disposition,MATCH($A102,primary_jama_2018_8802_key,0)),$J102)&lt;&gt;"",IF($J102="",INDEX(primary_jama_2018_8802_disposition,MATCH($A102,primary_jama_2018_8802_key,0)),$J102)&lt;&gt;"retain"),NOT(OR(IF($K102="",INDEX(primary_jama_2018_8802_domain,MATCH($A102,primary_jama_2018_8802_key,0)),$K102)="protocol_report"))),P102&lt;&gt;"",P102&lt;&gt;"not_applicable")</formula>
    </cfRule>
    <cfRule type="expression" priority="1154" dxfId="1">
      <formula>OR(AND(IF($J102="",INDEX(primary_jama_2018_8802_disposition,MATCH($A102,primary_jama_2018_8802_key,0)),$J102)&lt;&gt;"",IF($J102="",INDEX(primary_jama_2018_8802_disposition,MATCH($A102,primary_jama_2018_8802_key,0)),$J102)&lt;&gt;"retain"),NOT(OR(IF($K102="",INDEX(primary_jama_2018_8802_domain,MATCH($A102,primary_jama_2018_8802_key,0)),$K102)="protocol_report")))</formula>
    </cfRule>
  </conditionalFormatting>
  <conditionalFormatting sqref="P103">
    <cfRule type="expression" priority="1155" dxfId="0" stopIfTrue="1">
      <formula>AND(OR(AND(IF($J103="",INDEX(primary_jama_2018_8802_disposition,MATCH($A103,primary_jama_2018_8802_key,0)),$J103)&lt;&gt;"",IF($J103="",INDEX(primary_jama_2018_8802_disposition,MATCH($A103,primary_jama_2018_8802_key,0)),$J103)&lt;&gt;"retain"),NOT(OR(IF($K103="",INDEX(primary_jama_2018_8802_domain,MATCH($A103,primary_jama_2018_8802_key,0)),$K103)="protocol_report"))),P103&lt;&gt;"",P103&lt;&gt;"not_applicable")</formula>
    </cfRule>
    <cfRule type="expression" priority="1156" dxfId="1">
      <formula>OR(AND(IF($J103="",INDEX(primary_jama_2018_8802_disposition,MATCH($A103,primary_jama_2018_8802_key,0)),$J103)&lt;&gt;"",IF($J103="",INDEX(primary_jama_2018_8802_disposition,MATCH($A103,primary_jama_2018_8802_key,0)),$J103)&lt;&gt;"retain"),NOT(OR(IF($K103="",INDEX(primary_jama_2018_8802_domain,MATCH($A103,primary_jama_2018_8802_key,0)),$K103)="protocol_report")))</formula>
    </cfRule>
  </conditionalFormatting>
  <conditionalFormatting sqref="P104">
    <cfRule type="expression" priority="1157" dxfId="0" stopIfTrue="1">
      <formula>AND(OR(AND(IF($J104="",INDEX(primary_jama_2018_8802_disposition,MATCH($A104,primary_jama_2018_8802_key,0)),$J104)&lt;&gt;"",IF($J104="",INDEX(primary_jama_2018_8802_disposition,MATCH($A104,primary_jama_2018_8802_key,0)),$J104)&lt;&gt;"retain"),NOT(OR(IF($K104="",INDEX(primary_jama_2018_8802_domain,MATCH($A104,primary_jama_2018_8802_key,0)),$K104)="protocol_report"))),P104&lt;&gt;"",P104&lt;&gt;"not_applicable")</formula>
    </cfRule>
    <cfRule type="expression" priority="1158" dxfId="1">
      <formula>OR(AND(IF($J104="",INDEX(primary_jama_2018_8802_disposition,MATCH($A104,primary_jama_2018_8802_key,0)),$J104)&lt;&gt;"",IF($J104="",INDEX(primary_jama_2018_8802_disposition,MATCH($A104,primary_jama_2018_8802_key,0)),$J104)&lt;&gt;"retain"),NOT(OR(IF($K104="",INDEX(primary_jama_2018_8802_domain,MATCH($A104,primary_jama_2018_8802_key,0)),$K104)="protocol_report")))</formula>
    </cfRule>
  </conditionalFormatting>
  <conditionalFormatting sqref="P105">
    <cfRule type="expression" priority="1159" dxfId="0" stopIfTrue="1">
      <formula>AND(OR(AND(IF($J105="",INDEX(primary_jama_2018_8802_disposition,MATCH($A105,primary_jama_2018_8802_key,0)),$J105)&lt;&gt;"",IF($J105="",INDEX(primary_jama_2018_8802_disposition,MATCH($A105,primary_jama_2018_8802_key,0)),$J105)&lt;&gt;"retain"),NOT(OR(IF($K105="",INDEX(primary_jama_2018_8802_domain,MATCH($A105,primary_jama_2018_8802_key,0)),$K105)="protocol_report"))),P105&lt;&gt;"",P105&lt;&gt;"not_applicable")</formula>
    </cfRule>
    <cfRule type="expression" priority="1160" dxfId="1">
      <formula>OR(AND(IF($J105="",INDEX(primary_jama_2018_8802_disposition,MATCH($A105,primary_jama_2018_8802_key,0)),$J105)&lt;&gt;"",IF($J105="",INDEX(primary_jama_2018_8802_disposition,MATCH($A105,primary_jama_2018_8802_key,0)),$J105)&lt;&gt;"retain"),NOT(OR(IF($K105="",INDEX(primary_jama_2018_8802_domain,MATCH($A105,primary_jama_2018_8802_key,0)),$K105)="protocol_report")))</formula>
    </cfRule>
  </conditionalFormatting>
  <conditionalFormatting sqref="P106">
    <cfRule type="expression" priority="1161" dxfId="0" stopIfTrue="1">
      <formula>AND(OR(AND(IF($J106="",INDEX(primary_jama_2018_8802_disposition,MATCH($A106,primary_jama_2018_8802_key,0)),$J106)&lt;&gt;"",IF($J106="",INDEX(primary_jama_2018_8802_disposition,MATCH($A106,primary_jama_2018_8802_key,0)),$J106)&lt;&gt;"retain"),NOT(OR(IF($K106="",INDEX(primary_jama_2018_8802_domain,MATCH($A106,primary_jama_2018_8802_key,0)),$K106)="protocol_report"))),P106&lt;&gt;"",P106&lt;&gt;"not_applicable")</formula>
    </cfRule>
    <cfRule type="expression" priority="1162" dxfId="1">
      <formula>OR(AND(IF($J106="",INDEX(primary_jama_2018_8802_disposition,MATCH($A106,primary_jama_2018_8802_key,0)),$J106)&lt;&gt;"",IF($J106="",INDEX(primary_jama_2018_8802_disposition,MATCH($A106,primary_jama_2018_8802_key,0)),$J106)&lt;&gt;"retain"),NOT(OR(IF($K106="",INDEX(primary_jama_2018_8802_domain,MATCH($A106,primary_jama_2018_8802_key,0)),$K106)="protocol_report")))</formula>
    </cfRule>
  </conditionalFormatting>
  <conditionalFormatting sqref="P107">
    <cfRule type="expression" priority="1163" dxfId="0" stopIfTrue="1">
      <formula>AND(OR(AND(IF($J107="",INDEX(primary_jama_2018_8802_disposition,MATCH($A107,primary_jama_2018_8802_key,0)),$J107)&lt;&gt;"",IF($J107="",INDEX(primary_jama_2018_8802_disposition,MATCH($A107,primary_jama_2018_8802_key,0)),$J107)&lt;&gt;"retain"),NOT(OR(IF($K107="",INDEX(primary_jama_2018_8802_domain,MATCH($A107,primary_jama_2018_8802_key,0)),$K107)="protocol_report"))),P107&lt;&gt;"",P107&lt;&gt;"not_applicable")</formula>
    </cfRule>
    <cfRule type="expression" priority="1164" dxfId="1">
      <formula>OR(AND(IF($J107="",INDEX(primary_jama_2018_8802_disposition,MATCH($A107,primary_jama_2018_8802_key,0)),$J107)&lt;&gt;"",IF($J107="",INDEX(primary_jama_2018_8802_disposition,MATCH($A107,primary_jama_2018_8802_key,0)),$J107)&lt;&gt;"retain"),NOT(OR(IF($K107="",INDEX(primary_jama_2018_8802_domain,MATCH($A107,primary_jama_2018_8802_key,0)),$K107)="protocol_report")))</formula>
    </cfRule>
  </conditionalFormatting>
  <conditionalFormatting sqref="P108">
    <cfRule type="expression" priority="1165" dxfId="0" stopIfTrue="1">
      <formula>AND(OR(AND(IF($J108="",INDEX(primary_jama_2018_9128_disposition,MATCH($A108,primary_jama_2018_9128_key,0)),$J108)&lt;&gt;"",IF($J108="",INDEX(primary_jama_2018_9128_disposition,MATCH($A108,primary_jama_2018_9128_key,0)),$J108)&lt;&gt;"retain"),NOT(OR(IF($K108="",INDEX(primary_jama_2018_9128_domain,MATCH($A108,primary_jama_2018_9128_key,0)),$K108)="protocol_report"))),P108&lt;&gt;"",P108&lt;&gt;"not_applicable")</formula>
    </cfRule>
    <cfRule type="expression" priority="1166" dxfId="1">
      <formula>OR(AND(IF($J108="",INDEX(primary_jama_2018_9128_disposition,MATCH($A108,primary_jama_2018_9128_key,0)),$J108)&lt;&gt;"",IF($J108="",INDEX(primary_jama_2018_9128_disposition,MATCH($A108,primary_jama_2018_9128_key,0)),$J108)&lt;&gt;"retain"),NOT(OR(IF($K108="",INDEX(primary_jama_2018_9128_domain,MATCH($A108,primary_jama_2018_9128_key,0)),$K108)="protocol_report")))</formula>
    </cfRule>
  </conditionalFormatting>
  <conditionalFormatting sqref="P109">
    <cfRule type="expression" priority="1167" dxfId="0" stopIfTrue="1">
      <formula>AND(OR(AND(IF($J109="",INDEX(primary_jama_2018_9128_disposition,MATCH($A109,primary_jama_2018_9128_key,0)),$J109)&lt;&gt;"",IF($J109="",INDEX(primary_jama_2018_9128_disposition,MATCH($A109,primary_jama_2018_9128_key,0)),$J109)&lt;&gt;"retain"),NOT(OR(IF($K109="",INDEX(primary_jama_2018_9128_domain,MATCH($A109,primary_jama_2018_9128_key,0)),$K109)="protocol_report"))),P109&lt;&gt;"",P109&lt;&gt;"not_applicable")</formula>
    </cfRule>
    <cfRule type="expression" priority="1168" dxfId="1">
      <formula>OR(AND(IF($J109="",INDEX(primary_jama_2018_9128_disposition,MATCH($A109,primary_jama_2018_9128_key,0)),$J109)&lt;&gt;"",IF($J109="",INDEX(primary_jama_2018_9128_disposition,MATCH($A109,primary_jama_2018_9128_key,0)),$J109)&lt;&gt;"retain"),NOT(OR(IF($K109="",INDEX(primary_jama_2018_9128_domain,MATCH($A109,primary_jama_2018_9128_key,0)),$K109)="protocol_report")))</formula>
    </cfRule>
  </conditionalFormatting>
  <conditionalFormatting sqref="P110">
    <cfRule type="expression" priority="1169" dxfId="0" stopIfTrue="1">
      <formula>AND(OR(AND(IF($J110="",INDEX(primary_jama_2018_9128_disposition,MATCH($A110,primary_jama_2018_9128_key,0)),$J110)&lt;&gt;"",IF($J110="",INDEX(primary_jama_2018_9128_disposition,MATCH($A110,primary_jama_2018_9128_key,0)),$J110)&lt;&gt;"retain"),NOT(OR(IF($K110="",INDEX(primary_jama_2018_9128_domain,MATCH($A110,primary_jama_2018_9128_key,0)),$K110)="protocol_report"))),P110&lt;&gt;"",P110&lt;&gt;"not_applicable")</formula>
    </cfRule>
    <cfRule type="expression" priority="1170" dxfId="1">
      <formula>OR(AND(IF($J110="",INDEX(primary_jama_2018_9128_disposition,MATCH($A110,primary_jama_2018_9128_key,0)),$J110)&lt;&gt;"",IF($J110="",INDEX(primary_jama_2018_9128_disposition,MATCH($A110,primary_jama_2018_9128_key,0)),$J110)&lt;&gt;"retain"),NOT(OR(IF($K110="",INDEX(primary_jama_2018_9128_domain,MATCH($A110,primary_jama_2018_9128_key,0)),$K110)="protocol_report")))</formula>
    </cfRule>
  </conditionalFormatting>
  <conditionalFormatting sqref="P111">
    <cfRule type="expression" priority="1171" dxfId="0" stopIfTrue="1">
      <formula>AND(OR(AND(IF($J111="",INDEX(primary_jama_2018_9128_disposition,MATCH($A111,primary_jama_2018_9128_key,0)),$J111)&lt;&gt;"",IF($J111="",INDEX(primary_jama_2018_9128_disposition,MATCH($A111,primary_jama_2018_9128_key,0)),$J111)&lt;&gt;"retain"),NOT(OR(IF($K111="",INDEX(primary_jama_2018_9128_domain,MATCH($A111,primary_jama_2018_9128_key,0)),$K111)="protocol_report"))),P111&lt;&gt;"",P111&lt;&gt;"not_applicable")</formula>
    </cfRule>
    <cfRule type="expression" priority="1172" dxfId="1">
      <formula>OR(AND(IF($J111="",INDEX(primary_jama_2018_9128_disposition,MATCH($A111,primary_jama_2018_9128_key,0)),$J111)&lt;&gt;"",IF($J111="",INDEX(primary_jama_2018_9128_disposition,MATCH($A111,primary_jama_2018_9128_key,0)),$J111)&lt;&gt;"retain"),NOT(OR(IF($K111="",INDEX(primary_jama_2018_9128_domain,MATCH($A111,primary_jama_2018_9128_key,0)),$K111)="protocol_report")))</formula>
    </cfRule>
  </conditionalFormatting>
  <conditionalFormatting sqref="P112">
    <cfRule type="expression" priority="1173" dxfId="0" stopIfTrue="1">
      <formula>AND(OR(AND(IF($J112="",INDEX(primary_jama_2018_9128_disposition,MATCH($A112,primary_jama_2018_9128_key,0)),$J112)&lt;&gt;"",IF($J112="",INDEX(primary_jama_2018_9128_disposition,MATCH($A112,primary_jama_2018_9128_key,0)),$J112)&lt;&gt;"retain"),NOT(OR(IF($K112="",INDEX(primary_jama_2018_9128_domain,MATCH($A112,primary_jama_2018_9128_key,0)),$K112)="protocol_report"))),P112&lt;&gt;"",P112&lt;&gt;"not_applicable")</formula>
    </cfRule>
    <cfRule type="expression" priority="1174" dxfId="1">
      <formula>OR(AND(IF($J112="",INDEX(primary_jama_2018_9128_disposition,MATCH($A112,primary_jama_2018_9128_key,0)),$J112)&lt;&gt;"",IF($J112="",INDEX(primary_jama_2018_9128_disposition,MATCH($A112,primary_jama_2018_9128_key,0)),$J112)&lt;&gt;"retain"),NOT(OR(IF($K112="",INDEX(primary_jama_2018_9128_domain,MATCH($A112,primary_jama_2018_9128_key,0)),$K112)="protocol_report")))</formula>
    </cfRule>
  </conditionalFormatting>
  <conditionalFormatting sqref="P113">
    <cfRule type="expression" priority="1175" dxfId="0" stopIfTrue="1">
      <formula>AND(OR(AND(IF($J113="",INDEX(primary_jama_2018_9128_disposition,MATCH($A113,primary_jama_2018_9128_key,0)),$J113)&lt;&gt;"",IF($J113="",INDEX(primary_jama_2018_9128_disposition,MATCH($A113,primary_jama_2018_9128_key,0)),$J113)&lt;&gt;"retain"),NOT(OR(IF($K113="",INDEX(primary_jama_2018_9128_domain,MATCH($A113,primary_jama_2018_9128_key,0)),$K113)="protocol_report"))),P113&lt;&gt;"",P113&lt;&gt;"not_applicable")</formula>
    </cfRule>
    <cfRule type="expression" priority="1176" dxfId="1">
      <formula>OR(AND(IF($J113="",INDEX(primary_jama_2018_9128_disposition,MATCH($A113,primary_jama_2018_9128_key,0)),$J113)&lt;&gt;"",IF($J113="",INDEX(primary_jama_2018_9128_disposition,MATCH($A113,primary_jama_2018_9128_key,0)),$J113)&lt;&gt;"retain"),NOT(OR(IF($K113="",INDEX(primary_jama_2018_9128_domain,MATCH($A113,primary_jama_2018_9128_key,0)),$K113)="protocol_report")))</formula>
    </cfRule>
  </conditionalFormatting>
  <conditionalFormatting sqref="P114">
    <cfRule type="expression" priority="1177" dxfId="0" stopIfTrue="1">
      <formula>AND(OR(AND(IF($J114="",INDEX(primary_jama_2018_9128_disposition,MATCH($A114,primary_jama_2018_9128_key,0)),$J114)&lt;&gt;"",IF($J114="",INDEX(primary_jama_2018_9128_disposition,MATCH($A114,primary_jama_2018_9128_key,0)),$J114)&lt;&gt;"retain"),NOT(OR(IF($K114="",INDEX(primary_jama_2018_9128_domain,MATCH($A114,primary_jama_2018_9128_key,0)),$K114)="protocol_report"))),P114&lt;&gt;"",P114&lt;&gt;"not_applicable")</formula>
    </cfRule>
    <cfRule type="expression" priority="1178" dxfId="1">
      <formula>OR(AND(IF($J114="",INDEX(primary_jama_2018_9128_disposition,MATCH($A114,primary_jama_2018_9128_key,0)),$J114)&lt;&gt;"",IF($J114="",INDEX(primary_jama_2018_9128_disposition,MATCH($A114,primary_jama_2018_9128_key,0)),$J114)&lt;&gt;"retain"),NOT(OR(IF($K114="",INDEX(primary_jama_2018_9128_domain,MATCH($A114,primary_jama_2018_9128_key,0)),$K114)="protocol_report")))</formula>
    </cfRule>
  </conditionalFormatting>
  <conditionalFormatting sqref="P115">
    <cfRule type="expression" priority="1179" dxfId="0" stopIfTrue="1">
      <formula>AND(OR(AND(IF($J115="",INDEX(primary_jama_2018_9128_disposition,MATCH($A115,primary_jama_2018_9128_key,0)),$J115)&lt;&gt;"",IF($J115="",INDEX(primary_jama_2018_9128_disposition,MATCH($A115,primary_jama_2018_9128_key,0)),$J115)&lt;&gt;"retain"),NOT(OR(IF($K115="",INDEX(primary_jama_2018_9128_domain,MATCH($A115,primary_jama_2018_9128_key,0)),$K115)="protocol_report"))),P115&lt;&gt;"",P115&lt;&gt;"not_applicable")</formula>
    </cfRule>
    <cfRule type="expression" priority="1180" dxfId="1">
      <formula>OR(AND(IF($J115="",INDEX(primary_jama_2018_9128_disposition,MATCH($A115,primary_jama_2018_9128_key,0)),$J115)&lt;&gt;"",IF($J115="",INDEX(primary_jama_2018_9128_disposition,MATCH($A115,primary_jama_2018_9128_key,0)),$J115)&lt;&gt;"retain"),NOT(OR(IF($K115="",INDEX(primary_jama_2018_9128_domain,MATCH($A115,primary_jama_2018_9128_key,0)),$K115)="protocol_report")))</formula>
    </cfRule>
  </conditionalFormatting>
  <conditionalFormatting sqref="P116">
    <cfRule type="expression" priority="1181" dxfId="0" stopIfTrue="1">
      <formula>AND(OR(AND(IF($J116="",INDEX(primary_jama_2018_9128_disposition,MATCH($A116,primary_jama_2018_9128_key,0)),$J116)&lt;&gt;"",IF($J116="",INDEX(primary_jama_2018_9128_disposition,MATCH($A116,primary_jama_2018_9128_key,0)),$J116)&lt;&gt;"retain"),NOT(OR(IF($K116="",INDEX(primary_jama_2018_9128_domain,MATCH($A116,primary_jama_2018_9128_key,0)),$K116)="protocol_report"))),P116&lt;&gt;"",P116&lt;&gt;"not_applicable")</formula>
    </cfRule>
    <cfRule type="expression" priority="1182" dxfId="1">
      <formula>OR(AND(IF($J116="",INDEX(primary_jama_2018_9128_disposition,MATCH($A116,primary_jama_2018_9128_key,0)),$J116)&lt;&gt;"",IF($J116="",INDEX(primary_jama_2018_9128_disposition,MATCH($A116,primary_jama_2018_9128_key,0)),$J116)&lt;&gt;"retain"),NOT(OR(IF($K116="",INDEX(primary_jama_2018_9128_domain,MATCH($A116,primary_jama_2018_9128_key,0)),$K116)="protocol_report")))</formula>
    </cfRule>
  </conditionalFormatting>
  <conditionalFormatting sqref="P117">
    <cfRule type="expression" priority="1183" dxfId="0" stopIfTrue="1">
      <formula>AND(OR(AND(IF($J117="",INDEX(primary_jama_2018_9128_disposition,MATCH($A117,primary_jama_2018_9128_key,0)),$J117)&lt;&gt;"",IF($J117="",INDEX(primary_jama_2018_9128_disposition,MATCH($A117,primary_jama_2018_9128_key,0)),$J117)&lt;&gt;"retain"),NOT(OR(IF($K117="",INDEX(primary_jama_2018_9128_domain,MATCH($A117,primary_jama_2018_9128_key,0)),$K117)="protocol_report"))),P117&lt;&gt;"",P117&lt;&gt;"not_applicable")</formula>
    </cfRule>
    <cfRule type="expression" priority="1184" dxfId="1">
      <formula>OR(AND(IF($J117="",INDEX(primary_jama_2018_9128_disposition,MATCH($A117,primary_jama_2018_9128_key,0)),$J117)&lt;&gt;"",IF($J117="",INDEX(primary_jama_2018_9128_disposition,MATCH($A117,primary_jama_2018_9128_key,0)),$J117)&lt;&gt;"retain"),NOT(OR(IF($K117="",INDEX(primary_jama_2018_9128_domain,MATCH($A117,primary_jama_2018_9128_key,0)),$K117)="protocol_report")))</formula>
    </cfRule>
  </conditionalFormatting>
  <conditionalFormatting sqref="P118">
    <cfRule type="expression" priority="1185" dxfId="0" stopIfTrue="1">
      <formula>AND(OR(AND(IF($J118="",INDEX(primary_jama_2018_9128_disposition,MATCH($A118,primary_jama_2018_9128_key,0)),$J118)&lt;&gt;"",IF($J118="",INDEX(primary_jama_2018_9128_disposition,MATCH($A118,primary_jama_2018_9128_key,0)),$J118)&lt;&gt;"retain"),NOT(OR(IF($K118="",INDEX(primary_jama_2018_9128_domain,MATCH($A118,primary_jama_2018_9128_key,0)),$K118)="protocol_report"))),P118&lt;&gt;"",P118&lt;&gt;"not_applicable")</formula>
    </cfRule>
    <cfRule type="expression" priority="1186" dxfId="1">
      <formula>OR(AND(IF($J118="",INDEX(primary_jama_2018_9128_disposition,MATCH($A118,primary_jama_2018_9128_key,0)),$J118)&lt;&gt;"",IF($J118="",INDEX(primary_jama_2018_9128_disposition,MATCH($A118,primary_jama_2018_9128_key,0)),$J118)&lt;&gt;"retain"),NOT(OR(IF($K118="",INDEX(primary_jama_2018_9128_domain,MATCH($A118,primary_jama_2018_9128_key,0)),$K118)="protocol_report")))</formula>
    </cfRule>
  </conditionalFormatting>
  <conditionalFormatting sqref="P119">
    <cfRule type="expression" priority="1187" dxfId="0" stopIfTrue="1">
      <formula>AND(OR(AND(IF($J119="",INDEX(primary_jama_2018_9128_disposition,MATCH($A119,primary_jama_2018_9128_key,0)),$J119)&lt;&gt;"",IF($J119="",INDEX(primary_jama_2018_9128_disposition,MATCH($A119,primary_jama_2018_9128_key,0)),$J119)&lt;&gt;"retain"),NOT(OR(IF($K119="",INDEX(primary_jama_2018_9128_domain,MATCH($A119,primary_jama_2018_9128_key,0)),$K119)="protocol_report"))),P119&lt;&gt;"",P119&lt;&gt;"not_applicable")</formula>
    </cfRule>
    <cfRule type="expression" priority="1188" dxfId="1">
      <formula>OR(AND(IF($J119="",INDEX(primary_jama_2018_9128_disposition,MATCH($A119,primary_jama_2018_9128_key,0)),$J119)&lt;&gt;"",IF($J119="",INDEX(primary_jama_2018_9128_disposition,MATCH($A119,primary_jama_2018_9128_key,0)),$J119)&lt;&gt;"retain"),NOT(OR(IF($K119="",INDEX(primary_jama_2018_9128_domain,MATCH($A119,primary_jama_2018_9128_key,0)),$K119)="protocol_report")))</formula>
    </cfRule>
  </conditionalFormatting>
  <conditionalFormatting sqref="P120">
    <cfRule type="expression" priority="1189" dxfId="0" stopIfTrue="1">
      <formula>AND(OR(AND(IF($J120="",INDEX(primary_jama_2018_9128_disposition,MATCH($A120,primary_jama_2018_9128_key,0)),$J120)&lt;&gt;"",IF($J120="",INDEX(primary_jama_2018_9128_disposition,MATCH($A120,primary_jama_2018_9128_key,0)),$J120)&lt;&gt;"retain"),NOT(OR(IF($K120="",INDEX(primary_jama_2018_9128_domain,MATCH($A120,primary_jama_2018_9128_key,0)),$K120)="protocol_report"))),P120&lt;&gt;"",P120&lt;&gt;"not_applicable")</formula>
    </cfRule>
    <cfRule type="expression" priority="1190" dxfId="1">
      <formula>OR(AND(IF($J120="",INDEX(primary_jama_2018_9128_disposition,MATCH($A120,primary_jama_2018_9128_key,0)),$J120)&lt;&gt;"",IF($J120="",INDEX(primary_jama_2018_9128_disposition,MATCH($A120,primary_jama_2018_9128_key,0)),$J120)&lt;&gt;"retain"),NOT(OR(IF($K120="",INDEX(primary_jama_2018_9128_domain,MATCH($A120,primary_jama_2018_9128_key,0)),$K120)="protocol_report")))</formula>
    </cfRule>
  </conditionalFormatting>
  <dataValidations count="10">
    <dataValidation sqref="D2:D120" showDropDown="0" showInputMessage="1" showErrorMessage="1" allowBlank="1" errorTitle="Invalid option" error="Choose a listed value." promptTitle="Checker result" prompt="See Codebook for meanings." type="list" errorStyle="stop">
      <formula1>opt_checkStatus</formula1>
    </dataValidation>
    <dataValidation sqref="F2:F120" showDropDown="0" showInputMessage="1" showErrorMessage="1" allowBlank="1" errorTitle="Invalid option" error="Choose a listed value." promptTitle="Complete" prompt="See Codebook for meanings." type="list" errorStyle="stop">
      <formula1>opt_reviewComplete</formula1>
    </dataValidation>
    <dataValidation sqref="H2:H120" showDropDown="0" showInputMessage="1" showErrorMessage="1" allowBlank="1" errorTitle="Invalid option" error="Choose a listed value." promptTitle="Discussion resolution" prompt="See Codebook for meanings." type="list" errorStyle="stop">
      <formula1>opt_resolutionStatus</formula1>
    </dataValidation>
    <dataValidation sqref="J2:J120" showDropDown="0" showInputMessage="1" showErrorMessage="1" allowBlank="1" errorTitle="Invalid option" error="Choose a listed value." promptTitle="Disposition" prompt="See Codebook for meanings." type="list" errorStyle="stop">
      <formula1>opt_disposition</formula1>
    </dataValidation>
    <dataValidation sqref="K2:K120" showDropDown="0" showInputMessage="1" showErrorMessage="1" allowBlank="1" errorTitle="Invalid option" error="Choose a listed value." promptTitle="Review domain" prompt="See Codebook for meanings." type="list" errorStyle="stop">
      <formula1>opt_domain</formula1>
    </dataValidation>
    <dataValidation sqref="L2:L120" showDropDown="0" showInputMessage="1" showErrorMessage="1" allowBlank="1" errorTitle="Invalid option" error="Choose a listed value." promptTitle="Statistical error" prompt="See Codebook for meanings." type="list" errorStyle="stop">
      <formula1>opt_statisticalErrorStatus</formula1>
    </dataValidation>
    <dataValidation sqref="M2:M120" showDropDown="0" showInputMessage="1" showErrorMessage="1" allowBlank="1" errorTitle="Invalid option" error="Choose a listed value." promptTitle="Substantiveness" prompt="See Codebook for meanings." type="list" errorStyle="stop">
      <formula1>opt_substantiveStatus</formula1>
    </dataValidation>
    <dataValidation sqref="N2:N120" showDropDown="0" showInputMessage="1" showErrorMessage="1" allowBlank="1" errorTitle="Invalid option" error="Choose a listed value." promptTitle="Downstream impact" prompt="See Codebook for meanings." type="list" errorStyle="stop">
      <formula1>opt_downstreamImpact</formula1>
    </dataValidation>
    <dataValidation sqref="O2:O12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P2:P12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B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internal_nonstatistical</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internal_nonstatistical</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ht="95" customHeight="1">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internal_nonstatistical</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internal_nonstatistical</t>
        </is>
      </c>
      <c r="AB6" s="2" t="inlineStr">
        <is>
          <t>retain</t>
        </is>
      </c>
    </row>
    <row r="7" ht="95" customHeight="1">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ht="95" customHeight="1">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internal_nonstatistical</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ht="95" customHeight="1">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internal_nonstatistical</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internal_nonstatistical</t>
        </is>
      </c>
      <c r="AB13" s="3" t="inlineStr">
        <is>
          <t>retain</t>
        </is>
      </c>
    </row>
    <row r="14" ht="95" customHeight="1">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ht="95" customHeight="1">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ht="95" customHeight="1">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ht="95" customHeight="1">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ht="95" customHeight="1">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ht="95" customHeight="1">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ht="95" customHeight="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ht="95" customHeight="1">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internal_nonstatistical</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internal_nonstatistical</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internal_nonstatistical</t>
        </is>
      </c>
      <c r="AB44" s="2" t="inlineStr">
        <is>
          <t>retain</t>
        </is>
      </c>
    </row>
    <row r="45" ht="95" customHeight="1">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ht="95" customHeight="1">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ht="95" customHeight="1">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ht="95" customHeight="1">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ht="95" customHeight="1">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ht="95" customHeight="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internal_nonstatistical</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internal_nonstatistical</t>
        </is>
      </c>
      <c r="AB62" s="2" t="inlineStr">
        <is>
          <t>retain</t>
        </is>
      </c>
    </row>
    <row r="63" ht="95" customHeight="1">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ht="95" customHeight="1">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internal_nonstatistical</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internal_nonstatistical</t>
        </is>
      </c>
      <c r="AB68" s="2" t="inlineStr">
        <is>
          <t>retain</t>
        </is>
      </c>
    </row>
    <row r="69" ht="95" customHeight="1">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internal_nonstatistical</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ht="95" customHeight="1">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ht="95" customHeight="1">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internal_nonstatistical</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ht="95" customHeight="1">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ht="95" customHeight="1">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internal_nonstatistical</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internal_nonstatistical</t>
        </is>
      </c>
      <c r="AB78" s="2" t="inlineStr">
        <is>
          <t>retain</t>
        </is>
      </c>
    </row>
    <row r="79" ht="95" customHeight="1">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internal_nonstatistical</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internal_nonstatistical</t>
        </is>
      </c>
      <c r="AB79" s="3" t="inlineStr">
        <is>
          <t>retain</t>
        </is>
      </c>
    </row>
    <row r="80" ht="95" customHeight="1">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internal_nonstatistical</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internal_nonstatistical</t>
        </is>
      </c>
      <c r="AB83" s="3" t="inlineStr">
        <is>
          <t>retain</t>
        </is>
      </c>
    </row>
    <row r="84" ht="95" customHeight="1">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internal_nonstatistical</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internal_nonstatistical</t>
        </is>
      </c>
      <c r="AB84" s="2" t="inlineStr">
        <is>
          <t>retain</t>
        </is>
      </c>
    </row>
    <row r="85" ht="95" customHeight="1">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internal_nonstatistical</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internal_nonstatistical</t>
        </is>
      </c>
      <c r="AB86" s="2" t="inlineStr">
        <is>
          <t>retain</t>
        </is>
      </c>
    </row>
    <row r="87" ht="95" customHeight="1">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internal_nonstatistical</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internal_nonstatistical</t>
        </is>
      </c>
      <c r="AB87" s="3" t="inlineStr">
        <is>
          <t>retain</t>
        </is>
      </c>
    </row>
    <row r="88" ht="95" customHeight="1">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internal_nonstatistical</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internal_nonstatistical</t>
        </is>
      </c>
      <c r="AB88" s="2" t="inlineStr">
        <is>
          <t>retain</t>
        </is>
      </c>
    </row>
    <row r="89" ht="95" customHeight="1">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internal_nonstatistical</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internal_nonstatistical</t>
        </is>
      </c>
      <c r="AB89" s="3" t="inlineStr">
        <is>
          <t>retain</t>
        </is>
      </c>
    </row>
    <row r="90" ht="95" customHeight="1">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ht="95" customHeight="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ht="95" customHeight="1">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ht="95" customHeight="1">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ht="95" customHeight="1">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ht="95" customHeight="1">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ht="95" customHeight="1">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ht="95" customHeight="1">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ht="95" customHeight="1">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ht="95" customHeight="1">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ht="95" customHeight="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ht="95" customHeight="1">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ht="95" customHeight="1">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ht="95" customHeight="1">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ht="95" customHeight="1">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ht="95" customHeight="1">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internal_nonstatistical</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internal_nonstatistical</t>
        </is>
      </c>
      <c r="AB106" s="2" t="inlineStr">
        <is>
          <t>retain</t>
        </is>
      </c>
    </row>
    <row r="107" ht="95" customHeight="1">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ht="95" customHeight="1">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internal_nonstatistical</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internal_nonstatistical</t>
        </is>
      </c>
      <c r="AB108" s="2" t="inlineStr">
        <is>
          <t>retain</t>
        </is>
      </c>
    </row>
    <row r="109" ht="95" customHeight="1">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internal_nonstatistical</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internal_nonstatistical</t>
        </is>
      </c>
      <c r="AB109" s="3" t="inlineStr">
        <is>
          <t>retain</t>
        </is>
      </c>
    </row>
    <row r="110" ht="95" customHeight="1">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internal_nonstatistical</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internal_nonstatistical</t>
        </is>
      </c>
      <c r="AB110" s="2" t="inlineStr">
        <is>
          <t>retain</t>
        </is>
      </c>
    </row>
    <row r="111" ht="95" customHeight="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internal_nonstatistical</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internal_nonstatistical</t>
        </is>
      </c>
      <c r="AB111" s="3" t="inlineStr">
        <is>
          <t>retain</t>
        </is>
      </c>
    </row>
    <row r="112" ht="95" customHeight="1">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internal_nonstatistical</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internal_nonstatistical</t>
        </is>
      </c>
      <c r="AB112" s="2" t="inlineStr">
        <is>
          <t>retain</t>
        </is>
      </c>
    </row>
    <row r="113" ht="95" customHeight="1">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internal_nonstatistical</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internal_nonstatistical</t>
        </is>
      </c>
      <c r="AB113" s="3" t="inlineStr">
        <is>
          <t>retain</t>
        </is>
      </c>
    </row>
    <row r="114" ht="95" customHeight="1">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internal_nonstatistical</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internal_nonstatistical</t>
        </is>
      </c>
      <c r="AB114" s="2" t="inlineStr">
        <is>
          <t>retain</t>
        </is>
      </c>
    </row>
    <row r="115" ht="95" customHeight="1">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internal_nonstatistical</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internal_nonstatistical</t>
        </is>
      </c>
      <c r="AB115" s="3" t="inlineStr">
        <is>
          <t>retain</t>
        </is>
      </c>
    </row>
    <row r="116" ht="95" customHeight="1">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ht="95" customHeight="1">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ht="95" customHeight="1">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ht="95" customHeight="1">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ht="95" customHeight="1">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internal_nonstatistical</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internal_nonstatistical</t>
        </is>
      </c>
      <c r="AB120"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20"/>
  <pageMargins left="0.75" right="0.75" top="1" bottom="1"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47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sheetData>
  <sheetProtection selectLockedCells="0" selectUnlockedCells="0" sheet="1" objects="0" insertRows="1" insertHyperlinks="1" autoFilter="0" scenarios="0" formatColumns="1" deleteColumns="1" insertColumns="1" pivotTables="1" deleteRows="1" formatCells="1" formatRows="1" sort="1"/>
  <autoFilter ref="A1:D477"/>
  <pageMargins left="0.75" right="0.75" top="1" bottom="1" header="0.5" footer="0.5"/>
  <pageSetup orientation="landscape" paperSize="8" fitToHeight="0" fitToWidth="1"/>
</worksheet>
</file>

<file path=xl/worksheets/sheet17.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exclude/out_of_scope/discuss.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mark outside scope,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out_of_scope</t>
        </is>
      </c>
      <c r="C12" s="18" t="inlineStr">
        <is>
          <t>Option</t>
        </is>
      </c>
      <c r="D12" s="23" t="inlineStr">
        <is>
          <t>Outside review scope. The candidate falls outside the agreed review question or eligible material, regardless of whether the observation is correct.</t>
        </is>
      </c>
      <c r="E12" s="18" t="inlineStr"/>
    </row>
    <row r="13" outlineLevel="1" ht="52" customHeight="1">
      <c r="A13" s="16" t="inlineStr"/>
      <c r="B13" s="24" t="inlineStr">
        <is>
          <t>discuss</t>
        </is>
      </c>
      <c r="C13" s="16" t="inlineStr">
        <is>
          <t>Option</t>
        </is>
      </c>
      <c r="D13" s="25" t="inlineStr">
        <is>
          <t>Needs discussion. The reviewer has considered the candidate but cannot settle the disposition without further discussion. This is a decision to defer, not an untouched blank.</t>
        </is>
      </c>
      <c r="E13" s="16" t="inlineStr"/>
    </row>
    <row r="14" ht="90" customHeight="1">
      <c r="A14" s="20" t="inlineStr">
        <is>
          <t>Review domain</t>
        </is>
      </c>
      <c r="B14" s="20" t="inlineStr">
        <is>
          <t>FIELD</t>
        </is>
      </c>
      <c r="C14" s="20" t="inlineStr">
        <is>
          <t>Required; all domains</t>
        </is>
      </c>
      <c r="D14" s="21" t="inlineStr">
        <is>
          <t>Choose the assessment branch first. It controls automatic not_applicable defaults and which judgments are required. All four choices are available; the frozen document relationship code does not change.</t>
        </is>
      </c>
      <c r="E14" s="20" t="inlineStr">
        <is>
          <t>domain</t>
        </is>
      </c>
    </row>
    <row r="15" outlineLevel="1" ht="52" customHeight="1">
      <c r="A15" s="16" t="inlineStr"/>
      <c r="B15" s="24" t="inlineStr">
        <is>
          <t>statistical_results</t>
        </is>
      </c>
      <c r="C15" s="16" t="inlineStr">
        <is>
          <t>Option</t>
        </is>
      </c>
      <c r="D15" s="25" t="inlineStr">
        <is>
          <t>Statistical results (S_C / S_W). Assess reported numbers, estimates, intervals, denominators or statistical claims in the current report materials.</t>
        </is>
      </c>
      <c r="E15" s="16" t="inlineStr"/>
    </row>
    <row r="16" outlineLevel="1" ht="52" customHeight="1">
      <c r="A16" s="18" t="inlineStr"/>
      <c r="B16" s="22" t="inlineStr">
        <is>
          <t>internal_nonstatistical</t>
        </is>
      </c>
      <c r="C16" s="18" t="inlineStr">
        <is>
          <t>Option</t>
        </is>
      </c>
      <c r="D16" s="23" t="inlineStr">
        <is>
          <t>Internal nonstatistical (S_C / S_W). Assess inconsistent labels, descriptions or other nonstatistical content within or between current report materials.</t>
        </is>
      </c>
      <c r="E16" s="18" t="inlineStr"/>
    </row>
    <row r="17" outlineLevel="1" ht="56" customHeight="1">
      <c r="A17" s="16" t="inlineStr"/>
      <c r="B17" s="24" t="inlineStr">
        <is>
          <t>protocol_report</t>
        </is>
      </c>
      <c r="C17" s="16" t="inlineStr">
        <is>
          <t>Option</t>
        </is>
      </c>
      <c r="D17" s="25" t="inlineStr">
        <is>
          <t>Protocol-report (P_R). Assess whether planned and reported conduct or analyses meaningfully differ, using the compared materials. No search for acknowledgment or reasons for changes is required.</t>
        </is>
      </c>
      <c r="E17" s="16" t="inlineStr"/>
    </row>
    <row r="18" outlineLevel="1" ht="56" customHeight="1">
      <c r="A18" s="18" t="inlineStr"/>
      <c r="B18" s="22" t="inlineStr">
        <is>
          <t>plan_material</t>
        </is>
      </c>
      <c r="C18" s="18" t="inlineStr">
        <is>
          <t>Option</t>
        </is>
      </c>
      <c r="D18" s="23" t="inlineStr">
        <is>
          <t>Plan material (P_P). Assess an inconsistency involving planning materials themselves rather than a planned-versus-reported result. The original relationship code remains unchanged.</t>
        </is>
      </c>
      <c r="E18" s="18" t="inlineStr"/>
    </row>
    <row r="19" ht="90" customHeight="1">
      <c r="A19" s="20" t="inlineStr">
        <is>
          <t>Complete</t>
        </is>
      </c>
      <c r="B19" s="20" t="inlineStr">
        <is>
          <t>FIELD</t>
        </is>
      </c>
      <c r="C19" s="20" t="inlineStr">
        <is>
          <t>Required; each stage</t>
        </is>
      </c>
      <c r="D19" s="21" t="inlineStr">
        <is>
          <t>Mark yes only after human review. Automatic defaults never complete a row. Reset to no after changing a completed assessment, then review again.</t>
        </is>
      </c>
      <c r="E19" s="20" t="inlineStr">
        <is>
          <t>reviewComplete</t>
        </is>
      </c>
    </row>
    <row r="20" outlineLevel="1" ht="52" customHeight="1">
      <c r="A20" s="18" t="inlineStr"/>
      <c r="B20" s="22" t="inlineStr">
        <is>
          <t>no</t>
        </is>
      </c>
      <c r="C20" s="18" t="inlineStr">
        <is>
          <t>Option</t>
        </is>
      </c>
      <c r="D20" s="23" t="inlineStr">
        <is>
          <t>Draft. This review stage is not yet confirmed complete; AI suggestions or partially filled fields do not count as completed human review.</t>
        </is>
      </c>
      <c r="E20" s="18" t="inlineStr"/>
    </row>
    <row r="21" outlineLevel="1" ht="52" customHeight="1">
      <c r="A21" s="16" t="inlineStr"/>
      <c r="B21" s="24" t="inlineStr">
        <is>
          <t>yes</t>
        </is>
      </c>
      <c r="C21" s="16" t="inlineStr">
        <is>
          <t>Option</t>
        </is>
      </c>
      <c r="D21" s="25" t="inlineStr">
        <is>
          <t>Human reviewed and complete. The reviewer has checked this row and its required fields. A discussion item may still be unresolved even though this review stage is complete.</t>
        </is>
      </c>
      <c r="E21" s="16" t="inlineStr"/>
    </row>
    <row r="22" ht="90" customHeight="1">
      <c r="A22" s="20" t="inlineStr">
        <is>
          <t>Validation hint</t>
        </is>
      </c>
      <c r="B22" s="20" t="inlineStr">
        <is>
          <t>FIELD</t>
        </is>
      </c>
      <c r="C22" s="20" t="inlineStr">
        <is>
          <t>Calculated; read only</t>
        </is>
      </c>
      <c r="D22" s="21" t="inlineStr">
        <is>
          <t>CHECK FIELDS means an applicable required judgment is missing or invalid. CLEAR INACTIVE VALUES means an old answer remains in an irrelevant field. This hint is not the full scientific or handoff validation.</t>
        </is>
      </c>
      <c r="E22" s="20" t="inlineStr">
        <is>
          <t>readiness</t>
        </is>
      </c>
    </row>
    <row r="23" ht="90" customHeight="1">
      <c r="A23" s="20" t="inlineStr">
        <is>
          <t>Related cluster (optional)</t>
        </is>
      </c>
      <c r="B23" s="20" t="inlineStr">
        <is>
          <t>FIELD</t>
        </is>
      </c>
      <c r="C23" s="20" t="inlineStr">
        <is>
          <t>Optional</t>
        </is>
      </c>
      <c r="D23" s="21" t="inlineStr">
        <is>
          <t>Connect distinct but related flags with a shared identifier. This does not merge, deduplicate, or reduce counts. In Checker, blank inherits; &lt;clear&gt; removes the inherited text.</t>
        </is>
      </c>
      <c r="E23" s="20" t="inlineStr">
        <is>
          <t>relatedClusterId</t>
        </is>
      </c>
    </row>
    <row r="24" ht="90" customHeight="1">
      <c r="A24" s="20" t="inlineStr">
        <is>
          <t>Notes (optional)</t>
        </is>
      </c>
      <c r="B24" s="20" t="inlineStr">
        <is>
          <t>FIELD</t>
        </is>
      </c>
      <c r="C24" s="20" t="inlineStr">
        <is>
          <t>Optional</t>
        </is>
      </c>
      <c r="D24" s="21" t="inlineStr">
        <is>
          <t>Add relevant context or uncertainty in English. No mandatory reproduction log or primary rationale. In Checker, blank inherits; &lt;clear&gt; removes the inherited text.</t>
        </is>
      </c>
      <c r="E24" s="20" t="inlineStr">
        <is>
          <t>notes</t>
        </is>
      </c>
    </row>
    <row r="25" ht="32" customHeight="1">
      <c r="A25" s="26" t="inlineStr">
        <is>
          <t>2  |  Statistical results: two required judgments</t>
        </is>
      </c>
      <c r="B25" s="14" t="n"/>
      <c r="C25" s="14" t="n"/>
      <c r="D25" s="14" t="n"/>
      <c r="E25" s="15" t="n"/>
    </row>
    <row r="26" ht="90" customHeight="1">
      <c r="A26" s="27" t="inlineStr">
        <is>
          <t>Statistical error</t>
        </is>
      </c>
      <c r="B26" s="27" t="inlineStr">
        <is>
          <t>FIELD</t>
        </is>
      </c>
      <c r="C26" s="27" t="inlineStr">
        <is>
          <t>Required; retained statistical_results</t>
        </is>
      </c>
      <c r="D26" s="28" t="inlineStr">
        <is>
          <t>Does a statistical reporting error exist? Example: a reported percentage conflicts with its stated numerator and denominator after checking definitions. Certainty is separate from importance.</t>
        </is>
      </c>
      <c r="E26" s="27" t="inlineStr">
        <is>
          <t>statisticalErrorStatus</t>
        </is>
      </c>
    </row>
    <row r="27" outlineLevel="1" ht="52" customHeight="1">
      <c r="A27" s="16" t="inlineStr"/>
      <c r="B27" s="29" t="inlineStr">
        <is>
          <t>confirmed_error</t>
        </is>
      </c>
      <c r="C27" s="16" t="inlineStr">
        <is>
          <t>Option</t>
        </is>
      </c>
      <c r="D27" s="25" t="inlineStr">
        <is>
          <t>Confirmed statistical reporting error. The available evidence establishes a reporting error or contradiction, even if the correct replacement value is not known.</t>
        </is>
      </c>
      <c r="E27" s="16" t="inlineStr"/>
    </row>
    <row r="28" outlineLevel="1" ht="52" customHeight="1">
      <c r="A28" s="18" t="inlineStr"/>
      <c r="B28" s="30" t="inlineStr">
        <is>
          <t>probable_error</t>
        </is>
      </c>
      <c r="C28" s="18" t="inlineStr">
        <is>
          <t>Option</t>
        </is>
      </c>
      <c r="D28" s="23" t="inlineStr">
        <is>
          <t>Probable statistical reporting error. The evidence favors a reporting error, but an unresolved limitation or plausible alternative prevents confirmation.</t>
        </is>
      </c>
      <c r="E28" s="18" t="inlineStr"/>
    </row>
    <row r="29" outlineLevel="1" ht="52" customHeight="1">
      <c r="A29" s="16" t="inlineStr"/>
      <c r="B29" s="29" t="inlineStr">
        <is>
          <t>not_error</t>
        </is>
      </c>
      <c r="C29" s="16" t="inlineStr">
        <is>
          <t>Option</t>
        </is>
      </c>
      <c r="D29" s="25" t="inlineStr">
        <is>
          <t>Not a statistical error. The apparent discrepancy is consistent with a valid calculation, definition, analysis method or reporting context.</t>
        </is>
      </c>
      <c r="E29" s="16" t="inlineStr"/>
    </row>
    <row r="30" outlineLevel="1" ht="52" customHeight="1">
      <c r="A30" s="18" t="inlineStr"/>
      <c r="B30" s="30" t="inlineStr">
        <is>
          <t>indeterminate</t>
        </is>
      </c>
      <c r="C30" s="18" t="inlineStr">
        <is>
          <t>Option</t>
        </is>
      </c>
      <c r="D30" s="23" t="inlineStr">
        <is>
          <t>Indeterminate. The available evidence does not support deciding whether a statistical reporting error exists; neither confirmation nor dismissal is justified.</t>
        </is>
      </c>
      <c r="E30" s="18" t="inlineStr"/>
    </row>
    <row r="31" outlineLevel="1" ht="56" customHeight="1">
      <c r="A31" s="16" t="inlineStr"/>
      <c r="B31" s="29" t="inlineStr">
        <is>
          <t>not_applicable</t>
        </is>
      </c>
      <c r="C31" s="16" t="inlineStr">
        <is>
          <t>Option</t>
        </is>
      </c>
      <c r="D31" s="25" t="inlineStr">
        <is>
          <t>Automatic default outside this field's review domain or for a non-retained candidate. It is not an error verdict, missing evidence, or an unanswered applicable question. Do not choose it for an applicable field.</t>
        </is>
      </c>
      <c r="E31" s="16" t="inlineStr"/>
    </row>
    <row r="32" ht="90" customHeight="1">
      <c r="A32" s="27" t="inlineStr">
        <is>
          <t>Substantiveness</t>
        </is>
      </c>
      <c r="B32" s="27" t="inlineStr">
        <is>
          <t>FIELD</t>
        </is>
      </c>
      <c r="C32" s="27" t="inlineStr">
        <is>
          <t>Required; retained statistical_results</t>
        </is>
      </c>
      <c r="D32" s="28" t="inlineStr">
        <is>
          <t>Could the issue meaningfully affect interpretation or data use? A harmless spacing typo is minor_presentation; an ambiguous extractable effect estimate may be substantive. An error can be confirmed yet minor.</t>
        </is>
      </c>
      <c r="E32" s="27" t="inlineStr">
        <is>
          <t>substantiveStatus</t>
        </is>
      </c>
    </row>
    <row r="33" outlineLevel="1" ht="52" customHeight="1">
      <c r="A33" s="16" t="inlineStr"/>
      <c r="B33" s="29" t="inlineStr">
        <is>
          <t>substantive</t>
        </is>
      </c>
      <c r="C33" s="16" t="inlineStr">
        <is>
          <t>Option</t>
        </is>
      </c>
      <c r="D33" s="25" t="inlineStr">
        <is>
          <t>Substantive. The issue could meaningfully change interpretation, data extraction or downstream analysis, rather than only the presentation of the result.</t>
        </is>
      </c>
      <c r="E33" s="16" t="inlineStr"/>
    </row>
    <row r="34" outlineLevel="1" ht="56" customHeight="1">
      <c r="A34" s="18" t="inlineStr"/>
      <c r="B34" s="30" t="inlineStr">
        <is>
          <t>minor_presentation</t>
        </is>
      </c>
      <c r="C34" s="18" t="inlineStr">
        <is>
          <t>Option</t>
        </is>
      </c>
      <c r="D34" s="23" t="inlineStr">
        <is>
          <t>Minor or presentation only. The intended result remains clear and the issue is a small formatting, labeling or typographic problem without a meaningful change in interpretation.</t>
        </is>
      </c>
      <c r="E34" s="18" t="inlineStr"/>
    </row>
    <row r="35" outlineLevel="1" ht="52" customHeight="1">
      <c r="A35" s="16" t="inlineStr"/>
      <c r="B35" s="29" t="inlineStr">
        <is>
          <t>indeterminate</t>
        </is>
      </c>
      <c r="C35" s="16" t="inlineStr">
        <is>
          <t>Option</t>
        </is>
      </c>
      <c r="D35" s="25" t="inlineStr">
        <is>
          <t>Indeterminate. There is not enough information to decide whether the issue is substantive or limited to presentation.</t>
        </is>
      </c>
      <c r="E35" s="16" t="inlineStr"/>
    </row>
    <row r="36" outlineLevel="1" ht="56" customHeight="1">
      <c r="A36" s="18" t="inlineStr"/>
      <c r="B36" s="30" t="inlineStr">
        <is>
          <t>not_applicable</t>
        </is>
      </c>
      <c r="C36" s="18" t="inlineStr">
        <is>
          <t>Option</t>
        </is>
      </c>
      <c r="D36" s="23" t="inlineStr">
        <is>
          <t>Automatic default outside this field's review domain or for a non-retained candidate. It is not an error verdict, missing evidence, or an unanswered applicable question. Do not choose it for an applicable field.</t>
        </is>
      </c>
      <c r="E36" s="18" t="inlineStr"/>
    </row>
    <row r="37" ht="90" customHeight="1">
      <c r="A37" s="27" t="inlineStr">
        <is>
          <t>Downstream impact</t>
        </is>
      </c>
      <c r="B37" s="27" t="inlineStr">
        <is>
          <t>FIELD</t>
        </is>
      </c>
      <c r="C37" s="27" t="inlineStr">
        <is>
          <t>Optional; retained statistical_results</t>
        </is>
      </c>
      <c r="D37"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7" t="inlineStr">
        <is>
          <t>downstreamImpact</t>
        </is>
      </c>
    </row>
    <row r="38" outlineLevel="1" ht="56" customHeight="1">
      <c r="A38" s="18" t="inlineStr"/>
      <c r="B38" s="30" t="inlineStr">
        <is>
          <t>direct</t>
        </is>
      </c>
      <c r="C38" s="18" t="inlineStr">
        <is>
          <t>Option</t>
        </is>
      </c>
      <c r="D38" s="23" t="inlineStr">
        <is>
          <t>Direct extraction or analysis impact. The affected value or definition is itself an input to data extraction or subsequent analysis; this describes potential impact, not proven downstream harm.</t>
        </is>
      </c>
      <c r="E38" s="18" t="inlineStr"/>
    </row>
    <row r="39" outlineLevel="1" ht="52" customHeight="1">
      <c r="A39" s="16" t="inlineStr"/>
      <c r="B39" s="29" t="inlineStr">
        <is>
          <t>possible</t>
        </is>
      </c>
      <c r="C39" s="16" t="inlineStr">
        <is>
          <t>Option</t>
        </is>
      </c>
      <c r="D39" s="25" t="inlineStr">
        <is>
          <t>Possible downstream impact. A plausible route to affecting later interpretation, extraction or analysis exists, but the connection is indirect or uncertain.</t>
        </is>
      </c>
      <c r="E39" s="16" t="inlineStr"/>
    </row>
    <row r="40" outlineLevel="1" ht="52" customHeight="1">
      <c r="A40" s="18" t="inlineStr"/>
      <c r="B40" s="30" t="inlineStr">
        <is>
          <t>unlikely</t>
        </is>
      </c>
      <c r="C40" s="18" t="inlineStr">
        <is>
          <t>Option</t>
        </is>
      </c>
      <c r="D40" s="23" t="inlineStr">
        <is>
          <t>Unlikely downstream impact. The issue is unlikely to change extracted information or later analysis because the relevant result remains clear and usable.</t>
        </is>
      </c>
      <c r="E40" s="18" t="inlineStr"/>
    </row>
    <row r="41" outlineLevel="1" ht="52" customHeight="1">
      <c r="A41" s="16" t="inlineStr"/>
      <c r="B41" s="29" t="inlineStr">
        <is>
          <t>unknown</t>
        </is>
      </c>
      <c r="C41" s="16" t="inlineStr">
        <is>
          <t>Option</t>
        </is>
      </c>
      <c r="D41" s="25" t="inlineStr">
        <is>
          <t>Unable to assess. The materials do not establish enough about the affected information or its likely use to judge downstream impact.</t>
        </is>
      </c>
      <c r="E41" s="16" t="inlineStr"/>
    </row>
    <row r="42" outlineLevel="1" ht="56" customHeight="1">
      <c r="A42" s="18" t="inlineStr"/>
      <c r="B42" s="30" t="inlineStr">
        <is>
          <t>not_applicable</t>
        </is>
      </c>
      <c r="C42" s="18" t="inlineStr">
        <is>
          <t>Option</t>
        </is>
      </c>
      <c r="D42" s="23" t="inlineStr">
        <is>
          <t>Automatic default outside this field's review domain or for a non-retained candidate. It is not an error verdict, missing evidence, or an unanswered applicable question. Do not choose it for an applicable field.</t>
        </is>
      </c>
      <c r="E42" s="18" t="inlineStr"/>
    </row>
    <row r="43" outlineLevel="1" ht="52" customHeight="1">
      <c r="A43" s="16" t="inlineStr"/>
      <c r="B43" s="29" t="inlineStr">
        <is>
          <t>&lt;clear&gt;</t>
        </is>
      </c>
      <c r="C43" s="16" t="inlineStr">
        <is>
          <t>Option</t>
        </is>
      </c>
      <c r="D43" s="25" t="inlineStr">
        <is>
          <t>Checker only: remove an inherited optional judgment. This is a control value, not an assessment option for primary review. The final optional answer becomes blank.</t>
        </is>
      </c>
      <c r="E43" s="16" t="inlineStr"/>
    </row>
    <row r="44" ht="32" customHeight="1">
      <c r="A44" s="31" t="inlineStr">
        <is>
          <t>3  |  Internal or planning materials: one required judgment</t>
        </is>
      </c>
      <c r="B44" s="14" t="n"/>
      <c r="C44" s="14" t="n"/>
      <c r="D44" s="14" t="n"/>
      <c r="E44" s="15" t="n"/>
    </row>
    <row r="45" ht="90" customHeight="1">
      <c r="A45" s="32" t="inlineStr">
        <is>
          <t>Internal or plan assessment</t>
        </is>
      </c>
      <c r="B45" s="32" t="inlineStr">
        <is>
          <t>FIELD</t>
        </is>
      </c>
      <c r="C45" s="32" t="inlineStr">
        <is>
          <t>Required; retained internal_nonstatistical or plan_material</t>
        </is>
      </c>
      <c r="D45" s="33" t="inlineStr">
        <is>
          <t>One combined verdict on whether descriptions conflict and how much that matters. Used for current-report nonstatistical content or disagreements between planning materials. No separate statistical-error rating is required.</t>
        </is>
      </c>
      <c r="E45" s="32" t="inlineStr">
        <is>
          <t>internalStatus</t>
        </is>
      </c>
    </row>
    <row r="46" outlineLevel="1" ht="52" customHeight="1">
      <c r="A46" s="18" t="inlineStr"/>
      <c r="B46" s="34" t="inlineStr">
        <is>
          <t>substantive_inconsistency</t>
        </is>
      </c>
      <c r="C46" s="18" t="inlineStr">
        <is>
          <t>Option</t>
        </is>
      </c>
      <c r="D46" s="23" t="inlineStr">
        <is>
          <t>Substantive inconsistency. The conflicting descriptions or planning statements could materially change how the study, population, procedures or results are understood.</t>
        </is>
      </c>
      <c r="E46" s="18" t="inlineStr"/>
    </row>
    <row r="47" outlineLevel="1" ht="52" customHeight="1">
      <c r="A47" s="16" t="inlineStr"/>
      <c r="B47" s="35" t="inlineStr">
        <is>
          <t>minor_presentation</t>
        </is>
      </c>
      <c r="C47" s="16" t="inlineStr">
        <is>
          <t>Option</t>
        </is>
      </c>
      <c r="D47" s="25" t="inlineStr">
        <is>
          <t>Minor presentation inconsistency. A real discrepancy exists, but it mainly affects presentation and the intended meaning remains clear.</t>
        </is>
      </c>
      <c r="E47" s="16" t="inlineStr"/>
    </row>
    <row r="48" outlineLevel="1" ht="52" customHeight="1">
      <c r="A48" s="18" t="inlineStr"/>
      <c r="B48" s="34" t="inlineStr">
        <is>
          <t>wording_only</t>
        </is>
      </c>
      <c r="C48" s="18" t="inlineStr">
        <is>
          <t>Option</t>
        </is>
      </c>
      <c r="D48" s="23" t="inlineStr">
        <is>
          <t>Wording only. Different phrases express the same substantive meaning; there is no meaningful conflict between the statements.</t>
        </is>
      </c>
      <c r="E48" s="18" t="inlineStr"/>
    </row>
    <row r="49" outlineLevel="1" ht="52" customHeight="1">
      <c r="A49" s="16" t="inlineStr"/>
      <c r="B49" s="35" t="inlineStr">
        <is>
          <t>not_inconsistency</t>
        </is>
      </c>
      <c r="C49" s="16" t="inlineStr">
        <is>
          <t>Option</t>
        </is>
      </c>
      <c r="D49" s="25" t="inlineStr">
        <is>
          <t>Not an inconsistency. The statements are compatible once their definitions, populations, time points or other context are taken into account.</t>
        </is>
      </c>
      <c r="E49" s="16" t="inlineStr"/>
    </row>
    <row r="50" outlineLevel="1" ht="52" customHeight="1">
      <c r="A50" s="18" t="inlineStr"/>
      <c r="B50" s="34" t="inlineStr">
        <is>
          <t>indeterminate</t>
        </is>
      </c>
      <c r="C50" s="18" t="inlineStr">
        <is>
          <t>Option</t>
        </is>
      </c>
      <c r="D50" s="23" t="inlineStr">
        <is>
          <t>Indeterminate. The available material is insufficient to establish whether the statements conflict or how important any conflict is.</t>
        </is>
      </c>
      <c r="E50" s="18" t="inlineStr"/>
    </row>
    <row r="51" outlineLevel="1" ht="56" customHeight="1">
      <c r="A51" s="16" t="inlineStr"/>
      <c r="B51" s="35" t="inlineStr">
        <is>
          <t>not_applicable</t>
        </is>
      </c>
      <c r="C51" s="16" t="inlineStr">
        <is>
          <t>Option</t>
        </is>
      </c>
      <c r="D51" s="25" t="inlineStr">
        <is>
          <t>Automatic default outside this field's review domain or for a non-retained candidate. It is not an error verdict, missing evidence, or an unanswered applicable question. Do not choose it for an applicable field.</t>
        </is>
      </c>
      <c r="E51" s="16" t="inlineStr"/>
    </row>
    <row r="52" ht="32" customHeight="1">
      <c r="A52" s="36" t="inlineStr">
        <is>
          <t>4  |  Protocol versus report: optional description only</t>
        </is>
      </c>
      <c r="B52" s="14" t="n"/>
      <c r="C52" s="14" t="n"/>
      <c r="D52" s="14" t="n"/>
      <c r="E52" s="15" t="n"/>
    </row>
    <row r="53" ht="90" customHeight="1">
      <c r="A53" s="37" t="inlineStr">
        <is>
          <t>Protocol interpretation</t>
        </is>
      </c>
      <c r="B53" s="37" t="inlineStr">
        <is>
          <t>FIELD</t>
        </is>
      </c>
      <c r="C53" s="37" t="inlineStr">
        <is>
          <t>Optional; retained protocol_report</t>
        </is>
      </c>
      <c r="D53"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7" t="inlineStr">
        <is>
          <t>protocolInterpretation</t>
        </is>
      </c>
    </row>
    <row r="54" outlineLevel="1" ht="72" customHeight="1">
      <c r="A54" s="18" t="inlineStr"/>
      <c r="B54" s="39" t="inlineStr">
        <is>
          <t>substantive_difference</t>
        </is>
      </c>
      <c r="C54" s="18" t="inlineStr">
        <is>
          <t>Option</t>
        </is>
      </c>
      <c r="D54" s="23"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8" t="inlineStr"/>
    </row>
    <row r="55" outlineLevel="1" ht="52" customHeight="1">
      <c r="A55" s="16" t="inlineStr"/>
      <c r="B55" s="40" t="inlineStr">
        <is>
          <t>wording_only</t>
        </is>
      </c>
      <c r="C55" s="16" t="inlineStr">
        <is>
          <t>Option</t>
        </is>
      </c>
      <c r="D55" s="25" t="inlineStr">
        <is>
          <t>Wording only. The apparent planned-versus-reported difference does not represent a substantive change in meaning or conduct.</t>
        </is>
      </c>
      <c r="E55" s="16" t="inlineStr"/>
    </row>
    <row r="56" outlineLevel="1" ht="52" customHeight="1">
      <c r="A56" s="18" t="inlineStr"/>
      <c r="B56" s="39" t="inlineStr">
        <is>
          <t>version_timing</t>
        </is>
      </c>
      <c r="C56" s="18" t="inlineStr">
        <is>
          <t>Option</t>
        </is>
      </c>
      <c r="D56" s="23" t="inlineStr">
        <is>
          <t>Version or timing ambiguity. The difference may reflect which protocol version or date is being compared; the sequence cannot be resolved from the available material.</t>
        </is>
      </c>
      <c r="E56" s="18" t="inlineStr"/>
    </row>
    <row r="57" outlineLevel="1" ht="56" customHeight="1">
      <c r="A57" s="16" t="inlineStr"/>
      <c r="B57" s="40" t="inlineStr">
        <is>
          <t>not_discrepancy</t>
        </is>
      </c>
      <c r="C57" s="16" t="inlineStr">
        <is>
          <t>Option</t>
        </is>
      </c>
      <c r="D57" s="25" t="inlineStr">
        <is>
          <t>No actual discrepancy. The compared statements are compatible after checking the population, definitions, time points, or context. Normally consider Disposition=exclude for this candidate.</t>
        </is>
      </c>
      <c r="E57" s="16" t="inlineStr"/>
    </row>
    <row r="58" outlineLevel="1" ht="52" customHeight="1">
      <c r="A58" s="18" t="inlineStr"/>
      <c r="B58" s="39" t="inlineStr">
        <is>
          <t>indeterminate</t>
        </is>
      </c>
      <c r="C58" s="18" t="inlineStr">
        <is>
          <t>Option</t>
        </is>
      </c>
      <c r="D58" s="23" t="inlineStr">
        <is>
          <t>Indeterminate. The available evidence cannot support a more specific interpretation of the planned-versus-reported difference.</t>
        </is>
      </c>
      <c r="E58" s="18" t="inlineStr"/>
    </row>
    <row r="59" outlineLevel="1" ht="56" customHeight="1">
      <c r="A59" s="16" t="inlineStr"/>
      <c r="B59" s="40" t="inlineStr">
        <is>
          <t>not_applicable</t>
        </is>
      </c>
      <c r="C59" s="16" t="inlineStr">
        <is>
          <t>Option</t>
        </is>
      </c>
      <c r="D59" s="25" t="inlineStr">
        <is>
          <t>Automatic default outside this field's review domain or for a non-retained candidate. It is not an error verdict, missing evidence, or an unanswered applicable question. Do not choose it for an applicable field.</t>
        </is>
      </c>
      <c r="E59" s="16" t="inlineStr"/>
    </row>
    <row r="60" outlineLevel="1" ht="52" customHeight="1">
      <c r="A60" s="18" t="inlineStr"/>
      <c r="B60" s="39" t="inlineStr">
        <is>
          <t>&lt;clear&gt;</t>
        </is>
      </c>
      <c r="C60" s="18" t="inlineStr">
        <is>
          <t>Option</t>
        </is>
      </c>
      <c r="D60" s="23" t="inlineStr">
        <is>
          <t>Checker only: remove an inherited optional judgment. This is a control value, not an assessment option for primary review. The final optional answer becomes blank.</t>
        </is>
      </c>
      <c r="E60" s="18" t="inlineStr"/>
    </row>
    <row r="61" ht="32" customHeight="1">
      <c r="A61" s="41" t="inlineStr">
        <is>
          <t>5  |  Second-person checking and discussion</t>
        </is>
      </c>
      <c r="B61" s="14" t="n"/>
      <c r="C61" s="14" t="n"/>
      <c r="D61" s="14" t="n"/>
      <c r="E61" s="15" t="n"/>
    </row>
    <row r="62" ht="90" customHeight="1">
      <c r="A62" s="42" t="inlineStr">
        <is>
          <t>Checker result</t>
        </is>
      </c>
      <c r="B62" s="42" t="inlineStr">
        <is>
          <t>FIELD</t>
        </is>
      </c>
      <c r="C62" s="42" t="inlineStr">
        <is>
          <t>Required; completed Checker</t>
        </is>
      </c>
      <c r="D62" s="43" t="inlineStr">
        <is>
          <t>The checker sees primary answers. For an unchanged agreement, select agree and Complete=yes only. Other choices need a Checker comment. This is not blinded independent rating.</t>
        </is>
      </c>
      <c r="E62" s="42" t="inlineStr">
        <is>
          <t>checkStatus</t>
        </is>
      </c>
    </row>
    <row r="63" outlineLevel="1" ht="52" customHeight="1">
      <c r="A63" s="16" t="inlineStr"/>
      <c r="B63" s="44" t="inlineStr">
        <is>
          <t>agree</t>
        </is>
      </c>
      <c r="C63" s="16" t="inlineStr">
        <is>
          <t>Option</t>
        </is>
      </c>
      <c r="D63" s="25" t="inlineStr">
        <is>
          <t>Agree, assessment unchanged. Accept the primary assessment as recorded. Leave override cells blank; no checker comment is required.</t>
        </is>
      </c>
      <c r="E63" s="16" t="inlineStr"/>
    </row>
    <row r="64" outlineLevel="1" ht="52" customHeight="1">
      <c r="A64" s="18" t="inlineStr"/>
      <c r="B64" s="45" t="inlineStr">
        <is>
          <t>agree_clarification</t>
        </is>
      </c>
      <c r="C64" s="18" t="inlineStr">
        <is>
          <t>Option</t>
        </is>
      </c>
      <c r="D64" s="23" t="inlineStr">
        <is>
          <t>Agree with clarification. Accept the main assessment but add context or a clarifying amendment. Explain it in a checker comment and fill only any changed fields.</t>
        </is>
      </c>
      <c r="E64" s="18" t="inlineStr"/>
    </row>
    <row r="65" outlineLevel="1" ht="56" customHeight="1">
      <c r="A65" s="16" t="inlineStr"/>
      <c r="B65" s="44" t="inlineStr">
        <is>
          <t>disagree</t>
        </is>
      </c>
      <c r="C65" s="16" t="inlineStr">
        <is>
          <t>Option</t>
        </is>
      </c>
      <c r="D65" s="25" t="inlineStr">
        <is>
          <t>Disagree, proposal pending discussion. Recommend a different assessment, explain why in a comment, and enter proposed changes. The proposal is not final consensus until discussion is resolved.</t>
        </is>
      </c>
      <c r="E65" s="16" t="inlineStr"/>
    </row>
    <row r="66" outlineLevel="1" ht="52" customHeight="1">
      <c r="A66" s="18" t="inlineStr"/>
      <c r="B66" s="45" t="inlineStr">
        <is>
          <t>unable</t>
        </is>
      </c>
      <c r="C66" s="18" t="inlineStr">
        <is>
          <t>Option</t>
        </is>
      </c>
      <c r="D66" s="23" t="inlineStr">
        <is>
          <t>Unable to resolve. The checker cannot settle the issue from the available information. State what remains uncertain in a comment and refer it for discussion.</t>
        </is>
      </c>
      <c r="E66" s="18" t="inlineStr"/>
    </row>
    <row r="67" ht="90" customHeight="1">
      <c r="A67" s="42" t="inlineStr">
        <is>
          <t>Checker comment</t>
        </is>
      </c>
      <c r="B67" s="42" t="inlineStr">
        <is>
          <t>FIELD</t>
        </is>
      </c>
      <c r="C67" s="42" t="inlineStr">
        <is>
          <t>Required unless Checker result is agree</t>
        </is>
      </c>
      <c r="D67" s="43" t="inlineStr">
        <is>
          <t>Explain the clarification, disagreement, or uncertainty in English. An unchanged agreement does not require a comment.</t>
        </is>
      </c>
      <c r="E67" s="42" t="inlineStr">
        <is>
          <t>checkerComment</t>
        </is>
      </c>
    </row>
    <row r="68" ht="90" customHeight="1">
      <c r="A68" s="42" t="inlineStr">
        <is>
          <t>Discussion resolution</t>
        </is>
      </c>
      <c r="B68" s="42" t="inlineStr">
        <is>
          <t>FIELD</t>
        </is>
      </c>
      <c r="C68" s="42" t="inlineStr">
        <is>
          <t>Conditional; discussion</t>
        </is>
      </c>
      <c r="D68" s="43" t="inlineStr">
        <is>
          <t>Use resolved only after joint discussion settles a disagreement, an unable result, or a primary discuss changed to a decision. Record who participated and the conclusion in Resolution note.</t>
        </is>
      </c>
      <c r="E68" s="42" t="inlineStr">
        <is>
          <t>resolutionStatus</t>
        </is>
      </c>
    </row>
    <row r="69" outlineLevel="1" ht="52" customHeight="1">
      <c r="A69" s="16" t="inlineStr"/>
      <c r="B69" s="44" t="inlineStr">
        <is>
          <t>pending</t>
        </is>
      </c>
      <c r="C69" s="16" t="inlineStr">
        <is>
          <t>Option</t>
        </is>
      </c>
      <c r="D69" s="25" t="inlineStr">
        <is>
          <t>Discussion not resolved. A required discussion is not yet settled. For an unchanged agreement this default can be left as-is because no separate resolution is required.</t>
        </is>
      </c>
      <c r="E69" s="16" t="inlineStr"/>
    </row>
    <row r="70" outlineLevel="1" ht="52" customHeight="1">
      <c r="A70" s="18" t="inlineStr"/>
      <c r="B70" s="45" t="inlineStr">
        <is>
          <t>resolved</t>
        </is>
      </c>
      <c r="C70" s="18" t="inlineStr">
        <is>
          <t>Option</t>
        </is>
      </c>
      <c r="D70" s="23" t="inlineStr">
        <is>
          <t>Joint discussion resolved. Record the participants and agreed conclusion in Resolution note, update the proposed assessment, and do not leave disposition as discuss.</t>
        </is>
      </c>
      <c r="E70" s="18" t="inlineStr"/>
    </row>
    <row r="71" ht="90" customHeight="1">
      <c r="A71" s="42" t="inlineStr">
        <is>
          <t>Resolution note</t>
        </is>
      </c>
      <c r="B71" s="42" t="inlineStr">
        <is>
          <t>FIELD</t>
        </is>
      </c>
      <c r="C71" s="42" t="inlineStr">
        <is>
          <t>Required when resolved</t>
        </is>
      </c>
      <c r="D71" s="43" t="inlineStr">
        <is>
          <t>Record participants and the agreed conclusion in English. Update proposed judgments and do not leave Disposition=discuss. Checker completion alone does not settle disagreement.</t>
        </is>
      </c>
      <c r="E71" s="42" t="inlineStr">
        <is>
          <t>resolutionNote</t>
        </is>
      </c>
    </row>
    <row r="72" ht="32" customHeight="1">
      <c r="A72" s="46" t="inlineStr">
        <is>
          <t>6  |  Candidate context</t>
        </is>
      </c>
      <c r="B72" s="14" t="n"/>
      <c r="C72" s="14" t="n"/>
      <c r="D72" s="14" t="n"/>
      <c r="E72" s="15" t="n"/>
    </row>
    <row r="73" ht="90" customHeight="1">
      <c r="A73" s="47" t="inlineStr">
        <is>
          <t>Candidate key</t>
        </is>
      </c>
      <c r="B73" s="47" t="inlineStr">
        <is>
          <t>FIELD</t>
        </is>
      </c>
      <c r="C73" s="47" t="inlineStr">
        <is>
          <t>Read only</t>
        </is>
      </c>
      <c r="D73" s="48" t="inlineStr">
        <is>
          <t>Unique candidate identity used for matching, even after complete rows are reordered. Never edit this value.</t>
        </is>
      </c>
      <c r="E73" s="47" t="inlineStr">
        <is>
          <t>key</t>
        </is>
      </c>
    </row>
    <row r="74" ht="90" customHeight="1">
      <c r="A74" s="47" t="inlineStr">
        <is>
          <t>Paper</t>
        </is>
      </c>
      <c r="B74" s="47" t="inlineStr">
        <is>
          <t>FIELD</t>
        </is>
      </c>
      <c r="C74" s="47" t="inlineStr">
        <is>
          <t>Read only; Checker</t>
        </is>
      </c>
      <c r="D74" s="48" t="inlineStr">
        <is>
          <t>Paper identifier. Primary sheets omit this column because the sheet name and Candidate key already identify the paper.</t>
        </is>
      </c>
      <c r="E74" s="47" t="inlineStr">
        <is>
          <t>package</t>
        </is>
      </c>
    </row>
    <row r="75" ht="90" customHeight="1">
      <c r="A75" s="47" t="inlineStr">
        <is>
          <t>Candidate title</t>
        </is>
      </c>
      <c r="B75" s="47" t="inlineStr">
        <is>
          <t>FIELD</t>
        </is>
      </c>
      <c r="C75" s="47" t="inlineStr">
        <is>
          <t>Read only</t>
        </is>
      </c>
      <c r="D75" s="48" t="inlineStr">
        <is>
          <t>Short candidate title. A candidate is an AI flag for human assessment, not a confirmed error.</t>
        </is>
      </c>
      <c r="E75" s="47" t="inlineStr">
        <is>
          <t>title</t>
        </is>
      </c>
    </row>
    <row r="76" ht="90" customHeight="1">
      <c r="A76" s="47" t="inlineStr">
        <is>
          <t>Source location</t>
        </is>
      </c>
      <c r="B76" s="47" t="inlineStr">
        <is>
          <t>FIELD</t>
        </is>
      </c>
      <c r="C76" s="47" t="inlineStr">
        <is>
          <t>Read only; primary</t>
        </is>
      </c>
      <c r="D76" s="48" t="inlineStr">
        <is>
          <t>Where to check the source claim. Use Candidates and Evidence for context and the shared paper folders for originals.</t>
        </is>
      </c>
      <c r="E76" s="47" t="inlineStr">
        <is>
          <t>locations</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v.2.1.2</t>
        </is>
      </c>
    </row>
    <row r="3" ht="30" customHeight="1">
      <c r="A3" s="3" t="inlineStr">
        <is>
          <t>schema</t>
        </is>
      </c>
      <c r="B3" s="3" t="inlineStr">
        <is>
          <t>xlsx-adjudication-4</t>
        </is>
      </c>
    </row>
    <row r="4" ht="30" customHeight="1">
      <c r="A4" s="2" t="inlineStr">
        <is>
          <t>stage</t>
        </is>
      </c>
      <c r="B4" s="2" t="inlineStr">
        <is>
          <t>workbook</t>
        </is>
      </c>
    </row>
    <row r="5" ht="30" customHeight="1">
      <c r="A5" s="3" t="inlineStr">
        <is>
          <t>year</t>
        </is>
      </c>
      <c r="B5" s="3" t="inlineStr">
        <is>
          <t>2018</t>
        </is>
      </c>
    </row>
    <row r="6" ht="30" customHeight="1">
      <c r="A6" s="2" t="inlineStr">
        <is>
          <t>createdAt</t>
        </is>
      </c>
      <c r="B6" s="2" t="inlineStr">
        <is>
          <t>2026-09-13T23:21:52+00:00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56401d35d7dc918070e61e3d63b002adc82598f47aaba1fdf1b3f48e2b2846fd</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E39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2018::jama.2017.21906::C001</t>
        </is>
      </c>
      <c r="B2" s="2" t="inlineStr">
        <is>
          <t>sourceLinks</t>
        </is>
      </c>
      <c r="C2" s="2" t="n">
        <v>0</v>
      </c>
      <c r="D2" s="2" t="inlineStr">
        <is>
          <t>Main article — PDF p. 6</t>
        </is>
      </c>
      <c r="E2" s="2" t="inlineStr">
        <is>
          <t>../../2018/jama.2017.21906/jama_huffman_2018_oi_170166.pdf#page=6</t>
        </is>
      </c>
    </row>
    <row r="3" ht="40" customHeight="1">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ht="40" customHeight="1">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ht="30" customHeight="1">
      <c r="A5" s="3" t="inlineStr">
        <is>
          <t>2018::jama.2017.21906::C002</t>
        </is>
      </c>
      <c r="B5" s="3" t="inlineStr">
        <is>
          <t>sourceLinks</t>
        </is>
      </c>
      <c r="C5" s="3" t="n">
        <v>0</v>
      </c>
      <c r="D5" s="3" t="inlineStr">
        <is>
          <t>Main article — PDF p. 6</t>
        </is>
      </c>
      <c r="E5" s="3" t="inlineStr">
        <is>
          <t>../../2018/jama.2017.21906/jama_huffman_2018_oi_170166.pdf#page=6</t>
        </is>
      </c>
    </row>
    <row r="6" ht="30" customHeight="1">
      <c r="A6" s="2" t="inlineStr">
        <is>
          <t>2018::jama.2017.21906::C002</t>
        </is>
      </c>
      <c r="B6" s="2" t="inlineStr">
        <is>
          <t>sourceLinks</t>
        </is>
      </c>
      <c r="C6" s="2" t="n">
        <v>1</v>
      </c>
      <c r="D6" s="2" t="inlineStr">
        <is>
          <t>Main article — PDF p. 7</t>
        </is>
      </c>
      <c r="E6" s="2" t="inlineStr">
        <is>
          <t>../../2018/jama.2017.21906/jama_huffman_2018_oi_170166.pdf#page=7</t>
        </is>
      </c>
    </row>
    <row r="7" ht="40" customHeight="1">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ht="40" customHeight="1">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ht="30" customHeight="1">
      <c r="A9" s="3" t="inlineStr">
        <is>
          <t>2018::jama.2017.21906::C003</t>
        </is>
      </c>
      <c r="B9" s="3" t="inlineStr">
        <is>
          <t>sourceLinks</t>
        </is>
      </c>
      <c r="C9" s="3" t="n">
        <v>0</v>
      </c>
      <c r="D9" s="3" t="inlineStr">
        <is>
          <t>Online supplement — PDF p. 17</t>
        </is>
      </c>
      <c r="E9" s="3" t="inlineStr">
        <is>
          <t>../../2018/jama.2017.21906/joi170166supp3_prod.pdf#page=17</t>
        </is>
      </c>
    </row>
    <row r="10" ht="40" customHeight="1">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ht="40" customHeight="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ht="30" customHeight="1">
      <c r="A12" s="2" t="inlineStr">
        <is>
          <t>2018::jama.2017.21906::C004</t>
        </is>
      </c>
      <c r="B12" s="2" t="inlineStr">
        <is>
          <t>sourceLinks</t>
        </is>
      </c>
      <c r="C12" s="2" t="n">
        <v>0</v>
      </c>
      <c r="D12" s="2" t="inlineStr">
        <is>
          <t>SAP — PDF p. 7</t>
        </is>
      </c>
      <c r="E12" s="2" t="inlineStr">
        <is>
          <t>../../2018/jama.2017.21906/joi170166supp2_prod.pdf#page=7</t>
        </is>
      </c>
    </row>
    <row r="13" ht="30" customHeight="1">
      <c r="A13" s="3" t="inlineStr">
        <is>
          <t>2018::jama.2017.21906::C004</t>
        </is>
      </c>
      <c r="B13" s="3" t="inlineStr">
        <is>
          <t>sourceLinks</t>
        </is>
      </c>
      <c r="C13" s="3" t="n">
        <v>1</v>
      </c>
      <c r="D13" s="3" t="inlineStr">
        <is>
          <t>main article — PDF p. 3</t>
        </is>
      </c>
      <c r="E13" s="3" t="inlineStr">
        <is>
          <t>../../2018/jama.2017.21906/jama_huffman_2018_oi_170166.pdf#page=3</t>
        </is>
      </c>
    </row>
    <row r="14" ht="30" customHeight="1">
      <c r="A14" s="2" t="inlineStr">
        <is>
          <t>2018::jama.2017.21906::C004</t>
        </is>
      </c>
      <c r="B14" s="2" t="inlineStr">
        <is>
          <t>sourceLinks</t>
        </is>
      </c>
      <c r="C14" s="2" t="n">
        <v>2</v>
      </c>
      <c r="D14" s="2" t="inlineStr">
        <is>
          <t>main article — PDF p. 9</t>
        </is>
      </c>
      <c r="E14" s="2" t="inlineStr">
        <is>
          <t>../../2018/jama.2017.21906/jama_huffman_2018_oi_170166.pdf#page=9</t>
        </is>
      </c>
    </row>
    <row r="15" ht="40" customHeight="1">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ht="40" customHeight="1">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ht="30" customHeight="1">
      <c r="A17" s="3" t="inlineStr">
        <is>
          <t>2018::jama.2017.21906::C005</t>
        </is>
      </c>
      <c r="B17" s="3" t="inlineStr">
        <is>
          <t>sourceLinks</t>
        </is>
      </c>
      <c r="C17" s="3" t="n">
        <v>0</v>
      </c>
      <c r="D17" s="3" t="inlineStr">
        <is>
          <t>Main article — PDF p. 3</t>
        </is>
      </c>
      <c r="E17" s="3" t="inlineStr">
        <is>
          <t>../../2018/jama.2017.21906/jama_huffman_2018_oi_170166.pdf#page=3</t>
        </is>
      </c>
    </row>
    <row r="18" ht="30" customHeight="1">
      <c r="A18" s="2" t="inlineStr">
        <is>
          <t>2018::jama.2017.21906::C005</t>
        </is>
      </c>
      <c r="B18" s="2" t="inlineStr">
        <is>
          <t>sourceLinks</t>
        </is>
      </c>
      <c r="C18" s="2" t="n">
        <v>1</v>
      </c>
      <c r="D18" s="2" t="inlineStr">
        <is>
          <t>main article — PDF p. 7</t>
        </is>
      </c>
      <c r="E18" s="2" t="inlineStr">
        <is>
          <t>../../2018/jama.2017.21906/jama_huffman_2018_oi_170166.pdf#page=7</t>
        </is>
      </c>
    </row>
    <row r="19" ht="30" customHeight="1">
      <c r="A19" s="3" t="inlineStr">
        <is>
          <t>2018::jama.2017.21906::C005</t>
        </is>
      </c>
      <c r="B19" s="3" t="inlineStr">
        <is>
          <t>sourceLinks</t>
        </is>
      </c>
      <c r="C19" s="3" t="n">
        <v>2</v>
      </c>
      <c r="D19" s="3" t="inlineStr">
        <is>
          <t>online supplement — PDF p. 21</t>
        </is>
      </c>
      <c r="E19" s="3" t="inlineStr">
        <is>
          <t>../../2018/jama.2017.21906/joi170166supp3_prod.pdf#page=21</t>
        </is>
      </c>
    </row>
    <row r="20" ht="30" customHeight="1">
      <c r="A20" s="2" t="inlineStr">
        <is>
          <t>2018::jama.2017.21906::C005</t>
        </is>
      </c>
      <c r="B20" s="2" t="inlineStr">
        <is>
          <t>sourceLinks</t>
        </is>
      </c>
      <c r="C20" s="2" t="n">
        <v>3</v>
      </c>
      <c r="D20" s="2" t="inlineStr">
        <is>
          <t>online supplement — PDF p. 22</t>
        </is>
      </c>
      <c r="E20" s="2" t="inlineStr">
        <is>
          <t>../../2018/jama.2017.21906/joi170166supp3_prod.pdf#page=22</t>
        </is>
      </c>
    </row>
    <row r="21" ht="40" customHeight="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ht="40" customHeight="1">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ht="30" customHeight="1">
      <c r="A23" s="3" t="inlineStr">
        <is>
          <t>2018::jama.2017.21906::C006</t>
        </is>
      </c>
      <c r="B23" s="3" t="inlineStr">
        <is>
          <t>sourceLinks</t>
        </is>
      </c>
      <c r="C23" s="3" t="n">
        <v>0</v>
      </c>
      <c r="D23" s="3" t="inlineStr">
        <is>
          <t>Main article — PDF p. 3</t>
        </is>
      </c>
      <c r="E23" s="3" t="inlineStr">
        <is>
          <t>../../2018/jama.2017.21906/jama_huffman_2018_oi_170166.pdf#page=3</t>
        </is>
      </c>
    </row>
    <row r="24" ht="30" customHeight="1">
      <c r="A24" s="2" t="inlineStr">
        <is>
          <t>2018::jama.2017.21906::C006</t>
        </is>
      </c>
      <c r="B24" s="2" t="inlineStr">
        <is>
          <t>sourceLinks</t>
        </is>
      </c>
      <c r="C24" s="2" t="n">
        <v>1</v>
      </c>
      <c r="D24" s="2" t="inlineStr">
        <is>
          <t>main article — PDF p. 9</t>
        </is>
      </c>
      <c r="E24" s="2" t="inlineStr">
        <is>
          <t>../../2018/jama.2017.21906/jama_huffman_2018_oi_170166.pdf#page=9</t>
        </is>
      </c>
    </row>
    <row r="25" ht="30" customHeight="1">
      <c r="A25" s="3" t="inlineStr">
        <is>
          <t>2018::jama.2017.21906::C006</t>
        </is>
      </c>
      <c r="B25" s="3" t="inlineStr">
        <is>
          <t>sourceLinks</t>
        </is>
      </c>
      <c r="C25" s="3" t="n">
        <v>2</v>
      </c>
      <c r="D25" s="3" t="inlineStr">
        <is>
          <t>SAP — PDF p. 7</t>
        </is>
      </c>
      <c r="E25" s="3" t="inlineStr">
        <is>
          <t>../../2018/jama.2017.21906/joi170166supp2_prod.pdf#page=7</t>
        </is>
      </c>
    </row>
    <row r="26" ht="40" customHeight="1">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ht="30" customHeight="1">
      <c r="A27" s="3" t="inlineStr">
        <is>
          <t>2018::jama.2018.0156::C001</t>
        </is>
      </c>
      <c r="B27" s="3" t="inlineStr">
        <is>
          <t>sourceLinks</t>
        </is>
      </c>
      <c r="C27" s="3" t="n">
        <v>0</v>
      </c>
      <c r="D27" s="3" t="inlineStr">
        <is>
          <t>jama_jabre_2018_oi_180004.pdf — PDF p. 3</t>
        </is>
      </c>
      <c r="E27" s="3" t="inlineStr">
        <is>
          <t>../../2018/jama.2018.0156/jama_jabre_2018_oi_180004.pdf#page=3</t>
        </is>
      </c>
    </row>
    <row r="28" ht="30" customHeight="1">
      <c r="A28" s="2" t="inlineStr">
        <is>
          <t>2018::jama.2018.0156::C001</t>
        </is>
      </c>
      <c r="B28" s="2" t="inlineStr">
        <is>
          <t>sourceLinks</t>
        </is>
      </c>
      <c r="C28" s="2" t="n">
        <v>1</v>
      </c>
      <c r="D28" s="2" t="inlineStr">
        <is>
          <t>jama_jabre_2018_oi_180004.pdf — PDF p. 4</t>
        </is>
      </c>
      <c r="E28" s="2" t="inlineStr">
        <is>
          <t>../../2018/jama.2018.0156/jama_jabre_2018_oi_180004.pdf#page=4</t>
        </is>
      </c>
    </row>
    <row r="29" ht="40" customHeight="1">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ht="30" customHeight="1">
      <c r="A30" s="2" t="inlineStr">
        <is>
          <t>2018::jama.2018.0156::C002</t>
        </is>
      </c>
      <c r="B30" s="2" t="inlineStr">
        <is>
          <t>sourceLinks</t>
        </is>
      </c>
      <c r="C30" s="2" t="n">
        <v>0</v>
      </c>
      <c r="D30" s="2" t="inlineStr">
        <is>
          <t>jama_jabre_2018_oi_180004.pdf — PDF p. 3</t>
        </is>
      </c>
      <c r="E30" s="2" t="inlineStr">
        <is>
          <t>../../2018/jama.2018.0156/jama_jabre_2018_oi_180004.pdf#page=3</t>
        </is>
      </c>
    </row>
    <row r="31" ht="30" customHeight="1">
      <c r="A31" s="3" t="inlineStr">
        <is>
          <t>2018::jama.2018.0156::C002</t>
        </is>
      </c>
      <c r="B31" s="3" t="inlineStr">
        <is>
          <t>sourceLinks</t>
        </is>
      </c>
      <c r="C31" s="3" t="n">
        <v>1</v>
      </c>
      <c r="D31" s="3" t="inlineStr">
        <is>
          <t>jama_jabre_2018_oi_180004.pdf — PDF p. 4</t>
        </is>
      </c>
      <c r="E31" s="3" t="inlineStr">
        <is>
          <t>../../2018/jama.2018.0156/jama_jabre_2018_oi_180004.pdf#page=4</t>
        </is>
      </c>
    </row>
    <row r="32" ht="40" customHeight="1">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ht="30" customHeight="1">
      <c r="A33" s="3" t="inlineStr">
        <is>
          <t>2018::jama.2018.0156::C003</t>
        </is>
      </c>
      <c r="B33" s="3" t="inlineStr">
        <is>
          <t>sourceLinks</t>
        </is>
      </c>
      <c r="C33" s="3" t="n">
        <v>0</v>
      </c>
      <c r="D33" s="3" t="inlineStr">
        <is>
          <t>jama_jabre_2018_oi_180004.pdf — PDF p. 6</t>
        </is>
      </c>
      <c r="E33" s="3" t="inlineStr">
        <is>
          <t>../../2018/jama.2018.0156/jama_jabre_2018_oi_180004.pdf#page=6</t>
        </is>
      </c>
    </row>
    <row r="34" ht="30" customHeight="1">
      <c r="A34" s="2" t="inlineStr">
        <is>
          <t>2018::jama.2018.0156::C003</t>
        </is>
      </c>
      <c r="B34" s="2" t="inlineStr">
        <is>
          <t>sourceLinks</t>
        </is>
      </c>
      <c r="C34" s="2" t="n">
        <v>1</v>
      </c>
      <c r="D34" s="2" t="inlineStr">
        <is>
          <t>joi180004supp1_prod.pdf — PDF p. 123</t>
        </is>
      </c>
      <c r="E34" s="2" t="inlineStr">
        <is>
          <t>../../2018/jama.2018.0156/joi180004supp1_prod.pdf#page=123</t>
        </is>
      </c>
    </row>
    <row r="35" ht="40" customHeight="1">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ht="40" customHeight="1">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ht="30" customHeight="1">
      <c r="A37" s="3" t="inlineStr">
        <is>
          <t>2018::jama.2018.0156::C004</t>
        </is>
      </c>
      <c r="B37" s="3" t="inlineStr">
        <is>
          <t>sourceLinks</t>
        </is>
      </c>
      <c r="C37" s="3" t="n">
        <v>0</v>
      </c>
      <c r="D37" s="3" t="inlineStr">
        <is>
          <t>jama_jabre_2018_oi_180004.pdf — PDF p. 3</t>
        </is>
      </c>
      <c r="E37" s="3" t="inlineStr">
        <is>
          <t>../../2018/jama.2018.0156/jama_jabre_2018_oi_180004.pdf#page=3</t>
        </is>
      </c>
    </row>
    <row r="38" ht="30" customHeight="1">
      <c r="A38" s="2" t="inlineStr">
        <is>
          <t>2018::jama.2018.0156::C004</t>
        </is>
      </c>
      <c r="B38" s="2" t="inlineStr">
        <is>
          <t>sourceLinks</t>
        </is>
      </c>
      <c r="C38" s="2" t="n">
        <v>1</v>
      </c>
      <c r="D38" s="2" t="inlineStr">
        <is>
          <t>PDF p. 6</t>
        </is>
      </c>
      <c r="E38" s="2" t="inlineStr">
        <is>
          <t>../../2018/jama.2018.0156/jama_jabre_2018_oi_180004.pdf#page=6</t>
        </is>
      </c>
    </row>
    <row r="39" ht="30" customHeight="1">
      <c r="A39" s="3" t="inlineStr">
        <is>
          <t>2018::jama.2018.0156::C004</t>
        </is>
      </c>
      <c r="B39" s="3" t="inlineStr">
        <is>
          <t>sourceLinks</t>
        </is>
      </c>
      <c r="C39" s="3" t="n">
        <v>2</v>
      </c>
      <c r="D39" s="3" t="inlineStr">
        <is>
          <t>joi180004supp1_prod.pdf — PDF p. 124</t>
        </is>
      </c>
      <c r="E39" s="3" t="inlineStr">
        <is>
          <t>../../2018/jama.2018.0156/joi180004supp1_prod.pdf#page=124</t>
        </is>
      </c>
    </row>
    <row r="40" ht="40" customHeight="1">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ht="40" customHeight="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ht="30" customHeight="1">
      <c r="A42" s="2" t="inlineStr">
        <is>
          <t>2018::jama.2018.0156::C005</t>
        </is>
      </c>
      <c r="B42" s="2" t="inlineStr">
        <is>
          <t>sourceLinks</t>
        </is>
      </c>
      <c r="C42" s="2" t="n">
        <v>0</v>
      </c>
      <c r="D42" s="2" t="inlineStr">
        <is>
          <t>jama_jabre_2018_oi_180004.pdf — PDF p. 6</t>
        </is>
      </c>
      <c r="E42" s="2" t="inlineStr">
        <is>
          <t>../../2018/jama.2018.0156/jama_jabre_2018_oi_180004.pdf#page=6</t>
        </is>
      </c>
    </row>
    <row r="43" ht="40" customHeight="1">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ht="30" customHeight="1">
      <c r="A44" s="2" t="inlineStr">
        <is>
          <t>2018::jama.2018.0156::C006</t>
        </is>
      </c>
      <c r="B44" s="2" t="inlineStr">
        <is>
          <t>sourceLinks</t>
        </is>
      </c>
      <c r="C44" s="2" t="n">
        <v>0</v>
      </c>
      <c r="D44" s="2" t="inlineStr">
        <is>
          <t>jama_jabre_2018_oi_180004.pdf — PDF p. 2</t>
        </is>
      </c>
      <c r="E44" s="2" t="inlineStr">
        <is>
          <t>../../2018/jama.2018.0156/jama_jabre_2018_oi_180004.pdf#page=2</t>
        </is>
      </c>
    </row>
    <row r="45" ht="30" customHeight="1">
      <c r="A45" s="3" t="inlineStr">
        <is>
          <t>2018::jama.2018.0156::C006</t>
        </is>
      </c>
      <c r="B45" s="3" t="inlineStr">
        <is>
          <t>sourceLinks</t>
        </is>
      </c>
      <c r="C45" s="3" t="n">
        <v>1</v>
      </c>
      <c r="D45" s="3" t="inlineStr">
        <is>
          <t>joi180004supp2_prod.pdf — PDF p. 2</t>
        </is>
      </c>
      <c r="E45" s="3" t="inlineStr">
        <is>
          <t>../../2018/jama.2018.0156/joi180004supp2_prod.pdf#page=2</t>
        </is>
      </c>
    </row>
    <row r="46" ht="40" customHeight="1">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ht="30" customHeight="1">
      <c r="A47" s="3" t="inlineStr">
        <is>
          <t>2018::jama.2018.0156::C007</t>
        </is>
      </c>
      <c r="B47" s="3" t="inlineStr">
        <is>
          <t>sourceLinks</t>
        </is>
      </c>
      <c r="C47" s="3" t="n">
        <v>0</v>
      </c>
      <c r="D47" s="3" t="inlineStr">
        <is>
          <t>jama_jabre_2018_oi_180004.pdf — PDF p. 1</t>
        </is>
      </c>
      <c r="E47" s="3" t="inlineStr">
        <is>
          <t>../../2018/jama.2018.0156/jama_jabre_2018_oi_180004.pdf#page=1</t>
        </is>
      </c>
    </row>
    <row r="48" ht="30" customHeight="1">
      <c r="A48" s="2" t="inlineStr">
        <is>
          <t>2018::jama.2018.0156::C007</t>
        </is>
      </c>
      <c r="B48" s="2" t="inlineStr">
        <is>
          <t>sourceLinks</t>
        </is>
      </c>
      <c r="C48" s="2" t="n">
        <v>1</v>
      </c>
      <c r="D48" s="2" t="inlineStr">
        <is>
          <t>PDF p. 3</t>
        </is>
      </c>
      <c r="E48" s="2" t="inlineStr">
        <is>
          <t>../../2018/jama.2018.0156/jama_jabre_2018_oi_180004.pdf#page=3</t>
        </is>
      </c>
    </row>
    <row r="49" ht="30" customHeight="1">
      <c r="A49" s="3" t="inlineStr">
        <is>
          <t>2018::jama.2018.0156::C007</t>
        </is>
      </c>
      <c r="B49" s="3" t="inlineStr">
        <is>
          <t>sourceLinks</t>
        </is>
      </c>
      <c r="C49" s="3" t="n">
        <v>2</v>
      </c>
      <c r="D49" s="3" t="inlineStr">
        <is>
          <t>joi180004supp1_prod.pdf — PDF p. 110</t>
        </is>
      </c>
      <c r="E49" s="3" t="inlineStr">
        <is>
          <t>../../2018/jama.2018.0156/joi180004supp1_prod.pdf#page=110</t>
        </is>
      </c>
    </row>
    <row r="50" ht="40" customHeight="1">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ht="40" customHeight="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ht="30" customHeight="1">
      <c r="A52" s="2" t="inlineStr">
        <is>
          <t>2018::jama.2018.0156::C008</t>
        </is>
      </c>
      <c r="B52" s="2" t="inlineStr">
        <is>
          <t>sourceLinks</t>
        </is>
      </c>
      <c r="C52" s="2" t="n">
        <v>0</v>
      </c>
      <c r="D52" s="2" t="inlineStr">
        <is>
          <t>joi180004supp1_prod.pdf — PDF p. 110</t>
        </is>
      </c>
      <c r="E52" s="2" t="inlineStr">
        <is>
          <t>../../2018/jama.2018.0156/joi180004supp1_prod.pdf#page=110</t>
        </is>
      </c>
    </row>
    <row r="53" ht="30" customHeight="1">
      <c r="A53" s="3" t="inlineStr">
        <is>
          <t>2018::jama.2018.0156::C008</t>
        </is>
      </c>
      <c r="B53" s="3" t="inlineStr">
        <is>
          <t>sourceLinks</t>
        </is>
      </c>
      <c r="C53" s="3" t="n">
        <v>1</v>
      </c>
      <c r="D53" s="3" t="inlineStr">
        <is>
          <t>jama_jabre_2018_oi_180004.pdf — PDF p. 1</t>
        </is>
      </c>
      <c r="E53" s="3" t="inlineStr">
        <is>
          <t>../../2018/jama.2018.0156/jama_jabre_2018_oi_180004.pdf#page=1</t>
        </is>
      </c>
    </row>
    <row r="54" ht="30" customHeight="1">
      <c r="A54" s="2" t="inlineStr">
        <is>
          <t>2018::jama.2018.0156::C008</t>
        </is>
      </c>
      <c r="B54" s="2" t="inlineStr">
        <is>
          <t>sourceLinks</t>
        </is>
      </c>
      <c r="C54" s="2" t="n">
        <v>2</v>
      </c>
      <c r="D54" s="2" t="inlineStr">
        <is>
          <t>PDF p. 4</t>
        </is>
      </c>
      <c r="E54" s="2" t="inlineStr">
        <is>
          <t>../../2018/jama.2018.0156/jama_jabre_2018_oi_180004.pdf#page=4</t>
        </is>
      </c>
    </row>
    <row r="55" ht="30" customHeight="1">
      <c r="A55" s="3" t="inlineStr">
        <is>
          <t>2018::jama.2018.0156::C008</t>
        </is>
      </c>
      <c r="B55" s="3" t="inlineStr">
        <is>
          <t>sourceLinks</t>
        </is>
      </c>
      <c r="C55" s="3" t="n">
        <v>3</v>
      </c>
      <c r="D55" s="3" t="inlineStr">
        <is>
          <t>PDF p. 6</t>
        </is>
      </c>
      <c r="E55" s="3" t="inlineStr">
        <is>
          <t>../../2018/jama.2018.0156/jama_jabre_2018_oi_180004.pdf#page=6</t>
        </is>
      </c>
    </row>
    <row r="56" ht="40" customHeight="1">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ht="40" customHeight="1">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ht="40" customHeight="1">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ht="30" customHeight="1">
      <c r="A59" s="3" t="inlineStr">
        <is>
          <t>2018::jama.2018.0948::C001</t>
        </is>
      </c>
      <c r="B59" s="3" t="inlineStr">
        <is>
          <t>sourceLinks</t>
        </is>
      </c>
      <c r="C59" s="3" t="n">
        <v>0</v>
      </c>
      <c r="D59" s="3" t="inlineStr">
        <is>
          <t>main article — PDF p. 4</t>
        </is>
      </c>
      <c r="E59" s="3" t="inlineStr">
        <is>
          <t>../../2018/jama.2018.0948/jama_parshuram_2018_oi_180015.pdf#page=4</t>
        </is>
      </c>
    </row>
    <row r="60" ht="30" customHeight="1">
      <c r="A60" s="2" t="inlineStr">
        <is>
          <t>2018::jama.2018.0948::C001</t>
        </is>
      </c>
      <c r="B60" s="2" t="inlineStr">
        <is>
          <t>sourceLinks</t>
        </is>
      </c>
      <c r="C60" s="2" t="n">
        <v>1</v>
      </c>
      <c r="D60" s="2" t="inlineStr">
        <is>
          <t>Supplement 1 Table 5 — PDF p. 24</t>
        </is>
      </c>
      <c r="E60" s="2" t="inlineStr">
        <is>
          <t>../../2018/jama.2018.0948/joi180015supp1_prod.pdf#page=24</t>
        </is>
      </c>
    </row>
    <row r="61" ht="30" customHeight="1">
      <c r="A61" s="3" t="inlineStr">
        <is>
          <t>2018::jama.2018.0948::C001</t>
        </is>
      </c>
      <c r="B61" s="3" t="inlineStr">
        <is>
          <t>sourceLinks</t>
        </is>
      </c>
      <c r="C61" s="3" t="n">
        <v>2</v>
      </c>
      <c r="D61" s="3" t="inlineStr">
        <is>
          <t>Supplement 3 eTable 1 — PDF p. 6</t>
        </is>
      </c>
      <c r="E61" s="3" t="inlineStr">
        <is>
          <t>../../2018/jama.2018.0948/joi180015supp3_prod.pdf#page=6</t>
        </is>
      </c>
    </row>
    <row r="62" ht="40" customHeight="1">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ht="40" customHeight="1">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ht="30" customHeight="1">
      <c r="A64" s="2" t="inlineStr">
        <is>
          <t>2018::jama.2018.0948::C002</t>
        </is>
      </c>
      <c r="B64" s="2" t="inlineStr">
        <is>
          <t>sourceLinks</t>
        </is>
      </c>
      <c r="C64" s="2" t="n">
        <v>0</v>
      </c>
      <c r="D64" s="2" t="inlineStr">
        <is>
          <t>Supplement 1 — PDF p. 1</t>
        </is>
      </c>
      <c r="E64" s="2" t="inlineStr">
        <is>
          <t>../../2018/jama.2018.0948/joi180015supp1_prod.pdf#page=1</t>
        </is>
      </c>
    </row>
    <row r="65" ht="30" customHeight="1">
      <c r="A65" s="3" t="inlineStr">
        <is>
          <t>2018::jama.2018.0948::C002</t>
        </is>
      </c>
      <c r="B65" s="3" t="inlineStr">
        <is>
          <t>sourceLinks</t>
        </is>
      </c>
      <c r="C65" s="3" t="n">
        <v>1</v>
      </c>
      <c r="D65" s="3" t="inlineStr">
        <is>
          <t>p. 14</t>
        </is>
      </c>
      <c r="E65" s="3" t="inlineStr">
        <is>
          <t>../../2018/jama.2018.0948/joi180015supp1_prod.pdf#page=14</t>
        </is>
      </c>
    </row>
    <row r="66" ht="30" customHeight="1">
      <c r="A66" s="2" t="inlineStr">
        <is>
          <t>2018::jama.2018.0948::C002</t>
        </is>
      </c>
      <c r="B66" s="2" t="inlineStr">
        <is>
          <t>sourceLinks</t>
        </is>
      </c>
      <c r="C66" s="2" t="n">
        <v>2</v>
      </c>
      <c r="D66" s="2" t="inlineStr">
        <is>
          <t>p. 29</t>
        </is>
      </c>
      <c r="E66" s="2" t="inlineStr">
        <is>
          <t>../../2018/jama.2018.0948/joi180015supp1_prod.pdf#page=29</t>
        </is>
      </c>
    </row>
    <row r="67" ht="30" customHeight="1">
      <c r="A67" s="3" t="inlineStr">
        <is>
          <t>2018::jama.2018.0948::C002</t>
        </is>
      </c>
      <c r="B67" s="3" t="inlineStr">
        <is>
          <t>sourceLinks</t>
        </is>
      </c>
      <c r="C67" s="3" t="n">
        <v>3</v>
      </c>
      <c r="D67" s="3" t="inlineStr">
        <is>
          <t>main article — PDF p. 4</t>
        </is>
      </c>
      <c r="E67" s="3" t="inlineStr">
        <is>
          <t>../../2018/jama.2018.0948/jama_parshuram_2018_oi_180015.pdf#page=4</t>
        </is>
      </c>
    </row>
    <row r="68" ht="40" customHeight="1">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ht="40" customHeight="1">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ht="30" customHeight="1">
      <c r="A70" s="2" t="inlineStr">
        <is>
          <t>2018::jama.2018.0948::C003</t>
        </is>
      </c>
      <c r="B70" s="2" t="inlineStr">
        <is>
          <t>sourceLinks</t>
        </is>
      </c>
      <c r="C70" s="2" t="n">
        <v>0</v>
      </c>
      <c r="D70" s="2" t="inlineStr">
        <is>
          <t>Supplement 1 — PDF p. 11</t>
        </is>
      </c>
      <c r="E70" s="2" t="inlineStr">
        <is>
          <t>../../2018/jama.2018.0948/joi180015supp1_prod.pdf#page=11</t>
        </is>
      </c>
    </row>
    <row r="71" ht="30" customHeight="1">
      <c r="A71" s="3" t="inlineStr">
        <is>
          <t>2018::jama.2018.0948::C003</t>
        </is>
      </c>
      <c r="B71" s="3" t="inlineStr">
        <is>
          <t>sourceLinks</t>
        </is>
      </c>
      <c r="C71" s="3" t="n">
        <v>1</v>
      </c>
      <c r="D71" s="3" t="inlineStr">
        <is>
          <t>Table 5 — PDF p. 24</t>
        </is>
      </c>
      <c r="E71" s="3" t="inlineStr">
        <is>
          <t>../../2018/jama.2018.0948/joi180015supp1_prod.pdf#page=24</t>
        </is>
      </c>
    </row>
    <row r="72" ht="30" customHeight="1">
      <c r="A72" s="2" t="inlineStr">
        <is>
          <t>2018::jama.2018.0948::C003</t>
        </is>
      </c>
      <c r="B72" s="2" t="inlineStr">
        <is>
          <t>sourceLinks</t>
        </is>
      </c>
      <c r="C72" s="2" t="n">
        <v>2</v>
      </c>
      <c r="D72" s="2" t="inlineStr">
        <is>
          <t>Table 6 legend — PDF p. 27</t>
        </is>
      </c>
      <c r="E72" s="2" t="inlineStr">
        <is>
          <t>../../2018/jama.2018.0948/joi180015supp1_prod.pdf#page=27</t>
        </is>
      </c>
    </row>
    <row r="73" ht="40" customHeight="1">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ht="40" customHeight="1">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ht="30" customHeight="1">
      <c r="A75" s="3" t="inlineStr">
        <is>
          <t>2018::jama.2018.0948::C004</t>
        </is>
      </c>
      <c r="B75" s="3" t="inlineStr">
        <is>
          <t>sourceLinks</t>
        </is>
      </c>
      <c r="C75" s="3" t="n">
        <v>0</v>
      </c>
      <c r="D75" s="3" t="inlineStr">
        <is>
          <t>Supplement 1 — PDF p. 11</t>
        </is>
      </c>
      <c r="E75" s="3" t="inlineStr">
        <is>
          <t>../../2018/jama.2018.0948/joi180015supp1_prod.pdf#page=11</t>
        </is>
      </c>
    </row>
    <row r="76" ht="30" customHeight="1">
      <c r="A76" s="2" t="inlineStr">
        <is>
          <t>2018::jama.2018.0948::C004</t>
        </is>
      </c>
      <c r="B76" s="2" t="inlineStr">
        <is>
          <t>sourceLinks</t>
        </is>
      </c>
      <c r="C76" s="2" t="n">
        <v>1</v>
      </c>
      <c r="D76" s="2" t="inlineStr">
        <is>
          <t>Table 7 — PDF p. 28</t>
        </is>
      </c>
      <c r="E76" s="2" t="inlineStr">
        <is>
          <t>../../2018/jama.2018.0948/joi180015supp1_prod.pdf#page=28</t>
        </is>
      </c>
    </row>
    <row r="77" ht="30" customHeight="1">
      <c r="A77" s="3" t="inlineStr">
        <is>
          <t>2018::jama.2018.0948::C004</t>
        </is>
      </c>
      <c r="B77" s="3" t="inlineStr">
        <is>
          <t>sourceLinks</t>
        </is>
      </c>
      <c r="C77" s="3" t="n">
        <v>2</v>
      </c>
      <c r="D77" s="3" t="inlineStr">
        <is>
          <t>Supplement 3 eTable 1 — PDF p. 6</t>
        </is>
      </c>
      <c r="E77" s="3" t="inlineStr">
        <is>
          <t>../../2018/jama.2018.0948/joi180015supp3_prod.pdf#page=6</t>
        </is>
      </c>
    </row>
    <row r="78" ht="30" customHeight="1">
      <c r="A78" s="2" t="inlineStr">
        <is>
          <t>2018::jama.2018.0948::C004</t>
        </is>
      </c>
      <c r="B78" s="2" t="inlineStr">
        <is>
          <t>sourceLinks</t>
        </is>
      </c>
      <c r="C78" s="2" t="n">
        <v>3</v>
      </c>
      <c r="D78" s="2" t="inlineStr">
        <is>
          <t>main article — PDF p. 7</t>
        </is>
      </c>
      <c r="E78" s="2" t="inlineStr">
        <is>
          <t>../../2018/jama.2018.0948/jama_parshuram_2018_oi_180015.pdf#page=7</t>
        </is>
      </c>
    </row>
    <row r="79" ht="40" customHeight="1">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ht="40" customHeight="1">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ht="40" customHeight="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ht="30" customHeight="1">
      <c r="A82" s="2" t="inlineStr">
        <is>
          <t>2018::jama.2018.0948::C005</t>
        </is>
      </c>
      <c r="B82" s="2" t="inlineStr">
        <is>
          <t>sourceLinks</t>
        </is>
      </c>
      <c r="C82" s="2" t="n">
        <v>0</v>
      </c>
      <c r="D82" s="2" t="inlineStr">
        <is>
          <t>Supplement 1 — PDF p. 14</t>
        </is>
      </c>
      <c r="E82" s="2" t="inlineStr">
        <is>
          <t>../../2018/jama.2018.0948/joi180015supp1_prod.pdf#page=14</t>
        </is>
      </c>
    </row>
    <row r="83" ht="30" customHeight="1">
      <c r="A83" s="3" t="inlineStr">
        <is>
          <t>2018::jama.2018.0948::C005</t>
        </is>
      </c>
      <c r="B83" s="3" t="inlineStr">
        <is>
          <t>sourceLinks</t>
        </is>
      </c>
      <c r="C83" s="3" t="n">
        <v>1</v>
      </c>
      <c r="D83" s="3" t="inlineStr">
        <is>
          <t>PDF p. 30</t>
        </is>
      </c>
      <c r="E83" s="3" t="inlineStr">
        <is>
          <t>../../2018/jama.2018.0948/joi180015supp1_prod.pdf#page=30</t>
        </is>
      </c>
    </row>
    <row r="84" ht="40" customHeight="1">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ht="40" customHeight="1">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ht="40" customHeight="1">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ht="30" customHeight="1">
      <c r="A87" s="3" t="inlineStr">
        <is>
          <t>2018::jama.2018.0948::C006</t>
        </is>
      </c>
      <c r="B87" s="3" t="inlineStr">
        <is>
          <t>sourceLinks</t>
        </is>
      </c>
      <c r="C87" s="3" t="n">
        <v>0</v>
      </c>
      <c r="D87" s="3" t="inlineStr">
        <is>
          <t>Supplement 1 — PDF p. 30</t>
        </is>
      </c>
      <c r="E87" s="3" t="inlineStr">
        <is>
          <t>../../2018/jama.2018.0948/joi180015supp1_prod.pdf#page=30</t>
        </is>
      </c>
    </row>
    <row r="88" ht="40" customHeight="1">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ht="40" customHeight="1">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ht="30" customHeight="1">
      <c r="A90" s="2" t="inlineStr">
        <is>
          <t>2018::jama.2018.0948::C007</t>
        </is>
      </c>
      <c r="B90" s="2" t="inlineStr">
        <is>
          <t>sourceLinks</t>
        </is>
      </c>
      <c r="C90" s="2" t="n">
        <v>0</v>
      </c>
      <c r="D90" s="2" t="inlineStr">
        <is>
          <t>Supplement 1 — PDF p. 30</t>
        </is>
      </c>
      <c r="E90" s="2" t="inlineStr">
        <is>
          <t>../../2018/jama.2018.0948/joi180015supp1_prod.pdf#page=30</t>
        </is>
      </c>
    </row>
    <row r="91" ht="40" customHeight="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ht="40" customHeight="1">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ht="40" customHeight="1">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ht="40" customHeight="1">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ht="40" customHeight="1">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ht="40" customHeight="1">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ht="40" customHeight="1">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ht="40" customHeight="1">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ht="40" customHeight="1">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ht="40" customHeight="1">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ht="40" customHeight="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ht="40" customHeight="1">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ht="40" customHeight="1">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ht="40" customHeight="1">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ht="40" customHeight="1">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ht="40" customHeight="1">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ht="40" customHeight="1">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ht="40" customHeight="1">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ht="40" customHeight="1">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ht="40" customHeight="1">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ht="40" customHeight="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ht="40" customHeight="1">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ht="40" customHeight="1">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ht="40" customHeight="1">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ht="40" customHeight="1">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ht="40" customHeight="1">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ht="40" customHeight="1">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ht="40" customHeight="1">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ht="30" customHeight="1">
      <c r="A119" s="3" t="inlineStr">
        <is>
          <t>2018::jama.2018.14282::C001</t>
        </is>
      </c>
      <c r="B119" s="3" t="inlineStr">
        <is>
          <t>sourceLinks</t>
        </is>
      </c>
      <c r="C119" s="3" t="n">
        <v>0</v>
      </c>
      <c r="D119" s="3" t="inlineStr">
        <is>
          <t>DOC-001 Table 1 — PDF p. 4</t>
        </is>
      </c>
      <c r="E119" s="3" t="inlineStr">
        <is>
          <t>../../2018/jama.2018.14282/jama_azoulay_2018_oi_180109.pdf#page=4</t>
        </is>
      </c>
    </row>
    <row r="120" ht="40" customHeight="1">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ht="30" customHeight="1">
      <c r="A121" s="3" t="inlineStr">
        <is>
          <t>2018::jama.2018.14282::C002</t>
        </is>
      </c>
      <c r="B121" s="3" t="inlineStr">
        <is>
          <t>sourceLinks</t>
        </is>
      </c>
      <c r="C121" s="3" t="n">
        <v>0</v>
      </c>
      <c r="D121" s="3" t="inlineStr">
        <is>
          <t>DOC-001 Table 1 — PDF p. 4</t>
        </is>
      </c>
      <c r="E121" s="3" t="inlineStr">
        <is>
          <t>../../2018/jama.2018.14282/jama_azoulay_2018_oi_180109.pdf#page=4</t>
        </is>
      </c>
    </row>
    <row r="122" ht="40" customHeight="1">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ht="30" customHeight="1">
      <c r="A123" s="3" t="inlineStr">
        <is>
          <t>2018::jama.2018.14282::C003</t>
        </is>
      </c>
      <c r="B123" s="3" t="inlineStr">
        <is>
          <t>sourceLinks</t>
        </is>
      </c>
      <c r="C123" s="3" t="n">
        <v>0</v>
      </c>
      <c r="D123" s="3" t="inlineStr">
        <is>
          <t>DOC-001 Table 1 — PDF p. 4</t>
        </is>
      </c>
      <c r="E123" s="3" t="inlineStr">
        <is>
          <t>../../2018/jama.2018.14282/jama_azoulay_2018_oi_180109.pdf#page=4</t>
        </is>
      </c>
    </row>
    <row r="124" ht="40" customHeight="1">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ht="30" customHeight="1">
      <c r="A125" s="3" t="inlineStr">
        <is>
          <t>2018::jama.2018.14282::C004</t>
        </is>
      </c>
      <c r="B125" s="3" t="inlineStr">
        <is>
          <t>sourceLinks</t>
        </is>
      </c>
      <c r="C125" s="3" t="n">
        <v>0</v>
      </c>
      <c r="D125" s="3" t="inlineStr">
        <is>
          <t>DOC-001 Table 1 — PDF p. 4</t>
        </is>
      </c>
      <c r="E125" s="3" t="inlineStr">
        <is>
          <t>../../2018/jama.2018.14282/jama_azoulay_2018_oi_180109.pdf#page=4</t>
        </is>
      </c>
    </row>
    <row r="126" ht="40" customHeight="1">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ht="30" customHeight="1">
      <c r="A127" s="3" t="inlineStr">
        <is>
          <t>2018::jama.2018.14282::C005</t>
        </is>
      </c>
      <c r="B127" s="3" t="inlineStr">
        <is>
          <t>sourceLinks</t>
        </is>
      </c>
      <c r="C127" s="3" t="n">
        <v>0</v>
      </c>
      <c r="D127" s="3" t="inlineStr">
        <is>
          <t>DOC-001 Table 1 — PDF p. 4</t>
        </is>
      </c>
      <c r="E127" s="3" t="inlineStr">
        <is>
          <t>../../2018/jama.2018.14282/jama_azoulay_2018_oi_180109.pdf#page=4</t>
        </is>
      </c>
    </row>
    <row r="128" ht="40" customHeight="1">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ht="30" customHeight="1">
      <c r="A129" s="3" t="inlineStr">
        <is>
          <t>2018::jama.2018.14282::C006</t>
        </is>
      </c>
      <c r="B129" s="3" t="inlineStr">
        <is>
          <t>sourceLinks</t>
        </is>
      </c>
      <c r="C129" s="3" t="n">
        <v>0</v>
      </c>
      <c r="D129" s="3" t="inlineStr">
        <is>
          <t>DOC-001 Table 1 — PDF p. 4</t>
        </is>
      </c>
      <c r="E129" s="3" t="inlineStr">
        <is>
          <t>../../2018/jama.2018.14282/jama_azoulay_2018_oi_180109.pdf#page=4</t>
        </is>
      </c>
    </row>
    <row r="130" ht="40" customHeight="1">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ht="30" customHeight="1">
      <c r="A131" s="3" t="inlineStr">
        <is>
          <t>2018::jama.2018.14282::C007</t>
        </is>
      </c>
      <c r="B131" s="3" t="inlineStr">
        <is>
          <t>sourceLinks</t>
        </is>
      </c>
      <c r="C131" s="3" t="n">
        <v>0</v>
      </c>
      <c r="D131" s="3" t="inlineStr">
        <is>
          <t>DOC-001 Table 1 — PDF p. 4</t>
        </is>
      </c>
      <c r="E131" s="3" t="inlineStr">
        <is>
          <t>../../2018/jama.2018.14282/jama_azoulay_2018_oi_180109.pdf#page=4</t>
        </is>
      </c>
    </row>
    <row r="132" ht="40" customHeight="1">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ht="30" customHeight="1">
      <c r="A133" s="3" t="inlineStr">
        <is>
          <t>2018::jama.2018.14282::C008</t>
        </is>
      </c>
      <c r="B133" s="3" t="inlineStr">
        <is>
          <t>sourceLinks</t>
        </is>
      </c>
      <c r="C133" s="3" t="n">
        <v>0</v>
      </c>
      <c r="D133" s="3" t="inlineStr">
        <is>
          <t>DOC-001 Table 1 — PDF p. 4</t>
        </is>
      </c>
      <c r="E133" s="3" t="inlineStr">
        <is>
          <t>../../2018/jama.2018.14282/jama_azoulay_2018_oi_180109.pdf#page=4</t>
        </is>
      </c>
    </row>
    <row r="134" ht="40" customHeight="1">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ht="30" customHeight="1">
      <c r="A135" s="3" t="inlineStr">
        <is>
          <t>2018::jama.2018.14282::C009</t>
        </is>
      </c>
      <c r="B135" s="3" t="inlineStr">
        <is>
          <t>sourceLinks</t>
        </is>
      </c>
      <c r="C135" s="3" t="n">
        <v>0</v>
      </c>
      <c r="D135" s="3" t="inlineStr">
        <is>
          <t>DOC-001 Table 1 — PDF p. 4</t>
        </is>
      </c>
      <c r="E135" s="3" t="inlineStr">
        <is>
          <t>../../2018/jama.2018.14282/jama_azoulay_2018_oi_180109.pdf#page=4</t>
        </is>
      </c>
    </row>
    <row r="136" ht="40" customHeight="1">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ht="30" customHeight="1">
      <c r="A137" s="3" t="inlineStr">
        <is>
          <t>2018::jama.2018.14282::C010</t>
        </is>
      </c>
      <c r="B137" s="3" t="inlineStr">
        <is>
          <t>sourceLinks</t>
        </is>
      </c>
      <c r="C137" s="3" t="n">
        <v>0</v>
      </c>
      <c r="D137" s="3" t="inlineStr">
        <is>
          <t>DOC-001 Table 1 — PDF p. 4</t>
        </is>
      </c>
      <c r="E137" s="3" t="inlineStr">
        <is>
          <t>../../2018/jama.2018.14282/jama_azoulay_2018_oi_180109.pdf#page=4</t>
        </is>
      </c>
    </row>
    <row r="138" ht="40" customHeight="1">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ht="30" customHeight="1">
      <c r="A139" s="3" t="inlineStr">
        <is>
          <t>2018::jama.2018.14282::C011</t>
        </is>
      </c>
      <c r="B139" s="3" t="inlineStr">
        <is>
          <t>sourceLinks</t>
        </is>
      </c>
      <c r="C139" s="3" t="n">
        <v>0</v>
      </c>
      <c r="D139" s="3" t="inlineStr">
        <is>
          <t>DOC-001 Table 1 — PDF p. 4</t>
        </is>
      </c>
      <c r="E139" s="3" t="inlineStr">
        <is>
          <t>../../2018/jama.2018.14282/jama_azoulay_2018_oi_180109.pdf#page=4</t>
        </is>
      </c>
    </row>
    <row r="140" ht="40" customHeight="1">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ht="30" customHeight="1">
      <c r="A141" s="3" t="inlineStr">
        <is>
          <t>2018::jama.2018.14282::C012</t>
        </is>
      </c>
      <c r="B141" s="3" t="inlineStr">
        <is>
          <t>sourceLinks</t>
        </is>
      </c>
      <c r="C141" s="3" t="n">
        <v>0</v>
      </c>
      <c r="D141" s="3" t="inlineStr">
        <is>
          <t>DOC-001 Table 1 — PDF p. 4</t>
        </is>
      </c>
      <c r="E141" s="3" t="inlineStr">
        <is>
          <t>../../2018/jama.2018.14282/jama_azoulay_2018_oi_180109.pdf#page=4</t>
        </is>
      </c>
    </row>
    <row r="142" ht="40" customHeight="1">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ht="30" customHeight="1">
      <c r="A143" s="3" t="inlineStr">
        <is>
          <t>2018::jama.2018.14282::C013</t>
        </is>
      </c>
      <c r="B143" s="3" t="inlineStr">
        <is>
          <t>sourceLinks</t>
        </is>
      </c>
      <c r="C143" s="3" t="n">
        <v>0</v>
      </c>
      <c r="D143" s="3" t="inlineStr">
        <is>
          <t>DOC-001 Table 1 — PDF p. 4</t>
        </is>
      </c>
      <c r="E143" s="3" t="inlineStr">
        <is>
          <t>../../2018/jama.2018.14282/jama_azoulay_2018_oi_180109.pdf#page=4</t>
        </is>
      </c>
    </row>
    <row r="144" ht="40" customHeight="1">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ht="30" customHeight="1">
      <c r="A145" s="3" t="inlineStr">
        <is>
          <t>2018::jama.2018.14282::C014</t>
        </is>
      </c>
      <c r="B145" s="3" t="inlineStr">
        <is>
          <t>sourceLinks</t>
        </is>
      </c>
      <c r="C145" s="3" t="n">
        <v>0</v>
      </c>
      <c r="D145" s="3" t="inlineStr">
        <is>
          <t>DOC-001 Table 1 — PDF p. 4</t>
        </is>
      </c>
      <c r="E145" s="3" t="inlineStr">
        <is>
          <t>../../2018/jama.2018.14282/jama_azoulay_2018_oi_180109.pdf#page=4</t>
        </is>
      </c>
    </row>
    <row r="146" ht="40" customHeight="1">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ht="30" customHeight="1">
      <c r="A147" s="3" t="inlineStr">
        <is>
          <t>2018::jama.2018.14282::C015</t>
        </is>
      </c>
      <c r="B147" s="3" t="inlineStr">
        <is>
          <t>sourceLinks</t>
        </is>
      </c>
      <c r="C147" s="3" t="n">
        <v>0</v>
      </c>
      <c r="D147" s="3" t="inlineStr">
        <is>
          <t>DOC-001 Table 2 — PDF p. 5</t>
        </is>
      </c>
      <c r="E147" s="3" t="inlineStr">
        <is>
          <t>../../2018/jama.2018.14282/jama_azoulay_2018_oi_180109.pdf#page=5</t>
        </is>
      </c>
    </row>
    <row r="148" ht="40" customHeight="1">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ht="30" customHeight="1">
      <c r="A149" s="3" t="inlineStr">
        <is>
          <t>2018::jama.2018.14282::C016</t>
        </is>
      </c>
      <c r="B149" s="3" t="inlineStr">
        <is>
          <t>sourceLinks</t>
        </is>
      </c>
      <c r="C149" s="3" t="n">
        <v>0</v>
      </c>
      <c r="D149" s="3" t="inlineStr">
        <is>
          <t>DOC-001 Table 2 — PDF p. 5</t>
        </is>
      </c>
      <c r="E149" s="3" t="inlineStr">
        <is>
          <t>../../2018/jama.2018.14282/jama_azoulay_2018_oi_180109.pdf#page=5</t>
        </is>
      </c>
    </row>
    <row r="150" ht="40" customHeight="1">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ht="30" customHeight="1">
      <c r="A151" s="3" t="inlineStr">
        <is>
          <t>2018::jama.2018.14282::C017</t>
        </is>
      </c>
      <c r="B151" s="3" t="inlineStr">
        <is>
          <t>sourceLinks</t>
        </is>
      </c>
      <c r="C151" s="3" t="n">
        <v>0</v>
      </c>
      <c r="D151" s="3" t="inlineStr">
        <is>
          <t>DOC-001 abstract — PDF p. 1</t>
        </is>
      </c>
      <c r="E151" s="3" t="inlineStr">
        <is>
          <t>../../2018/jama.2018.14282/jama_azoulay_2018_oi_180109.pdf#page=1</t>
        </is>
      </c>
    </row>
    <row r="152" ht="30" customHeight="1">
      <c r="A152" s="2" t="inlineStr">
        <is>
          <t>2018::jama.2018.14282::C017</t>
        </is>
      </c>
      <c r="B152" s="2" t="inlineStr">
        <is>
          <t>sourceLinks</t>
        </is>
      </c>
      <c r="C152" s="2" t="n">
        <v>1</v>
      </c>
      <c r="D152" s="2" t="inlineStr">
        <is>
          <t>DOC-001 results — PDF p. 6</t>
        </is>
      </c>
      <c r="E152" s="2" t="inlineStr">
        <is>
          <t>../../2018/jama.2018.14282/jama_azoulay_2018_oi_180109.pdf#page=6</t>
        </is>
      </c>
    </row>
    <row r="153" ht="40" customHeight="1">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ht="40" customHeight="1">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ht="30" customHeight="1">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ht="40" customHeight="1">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ht="40" customHeight="1">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ht="40" customHeight="1">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ht="30" customHeight="1">
      <c r="A159" s="3" t="inlineStr">
        <is>
          <t>2018::jama.2018.14282::C019</t>
        </is>
      </c>
      <c r="B159" s="3" t="inlineStr">
        <is>
          <t>sourceLinks</t>
        </is>
      </c>
      <c r="C159" s="3" t="n">
        <v>0</v>
      </c>
      <c r="D159" s="3" t="inlineStr">
        <is>
          <t>DOC-003 eTable — PDF p. 2</t>
        </is>
      </c>
      <c r="E159" s="3" t="inlineStr">
        <is>
          <t>../../2018/jama.2018.14282/joi180109supp2_prod.pdf#page=2</t>
        </is>
      </c>
    </row>
    <row r="160" ht="40" customHeight="1">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ht="40" customHeight="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ht="30" customHeight="1">
      <c r="A162" s="2" t="inlineStr">
        <is>
          <t>2018::jama.2018.14282::C020</t>
        </is>
      </c>
      <c r="B162" s="2" t="inlineStr">
        <is>
          <t>sourceLinks</t>
        </is>
      </c>
      <c r="C162" s="2" t="n">
        <v>0</v>
      </c>
      <c r="D162" s="2" t="inlineStr">
        <is>
          <t>DOC-003 eTable — PDF p. 2</t>
        </is>
      </c>
      <c r="E162" s="2" t="inlineStr">
        <is>
          <t>../../2018/jama.2018.14282/joi180109supp2_prod.pdf#page=2</t>
        </is>
      </c>
    </row>
    <row r="163" ht="40" customHeight="1">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ht="40" customHeight="1">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ht="30" customHeight="1">
      <c r="A165" s="3" t="inlineStr">
        <is>
          <t>2018::jama.2018.14282::C021</t>
        </is>
      </c>
      <c r="B165" s="3" t="inlineStr">
        <is>
          <t>sourceLinks</t>
        </is>
      </c>
      <c r="C165" s="3" t="n">
        <v>0</v>
      </c>
      <c r="D165" s="3" t="inlineStr">
        <is>
          <t>DOC-003 eTable — PDF p. 2</t>
        </is>
      </c>
      <c r="E165" s="3" t="inlineStr">
        <is>
          <t>../../2018/jama.2018.14282/joi180109supp2_prod.pdf#page=2</t>
        </is>
      </c>
    </row>
    <row r="166" ht="40" customHeight="1">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ht="40" customHeight="1">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ht="30" customHeight="1">
      <c r="A168" s="2" t="inlineStr">
        <is>
          <t>2018::jama.2018.14282::C022</t>
        </is>
      </c>
      <c r="B168" s="2" t="inlineStr">
        <is>
          <t>sourceLinks</t>
        </is>
      </c>
      <c r="C168" s="2" t="n">
        <v>0</v>
      </c>
      <c r="D168" s="2" t="inlineStr">
        <is>
          <t>DOC-001 methods — PDF p. 4</t>
        </is>
      </c>
      <c r="E168" s="2" t="inlineStr">
        <is>
          <t>../../2018/jama.2018.14282/jama_azoulay_2018_oi_180109.pdf#page=4</t>
        </is>
      </c>
    </row>
    <row r="169" ht="30" customHeight="1">
      <c r="A169" s="3" t="inlineStr">
        <is>
          <t>2018::jama.2018.14282::C022</t>
        </is>
      </c>
      <c r="B169" s="3" t="inlineStr">
        <is>
          <t>sourceLinks</t>
        </is>
      </c>
      <c r="C169" s="3" t="n">
        <v>1</v>
      </c>
      <c r="D169" s="3" t="inlineStr">
        <is>
          <t>DOC-001 results — PDF p. 6</t>
        </is>
      </c>
      <c r="E169" s="3" t="inlineStr">
        <is>
          <t>../../2018/jama.2018.14282/jama_azoulay_2018_oi_180109.pdf#page=6</t>
        </is>
      </c>
    </row>
    <row r="170" ht="30" customHeight="1">
      <c r="A170" s="2" t="inlineStr">
        <is>
          <t>2018::jama.2018.14282::C022</t>
        </is>
      </c>
      <c r="B170" s="2" t="inlineStr">
        <is>
          <t>sourceLinks</t>
        </is>
      </c>
      <c r="C170" s="2" t="n">
        <v>2</v>
      </c>
      <c r="D170" s="2" t="inlineStr">
        <is>
          <t>DOC-003 eFigure 1 — PDF p. 3</t>
        </is>
      </c>
      <c r="E170" s="2" t="inlineStr">
        <is>
          <t>../../2018/jama.2018.14282/joi180109supp2_prod.pdf#page=3</t>
        </is>
      </c>
    </row>
    <row r="171" ht="40" customHeight="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ht="40" customHeight="1">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ht="30" customHeight="1">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ht="30" customHeight="1">
      <c r="A174" s="2" t="inlineStr">
        <is>
          <t>2018::jama.2018.14282::C023</t>
        </is>
      </c>
      <c r="B174" s="2" t="inlineStr">
        <is>
          <t>sourceLinks</t>
        </is>
      </c>
      <c r="C174" s="2" t="n">
        <v>1</v>
      </c>
      <c r="D174" s="2" t="inlineStr">
        <is>
          <t>DOC-001 Figure 3A — PDF p. 7</t>
        </is>
      </c>
      <c r="E174" s="2" t="inlineStr">
        <is>
          <t>../../2018/jama.2018.14282/jama_azoulay_2018_oi_180109.pdf#page=7</t>
        </is>
      </c>
    </row>
    <row r="175" ht="40" customHeight="1">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ht="40" customHeight="1">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ht="30" customHeight="1">
      <c r="A177" s="3" t="inlineStr">
        <is>
          <t>2018::jama.2018.14282::C024</t>
        </is>
      </c>
      <c r="B177" s="3" t="inlineStr">
        <is>
          <t>sourceLinks</t>
        </is>
      </c>
      <c r="C177" s="3" t="n">
        <v>0</v>
      </c>
      <c r="D177" s="3" t="inlineStr">
        <is>
          <t>DOC-001 Table 2 — PDF p. 5</t>
        </is>
      </c>
      <c r="E177" s="3" t="inlineStr">
        <is>
          <t>../../2018/jama.2018.14282/jama_azoulay_2018_oi_180109.pdf#page=5</t>
        </is>
      </c>
    </row>
    <row r="178" ht="30" customHeight="1">
      <c r="A178" s="2" t="inlineStr">
        <is>
          <t>2018::jama.2018.14282::C024</t>
        </is>
      </c>
      <c r="B178" s="2" t="inlineStr">
        <is>
          <t>sourceLinks</t>
        </is>
      </c>
      <c r="C178" s="2" t="n">
        <v>1</v>
      </c>
      <c r="D178" s="2" t="inlineStr">
        <is>
          <t>DOC-001 narrative — PDF p. 6</t>
        </is>
      </c>
      <c r="E178" s="2" t="inlineStr">
        <is>
          <t>../../2018/jama.2018.14282/jama_azoulay_2018_oi_180109.pdf#page=6</t>
        </is>
      </c>
    </row>
    <row r="179" ht="30" customHeight="1">
      <c r="A179" s="3" t="inlineStr">
        <is>
          <t>2018::jama.2018.14282::C024</t>
        </is>
      </c>
      <c r="B179" s="3" t="inlineStr">
        <is>
          <t>sourceLinks</t>
        </is>
      </c>
      <c r="C179" s="3" t="n">
        <v>2</v>
      </c>
      <c r="D179" s="3" t="inlineStr">
        <is>
          <t>DOC-001 Figure 3B — PDF p. 7</t>
        </is>
      </c>
      <c r="E179" s="3" t="inlineStr">
        <is>
          <t>../../2018/jama.2018.14282/jama_azoulay_2018_oi_180109.pdf#page=7</t>
        </is>
      </c>
    </row>
    <row r="180" ht="40" customHeight="1">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ht="40" customHeight="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ht="30" customHeight="1">
      <c r="A182" s="2" t="inlineStr">
        <is>
          <t>2018::jama.2018.14282::C025</t>
        </is>
      </c>
      <c r="B182" s="2" t="inlineStr">
        <is>
          <t>sourceLinks</t>
        </is>
      </c>
      <c r="C182" s="2" t="n">
        <v>0</v>
      </c>
      <c r="D182" s="2" t="inlineStr">
        <is>
          <t>DOC-001 — PDF p. 3</t>
        </is>
      </c>
      <c r="E182" s="2" t="inlineStr">
        <is>
          <t>../../2018/jama.2018.14282/jama_azoulay_2018_oi_180109.pdf#page=3</t>
        </is>
      </c>
    </row>
    <row r="183" ht="40" customHeight="1">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ht="30" customHeight="1">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ht="40" customHeight="1">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ht="40" customHeight="1">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ht="40" customHeight="1">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ht="30" customHeight="1">
      <c r="A188" s="2" t="inlineStr">
        <is>
          <t>2018::jama.2018.14282::C026</t>
        </is>
      </c>
      <c r="B188" s="2" t="inlineStr">
        <is>
          <t>sourceLinks</t>
        </is>
      </c>
      <c r="C188" s="2" t="n">
        <v>0</v>
      </c>
      <c r="D188" s="2" t="inlineStr">
        <is>
          <t>DOC-002 Figure 4 — PDF p. 40</t>
        </is>
      </c>
      <c r="E188" s="2" t="inlineStr">
        <is>
          <t>../../2018/jama.2018.14282/joi180109supp1_prod.pdf#page=40</t>
        </is>
      </c>
    </row>
    <row r="189" ht="30" customHeight="1">
      <c r="A189" s="3" t="inlineStr">
        <is>
          <t>2018::jama.2018.14282::C026</t>
        </is>
      </c>
      <c r="B189" s="3" t="inlineStr">
        <is>
          <t>sourceLinks</t>
        </is>
      </c>
      <c r="C189" s="3" t="n">
        <v>1</v>
      </c>
      <c r="D189" s="3" t="inlineStr">
        <is>
          <t>DOC-002 — PDF p. 42</t>
        </is>
      </c>
      <c r="E189" s="3" t="inlineStr">
        <is>
          <t>../../2018/jama.2018.14282/joi180109supp1_prod.pdf#page=42</t>
        </is>
      </c>
    </row>
    <row r="190" ht="40" customHeight="1">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ht="40" customHeight="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ht="40" customHeight="1">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ht="30" customHeight="1">
      <c r="A193" s="3" t="inlineStr">
        <is>
          <t>2018::jama.2018.14282::C027</t>
        </is>
      </c>
      <c r="B193" s="3" t="inlineStr">
        <is>
          <t>sourceLinks</t>
        </is>
      </c>
      <c r="C193" s="3" t="n">
        <v>0</v>
      </c>
      <c r="D193" s="3" t="inlineStr">
        <is>
          <t>DOC-002 — PDF p. 52</t>
        </is>
      </c>
      <c r="E193" s="3" t="inlineStr">
        <is>
          <t>../../2018/jama.2018.14282/joi180109supp1_prod.pdf#page=52</t>
        </is>
      </c>
    </row>
    <row r="194" ht="30" customHeight="1">
      <c r="A194" s="2" t="inlineStr">
        <is>
          <t>2018::jama.2018.14282::C027</t>
        </is>
      </c>
      <c r="B194" s="2" t="inlineStr">
        <is>
          <t>sourceLinks</t>
        </is>
      </c>
      <c r="C194" s="2" t="n">
        <v>1</v>
      </c>
      <c r="D194" s="2" t="inlineStr">
        <is>
          <t>DOC-002 — PDF p. 104</t>
        </is>
      </c>
      <c r="E194" s="2" t="inlineStr">
        <is>
          <t>../../2018/jama.2018.14282/joi180109supp1_prod.pdf#page=104</t>
        </is>
      </c>
    </row>
    <row r="195" ht="40" customHeight="1">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ht="40" customHeight="1">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ht="40" customHeight="1">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ht="30" customHeight="1">
      <c r="A198" s="2" t="inlineStr">
        <is>
          <t>2018::jama.2018.14282::C028</t>
        </is>
      </c>
      <c r="B198" s="2" t="inlineStr">
        <is>
          <t>sourceLinks</t>
        </is>
      </c>
      <c r="C198" s="2" t="n">
        <v>0</v>
      </c>
      <c r="D198" s="2" t="inlineStr">
        <is>
          <t>DOC-002 — PDF p. 54</t>
        </is>
      </c>
      <c r="E198" s="2" t="inlineStr">
        <is>
          <t>../../2018/jama.2018.14282/joi180109supp1_prod.pdf#page=54</t>
        </is>
      </c>
    </row>
    <row r="199" ht="30" customHeight="1">
      <c r="A199" s="3" t="inlineStr">
        <is>
          <t>2018::jama.2018.14282::C028</t>
        </is>
      </c>
      <c r="B199" s="3" t="inlineStr">
        <is>
          <t>sourceLinks</t>
        </is>
      </c>
      <c r="C199" s="3" t="n">
        <v>1</v>
      </c>
      <c r="D199" s="3" t="inlineStr">
        <is>
          <t>DOC-002 — PDF p. 82</t>
        </is>
      </c>
      <c r="E199" s="3" t="inlineStr">
        <is>
          <t>../../2018/jama.2018.14282/joi180109supp1_prod.pdf#page=82</t>
        </is>
      </c>
    </row>
    <row r="200" ht="30" customHeight="1">
      <c r="A200" s="2" t="inlineStr">
        <is>
          <t>2018::jama.2018.14282::C028</t>
        </is>
      </c>
      <c r="B200" s="2" t="inlineStr">
        <is>
          <t>sourceLinks</t>
        </is>
      </c>
      <c r="C200" s="2" t="n">
        <v>2</v>
      </c>
      <c r="D200" s="2" t="inlineStr">
        <is>
          <t>DOC-002 — PDF p. 104</t>
        </is>
      </c>
      <c r="E200" s="2" t="inlineStr">
        <is>
          <t>../../2018/jama.2018.14282/joi180109supp1_prod.pdf#page=104</t>
        </is>
      </c>
    </row>
    <row r="201" ht="40" customHeight="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ht="40" customHeight="1">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ht="40" customHeight="1">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ht="40" customHeight="1">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ht="40" customHeight="1">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ht="40" customHeight="1">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ht="30" customHeight="1">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ht="30" customHeight="1">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ht="40" customHeight="1">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ht="40" customHeight="1">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ht="40" customHeight="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ht="40" customHeight="1">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ht="40" customHeight="1">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ht="40" customHeight="1">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ht="40" customHeight="1">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ht="40" customHeight="1">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ht="40" customHeight="1">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ht="40" customHeight="1">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ht="40" customHeight="1">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ht="40" customHeight="1">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ht="40" customHeight="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ht="56" customHeight="1">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ht="40" customHeight="1">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ht="40" customHeight="1">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ht="40" customHeight="1">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ht="40" customHeight="1">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ht="30" customHeight="1">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ht="40" customHeight="1">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ht="30" customHeight="1">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ht="30" customHeight="1">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ht="40" customHeight="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ht="30" customHeight="1">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ht="30" customHeight="1">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ht="40" customHeight="1">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ht="30" customHeight="1">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ht="30" customHeight="1">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ht="40" customHeight="1">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ht="30" customHeight="1">
      <c r="A238" s="2" t="inlineStr">
        <is>
          <t>2018::jama.2018.18020::C004</t>
        </is>
      </c>
      <c r="B238" s="2" t="inlineStr">
        <is>
          <t>sourceLinks</t>
        </is>
      </c>
      <c r="C238" s="2" t="n">
        <v>0</v>
      </c>
      <c r="D238" s="2" t="inlineStr">
        <is>
          <t>joi180136supp2_prod.pdf — PDF p. 6</t>
        </is>
      </c>
      <c r="E238" s="2" t="inlineStr">
        <is>
          <t>../../2018/jama.2018.18020/joi180136supp2_prod.pdf#page=6</t>
        </is>
      </c>
    </row>
    <row r="239" ht="30" customHeight="1">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ht="40" customHeight="1">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ht="40" customHeight="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ht="30" customHeight="1">
      <c r="A242" s="2" t="inlineStr">
        <is>
          <t>2018::jama.2018.18020::C005</t>
        </is>
      </c>
      <c r="B242" s="2" t="inlineStr">
        <is>
          <t>sourceLinks</t>
        </is>
      </c>
      <c r="C242" s="2" t="n">
        <v>0</v>
      </c>
      <c r="D242" s="2" t="inlineStr">
        <is>
          <t>joi180136supp2_prod.pdf — PDF p. 11</t>
        </is>
      </c>
      <c r="E242" s="2" t="inlineStr">
        <is>
          <t>../../2018/jama.2018.18020/joi180136supp2_prod.pdf#page=11</t>
        </is>
      </c>
    </row>
    <row r="243" ht="30" customHeight="1">
      <c r="A243" s="3" t="inlineStr">
        <is>
          <t>2018::jama.2018.18020::C005</t>
        </is>
      </c>
      <c r="B243" s="3" t="inlineStr">
        <is>
          <t>sourceLinks</t>
        </is>
      </c>
      <c r="C243" s="3" t="n">
        <v>1</v>
      </c>
      <c r="D243" s="3" t="inlineStr">
        <is>
          <t>joi180136supp2_prod.pdf — PDF p. 13</t>
        </is>
      </c>
      <c r="E243" s="3" t="inlineStr">
        <is>
          <t>../../2018/jama.2018.18020/joi180136supp2_prod.pdf#page=13</t>
        </is>
      </c>
    </row>
    <row r="244" ht="30" customHeight="1">
      <c r="A244" s="2" t="inlineStr">
        <is>
          <t>2018::jama.2018.18020::C005</t>
        </is>
      </c>
      <c r="B244" s="2" t="inlineStr">
        <is>
          <t>sourceLinks</t>
        </is>
      </c>
      <c r="C244" s="2" t="n">
        <v>2</v>
      </c>
      <c r="D244" s="2" t="inlineStr">
        <is>
          <t>joi180136supp2_prod.pdf — PDF p. 14</t>
        </is>
      </c>
      <c r="E244" s="2" t="inlineStr">
        <is>
          <t>../../2018/jama.2018.18020/joi180136supp2_prod.pdf#page=14</t>
        </is>
      </c>
    </row>
    <row r="245" ht="40" customHeight="1">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ht="40" customHeight="1">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ht="30" customHeight="1">
      <c r="A247" s="3" t="inlineStr">
        <is>
          <t>2018::jama.2018.18020::C006</t>
        </is>
      </c>
      <c r="B247" s="3" t="inlineStr">
        <is>
          <t>sourceLinks</t>
        </is>
      </c>
      <c r="C247" s="3" t="n">
        <v>0</v>
      </c>
      <c r="D247" s="3" t="inlineStr">
        <is>
          <t>joi180136supp2_prod.pdf — PDF p. 13</t>
        </is>
      </c>
      <c r="E247" s="3" t="inlineStr">
        <is>
          <t>../../2018/jama.2018.18020/joi180136supp2_prod.pdf#page=13</t>
        </is>
      </c>
    </row>
    <row r="248" ht="30" customHeight="1">
      <c r="A248" s="2" t="inlineStr">
        <is>
          <t>2018::jama.2018.18020::C006</t>
        </is>
      </c>
      <c r="B248" s="2" t="inlineStr">
        <is>
          <t>sourceLinks</t>
        </is>
      </c>
      <c r="C248" s="2" t="n">
        <v>1</v>
      </c>
      <c r="D248" s="2" t="inlineStr">
        <is>
          <t>joi180136supp2_prod.pdf — PDF p. 14</t>
        </is>
      </c>
      <c r="E248" s="2" t="inlineStr">
        <is>
          <t>../../2018/jama.2018.18020/joi180136supp2_prod.pdf#page=14</t>
        </is>
      </c>
    </row>
    <row r="249" ht="40" customHeight="1">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ht="40" customHeight="1">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ht="30" customHeight="1">
      <c r="A251" s="3" t="inlineStr">
        <is>
          <t>2018::jama.2018.18020::C007</t>
        </is>
      </c>
      <c r="B251" s="3" t="inlineStr">
        <is>
          <t>sourceLinks</t>
        </is>
      </c>
      <c r="C251" s="3" t="n">
        <v>0</v>
      </c>
      <c r="D251" s="3" t="inlineStr">
        <is>
          <t>joi180136supp2_prod.pdf — PDF p. 11</t>
        </is>
      </c>
      <c r="E251" s="3" t="inlineStr">
        <is>
          <t>../../2018/jama.2018.18020/joi180136supp2_prod.pdf#page=11</t>
        </is>
      </c>
    </row>
    <row r="252" ht="30" customHeight="1">
      <c r="A252" s="2" t="inlineStr">
        <is>
          <t>2018::jama.2018.18020::C007</t>
        </is>
      </c>
      <c r="B252" s="2" t="inlineStr">
        <is>
          <t>sourceLinks</t>
        </is>
      </c>
      <c r="C252" s="2" t="n">
        <v>1</v>
      </c>
      <c r="D252" s="2" t="inlineStr">
        <is>
          <t>joi180136supp2_prod.pdf — PDF p. 12</t>
        </is>
      </c>
      <c r="E252" s="2" t="inlineStr">
        <is>
          <t>../../2018/jama.2018.18020/joi180136supp2_prod.pdf#page=12</t>
        </is>
      </c>
    </row>
    <row r="253" ht="30" customHeight="1">
      <c r="A253" s="3" t="inlineStr">
        <is>
          <t>2018::jama.2018.18020::C007</t>
        </is>
      </c>
      <c r="B253" s="3" t="inlineStr">
        <is>
          <t>sourceLinks</t>
        </is>
      </c>
      <c r="C253" s="3" t="n">
        <v>2</v>
      </c>
      <c r="D253" s="3" t="inlineStr">
        <is>
          <t>joi180136supp2_prod.pdf — PDF p. 13</t>
        </is>
      </c>
      <c r="E253" s="3" t="inlineStr">
        <is>
          <t>../../2018/jama.2018.18020/joi180136supp2_prod.pdf#page=13</t>
        </is>
      </c>
    </row>
    <row r="254" ht="30" customHeight="1">
      <c r="A254" s="2" t="inlineStr">
        <is>
          <t>2018::jama.2018.18020::C007</t>
        </is>
      </c>
      <c r="B254" s="2" t="inlineStr">
        <is>
          <t>sourceLinks</t>
        </is>
      </c>
      <c r="C254" s="2" t="n">
        <v>3</v>
      </c>
      <c r="D254" s="2" t="inlineStr">
        <is>
          <t>joi180136supp2_prod.pdf — PDF p. 14</t>
        </is>
      </c>
      <c r="E254" s="2" t="inlineStr">
        <is>
          <t>../../2018/jama.2018.18020/joi180136supp2_prod.pdf#page=14</t>
        </is>
      </c>
    </row>
    <row r="255" ht="40" customHeight="1">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ht="40" customHeight="1">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ht="30" customHeight="1">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ht="30" customHeight="1">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ht="30" customHeight="1">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ht="30" customHeight="1">
      <c r="A260" s="2" t="inlineStr">
        <is>
          <t>2018::jama.2018.18020::C008</t>
        </is>
      </c>
      <c r="B260" s="2" t="inlineStr">
        <is>
          <t>sourceLinks</t>
        </is>
      </c>
      <c r="C260" s="2" t="n">
        <v>3</v>
      </c>
      <c r="D260" s="2" t="inlineStr">
        <is>
          <t>joi180136supp2_prod.pdf — PDF p. 4</t>
        </is>
      </c>
      <c r="E260" s="2" t="inlineStr">
        <is>
          <t>../../2018/jama.2018.18020/joi180136supp2_prod.pdf#page=4</t>
        </is>
      </c>
    </row>
    <row r="261" ht="40" customHeight="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ht="40" customHeight="1">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ht="30" customHeight="1">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ht="30" customHeight="1">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ht="30" customHeight="1">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ht="40" customHeight="1">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ht="30" customHeight="1">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ht="30" customHeight="1">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ht="30" customHeight="1">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ht="30" customHeight="1">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ht="40" customHeight="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ht="30" customHeight="1">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ht="30" customHeight="1">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ht="30" customHeight="1">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ht="30" customHeight="1">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ht="30" customHeight="1">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ht="40" customHeight="1">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ht="30" customHeight="1">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ht="30" customHeight="1">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ht="30" customHeight="1">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ht="40" customHeight="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ht="30" customHeight="1">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ht="40" customHeight="1">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ht="30" customHeight="1">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ht="40" customHeight="1">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ht="30" customHeight="1">
      <c r="A286" s="2" t="inlineStr">
        <is>
          <t>2018::jama.2018.6496::C001</t>
        </is>
      </c>
      <c r="B286" s="2" t="inlineStr">
        <is>
          <t>sourceLinks</t>
        </is>
      </c>
      <c r="C286" s="2" t="n">
        <v>0</v>
      </c>
      <c r="D286" s="2" t="inlineStr">
        <is>
          <t>DOC-001 Table 3 — PDF p. 7</t>
        </is>
      </c>
      <c r="E286" s="2" t="inlineStr">
        <is>
          <t>../../2018/jama.2018.6496/jama_driver_2018_oi_180054.pdf#page=7</t>
        </is>
      </c>
    </row>
    <row r="287" ht="30" customHeight="1">
      <c r="A287" s="3" t="inlineStr">
        <is>
          <t>2018::jama.2018.6496::C001</t>
        </is>
      </c>
      <c r="B287" s="3" t="inlineStr">
        <is>
          <t>sourceLinks</t>
        </is>
      </c>
      <c r="C287" s="3" t="n">
        <v>1</v>
      </c>
      <c r="D287" s="3" t="inlineStr">
        <is>
          <t>DOC-003 eTable 1 — PDF p. 2</t>
        </is>
      </c>
      <c r="E287" s="3" t="inlineStr">
        <is>
          <t>../../2018/jama.2018.6496/joi180054supp2_prod.pdf#page=2</t>
        </is>
      </c>
    </row>
    <row r="288" ht="30" customHeight="1">
      <c r="A288" s="2" t="inlineStr">
        <is>
          <t>2018::jama.2018.6496::C001</t>
        </is>
      </c>
      <c r="B288" s="2" t="inlineStr">
        <is>
          <t>sourceLinks</t>
        </is>
      </c>
      <c r="C288" s="2" t="n">
        <v>2</v>
      </c>
      <c r="D288" s="2" t="inlineStr">
        <is>
          <t>DOC-003 eTable 1 note — PDF p. 3</t>
        </is>
      </c>
      <c r="E288" s="2" t="inlineStr">
        <is>
          <t>../../2018/jama.2018.6496/joi180054supp2_prod.pdf#page=3</t>
        </is>
      </c>
    </row>
    <row r="289" ht="30" customHeight="1">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ht="40" customHeight="1">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ht="40" customHeight="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ht="30" customHeight="1">
      <c r="A292" s="2" t="inlineStr">
        <is>
          <t>2018::jama.2018.6496::C002</t>
        </is>
      </c>
      <c r="B292" s="2" t="inlineStr">
        <is>
          <t>sourceLinks</t>
        </is>
      </c>
      <c r="C292" s="2" t="n">
        <v>0</v>
      </c>
      <c r="D292" s="2" t="inlineStr">
        <is>
          <t>DOC-001 Table 3 — PDF p. 7</t>
        </is>
      </c>
      <c r="E292" s="2" t="inlineStr">
        <is>
          <t>../../2018/jama.2018.6496/jama_driver_2018_oi_180054.pdf#page=7</t>
        </is>
      </c>
    </row>
    <row r="293" ht="30" customHeight="1">
      <c r="A293" s="3" t="inlineStr">
        <is>
          <t>2018::jama.2018.6496::C002</t>
        </is>
      </c>
      <c r="B293" s="3" t="inlineStr">
        <is>
          <t>sourceLinks</t>
        </is>
      </c>
      <c r="C293" s="3" t="n">
        <v>1</v>
      </c>
      <c r="D293" s="3" t="inlineStr">
        <is>
          <t>DOC-001 Table 5 — PDF p. 9</t>
        </is>
      </c>
      <c r="E293" s="3" t="inlineStr">
        <is>
          <t>../../2018/jama.2018.6496/jama_driver_2018_oi_180054.pdf#page=9</t>
        </is>
      </c>
    </row>
    <row r="294" ht="30" customHeight="1">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ht="30" customHeight="1">
      <c r="A295" s="3" t="inlineStr">
        <is>
          <t>2018::jama.2018.6496::C002</t>
        </is>
      </c>
      <c r="B295" s="3" t="inlineStr">
        <is>
          <t>sourceLinks</t>
        </is>
      </c>
      <c r="C295" s="3" t="n">
        <v>3</v>
      </c>
      <c r="D295" s="3" t="inlineStr">
        <is>
          <t>DOC-002 analytic issues — PDF p. 21</t>
        </is>
      </c>
      <c r="E295" s="3" t="inlineStr">
        <is>
          <t>../../2018/jama.2018.6496/joi180054supp1_prod.pdf#page=21</t>
        </is>
      </c>
    </row>
    <row r="296" ht="40" customHeight="1">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ht="40" customHeight="1">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ht="30" customHeight="1">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ht="30" customHeight="1">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ht="30" customHeight="1">
      <c r="A300" s="2" t="inlineStr">
        <is>
          <t>2018::jama.2018.6496::C003</t>
        </is>
      </c>
      <c r="B300" s="2" t="inlineStr">
        <is>
          <t>sourceLinks</t>
        </is>
      </c>
      <c r="C300" s="2" t="n">
        <v>2</v>
      </c>
      <c r="D300" s="2" t="inlineStr">
        <is>
          <t>DOC-001 Table 3 — PDF p. 7</t>
        </is>
      </c>
      <c r="E300" s="2" t="inlineStr">
        <is>
          <t>../../2018/jama.2018.6496/jama_driver_2018_oi_180054.pdf#page=7</t>
        </is>
      </c>
    </row>
    <row r="301" ht="30" customHeight="1">
      <c r="A301" s="3" t="inlineStr">
        <is>
          <t>2018::jama.2018.6496::C003</t>
        </is>
      </c>
      <c r="B301" s="3" t="inlineStr">
        <is>
          <t>sourceLinks</t>
        </is>
      </c>
      <c r="C301" s="3" t="n">
        <v>3</v>
      </c>
      <c r="D301" s="3" t="inlineStr">
        <is>
          <t>DOC-001 Table 5 — PDF p. 9</t>
        </is>
      </c>
      <c r="E301" s="3" t="inlineStr">
        <is>
          <t>../../2018/jama.2018.6496/jama_driver_2018_oi_180054.pdf#page=9</t>
        </is>
      </c>
    </row>
    <row r="302" ht="30" customHeight="1">
      <c r="A302" s="2" t="inlineStr">
        <is>
          <t>2018::jama.2018.6496::C003</t>
        </is>
      </c>
      <c r="B302" s="2" t="inlineStr">
        <is>
          <t>sourceLinks</t>
        </is>
      </c>
      <c r="C302" s="2" t="n">
        <v>4</v>
      </c>
      <c r="D302" s="2" t="inlineStr">
        <is>
          <t>DOC-003 eTable 1 note — PDF p. 3</t>
        </is>
      </c>
      <c r="E302" s="2" t="inlineStr">
        <is>
          <t>../../2018/jama.2018.6496/joi180054supp2_prod.pdf#page=3</t>
        </is>
      </c>
    </row>
    <row r="303" ht="30" customHeight="1">
      <c r="A303" s="3" t="inlineStr">
        <is>
          <t>2018::jama.2018.6496::C003</t>
        </is>
      </c>
      <c r="B303" s="3" t="inlineStr">
        <is>
          <t>sourceLinks</t>
        </is>
      </c>
      <c r="C303" s="3" t="n">
        <v>5</v>
      </c>
      <c r="D303" s="3" t="inlineStr">
        <is>
          <t>DOC-003 postintubation form — PDF p. 10</t>
        </is>
      </c>
      <c r="E303" s="3" t="inlineStr">
        <is>
          <t>../../2018/jama.2018.6496/joi180054supp2_prod.pdf#page=10</t>
        </is>
      </c>
    </row>
    <row r="304" ht="40" customHeight="1">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ht="40" customHeight="1">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ht="30" customHeight="1">
      <c r="A306" s="2" t="inlineStr">
        <is>
          <t>2018::jama.2018.6496::C004</t>
        </is>
      </c>
      <c r="B306" s="2" t="inlineStr">
        <is>
          <t>sourceLinks</t>
        </is>
      </c>
      <c r="C306" s="2" t="n">
        <v>0</v>
      </c>
      <c r="D306" s="2" t="inlineStr">
        <is>
          <t>DOC-002 protocol — PDF p. 9</t>
        </is>
      </c>
      <c r="E306" s="2" t="inlineStr">
        <is>
          <t>../../2018/jama.2018.6496/joi180054supp1_prod.pdf#page=9</t>
        </is>
      </c>
    </row>
    <row r="307" ht="30" customHeight="1">
      <c r="A307" s="3" t="inlineStr">
        <is>
          <t>2018::jama.2018.6496::C004</t>
        </is>
      </c>
      <c r="B307" s="3" t="inlineStr">
        <is>
          <t>sourceLinks</t>
        </is>
      </c>
      <c r="C307" s="3" t="n">
        <v>1</v>
      </c>
      <c r="D307" s="3" t="inlineStr">
        <is>
          <t>DOC-001 outcome methods — PDF p. 3</t>
        </is>
      </c>
      <c r="E307" s="3" t="inlineStr">
        <is>
          <t>../../2018/jama.2018.6496/jama_driver_2018_oi_180054.pdf#page=3</t>
        </is>
      </c>
    </row>
    <row r="308" ht="30" customHeight="1">
      <c r="A308" s="2" t="inlineStr">
        <is>
          <t>2018::jama.2018.6496::C004</t>
        </is>
      </c>
      <c r="B308" s="2" t="inlineStr">
        <is>
          <t>sourceLinks</t>
        </is>
      </c>
      <c r="C308" s="2" t="n">
        <v>2</v>
      </c>
      <c r="D308" s="2" t="inlineStr">
        <is>
          <t>DOC-001 Table 3 — PDF p. 7</t>
        </is>
      </c>
      <c r="E308" s="2" t="inlineStr">
        <is>
          <t>../../2018/jama.2018.6496/jama_driver_2018_oi_180054.pdf#page=7</t>
        </is>
      </c>
    </row>
    <row r="309" ht="30" customHeight="1">
      <c r="A309" s="3" t="inlineStr">
        <is>
          <t>2018::jama.2018.6496::C004</t>
        </is>
      </c>
      <c r="B309" s="3" t="inlineStr">
        <is>
          <t>sourceLinks</t>
        </is>
      </c>
      <c r="C309" s="3" t="n">
        <v>3</v>
      </c>
      <c r="D309" s="3" t="inlineStr">
        <is>
          <t>DOC-003 eTable 1 note — PDF p. 3</t>
        </is>
      </c>
      <c r="E309" s="3" t="inlineStr">
        <is>
          <t>../../2018/jama.2018.6496/joi180054supp2_prod.pdf#page=3</t>
        </is>
      </c>
    </row>
    <row r="310" ht="30" customHeight="1">
      <c r="A310" s="2" t="inlineStr">
        <is>
          <t>2018::jama.2018.6496::C004</t>
        </is>
      </c>
      <c r="B310" s="2" t="inlineStr">
        <is>
          <t>sourceLinks</t>
        </is>
      </c>
      <c r="C310" s="2" t="n">
        <v>4</v>
      </c>
      <c r="D310" s="2" t="inlineStr">
        <is>
          <t>DOC-003 data form — PDF p. 10</t>
        </is>
      </c>
      <c r="E310" s="2" t="inlineStr">
        <is>
          <t>../../2018/jama.2018.6496/joi180054supp2_prod.pdf#page=10</t>
        </is>
      </c>
    </row>
    <row r="311" ht="40" customHeight="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ht="40" customHeight="1">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ht="30" customHeight="1">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ht="40" customHeight="1">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ht="30" customHeight="1">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ht="30" customHeight="1">
      <c r="A316" s="2" t="inlineStr">
        <is>
          <t>2018::jama.2018.8802::C002</t>
        </is>
      </c>
      <c r="B316" s="2" t="inlineStr">
        <is>
          <t>sourceLinks</t>
        </is>
      </c>
      <c r="C316" s="2" t="n">
        <v>1</v>
      </c>
      <c r="D316" s="2" t="inlineStr">
        <is>
          <t>joi180070supp1_prod.pdf — PDF p. 15</t>
        </is>
      </c>
      <c r="E316" s="2" t="inlineStr">
        <is>
          <t>../../2018/jama.2018.8802/joi180070supp1_prod.pdf#page=15</t>
        </is>
      </c>
    </row>
    <row r="317" ht="30" customHeight="1">
      <c r="A317" s="3" t="inlineStr">
        <is>
          <t>2018::jama.2018.8802::C002</t>
        </is>
      </c>
      <c r="B317" s="3" t="inlineStr">
        <is>
          <t>sourceLinks</t>
        </is>
      </c>
      <c r="C317" s="3" t="n">
        <v>2</v>
      </c>
      <c r="D317" s="3" t="inlineStr">
        <is>
          <t>joi180070supp2_prod.pdf — PDF p. 3</t>
        </is>
      </c>
      <c r="E317" s="3" t="inlineStr">
        <is>
          <t>../../2018/jama.2018.8802/joi180070supp2_prod.pdf#page=3</t>
        </is>
      </c>
    </row>
    <row r="318" ht="30" customHeight="1">
      <c r="A318" s="2" t="inlineStr">
        <is>
          <t>2018::jama.2018.8802::C002</t>
        </is>
      </c>
      <c r="B318" s="2" t="inlineStr">
        <is>
          <t>sourceLinks</t>
        </is>
      </c>
      <c r="C318" s="2" t="n">
        <v>3</v>
      </c>
      <c r="D318" s="2" t="inlineStr">
        <is>
          <t>joi180070supp2_prod.pdf — PDF p. 8</t>
        </is>
      </c>
      <c r="E318" s="2" t="inlineStr">
        <is>
          <t>../../2018/jama.2018.8802/joi180070supp2_prod.pdf#page=8</t>
        </is>
      </c>
    </row>
    <row r="319" ht="40" customHeight="1">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ht="40" customHeight="1">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ht="30" customHeight="1">
      <c r="A321" s="3" t="inlineStr">
        <is>
          <t>2018::jama.2018.8802::C003</t>
        </is>
      </c>
      <c r="B321" s="3" t="inlineStr">
        <is>
          <t>sourceLinks</t>
        </is>
      </c>
      <c r="C321" s="3" t="n">
        <v>0</v>
      </c>
      <c r="D321" s="3" t="inlineStr">
        <is>
          <t>joi180070supp2_prod.pdf — PDF p. 8</t>
        </is>
      </c>
      <c r="E321" s="3" t="inlineStr">
        <is>
          <t>../../2018/jama.2018.8802/joi180070supp2_prod.pdf#page=8</t>
        </is>
      </c>
    </row>
    <row r="322" ht="40" customHeight="1">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ht="30" customHeight="1">
      <c r="A323" s="3" t="inlineStr">
        <is>
          <t>2018::jama.2018.8802::C004</t>
        </is>
      </c>
      <c r="B323" s="3" t="inlineStr">
        <is>
          <t>sourceLinks</t>
        </is>
      </c>
      <c r="C323" s="3" t="n">
        <v>0</v>
      </c>
      <c r="D323" s="3" t="inlineStr">
        <is>
          <t>joi180070supp2_prod.pdf — PDF p. 8</t>
        </is>
      </c>
      <c r="E323" s="3" t="inlineStr">
        <is>
          <t>../../2018/jama.2018.8802/joi180070supp2_prod.pdf#page=8</t>
        </is>
      </c>
    </row>
    <row r="324" ht="40" customHeight="1">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ht="30" customHeight="1">
      <c r="A325" s="3" t="inlineStr">
        <is>
          <t>2018::jama.2018.8802::C005</t>
        </is>
      </c>
      <c r="B325" s="3" t="inlineStr">
        <is>
          <t>sourceLinks</t>
        </is>
      </c>
      <c r="C325" s="3" t="n">
        <v>0</v>
      </c>
      <c r="D325" s="3" t="inlineStr">
        <is>
          <t>joi180070supp2_prod.pdf — PDF p. 8</t>
        </is>
      </c>
      <c r="E325" s="3" t="inlineStr">
        <is>
          <t>../../2018/jama.2018.8802/joi180070supp2_prod.pdf#page=8</t>
        </is>
      </c>
    </row>
    <row r="326" ht="40" customHeight="1">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ht="30" customHeight="1">
      <c r="A327" s="3" t="inlineStr">
        <is>
          <t>2018::jama.2018.8802::C006</t>
        </is>
      </c>
      <c r="B327" s="3" t="inlineStr">
        <is>
          <t>sourceLinks</t>
        </is>
      </c>
      <c r="C327" s="3" t="n">
        <v>0</v>
      </c>
      <c r="D327" s="3" t="inlineStr">
        <is>
          <t>joi180070supp2_prod.pdf — PDF p. 8</t>
        </is>
      </c>
      <c r="E327" s="3" t="inlineStr">
        <is>
          <t>../../2018/jama.2018.8802/joi180070supp2_prod.pdf#page=8</t>
        </is>
      </c>
    </row>
    <row r="328" ht="40" customHeight="1">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ht="30" customHeight="1">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ht="30" customHeight="1">
      <c r="A330" s="2" t="inlineStr">
        <is>
          <t>2018::jama.2018.8802::C007</t>
        </is>
      </c>
      <c r="B330" s="2" t="inlineStr">
        <is>
          <t>sourceLinks</t>
        </is>
      </c>
      <c r="C330" s="2" t="n">
        <v>1</v>
      </c>
      <c r="D330" s="2" t="inlineStr">
        <is>
          <t>joi180070supp2_prod.pdf — PDF p. 2</t>
        </is>
      </c>
      <c r="E330" s="2" t="inlineStr">
        <is>
          <t>../../2018/jama.2018.8802/joi180070supp2_prod.pdf#page=2</t>
        </is>
      </c>
    </row>
    <row r="331" ht="30" customHeight="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ht="30" customHeight="1">
      <c r="A332" s="2" t="inlineStr">
        <is>
          <t>2018::jama.2018.8802::C007</t>
        </is>
      </c>
      <c r="B332" s="2" t="inlineStr">
        <is>
          <t>sourceLinks</t>
        </is>
      </c>
      <c r="C332" s="2" t="n">
        <v>3</v>
      </c>
      <c r="D332" s="2" t="inlineStr">
        <is>
          <t>joi180070supp1_prod.pdf — PDF p. 4</t>
        </is>
      </c>
      <c r="E332" s="2" t="inlineStr">
        <is>
          <t>../../2018/jama.2018.8802/joi180070supp1_prod.pdf#page=4</t>
        </is>
      </c>
    </row>
    <row r="333" ht="30" customHeight="1">
      <c r="A333" s="3" t="inlineStr">
        <is>
          <t>2018::jama.2018.8802::C007</t>
        </is>
      </c>
      <c r="B333" s="3" t="inlineStr">
        <is>
          <t>sourceLinks</t>
        </is>
      </c>
      <c r="C333" s="3" t="n">
        <v>4</v>
      </c>
      <c r="D333" s="3" t="inlineStr">
        <is>
          <t>PDF p. 7</t>
        </is>
      </c>
      <c r="E333" s="3" t="inlineStr">
        <is>
          <t>../../2018/jama.2018.8802/joi180070supp1_prod.pdf#page=7</t>
        </is>
      </c>
    </row>
    <row r="334" ht="40" customHeight="1">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ht="40" customHeight="1">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ht="30" customHeight="1">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ht="30" customHeight="1">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ht="40" customHeight="1">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ht="30" customHeight="1">
      <c r="A339" s="3" t="inlineStr">
        <is>
          <t>2018::jama.2018.9128::C001</t>
        </is>
      </c>
      <c r="B339" s="3" t="inlineStr">
        <is>
          <t>sourceLinks</t>
        </is>
      </c>
      <c r="C339" s="3" t="n">
        <v>0</v>
      </c>
      <c r="D339" s="3" t="inlineStr">
        <is>
          <t>DOC-001 Figure 1 — PDF p. 3</t>
        </is>
      </c>
      <c r="E339" s="3" t="inlineStr">
        <is>
          <t>../../2018/jama.2018.9128/jama_barkin_2018_oi_180075.pdf#page=3</t>
        </is>
      </c>
    </row>
    <row r="340" ht="30" customHeight="1">
      <c r="A340" s="2" t="inlineStr">
        <is>
          <t>2018::jama.2018.9128::C001</t>
        </is>
      </c>
      <c r="B340" s="2" t="inlineStr">
        <is>
          <t>sourceLinks</t>
        </is>
      </c>
      <c r="C340" s="2" t="n">
        <v>1</v>
      </c>
      <c r="D340" s="2" t="inlineStr">
        <is>
          <t>DOC-001 Figure 2 — PDF p. 7</t>
        </is>
      </c>
      <c r="E340" s="2" t="inlineStr">
        <is>
          <t>../../2018/jama.2018.9128/jama_barkin_2018_oi_180075.pdf#page=7</t>
        </is>
      </c>
    </row>
    <row r="341" ht="30" customHeight="1">
      <c r="A341" s="3" t="inlineStr">
        <is>
          <t>2018::jama.2018.9128::C001</t>
        </is>
      </c>
      <c r="B341" s="3" t="inlineStr">
        <is>
          <t>sourceLinks</t>
        </is>
      </c>
      <c r="C341" s="3" t="n">
        <v>2</v>
      </c>
      <c r="D341" s="3" t="inlineStr">
        <is>
          <t>DOC-003 eTable 1 — PDF p. 2</t>
        </is>
      </c>
      <c r="E341" s="3" t="inlineStr">
        <is>
          <t>../../2018/jama.2018.9128/joi180075supp2_prod.pdf#page=2</t>
        </is>
      </c>
    </row>
    <row r="342" ht="40" customHeight="1">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ht="30" customHeight="1">
      <c r="A343" s="3" t="inlineStr">
        <is>
          <t>2018::jama.2018.9128::C002</t>
        </is>
      </c>
      <c r="B343" s="3" t="inlineStr">
        <is>
          <t>sourceLinks</t>
        </is>
      </c>
      <c r="C343" s="3" t="n">
        <v>0</v>
      </c>
      <c r="D343" s="3" t="inlineStr">
        <is>
          <t>DOC-001 Figure 1 — PDF p. 3</t>
        </is>
      </c>
      <c r="E343" s="3" t="inlineStr">
        <is>
          <t>../../2018/jama.2018.9128/jama_barkin_2018_oi_180075.pdf#page=3</t>
        </is>
      </c>
    </row>
    <row r="344" ht="30" customHeight="1">
      <c r="A344" s="2" t="inlineStr">
        <is>
          <t>2018::jama.2018.9128::C002</t>
        </is>
      </c>
      <c r="B344" s="2" t="inlineStr">
        <is>
          <t>sourceLinks</t>
        </is>
      </c>
      <c r="C344" s="2" t="n">
        <v>1</v>
      </c>
      <c r="D344" s="2" t="inlineStr">
        <is>
          <t>DOC-001 Figure 2 — PDF p. 7</t>
        </is>
      </c>
      <c r="E344" s="2" t="inlineStr">
        <is>
          <t>../../2018/jama.2018.9128/jama_barkin_2018_oi_180075.pdf#page=7</t>
        </is>
      </c>
    </row>
    <row r="345" ht="30" customHeight="1">
      <c r="A345" s="3" t="inlineStr">
        <is>
          <t>2018::jama.2018.9128::C002</t>
        </is>
      </c>
      <c r="B345" s="3" t="inlineStr">
        <is>
          <t>sourceLinks</t>
        </is>
      </c>
      <c r="C345" s="3" t="n">
        <v>2</v>
      </c>
      <c r="D345" s="3" t="inlineStr">
        <is>
          <t>DOC-003 eTable 1 — PDF p. 2</t>
        </is>
      </c>
      <c r="E345" s="3" t="inlineStr">
        <is>
          <t>../../2018/jama.2018.9128/joi180075supp2_prod.pdf#page=2</t>
        </is>
      </c>
    </row>
    <row r="346" ht="40" customHeight="1">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ht="30" customHeight="1">
      <c r="A347" s="3" t="inlineStr">
        <is>
          <t>2018::jama.2018.9128::C003</t>
        </is>
      </c>
      <c r="B347" s="3" t="inlineStr">
        <is>
          <t>sourceLinks</t>
        </is>
      </c>
      <c r="C347" s="3" t="n">
        <v>0</v>
      </c>
      <c r="D347" s="3" t="inlineStr">
        <is>
          <t>DOC-001 Figure 1 — PDF p. 3</t>
        </is>
      </c>
      <c r="E347" s="3" t="inlineStr">
        <is>
          <t>../../2018/jama.2018.9128/jama_barkin_2018_oi_180075.pdf#page=3</t>
        </is>
      </c>
    </row>
    <row r="348" ht="30" customHeight="1">
      <c r="A348" s="2" t="inlineStr">
        <is>
          <t>2018::jama.2018.9128::C003</t>
        </is>
      </c>
      <c r="B348" s="2" t="inlineStr">
        <is>
          <t>sourceLinks</t>
        </is>
      </c>
      <c r="C348" s="2" t="n">
        <v>1</v>
      </c>
      <c r="D348" s="2" t="inlineStr">
        <is>
          <t>DOC-001 Figure 2 — PDF p. 7</t>
        </is>
      </c>
      <c r="E348" s="2" t="inlineStr">
        <is>
          <t>../../2018/jama.2018.9128/jama_barkin_2018_oi_180075.pdf#page=7</t>
        </is>
      </c>
    </row>
    <row r="349" ht="30" customHeight="1">
      <c r="A349" s="3" t="inlineStr">
        <is>
          <t>2018::jama.2018.9128::C003</t>
        </is>
      </c>
      <c r="B349" s="3" t="inlineStr">
        <is>
          <t>sourceLinks</t>
        </is>
      </c>
      <c r="C349" s="3" t="n">
        <v>2</v>
      </c>
      <c r="D349" s="3" t="inlineStr">
        <is>
          <t>DOC-003 eTable 1 — PDF p. 2</t>
        </is>
      </c>
      <c r="E349" s="3" t="inlineStr">
        <is>
          <t>../../2018/jama.2018.9128/joi180075supp2_prod.pdf#page=2</t>
        </is>
      </c>
    </row>
    <row r="350" ht="40" customHeight="1">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ht="30" customHeight="1">
      <c r="A351" s="3" t="inlineStr">
        <is>
          <t>2018::jama.2018.9128::C004</t>
        </is>
      </c>
      <c r="B351" s="3" t="inlineStr">
        <is>
          <t>sourceLinks</t>
        </is>
      </c>
      <c r="C351" s="3" t="n">
        <v>0</v>
      </c>
      <c r="D351" s="3" t="inlineStr">
        <is>
          <t>DOC-001 Figure 1 — PDF p. 3</t>
        </is>
      </c>
      <c r="E351" s="3" t="inlineStr">
        <is>
          <t>../../2018/jama.2018.9128/jama_barkin_2018_oi_180075.pdf#page=3</t>
        </is>
      </c>
    </row>
    <row r="352" ht="30" customHeight="1">
      <c r="A352" s="2" t="inlineStr">
        <is>
          <t>2018::jama.2018.9128::C004</t>
        </is>
      </c>
      <c r="B352" s="2" t="inlineStr">
        <is>
          <t>sourceLinks</t>
        </is>
      </c>
      <c r="C352" s="2" t="n">
        <v>1</v>
      </c>
      <c r="D352" s="2" t="inlineStr">
        <is>
          <t>DOC-001 Figure 2 — PDF p. 7</t>
        </is>
      </c>
      <c r="E352" s="2" t="inlineStr">
        <is>
          <t>../../2018/jama.2018.9128/jama_barkin_2018_oi_180075.pdf#page=7</t>
        </is>
      </c>
    </row>
    <row r="353" ht="30" customHeight="1">
      <c r="A353" s="3" t="inlineStr">
        <is>
          <t>2018::jama.2018.9128::C004</t>
        </is>
      </c>
      <c r="B353" s="3" t="inlineStr">
        <is>
          <t>sourceLinks</t>
        </is>
      </c>
      <c r="C353" s="3" t="n">
        <v>2</v>
      </c>
      <c r="D353" s="3" t="inlineStr">
        <is>
          <t>DOC-003 eTable 1 — PDF p. 2</t>
        </is>
      </c>
      <c r="E353" s="3" t="inlineStr">
        <is>
          <t>../../2018/jama.2018.9128/joi180075supp2_prod.pdf#page=2</t>
        </is>
      </c>
    </row>
    <row r="354" ht="40" customHeight="1">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ht="30" customHeight="1">
      <c r="A355" s="3" t="inlineStr">
        <is>
          <t>2018::jama.2018.9128::C005</t>
        </is>
      </c>
      <c r="B355" s="3" t="inlineStr">
        <is>
          <t>sourceLinks</t>
        </is>
      </c>
      <c r="C355" s="3" t="n">
        <v>0</v>
      </c>
      <c r="D355" s="3" t="inlineStr">
        <is>
          <t>DOC-001 Figure 1 — PDF p. 3</t>
        </is>
      </c>
      <c r="E355" s="3" t="inlineStr">
        <is>
          <t>../../2018/jama.2018.9128/jama_barkin_2018_oi_180075.pdf#page=3</t>
        </is>
      </c>
    </row>
    <row r="356" ht="30" customHeight="1">
      <c r="A356" s="2" t="inlineStr">
        <is>
          <t>2018::jama.2018.9128::C005</t>
        </is>
      </c>
      <c r="B356" s="2" t="inlineStr">
        <is>
          <t>sourceLinks</t>
        </is>
      </c>
      <c r="C356" s="2" t="n">
        <v>1</v>
      </c>
      <c r="D356" s="2" t="inlineStr">
        <is>
          <t>DOC-001 Figure 2 — PDF p. 7</t>
        </is>
      </c>
      <c r="E356" s="2" t="inlineStr">
        <is>
          <t>../../2018/jama.2018.9128/jama_barkin_2018_oi_180075.pdf#page=7</t>
        </is>
      </c>
    </row>
    <row r="357" ht="30" customHeight="1">
      <c r="A357" s="3" t="inlineStr">
        <is>
          <t>2018::jama.2018.9128::C005</t>
        </is>
      </c>
      <c r="B357" s="3" t="inlineStr">
        <is>
          <t>sourceLinks</t>
        </is>
      </c>
      <c r="C357" s="3" t="n">
        <v>2</v>
      </c>
      <c r="D357" s="3" t="inlineStr">
        <is>
          <t>DOC-003 eTable 1 — PDF p. 2</t>
        </is>
      </c>
      <c r="E357" s="3" t="inlineStr">
        <is>
          <t>../../2018/jama.2018.9128/joi180075supp2_prod.pdf#page=2</t>
        </is>
      </c>
    </row>
    <row r="358" ht="40" customHeight="1">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ht="30" customHeight="1">
      <c r="A359" s="3" t="inlineStr">
        <is>
          <t>2018::jama.2018.9128::C006</t>
        </is>
      </c>
      <c r="B359" s="3" t="inlineStr">
        <is>
          <t>sourceLinks</t>
        </is>
      </c>
      <c r="C359" s="3" t="n">
        <v>0</v>
      </c>
      <c r="D359" s="3" t="inlineStr">
        <is>
          <t>DOC-001 Figure 1 — PDF p. 3</t>
        </is>
      </c>
      <c r="E359" s="3" t="inlineStr">
        <is>
          <t>../../2018/jama.2018.9128/jama_barkin_2018_oi_180075.pdf#page=3</t>
        </is>
      </c>
    </row>
    <row r="360" ht="30" customHeight="1">
      <c r="A360" s="2" t="inlineStr">
        <is>
          <t>2018::jama.2018.9128::C006</t>
        </is>
      </c>
      <c r="B360" s="2" t="inlineStr">
        <is>
          <t>sourceLinks</t>
        </is>
      </c>
      <c r="C360" s="2" t="n">
        <v>1</v>
      </c>
      <c r="D360" s="2" t="inlineStr">
        <is>
          <t>DOC-001 Figure 2 — PDF p. 7</t>
        </is>
      </c>
      <c r="E360" s="2" t="inlineStr">
        <is>
          <t>../../2018/jama.2018.9128/jama_barkin_2018_oi_180075.pdf#page=7</t>
        </is>
      </c>
    </row>
    <row r="361" ht="30" customHeight="1">
      <c r="A361" s="3" t="inlineStr">
        <is>
          <t>2018::jama.2018.9128::C006</t>
        </is>
      </c>
      <c r="B361" s="3" t="inlineStr">
        <is>
          <t>sourceLinks</t>
        </is>
      </c>
      <c r="C361" s="3" t="n">
        <v>2</v>
      </c>
      <c r="D361" s="3" t="inlineStr">
        <is>
          <t>DOC-003 eTable 1 — PDF p. 2</t>
        </is>
      </c>
      <c r="E361" s="3" t="inlineStr">
        <is>
          <t>../../2018/jama.2018.9128/joi180075supp2_prod.pdf#page=2</t>
        </is>
      </c>
    </row>
    <row r="362" ht="40" customHeight="1">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ht="30" customHeight="1">
      <c r="A363" s="3" t="inlineStr">
        <is>
          <t>2018::jama.2018.9128::C007</t>
        </is>
      </c>
      <c r="B363" s="3" t="inlineStr">
        <is>
          <t>sourceLinks</t>
        </is>
      </c>
      <c r="C363" s="3" t="n">
        <v>0</v>
      </c>
      <c r="D363" s="3" t="inlineStr">
        <is>
          <t>DOC-001 Figure 1 — PDF p. 3</t>
        </is>
      </c>
      <c r="E363" s="3" t="inlineStr">
        <is>
          <t>../../2018/jama.2018.9128/jama_barkin_2018_oi_180075.pdf#page=3</t>
        </is>
      </c>
    </row>
    <row r="364" ht="30" customHeight="1">
      <c r="A364" s="2" t="inlineStr">
        <is>
          <t>2018::jama.2018.9128::C007</t>
        </is>
      </c>
      <c r="B364" s="2" t="inlineStr">
        <is>
          <t>sourceLinks</t>
        </is>
      </c>
      <c r="C364" s="2" t="n">
        <v>1</v>
      </c>
      <c r="D364" s="2" t="inlineStr">
        <is>
          <t>DOC-001 Figure 2 — PDF p. 7</t>
        </is>
      </c>
      <c r="E364" s="2" t="inlineStr">
        <is>
          <t>../../2018/jama.2018.9128/jama_barkin_2018_oi_180075.pdf#page=7</t>
        </is>
      </c>
    </row>
    <row r="365" ht="30" customHeight="1">
      <c r="A365" s="3" t="inlineStr">
        <is>
          <t>2018::jama.2018.9128::C007</t>
        </is>
      </c>
      <c r="B365" s="3" t="inlineStr">
        <is>
          <t>sourceLinks</t>
        </is>
      </c>
      <c r="C365" s="3" t="n">
        <v>2</v>
      </c>
      <c r="D365" s="3" t="inlineStr">
        <is>
          <t>DOC-003 eTable 1 — PDF p. 2</t>
        </is>
      </c>
      <c r="E365" s="3" t="inlineStr">
        <is>
          <t>../../2018/jama.2018.9128/joi180075supp2_prod.pdf#page=2</t>
        </is>
      </c>
    </row>
    <row r="366" ht="40" customHeight="1">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ht="30" customHeight="1">
      <c r="A367" s="3" t="inlineStr">
        <is>
          <t>2018::jama.2018.9128::C008</t>
        </is>
      </c>
      <c r="B367" s="3" t="inlineStr">
        <is>
          <t>sourceLinks</t>
        </is>
      </c>
      <c r="C367" s="3" t="n">
        <v>0</v>
      </c>
      <c r="D367" s="3" t="inlineStr">
        <is>
          <t>DOC-001 Figure 1 — PDF p. 3</t>
        </is>
      </c>
      <c r="E367" s="3" t="inlineStr">
        <is>
          <t>../../2018/jama.2018.9128/jama_barkin_2018_oi_180075.pdf#page=3</t>
        </is>
      </c>
    </row>
    <row r="368" ht="30" customHeight="1">
      <c r="A368" s="2" t="inlineStr">
        <is>
          <t>2018::jama.2018.9128::C008</t>
        </is>
      </c>
      <c r="B368" s="2" t="inlineStr">
        <is>
          <t>sourceLinks</t>
        </is>
      </c>
      <c r="C368" s="2" t="n">
        <v>1</v>
      </c>
      <c r="D368" s="2" t="inlineStr">
        <is>
          <t>DOC-001 Figure 2 — PDF p. 7</t>
        </is>
      </c>
      <c r="E368" s="2" t="inlineStr">
        <is>
          <t>../../2018/jama.2018.9128/jama_barkin_2018_oi_180075.pdf#page=7</t>
        </is>
      </c>
    </row>
    <row r="369" ht="30" customHeight="1">
      <c r="A369" s="3" t="inlineStr">
        <is>
          <t>2018::jama.2018.9128::C008</t>
        </is>
      </c>
      <c r="B369" s="3" t="inlineStr">
        <is>
          <t>sourceLinks</t>
        </is>
      </c>
      <c r="C369" s="3" t="n">
        <v>2</v>
      </c>
      <c r="D369" s="3" t="inlineStr">
        <is>
          <t>DOC-003 eTable 1 — PDF p. 2</t>
        </is>
      </c>
      <c r="E369" s="3" t="inlineStr">
        <is>
          <t>../../2018/jama.2018.9128/joi180075supp2_prod.pdf#page=2</t>
        </is>
      </c>
    </row>
    <row r="370" ht="40" customHeight="1">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ht="30" customHeight="1">
      <c r="A371" s="3" t="inlineStr">
        <is>
          <t>2018::jama.2018.9128::C009</t>
        </is>
      </c>
      <c r="B371" s="3" t="inlineStr">
        <is>
          <t>sourceLinks</t>
        </is>
      </c>
      <c r="C371" s="3" t="n">
        <v>0</v>
      </c>
      <c r="D371" s="3" t="inlineStr">
        <is>
          <t>DOC-002 final SAP — PDF p. 110</t>
        </is>
      </c>
      <c r="E371" s="3" t="inlineStr">
        <is>
          <t>../../2018/jama.2018.9128/joi180075supp1_prod.pdf#page=110</t>
        </is>
      </c>
    </row>
    <row r="372" ht="30" customHeight="1">
      <c r="A372" s="2" t="inlineStr">
        <is>
          <t>2018::jama.2018.9128::C009</t>
        </is>
      </c>
      <c r="B372" s="2" t="inlineStr">
        <is>
          <t>sourceLinks</t>
        </is>
      </c>
      <c r="C372" s="2" t="n">
        <v>1</v>
      </c>
      <c r="D372" s="2" t="inlineStr">
        <is>
          <t>DOC-002 protocol schedule — PDF p. 15</t>
        </is>
      </c>
      <c r="E372" s="2" t="inlineStr">
        <is>
          <t>../../2018/jama.2018.9128/joi180075supp1_prod.pdf#page=15</t>
        </is>
      </c>
    </row>
    <row r="373" ht="30" customHeight="1">
      <c r="A373" s="3" t="inlineStr">
        <is>
          <t>2018::jama.2018.9128::C009</t>
        </is>
      </c>
      <c r="B373" s="3" t="inlineStr">
        <is>
          <t>sourceLinks</t>
        </is>
      </c>
      <c r="C373" s="3" t="n">
        <v>2</v>
      </c>
      <c r="D373" s="3" t="inlineStr">
        <is>
          <t>DOC-001 Methods — PDF p. 4</t>
        </is>
      </c>
      <c r="E373" s="3" t="inlineStr">
        <is>
          <t>../../2018/jama.2018.9128/jama_barkin_2018_oi_180075.pdf#page=4</t>
        </is>
      </c>
    </row>
    <row r="374" ht="30" customHeight="1">
      <c r="A374" s="2" t="inlineStr">
        <is>
          <t>2018::jama.2018.9128::C009</t>
        </is>
      </c>
      <c r="B374" s="2" t="inlineStr">
        <is>
          <t>sourceLinks</t>
        </is>
      </c>
      <c r="C374" s="2" t="n">
        <v>3</v>
      </c>
      <c r="D374" s="2" t="inlineStr">
        <is>
          <t>DOC-003 eTable 1 — PDF p. 2</t>
        </is>
      </c>
      <c r="E374" s="2" t="inlineStr">
        <is>
          <t>../../2018/jama.2018.9128/joi180075supp2_prod.pdf#page=2</t>
        </is>
      </c>
    </row>
    <row r="375" ht="40" customHeight="1">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ht="40" customHeight="1">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ht="30" customHeight="1">
      <c r="A377" s="3" t="inlineStr">
        <is>
          <t>2018::jama.2018.9128::C010</t>
        </is>
      </c>
      <c r="B377" s="3" t="inlineStr">
        <is>
          <t>sourceLinks</t>
        </is>
      </c>
      <c r="C377" s="3" t="n">
        <v>0</v>
      </c>
      <c r="D377" s="3" t="inlineStr">
        <is>
          <t>DOC-002 revised protocol — PDF p. 64</t>
        </is>
      </c>
      <c r="E377" s="3" t="inlineStr">
        <is>
          <t>../../2018/jama.2018.9128/joi180075supp1_prod.pdf#page=64</t>
        </is>
      </c>
    </row>
    <row r="378" ht="30" customHeight="1">
      <c r="A378" s="2" t="inlineStr">
        <is>
          <t>2018::jama.2018.9128::C010</t>
        </is>
      </c>
      <c r="B378" s="2" t="inlineStr">
        <is>
          <t>sourceLinks</t>
        </is>
      </c>
      <c r="C378" s="2" t="n">
        <v>1</v>
      </c>
      <c r="D378" s="2" t="inlineStr">
        <is>
          <t>DOC-001 Methods — PDF p. 4</t>
        </is>
      </c>
      <c r="E378" s="2" t="inlineStr">
        <is>
          <t>../../2018/jama.2018.9128/jama_barkin_2018_oi_180075.pdf#page=4</t>
        </is>
      </c>
    </row>
    <row r="379" ht="30" customHeight="1">
      <c r="A379" s="3" t="inlineStr">
        <is>
          <t>2018::jama.2018.9128::C010</t>
        </is>
      </c>
      <c r="B379" s="3" t="inlineStr">
        <is>
          <t>sourceLinks</t>
        </is>
      </c>
      <c r="C379" s="3" t="n">
        <v>2</v>
      </c>
      <c r="D379" s="3" t="inlineStr">
        <is>
          <t>DOC-003 eTable 1 — PDF p. 2</t>
        </is>
      </c>
      <c r="E379" s="3" t="inlineStr">
        <is>
          <t>../../2018/jama.2018.9128/joi180075supp2_prod.pdf#page=2</t>
        </is>
      </c>
    </row>
    <row r="380" ht="40" customHeight="1">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ht="40" customHeight="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ht="30" customHeight="1">
      <c r="A382" s="2" t="inlineStr">
        <is>
          <t>2018::jama.2018.9128::C011</t>
        </is>
      </c>
      <c r="B382" s="2" t="inlineStr">
        <is>
          <t>sourceLinks</t>
        </is>
      </c>
      <c r="C382" s="2" t="n">
        <v>0</v>
      </c>
      <c r="D382" s="2" t="inlineStr">
        <is>
          <t>DOC-002 original protocol — PDF p. 16</t>
        </is>
      </c>
      <c r="E382" s="2" t="inlineStr">
        <is>
          <t>../../2018/jama.2018.9128/joi180075supp1_prod.pdf#page=16</t>
        </is>
      </c>
    </row>
    <row r="383" ht="30" customHeight="1">
      <c r="A383" s="3" t="inlineStr">
        <is>
          <t>2018::jama.2018.9128::C011</t>
        </is>
      </c>
      <c r="B383" s="3" t="inlineStr">
        <is>
          <t>sourceLinks</t>
        </is>
      </c>
      <c r="C383" s="3" t="n">
        <v>1</v>
      </c>
      <c r="D383" s="3" t="inlineStr">
        <is>
          <t>DOC-002 final SAP — PDF p. 110</t>
        </is>
      </c>
      <c r="E383" s="3" t="inlineStr">
        <is>
          <t>../../2018/jama.2018.9128/joi180075supp1_prod.pdf#page=110</t>
        </is>
      </c>
    </row>
    <row r="384" ht="30" customHeight="1">
      <c r="A384" s="2" t="inlineStr">
        <is>
          <t>2018::jama.2018.9128::C011</t>
        </is>
      </c>
      <c r="B384" s="2" t="inlineStr">
        <is>
          <t>sourceLinks</t>
        </is>
      </c>
      <c r="C384" s="2" t="n">
        <v>2</v>
      </c>
      <c r="D384" s="2" t="inlineStr">
        <is>
          <t>DOC-001 Outcomes — PDF p. 3</t>
        </is>
      </c>
      <c r="E384" s="2" t="inlineStr">
        <is>
          <t>../../2018/jama.2018.9128/jama_barkin_2018_oi_180075.pdf#page=3</t>
        </is>
      </c>
    </row>
    <row r="385" ht="30" customHeight="1">
      <c r="A385" s="3" t="inlineStr">
        <is>
          <t>2018::jama.2018.9128::C011</t>
        </is>
      </c>
      <c r="B385" s="3" t="inlineStr">
        <is>
          <t>sourceLinks</t>
        </is>
      </c>
      <c r="C385" s="3" t="n">
        <v>3</v>
      </c>
      <c r="D385" s="3" t="inlineStr">
        <is>
          <t>DOC-003 eTable 1 — PDF p. 2</t>
        </is>
      </c>
      <c r="E385" s="3" t="inlineStr">
        <is>
          <t>../../2018/jama.2018.9128/joi180075supp2_prod.pdf#page=2</t>
        </is>
      </c>
    </row>
    <row r="386" ht="40" customHeight="1">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ht="40" customHeight="1">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ht="30" customHeight="1">
      <c r="A388" s="2" t="inlineStr">
        <is>
          <t>2018::jama.2018.9128::C012</t>
        </is>
      </c>
      <c r="B388" s="2" t="inlineStr">
        <is>
          <t>sourceLinks</t>
        </is>
      </c>
      <c r="C388" s="2" t="n">
        <v>0</v>
      </c>
      <c r="D388" s="2" t="inlineStr">
        <is>
          <t>DOC-002 original protocol — PDF p. 14</t>
        </is>
      </c>
      <c r="E388" s="2" t="inlineStr">
        <is>
          <t>../../2018/jama.2018.9128/joi180075supp1_prod.pdf#page=14</t>
        </is>
      </c>
    </row>
    <row r="389" ht="30" customHeight="1">
      <c r="A389" s="3" t="inlineStr">
        <is>
          <t>2018::jama.2018.9128::C012</t>
        </is>
      </c>
      <c r="B389" s="3" t="inlineStr">
        <is>
          <t>sourceLinks</t>
        </is>
      </c>
      <c r="C389" s="3" t="n">
        <v>1</v>
      </c>
      <c r="D389" s="3" t="inlineStr">
        <is>
          <t>DOC-002 revised protocol — PDF p. 64</t>
        </is>
      </c>
      <c r="E389" s="3" t="inlineStr">
        <is>
          <t>../../2018/jama.2018.9128/joi180075supp1_prod.pdf#page=64</t>
        </is>
      </c>
    </row>
    <row r="390" ht="30" customHeight="1">
      <c r="A390" s="2" t="inlineStr">
        <is>
          <t>2018::jama.2018.9128::C012</t>
        </is>
      </c>
      <c r="B390" s="2" t="inlineStr">
        <is>
          <t>sourceLinks</t>
        </is>
      </c>
      <c r="C390" s="2" t="n">
        <v>2</v>
      </c>
      <c r="D390" s="2" t="inlineStr">
        <is>
          <t>DOC-001 abstract — PDF p. 1</t>
        </is>
      </c>
      <c r="E390" s="2" t="inlineStr">
        <is>
          <t>../../2018/jama.2018.9128/jama_barkin_2018_oi_180075.pdf#page=1</t>
        </is>
      </c>
    </row>
    <row r="391" ht="30" customHeight="1">
      <c r="A391" s="3" t="inlineStr">
        <is>
          <t>2018::jama.2018.9128::C012</t>
        </is>
      </c>
      <c r="B391" s="3" t="inlineStr">
        <is>
          <t>sourceLinks</t>
        </is>
      </c>
      <c r="C391" s="3" t="n">
        <v>3</v>
      </c>
      <c r="D391" s="3" t="inlineStr">
        <is>
          <t>DOC-001 Methods — PDF p. 3</t>
        </is>
      </c>
      <c r="E391" s="3" t="inlineStr">
        <is>
          <t>../../2018/jama.2018.9128/jama_barkin_2018_oi_180075.pdf#page=3</t>
        </is>
      </c>
    </row>
    <row r="392" ht="40" customHeight="1">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ht="40" customHeight="1">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ht="30" customHeight="1">
      <c r="A394" s="2" t="inlineStr">
        <is>
          <t>2018::jama.2018.9128::C013</t>
        </is>
      </c>
      <c r="B394" s="2" t="inlineStr">
        <is>
          <t>sourceLinks</t>
        </is>
      </c>
      <c r="C394" s="2" t="n">
        <v>0</v>
      </c>
      <c r="D394" s="2" t="inlineStr">
        <is>
          <t>DOC-001 Figure 1 — PDF p. 3</t>
        </is>
      </c>
      <c r="E394" s="2" t="inlineStr">
        <is>
          <t>../../2018/jama.2018.9128/jama_barkin_2018_oi_180075.pdf#page=3</t>
        </is>
      </c>
    </row>
    <row r="395" ht="30" customHeight="1">
      <c r="A395" s="3" t="inlineStr">
        <is>
          <t>2018::jama.2018.9128::C013</t>
        </is>
      </c>
      <c r="B395" s="3" t="inlineStr">
        <is>
          <t>sourceLinks</t>
        </is>
      </c>
      <c r="C395" s="3" t="n">
        <v>1</v>
      </c>
      <c r="D395" s="3" t="inlineStr">
        <is>
          <t>DOC-001 Figure 2 — PDF p. 7</t>
        </is>
      </c>
      <c r="E395" s="3" t="inlineStr">
        <is>
          <t>../../2018/jama.2018.9128/jama_barkin_2018_oi_180075.pdf#page=7</t>
        </is>
      </c>
    </row>
    <row r="396" ht="30" customHeight="1">
      <c r="A396" s="2" t="inlineStr">
        <is>
          <t>2018::jama.2018.9128::C013</t>
        </is>
      </c>
      <c r="B396" s="2" t="inlineStr">
        <is>
          <t>sourceLinks</t>
        </is>
      </c>
      <c r="C396" s="2" t="n">
        <v>2</v>
      </c>
      <c r="D396" s="2" t="inlineStr">
        <is>
          <t>DOC-003 eTable 1 — PDF p. 2</t>
        </is>
      </c>
      <c r="E396" s="2" t="inlineStr">
        <is>
          <t>../../2018/jama.2018.9128/joi180075supp2_prod.pdf#page=2</t>
        </is>
      </c>
    </row>
    <row r="397" ht="40" customHeight="1">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sheetData>
  <sheetProtection selectLockedCells="0" selectUnlockedCells="0" sheet="1" objects="0" insertRows="1" insertHyperlinks="1" autoFilter="0" scenarios="0" formatColumns="1" deleteColumns="1" insertColumns="1" pivotTables="1" deleteRows="1" formatCells="1" formatRows="1" sort="1"/>
  <autoFilter ref="A1:E397"/>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2018::jama.2017.21906::C001</t>
        </is>
      </c>
      <c r="B2" s="2" t="inlineStr">
        <is>
          <t>relations</t>
        </is>
      </c>
      <c r="C2" s="2" t="n">
        <v>0</v>
      </c>
      <c r="D2" s="2" t="inlineStr">
        <is>
          <t>S_W</t>
        </is>
      </c>
    </row>
    <row r="3" ht="30" customHeight="1">
      <c r="A3" s="3" t="inlineStr">
        <is>
          <t>2018::jama.2017.21906::C002</t>
        </is>
      </c>
      <c r="B3" s="3" t="inlineStr">
        <is>
          <t>relations</t>
        </is>
      </c>
      <c r="C3" s="3" t="n">
        <v>0</v>
      </c>
      <c r="D3" s="3" t="inlineStr">
        <is>
          <t>S_W</t>
        </is>
      </c>
    </row>
    <row r="4" ht="30" customHeight="1">
      <c r="A4" s="2" t="inlineStr">
        <is>
          <t>2018::jama.2017.21906::C003</t>
        </is>
      </c>
      <c r="B4" s="2" t="inlineStr">
        <is>
          <t>relations</t>
        </is>
      </c>
      <c r="C4" s="2" t="n">
        <v>0</v>
      </c>
      <c r="D4" s="2" t="inlineStr">
        <is>
          <t>S_W</t>
        </is>
      </c>
    </row>
    <row r="5" ht="30" customHeight="1">
      <c r="A5" s="3" t="inlineStr">
        <is>
          <t>2018::jama.2017.21906::C004</t>
        </is>
      </c>
      <c r="B5" s="3" t="inlineStr">
        <is>
          <t>relations</t>
        </is>
      </c>
      <c r="C5" s="3" t="n">
        <v>0</v>
      </c>
      <c r="D5" s="3" t="inlineStr">
        <is>
          <t>P_R</t>
        </is>
      </c>
    </row>
    <row r="6" ht="30" customHeight="1">
      <c r="A6" s="2" t="inlineStr">
        <is>
          <t>2018::jama.2017.21906::C005</t>
        </is>
      </c>
      <c r="B6" s="2" t="inlineStr">
        <is>
          <t>relations</t>
        </is>
      </c>
      <c r="C6" s="2" t="n">
        <v>0</v>
      </c>
      <c r="D6" s="2" t="inlineStr">
        <is>
          <t>S_C</t>
        </is>
      </c>
    </row>
    <row r="7" ht="30" customHeight="1">
      <c r="A7" s="3" t="inlineStr">
        <is>
          <t>2018::jama.2017.21906::C005</t>
        </is>
      </c>
      <c r="B7" s="3" t="inlineStr">
        <is>
          <t>relations</t>
        </is>
      </c>
      <c r="C7" s="3" t="n">
        <v>1</v>
      </c>
      <c r="D7" s="3" t="inlineStr">
        <is>
          <t>S_W</t>
        </is>
      </c>
    </row>
    <row r="8" ht="30" customHeight="1">
      <c r="A8" s="2" t="inlineStr">
        <is>
          <t>2018::jama.2017.21906::C006</t>
        </is>
      </c>
      <c r="B8" s="2" t="inlineStr">
        <is>
          <t>relations</t>
        </is>
      </c>
      <c r="C8" s="2" t="n">
        <v>0</v>
      </c>
      <c r="D8" s="2" t="inlineStr">
        <is>
          <t>P_R</t>
        </is>
      </c>
    </row>
    <row r="9" ht="30" customHeight="1">
      <c r="A9" s="3" t="inlineStr">
        <is>
          <t>2018::jama.2018.0156::C001</t>
        </is>
      </c>
      <c r="B9" s="3" t="inlineStr">
        <is>
          <t>relations</t>
        </is>
      </c>
      <c r="C9" s="3" t="n">
        <v>0</v>
      </c>
      <c r="D9" s="3" t="inlineStr">
        <is>
          <t>S_W</t>
        </is>
      </c>
    </row>
    <row r="10" ht="30" customHeight="1">
      <c r="A10" s="2" t="inlineStr">
        <is>
          <t>2018::jama.2018.0156::C002</t>
        </is>
      </c>
      <c r="B10" s="2" t="inlineStr">
        <is>
          <t>relations</t>
        </is>
      </c>
      <c r="C10" s="2" t="n">
        <v>0</v>
      </c>
      <c r="D10" s="2" t="inlineStr">
        <is>
          <t>S_W</t>
        </is>
      </c>
    </row>
    <row r="11" ht="30" customHeight="1">
      <c r="A11" s="3" t="inlineStr">
        <is>
          <t>2018::jama.2018.0156::C003</t>
        </is>
      </c>
      <c r="B11" s="3" t="inlineStr">
        <is>
          <t>relations</t>
        </is>
      </c>
      <c r="C11" s="3" t="n">
        <v>0</v>
      </c>
      <c r="D11" s="3" t="inlineStr">
        <is>
          <t>S_W</t>
        </is>
      </c>
    </row>
    <row r="12" ht="30" customHeight="1">
      <c r="A12" s="2" t="inlineStr">
        <is>
          <t>2018::jama.2018.0156::C004</t>
        </is>
      </c>
      <c r="B12" s="2" t="inlineStr">
        <is>
          <t>relations</t>
        </is>
      </c>
      <c r="C12" s="2" t="n">
        <v>0</v>
      </c>
      <c r="D12" s="2" t="inlineStr">
        <is>
          <t>S_W</t>
        </is>
      </c>
    </row>
    <row r="13" ht="30" customHeight="1">
      <c r="A13" s="3" t="inlineStr">
        <is>
          <t>2018::jama.2018.0156::C005</t>
        </is>
      </c>
      <c r="B13" s="3" t="inlineStr">
        <is>
          <t>relations</t>
        </is>
      </c>
      <c r="C13" s="3" t="n">
        <v>0</v>
      </c>
      <c r="D13" s="3" t="inlineStr">
        <is>
          <t>S_W</t>
        </is>
      </c>
    </row>
    <row r="14" ht="30" customHeight="1">
      <c r="A14" s="2" t="inlineStr">
        <is>
          <t>2018::jama.2018.0156::C006</t>
        </is>
      </c>
      <c r="B14" s="2" t="inlineStr">
        <is>
          <t>relations</t>
        </is>
      </c>
      <c r="C14" s="2" t="n">
        <v>0</v>
      </c>
      <c r="D14" s="2" t="inlineStr">
        <is>
          <t>S_C</t>
        </is>
      </c>
    </row>
    <row r="15" ht="30" customHeight="1">
      <c r="A15" s="3" t="inlineStr">
        <is>
          <t>2018::jama.2018.0156::C007</t>
        </is>
      </c>
      <c r="B15" s="3" t="inlineStr">
        <is>
          <t>relations</t>
        </is>
      </c>
      <c r="C15" s="3" t="n">
        <v>0</v>
      </c>
      <c r="D15" s="3" t="inlineStr">
        <is>
          <t>P_R</t>
        </is>
      </c>
    </row>
    <row r="16" ht="30" customHeight="1">
      <c r="A16" s="2" t="inlineStr">
        <is>
          <t>2018::jama.2018.0156::C008</t>
        </is>
      </c>
      <c r="B16" s="2" t="inlineStr">
        <is>
          <t>relations</t>
        </is>
      </c>
      <c r="C16" s="2" t="n">
        <v>0</v>
      </c>
      <c r="D16" s="2" t="inlineStr">
        <is>
          <t>P_R</t>
        </is>
      </c>
    </row>
    <row r="17" ht="30" customHeight="1">
      <c r="A17" s="3" t="inlineStr">
        <is>
          <t>2018::jama.2018.0948::C001</t>
        </is>
      </c>
      <c r="B17" s="3" t="inlineStr">
        <is>
          <t>relations</t>
        </is>
      </c>
      <c r="C17" s="3" t="n">
        <v>0</v>
      </c>
      <c r="D17" s="3" t="inlineStr">
        <is>
          <t>P_R</t>
        </is>
      </c>
    </row>
    <row r="18" ht="30" customHeight="1">
      <c r="A18" s="2" t="inlineStr">
        <is>
          <t>2018::jama.2018.0948::C001</t>
        </is>
      </c>
      <c r="B18" s="2" t="inlineStr">
        <is>
          <t>relations</t>
        </is>
      </c>
      <c r="C18" s="2" t="n">
        <v>1</v>
      </c>
      <c r="D18" s="2" t="inlineStr">
        <is>
          <t>S_C</t>
        </is>
      </c>
    </row>
    <row r="19" ht="30" customHeight="1">
      <c r="A19" s="3" t="inlineStr">
        <is>
          <t>2018::jama.2018.0948::C002</t>
        </is>
      </c>
      <c r="B19" s="3" t="inlineStr">
        <is>
          <t>relations</t>
        </is>
      </c>
      <c r="C19" s="3" t="n">
        <v>0</v>
      </c>
      <c r="D19" s="3" t="inlineStr">
        <is>
          <t>P_P</t>
        </is>
      </c>
    </row>
    <row r="20" ht="30" customHeight="1">
      <c r="A20" s="2" t="inlineStr">
        <is>
          <t>2018::jama.2018.0948::C003</t>
        </is>
      </c>
      <c r="B20" s="2" t="inlineStr">
        <is>
          <t>relations</t>
        </is>
      </c>
      <c r="C20" s="2" t="n">
        <v>0</v>
      </c>
      <c r="D20" s="2" t="inlineStr">
        <is>
          <t>P_P</t>
        </is>
      </c>
    </row>
    <row r="21" ht="30" customHeight="1">
      <c r="A21" s="3" t="inlineStr">
        <is>
          <t>2018::jama.2018.0948::C004</t>
        </is>
      </c>
      <c r="B21" s="3" t="inlineStr">
        <is>
          <t>relations</t>
        </is>
      </c>
      <c r="C21" s="3" t="n">
        <v>0</v>
      </c>
      <c r="D21" s="3" t="inlineStr">
        <is>
          <t>P_P</t>
        </is>
      </c>
    </row>
    <row r="22" ht="30" customHeight="1">
      <c r="A22" s="2" t="inlineStr">
        <is>
          <t>2018::jama.2018.0948::C005</t>
        </is>
      </c>
      <c r="B22" s="2" t="inlineStr">
        <is>
          <t>relations</t>
        </is>
      </c>
      <c r="C22" s="2" t="n">
        <v>0</v>
      </c>
      <c r="D22" s="2" t="inlineStr">
        <is>
          <t>P_P</t>
        </is>
      </c>
    </row>
    <row r="23" ht="30" customHeight="1">
      <c r="A23" s="3" t="inlineStr">
        <is>
          <t>2018::jama.2018.0948::C005</t>
        </is>
      </c>
      <c r="B23" s="3" t="inlineStr">
        <is>
          <t>legacyRelations</t>
        </is>
      </c>
      <c r="C23" s="3" t="n">
        <v>0</v>
      </c>
      <c r="D23" s="3" t="inlineStr">
        <is>
          <t>P_B</t>
        </is>
      </c>
    </row>
    <row r="24" ht="30" customHeight="1">
      <c r="A24" s="2" t="inlineStr">
        <is>
          <t>2018::jama.2018.0948::C006</t>
        </is>
      </c>
      <c r="B24" s="2" t="inlineStr">
        <is>
          <t>relations</t>
        </is>
      </c>
      <c r="C24" s="2" t="n">
        <v>0</v>
      </c>
      <c r="D24" s="2" t="inlineStr">
        <is>
          <t>P_P</t>
        </is>
      </c>
    </row>
    <row r="25" ht="30" customHeight="1">
      <c r="A25" s="3" t="inlineStr">
        <is>
          <t>2018::jama.2018.0948::C007</t>
        </is>
      </c>
      <c r="B25" s="3" t="inlineStr">
        <is>
          <t>relations</t>
        </is>
      </c>
      <c r="C25" s="3" t="n">
        <v>0</v>
      </c>
      <c r="D25" s="3" t="inlineStr">
        <is>
          <t>P_P</t>
        </is>
      </c>
    </row>
    <row r="26" ht="30" customHeight="1">
      <c r="A26" s="2" t="inlineStr">
        <is>
          <t>2018::jama.2018.0948::C007</t>
        </is>
      </c>
      <c r="B26" s="2" t="inlineStr">
        <is>
          <t>legacyRelations</t>
        </is>
      </c>
      <c r="C26" s="2" t="n">
        <v>0</v>
      </c>
      <c r="D26" s="2" t="inlineStr">
        <is>
          <t>P_B</t>
        </is>
      </c>
    </row>
    <row r="27" ht="30" customHeight="1">
      <c r="A27" s="3" t="inlineStr">
        <is>
          <t>2018::jama.2018.14280::C001</t>
        </is>
      </c>
      <c r="B27" s="3" t="inlineStr">
        <is>
          <t>relations</t>
        </is>
      </c>
      <c r="C27" s="3" t="n">
        <v>0</v>
      </c>
      <c r="D27" s="3" t="inlineStr">
        <is>
          <t>S_W</t>
        </is>
      </c>
    </row>
    <row r="28" ht="30" customHeight="1">
      <c r="A28" s="2" t="inlineStr">
        <is>
          <t>2018::jama.2018.14280::C002</t>
        </is>
      </c>
      <c r="B28" s="2" t="inlineStr">
        <is>
          <t>relations</t>
        </is>
      </c>
      <c r="C28" s="2" t="n">
        <v>0</v>
      </c>
      <c r="D28" s="2" t="inlineStr">
        <is>
          <t>S_W</t>
        </is>
      </c>
    </row>
    <row r="29" ht="30" customHeight="1">
      <c r="A29" s="3" t="inlineStr">
        <is>
          <t>2018::jama.2018.14280::C003</t>
        </is>
      </c>
      <c r="B29" s="3" t="inlineStr">
        <is>
          <t>relations</t>
        </is>
      </c>
      <c r="C29" s="3" t="n">
        <v>0</v>
      </c>
      <c r="D29" s="3" t="inlineStr">
        <is>
          <t>S_W</t>
        </is>
      </c>
    </row>
    <row r="30" ht="30" customHeight="1">
      <c r="A30" s="2" t="inlineStr">
        <is>
          <t>2018::jama.2018.14280::C004</t>
        </is>
      </c>
      <c r="B30" s="2" t="inlineStr">
        <is>
          <t>relations</t>
        </is>
      </c>
      <c r="C30" s="2" t="n">
        <v>0</v>
      </c>
      <c r="D30" s="2" t="inlineStr">
        <is>
          <t>S_W</t>
        </is>
      </c>
    </row>
    <row r="31" ht="30" customHeight="1">
      <c r="A31" s="3" t="inlineStr">
        <is>
          <t>2018::jama.2018.14280::C005</t>
        </is>
      </c>
      <c r="B31" s="3" t="inlineStr">
        <is>
          <t>relations</t>
        </is>
      </c>
      <c r="C31" s="3" t="n">
        <v>0</v>
      </c>
      <c r="D31" s="3" t="inlineStr">
        <is>
          <t>S_W</t>
        </is>
      </c>
    </row>
    <row r="32" ht="30" customHeight="1">
      <c r="A32" s="2" t="inlineStr">
        <is>
          <t>2018::jama.2018.14280::C006</t>
        </is>
      </c>
      <c r="B32" s="2" t="inlineStr">
        <is>
          <t>relations</t>
        </is>
      </c>
      <c r="C32" s="2" t="n">
        <v>0</v>
      </c>
      <c r="D32" s="2" t="inlineStr">
        <is>
          <t>S_W</t>
        </is>
      </c>
    </row>
    <row r="33" ht="30" customHeight="1">
      <c r="A33" s="3" t="inlineStr">
        <is>
          <t>2018::jama.2018.14280::C007</t>
        </is>
      </c>
      <c r="B33" s="3" t="inlineStr">
        <is>
          <t>relations</t>
        </is>
      </c>
      <c r="C33" s="3" t="n">
        <v>0</v>
      </c>
      <c r="D33" s="3" t="inlineStr">
        <is>
          <t>S_W</t>
        </is>
      </c>
    </row>
    <row r="34" ht="30" customHeight="1">
      <c r="A34" s="2" t="inlineStr">
        <is>
          <t>2018::jama.2018.14280::C008</t>
        </is>
      </c>
      <c r="B34" s="2" t="inlineStr">
        <is>
          <t>relations</t>
        </is>
      </c>
      <c r="C34" s="2" t="n">
        <v>0</v>
      </c>
      <c r="D34" s="2" t="inlineStr">
        <is>
          <t>S_W</t>
        </is>
      </c>
    </row>
    <row r="35" ht="30" customHeight="1">
      <c r="A35" s="3" t="inlineStr">
        <is>
          <t>2018::jama.2018.14280::C009</t>
        </is>
      </c>
      <c r="B35" s="3" t="inlineStr">
        <is>
          <t>relations</t>
        </is>
      </c>
      <c r="C35" s="3" t="n">
        <v>0</v>
      </c>
      <c r="D35" s="3" t="inlineStr">
        <is>
          <t>S_W</t>
        </is>
      </c>
    </row>
    <row r="36" ht="30" customHeight="1">
      <c r="A36" s="2" t="inlineStr">
        <is>
          <t>2018::jama.2018.14280::C010</t>
        </is>
      </c>
      <c r="B36" s="2" t="inlineStr">
        <is>
          <t>relations</t>
        </is>
      </c>
      <c r="C36" s="2" t="n">
        <v>0</v>
      </c>
      <c r="D36" s="2" t="inlineStr">
        <is>
          <t>S_W</t>
        </is>
      </c>
    </row>
    <row r="37" ht="30" customHeight="1">
      <c r="A37" s="3" t="inlineStr">
        <is>
          <t>2018::jama.2018.14280::C011</t>
        </is>
      </c>
      <c r="B37" s="3" t="inlineStr">
        <is>
          <t>relations</t>
        </is>
      </c>
      <c r="C37" s="3" t="n">
        <v>0</v>
      </c>
      <c r="D37" s="3" t="inlineStr">
        <is>
          <t>S_W</t>
        </is>
      </c>
    </row>
    <row r="38" ht="30" customHeight="1">
      <c r="A38" s="2" t="inlineStr">
        <is>
          <t>2018::jama.2018.14280::C012</t>
        </is>
      </c>
      <c r="B38" s="2" t="inlineStr">
        <is>
          <t>relations</t>
        </is>
      </c>
      <c r="C38" s="2" t="n">
        <v>0</v>
      </c>
      <c r="D38" s="2" t="inlineStr">
        <is>
          <t>S_W</t>
        </is>
      </c>
    </row>
    <row r="39" ht="30" customHeight="1">
      <c r="A39" s="3" t="inlineStr">
        <is>
          <t>2018::jama.2018.14280::C013</t>
        </is>
      </c>
      <c r="B39" s="3" t="inlineStr">
        <is>
          <t>relations</t>
        </is>
      </c>
      <c r="C39" s="3" t="n">
        <v>0</v>
      </c>
      <c r="D39" s="3" t="inlineStr">
        <is>
          <t>S_W</t>
        </is>
      </c>
    </row>
    <row r="40" ht="30" customHeight="1">
      <c r="A40" s="2" t="inlineStr">
        <is>
          <t>2018::jama.2018.14280::C014</t>
        </is>
      </c>
      <c r="B40" s="2" t="inlineStr">
        <is>
          <t>relations</t>
        </is>
      </c>
      <c r="C40" s="2" t="n">
        <v>0</v>
      </c>
      <c r="D40" s="2" t="inlineStr">
        <is>
          <t>S_W</t>
        </is>
      </c>
    </row>
    <row r="41" ht="30" customHeight="1">
      <c r="A41" s="3" t="inlineStr">
        <is>
          <t>2018::jama.2018.14280::C015</t>
        </is>
      </c>
      <c r="B41" s="3" t="inlineStr">
        <is>
          <t>relations</t>
        </is>
      </c>
      <c r="C41" s="3" t="n">
        <v>0</v>
      </c>
      <c r="D41" s="3" t="inlineStr">
        <is>
          <t>S_W</t>
        </is>
      </c>
    </row>
    <row r="42" ht="30" customHeight="1">
      <c r="A42" s="2" t="inlineStr">
        <is>
          <t>2018::jama.2018.14280::C016</t>
        </is>
      </c>
      <c r="B42" s="2" t="inlineStr">
        <is>
          <t>relations</t>
        </is>
      </c>
      <c r="C42" s="2" t="n">
        <v>0</v>
      </c>
      <c r="D42" s="2" t="inlineStr">
        <is>
          <t>S_W</t>
        </is>
      </c>
    </row>
    <row r="43" ht="30" customHeight="1">
      <c r="A43" s="3" t="inlineStr">
        <is>
          <t>2018::jama.2018.14280::C017</t>
        </is>
      </c>
      <c r="B43" s="3" t="inlineStr">
        <is>
          <t>relations</t>
        </is>
      </c>
      <c r="C43" s="3" t="n">
        <v>0</v>
      </c>
      <c r="D43" s="3" t="inlineStr">
        <is>
          <t>S_W</t>
        </is>
      </c>
    </row>
    <row r="44" ht="30" customHeight="1">
      <c r="A44" s="2" t="inlineStr">
        <is>
          <t>2018::jama.2018.14280::C018</t>
        </is>
      </c>
      <c r="B44" s="2" t="inlineStr">
        <is>
          <t>relations</t>
        </is>
      </c>
      <c r="C44" s="2" t="n">
        <v>0</v>
      </c>
      <c r="D44" s="2" t="inlineStr">
        <is>
          <t>S_W</t>
        </is>
      </c>
    </row>
    <row r="45" ht="30" customHeight="1">
      <c r="A45" s="3" t="inlineStr">
        <is>
          <t>2018::jama.2018.14280::C019</t>
        </is>
      </c>
      <c r="B45" s="3" t="inlineStr">
        <is>
          <t>relations</t>
        </is>
      </c>
      <c r="C45" s="3" t="n">
        <v>0</v>
      </c>
      <c r="D45" s="3" t="inlineStr">
        <is>
          <t>S_W</t>
        </is>
      </c>
    </row>
    <row r="46" ht="30" customHeight="1">
      <c r="A46" s="2" t="inlineStr">
        <is>
          <t>2018::jama.2018.14280::C020</t>
        </is>
      </c>
      <c r="B46" s="2" t="inlineStr">
        <is>
          <t>relations</t>
        </is>
      </c>
      <c r="C46" s="2" t="n">
        <v>0</v>
      </c>
      <c r="D46" s="2" t="inlineStr">
        <is>
          <t>S_W</t>
        </is>
      </c>
    </row>
    <row r="47" ht="30" customHeight="1">
      <c r="A47" s="3" t="inlineStr">
        <is>
          <t>2018::jama.2018.14280::C021</t>
        </is>
      </c>
      <c r="B47" s="3" t="inlineStr">
        <is>
          <t>relations</t>
        </is>
      </c>
      <c r="C47" s="3" t="n">
        <v>0</v>
      </c>
      <c r="D47" s="3" t="inlineStr">
        <is>
          <t>S_W</t>
        </is>
      </c>
    </row>
    <row r="48" ht="30" customHeight="1">
      <c r="A48" s="2" t="inlineStr">
        <is>
          <t>2018::jama.2018.14280::C022</t>
        </is>
      </c>
      <c r="B48" s="2" t="inlineStr">
        <is>
          <t>relations</t>
        </is>
      </c>
      <c r="C48" s="2" t="n">
        <v>0</v>
      </c>
      <c r="D48" s="2" t="inlineStr">
        <is>
          <t>S_C</t>
        </is>
      </c>
    </row>
    <row r="49" ht="30" customHeight="1">
      <c r="A49" s="3" t="inlineStr">
        <is>
          <t>2018::jama.2018.14280::C023</t>
        </is>
      </c>
      <c r="B49" s="3" t="inlineStr">
        <is>
          <t>relations</t>
        </is>
      </c>
      <c r="C49" s="3" t="n">
        <v>0</v>
      </c>
      <c r="D49" s="3" t="inlineStr">
        <is>
          <t>P_R</t>
        </is>
      </c>
    </row>
    <row r="50" ht="30" customHeight="1">
      <c r="A50" s="2" t="inlineStr">
        <is>
          <t>2018::jama.2018.14282::C001</t>
        </is>
      </c>
      <c r="B50" s="2" t="inlineStr">
        <is>
          <t>relations</t>
        </is>
      </c>
      <c r="C50" s="2" t="n">
        <v>0</v>
      </c>
      <c r="D50" s="2" t="inlineStr">
        <is>
          <t>S_W</t>
        </is>
      </c>
    </row>
    <row r="51" ht="30" customHeight="1">
      <c r="A51" s="3" t="inlineStr">
        <is>
          <t>2018::jama.2018.14282::C002</t>
        </is>
      </c>
      <c r="B51" s="3" t="inlineStr">
        <is>
          <t>relations</t>
        </is>
      </c>
      <c r="C51" s="3" t="n">
        <v>0</v>
      </c>
      <c r="D51" s="3" t="inlineStr">
        <is>
          <t>S_W</t>
        </is>
      </c>
    </row>
    <row r="52" ht="30" customHeight="1">
      <c r="A52" s="2" t="inlineStr">
        <is>
          <t>2018::jama.2018.14282::C003</t>
        </is>
      </c>
      <c r="B52" s="2" t="inlineStr">
        <is>
          <t>relations</t>
        </is>
      </c>
      <c r="C52" s="2" t="n">
        <v>0</v>
      </c>
      <c r="D52" s="2" t="inlineStr">
        <is>
          <t>S_W</t>
        </is>
      </c>
    </row>
    <row r="53" ht="30" customHeight="1">
      <c r="A53" s="3" t="inlineStr">
        <is>
          <t>2018::jama.2018.14282::C004</t>
        </is>
      </c>
      <c r="B53" s="3" t="inlineStr">
        <is>
          <t>relations</t>
        </is>
      </c>
      <c r="C53" s="3" t="n">
        <v>0</v>
      </c>
      <c r="D53" s="3" t="inlineStr">
        <is>
          <t>S_W</t>
        </is>
      </c>
    </row>
    <row r="54" ht="30" customHeight="1">
      <c r="A54" s="2" t="inlineStr">
        <is>
          <t>2018::jama.2018.14282::C005</t>
        </is>
      </c>
      <c r="B54" s="2" t="inlineStr">
        <is>
          <t>relations</t>
        </is>
      </c>
      <c r="C54" s="2" t="n">
        <v>0</v>
      </c>
      <c r="D54" s="2" t="inlineStr">
        <is>
          <t>S_W</t>
        </is>
      </c>
    </row>
    <row r="55" ht="30" customHeight="1">
      <c r="A55" s="3" t="inlineStr">
        <is>
          <t>2018::jama.2018.14282::C006</t>
        </is>
      </c>
      <c r="B55" s="3" t="inlineStr">
        <is>
          <t>relations</t>
        </is>
      </c>
      <c r="C55" s="3" t="n">
        <v>0</v>
      </c>
      <c r="D55" s="3" t="inlineStr">
        <is>
          <t>S_W</t>
        </is>
      </c>
    </row>
    <row r="56" ht="30" customHeight="1">
      <c r="A56" s="2" t="inlineStr">
        <is>
          <t>2018::jama.2018.14282::C007</t>
        </is>
      </c>
      <c r="B56" s="2" t="inlineStr">
        <is>
          <t>relations</t>
        </is>
      </c>
      <c r="C56" s="2" t="n">
        <v>0</v>
      </c>
      <c r="D56" s="2" t="inlineStr">
        <is>
          <t>S_W</t>
        </is>
      </c>
    </row>
    <row r="57" ht="30" customHeight="1">
      <c r="A57" s="3" t="inlineStr">
        <is>
          <t>2018::jama.2018.14282::C008</t>
        </is>
      </c>
      <c r="B57" s="3" t="inlineStr">
        <is>
          <t>relations</t>
        </is>
      </c>
      <c r="C57" s="3" t="n">
        <v>0</v>
      </c>
      <c r="D57" s="3" t="inlineStr">
        <is>
          <t>S_W</t>
        </is>
      </c>
    </row>
    <row r="58" ht="30" customHeight="1">
      <c r="A58" s="2" t="inlineStr">
        <is>
          <t>2018::jama.2018.14282::C009</t>
        </is>
      </c>
      <c r="B58" s="2" t="inlineStr">
        <is>
          <t>relations</t>
        </is>
      </c>
      <c r="C58" s="2" t="n">
        <v>0</v>
      </c>
      <c r="D58" s="2" t="inlineStr">
        <is>
          <t>S_W</t>
        </is>
      </c>
    </row>
    <row r="59" ht="30" customHeight="1">
      <c r="A59" s="3" t="inlineStr">
        <is>
          <t>2018::jama.2018.14282::C010</t>
        </is>
      </c>
      <c r="B59" s="3" t="inlineStr">
        <is>
          <t>relations</t>
        </is>
      </c>
      <c r="C59" s="3" t="n">
        <v>0</v>
      </c>
      <c r="D59" s="3" t="inlineStr">
        <is>
          <t>S_W</t>
        </is>
      </c>
    </row>
    <row r="60" ht="30" customHeight="1">
      <c r="A60" s="2" t="inlineStr">
        <is>
          <t>2018::jama.2018.14282::C011</t>
        </is>
      </c>
      <c r="B60" s="2" t="inlineStr">
        <is>
          <t>relations</t>
        </is>
      </c>
      <c r="C60" s="2" t="n">
        <v>0</v>
      </c>
      <c r="D60" s="2" t="inlineStr">
        <is>
          <t>S_W</t>
        </is>
      </c>
    </row>
    <row r="61" ht="30" customHeight="1">
      <c r="A61" s="3" t="inlineStr">
        <is>
          <t>2018::jama.2018.14282::C012</t>
        </is>
      </c>
      <c r="B61" s="3" t="inlineStr">
        <is>
          <t>relations</t>
        </is>
      </c>
      <c r="C61" s="3" t="n">
        <v>0</v>
      </c>
      <c r="D61" s="3" t="inlineStr">
        <is>
          <t>S_W</t>
        </is>
      </c>
    </row>
    <row r="62" ht="30" customHeight="1">
      <c r="A62" s="2" t="inlineStr">
        <is>
          <t>2018::jama.2018.14282::C013</t>
        </is>
      </c>
      <c r="B62" s="2" t="inlineStr">
        <is>
          <t>relations</t>
        </is>
      </c>
      <c r="C62" s="2" t="n">
        <v>0</v>
      </c>
      <c r="D62" s="2" t="inlineStr">
        <is>
          <t>S_W</t>
        </is>
      </c>
    </row>
    <row r="63" ht="30" customHeight="1">
      <c r="A63" s="3" t="inlineStr">
        <is>
          <t>2018::jama.2018.14282::C014</t>
        </is>
      </c>
      <c r="B63" s="3" t="inlineStr">
        <is>
          <t>relations</t>
        </is>
      </c>
      <c r="C63" s="3" t="n">
        <v>0</v>
      </c>
      <c r="D63" s="3" t="inlineStr">
        <is>
          <t>S_W</t>
        </is>
      </c>
    </row>
    <row r="64" ht="30" customHeight="1">
      <c r="A64" s="2" t="inlineStr">
        <is>
          <t>2018::jama.2018.14282::C015</t>
        </is>
      </c>
      <c r="B64" s="2" t="inlineStr">
        <is>
          <t>relations</t>
        </is>
      </c>
      <c r="C64" s="2" t="n">
        <v>0</v>
      </c>
      <c r="D64" s="2" t="inlineStr">
        <is>
          <t>S_W</t>
        </is>
      </c>
    </row>
    <row r="65" ht="30" customHeight="1">
      <c r="A65" s="3" t="inlineStr">
        <is>
          <t>2018::jama.2018.14282::C016</t>
        </is>
      </c>
      <c r="B65" s="3" t="inlineStr">
        <is>
          <t>relations</t>
        </is>
      </c>
      <c r="C65" s="3" t="n">
        <v>0</v>
      </c>
      <c r="D65" s="3" t="inlineStr">
        <is>
          <t>S_W</t>
        </is>
      </c>
    </row>
    <row r="66" ht="30" customHeight="1">
      <c r="A66" s="2" t="inlineStr">
        <is>
          <t>2018::jama.2018.14282::C017</t>
        </is>
      </c>
      <c r="B66" s="2" t="inlineStr">
        <is>
          <t>relations</t>
        </is>
      </c>
      <c r="C66" s="2" t="n">
        <v>0</v>
      </c>
      <c r="D66" s="2" t="inlineStr">
        <is>
          <t>S_W</t>
        </is>
      </c>
    </row>
    <row r="67" ht="30" customHeight="1">
      <c r="A67" s="3" t="inlineStr">
        <is>
          <t>2018::jama.2018.14282::C018</t>
        </is>
      </c>
      <c r="B67" s="3" t="inlineStr">
        <is>
          <t>relations</t>
        </is>
      </c>
      <c r="C67" s="3" t="n">
        <v>0</v>
      </c>
      <c r="D67" s="3" t="inlineStr">
        <is>
          <t>S_W</t>
        </is>
      </c>
    </row>
    <row r="68" ht="30" customHeight="1">
      <c r="A68" s="2" t="inlineStr">
        <is>
          <t>2018::jama.2018.14282::C019</t>
        </is>
      </c>
      <c r="B68" s="2" t="inlineStr">
        <is>
          <t>relations</t>
        </is>
      </c>
      <c r="C68" s="2" t="n">
        <v>0</v>
      </c>
      <c r="D68" s="2" t="inlineStr">
        <is>
          <t>S_W</t>
        </is>
      </c>
    </row>
    <row r="69" ht="30" customHeight="1">
      <c r="A69" s="3" t="inlineStr">
        <is>
          <t>2018::jama.2018.14282::C020</t>
        </is>
      </c>
      <c r="B69" s="3" t="inlineStr">
        <is>
          <t>relations</t>
        </is>
      </c>
      <c r="C69" s="3" t="n">
        <v>0</v>
      </c>
      <c r="D69" s="3" t="inlineStr">
        <is>
          <t>S_W</t>
        </is>
      </c>
    </row>
    <row r="70" ht="30" customHeight="1">
      <c r="A70" s="2" t="inlineStr">
        <is>
          <t>2018::jama.2018.14282::C021</t>
        </is>
      </c>
      <c r="B70" s="2" t="inlineStr">
        <is>
          <t>relations</t>
        </is>
      </c>
      <c r="C70" s="2" t="n">
        <v>0</v>
      </c>
      <c r="D70" s="2" t="inlineStr">
        <is>
          <t>S_W</t>
        </is>
      </c>
    </row>
    <row r="71" ht="30" customHeight="1">
      <c r="A71" s="3" t="inlineStr">
        <is>
          <t>2018::jama.2018.14282::C022</t>
        </is>
      </c>
      <c r="B71" s="3" t="inlineStr">
        <is>
          <t>relations</t>
        </is>
      </c>
      <c r="C71" s="3" t="n">
        <v>0</v>
      </c>
      <c r="D71" s="3" t="inlineStr">
        <is>
          <t>S_C</t>
        </is>
      </c>
    </row>
    <row r="72" ht="30" customHeight="1">
      <c r="A72" s="2" t="inlineStr">
        <is>
          <t>2018::jama.2018.14282::C023</t>
        </is>
      </c>
      <c r="B72" s="2" t="inlineStr">
        <is>
          <t>relations</t>
        </is>
      </c>
      <c r="C72" s="2" t="n">
        <v>0</v>
      </c>
      <c r="D72" s="2" t="inlineStr">
        <is>
          <t>S_W</t>
        </is>
      </c>
    </row>
    <row r="73" ht="30" customHeight="1">
      <c r="A73" s="3" t="inlineStr">
        <is>
          <t>2018::jama.2018.14282::C024</t>
        </is>
      </c>
      <c r="B73" s="3" t="inlineStr">
        <is>
          <t>relations</t>
        </is>
      </c>
      <c r="C73" s="3" t="n">
        <v>0</v>
      </c>
      <c r="D73" s="3" t="inlineStr">
        <is>
          <t>S_W</t>
        </is>
      </c>
    </row>
    <row r="74" ht="30" customHeight="1">
      <c r="A74" s="2" t="inlineStr">
        <is>
          <t>2018::jama.2018.14282::C025</t>
        </is>
      </c>
      <c r="B74" s="2" t="inlineStr">
        <is>
          <t>relations</t>
        </is>
      </c>
      <c r="C74" s="2" t="n">
        <v>0</v>
      </c>
      <c r="D74" s="2" t="inlineStr">
        <is>
          <t>S_W</t>
        </is>
      </c>
    </row>
    <row r="75" ht="30" customHeight="1">
      <c r="A75" s="3" t="inlineStr">
        <is>
          <t>2018::jama.2018.14282::C026</t>
        </is>
      </c>
      <c r="B75" s="3" t="inlineStr">
        <is>
          <t>relations</t>
        </is>
      </c>
      <c r="C75" s="3" t="n">
        <v>0</v>
      </c>
      <c r="D75" s="3" t="inlineStr">
        <is>
          <t>P_P</t>
        </is>
      </c>
    </row>
    <row r="76" ht="30" customHeight="1">
      <c r="A76" s="2" t="inlineStr">
        <is>
          <t>2018::jama.2018.14282::C027</t>
        </is>
      </c>
      <c r="B76" s="2" t="inlineStr">
        <is>
          <t>relations</t>
        </is>
      </c>
      <c r="C76" s="2" t="n">
        <v>0</v>
      </c>
      <c r="D76" s="2" t="inlineStr">
        <is>
          <t>P_P</t>
        </is>
      </c>
    </row>
    <row r="77" ht="30" customHeight="1">
      <c r="A77" s="3" t="inlineStr">
        <is>
          <t>2018::jama.2018.14282::C028</t>
        </is>
      </c>
      <c r="B77" s="3" t="inlineStr">
        <is>
          <t>relations</t>
        </is>
      </c>
      <c r="C77" s="3" t="n">
        <v>0</v>
      </c>
      <c r="D77" s="3" t="inlineStr">
        <is>
          <t>P_P</t>
        </is>
      </c>
    </row>
    <row r="78" ht="30" customHeight="1">
      <c r="A78" s="2" t="inlineStr">
        <is>
          <t>2018::jama.2018.17075::C001</t>
        </is>
      </c>
      <c r="B78" s="2" t="inlineStr">
        <is>
          <t>relations</t>
        </is>
      </c>
      <c r="C78" s="2" t="n">
        <v>0</v>
      </c>
      <c r="D78" s="2" t="inlineStr">
        <is>
          <t>S_W</t>
        </is>
      </c>
    </row>
    <row r="79" ht="30" customHeight="1">
      <c r="A79" s="3" t="inlineStr">
        <is>
          <t>2018::jama.2018.17075::C002</t>
        </is>
      </c>
      <c r="B79" s="3" t="inlineStr">
        <is>
          <t>relations</t>
        </is>
      </c>
      <c r="C79" s="3" t="n">
        <v>0</v>
      </c>
      <c r="D79" s="3" t="inlineStr">
        <is>
          <t>S_W</t>
        </is>
      </c>
    </row>
    <row r="80" ht="30" customHeight="1">
      <c r="A80" s="2" t="inlineStr">
        <is>
          <t>2018::jama.2018.17075::C003</t>
        </is>
      </c>
      <c r="B80" s="2" t="inlineStr">
        <is>
          <t>relations</t>
        </is>
      </c>
      <c r="C80" s="2" t="n">
        <v>0</v>
      </c>
      <c r="D80" s="2" t="inlineStr">
        <is>
          <t>S_C</t>
        </is>
      </c>
    </row>
    <row r="81" ht="30" customHeight="1">
      <c r="A81" s="3" t="inlineStr">
        <is>
          <t>2018::jama.2018.17075::C003</t>
        </is>
      </c>
      <c r="B81" s="3" t="inlineStr">
        <is>
          <t>relations</t>
        </is>
      </c>
      <c r="C81" s="3" t="n">
        <v>1</v>
      </c>
      <c r="D81" s="3" t="inlineStr">
        <is>
          <t>S_W</t>
        </is>
      </c>
    </row>
    <row r="82" ht="30" customHeight="1">
      <c r="A82" s="2" t="inlineStr">
        <is>
          <t>2018::jama.2018.17075::C004</t>
        </is>
      </c>
      <c r="B82" s="2" t="inlineStr">
        <is>
          <t>relations</t>
        </is>
      </c>
      <c r="C82" s="2" t="n">
        <v>0</v>
      </c>
      <c r="D82" s="2" t="inlineStr">
        <is>
          <t>S_C</t>
        </is>
      </c>
    </row>
    <row r="83" ht="30" customHeight="1">
      <c r="A83" s="3" t="inlineStr">
        <is>
          <t>2018::jama.2018.17075::C004</t>
        </is>
      </c>
      <c r="B83" s="3" t="inlineStr">
        <is>
          <t>relations</t>
        </is>
      </c>
      <c r="C83" s="3" t="n">
        <v>1</v>
      </c>
      <c r="D83" s="3" t="inlineStr">
        <is>
          <t>S_W</t>
        </is>
      </c>
    </row>
    <row r="84" ht="30" customHeight="1">
      <c r="A84" s="2" t="inlineStr">
        <is>
          <t>2018::jama.2018.17075::C005</t>
        </is>
      </c>
      <c r="B84" s="2" t="inlineStr">
        <is>
          <t>relations</t>
        </is>
      </c>
      <c r="C84" s="2" t="n">
        <v>0</v>
      </c>
      <c r="D84" s="2" t="inlineStr">
        <is>
          <t>S_W</t>
        </is>
      </c>
    </row>
    <row r="85" ht="30" customHeight="1">
      <c r="A85" s="3" t="inlineStr">
        <is>
          <t>2018::jama.2018.17075::C006</t>
        </is>
      </c>
      <c r="B85" s="3" t="inlineStr">
        <is>
          <t>relations</t>
        </is>
      </c>
      <c r="C85" s="3" t="n">
        <v>0</v>
      </c>
      <c r="D85" s="3" t="inlineStr">
        <is>
          <t>S_W</t>
        </is>
      </c>
    </row>
    <row r="86" ht="30" customHeight="1">
      <c r="A86" s="2" t="inlineStr">
        <is>
          <t>2018::jama.2018.17075::C007</t>
        </is>
      </c>
      <c r="B86" s="2" t="inlineStr">
        <is>
          <t>relations</t>
        </is>
      </c>
      <c r="C86" s="2" t="n">
        <v>0</v>
      </c>
      <c r="D86" s="2" t="inlineStr">
        <is>
          <t>S_W</t>
        </is>
      </c>
    </row>
    <row r="87" ht="30" customHeight="1">
      <c r="A87" s="3" t="inlineStr">
        <is>
          <t>2018::jama.2018.17075::C008</t>
        </is>
      </c>
      <c r="B87" s="3" t="inlineStr">
        <is>
          <t>relations</t>
        </is>
      </c>
      <c r="C87" s="3" t="n">
        <v>0</v>
      </c>
      <c r="D87" s="3" t="inlineStr">
        <is>
          <t>S_W</t>
        </is>
      </c>
    </row>
    <row r="88" ht="30" customHeight="1">
      <c r="A88" s="2" t="inlineStr">
        <is>
          <t>2018::jama.2018.18020::C001</t>
        </is>
      </c>
      <c r="B88" s="2" t="inlineStr">
        <is>
          <t>relations</t>
        </is>
      </c>
      <c r="C88" s="2" t="n">
        <v>0</v>
      </c>
      <c r="D88" s="2" t="inlineStr">
        <is>
          <t>S_W</t>
        </is>
      </c>
    </row>
    <row r="89" ht="30" customHeight="1">
      <c r="A89" s="3" t="inlineStr">
        <is>
          <t>2018::jama.2018.18020::C002</t>
        </is>
      </c>
      <c r="B89" s="3" t="inlineStr">
        <is>
          <t>relations</t>
        </is>
      </c>
      <c r="C89" s="3" t="n">
        <v>0</v>
      </c>
      <c r="D89" s="3" t="inlineStr">
        <is>
          <t>S_W</t>
        </is>
      </c>
    </row>
    <row r="90" ht="30" customHeight="1">
      <c r="A90" s="2" t="inlineStr">
        <is>
          <t>2018::jama.2018.18020::C003</t>
        </is>
      </c>
      <c r="B90" s="2" t="inlineStr">
        <is>
          <t>relations</t>
        </is>
      </c>
      <c r="C90" s="2" t="n">
        <v>0</v>
      </c>
      <c r="D90" s="2" t="inlineStr">
        <is>
          <t>S_W</t>
        </is>
      </c>
    </row>
    <row r="91" ht="30" customHeight="1">
      <c r="A91" s="3" t="inlineStr">
        <is>
          <t>2018::jama.2018.18020::C004</t>
        </is>
      </c>
      <c r="B91" s="3" t="inlineStr">
        <is>
          <t>relations</t>
        </is>
      </c>
      <c r="C91" s="3" t="n">
        <v>0</v>
      </c>
      <c r="D91" s="3" t="inlineStr">
        <is>
          <t>S_W</t>
        </is>
      </c>
    </row>
    <row r="92" ht="30" customHeight="1">
      <c r="A92" s="2" t="inlineStr">
        <is>
          <t>2018::jama.2018.18020::C005</t>
        </is>
      </c>
      <c r="B92" s="2" t="inlineStr">
        <is>
          <t>relations</t>
        </is>
      </c>
      <c r="C92" s="2" t="n">
        <v>0</v>
      </c>
      <c r="D92" s="2" t="inlineStr">
        <is>
          <t>S_W</t>
        </is>
      </c>
    </row>
    <row r="93" ht="30" customHeight="1">
      <c r="A93" s="3" t="inlineStr">
        <is>
          <t>2018::jama.2018.18020::C006</t>
        </is>
      </c>
      <c r="B93" s="3" t="inlineStr">
        <is>
          <t>relations</t>
        </is>
      </c>
      <c r="C93" s="3" t="n">
        <v>0</v>
      </c>
      <c r="D93" s="3" t="inlineStr">
        <is>
          <t>S_W</t>
        </is>
      </c>
    </row>
    <row r="94" ht="30" customHeight="1">
      <c r="A94" s="2" t="inlineStr">
        <is>
          <t>2018::jama.2018.18020::C007</t>
        </is>
      </c>
      <c r="B94" s="2" t="inlineStr">
        <is>
          <t>relations</t>
        </is>
      </c>
      <c r="C94" s="2" t="n">
        <v>0</v>
      </c>
      <c r="D94" s="2" t="inlineStr">
        <is>
          <t>S_W</t>
        </is>
      </c>
    </row>
    <row r="95" ht="30" customHeight="1">
      <c r="A95" s="3" t="inlineStr">
        <is>
          <t>2018::jama.2018.18020::C008</t>
        </is>
      </c>
      <c r="B95" s="3" t="inlineStr">
        <is>
          <t>relations</t>
        </is>
      </c>
      <c r="C95" s="3" t="n">
        <v>0</v>
      </c>
      <c r="D95" s="3" t="inlineStr">
        <is>
          <t>S_W</t>
        </is>
      </c>
    </row>
    <row r="96" ht="30" customHeight="1">
      <c r="A96" s="2" t="inlineStr">
        <is>
          <t>2018::jama.2018.18020::C009</t>
        </is>
      </c>
      <c r="B96" s="2" t="inlineStr">
        <is>
          <t>relations</t>
        </is>
      </c>
      <c r="C96" s="2" t="n">
        <v>0</v>
      </c>
      <c r="D96" s="2" t="inlineStr">
        <is>
          <t>S_W</t>
        </is>
      </c>
    </row>
    <row r="97" ht="30" customHeight="1">
      <c r="A97" s="3" t="inlineStr">
        <is>
          <t>2018::jama.2018.18020::C010</t>
        </is>
      </c>
      <c r="B97" s="3" t="inlineStr">
        <is>
          <t>relations</t>
        </is>
      </c>
      <c r="C97" s="3" t="n">
        <v>0</v>
      </c>
      <c r="D97" s="3" t="inlineStr">
        <is>
          <t>S_W</t>
        </is>
      </c>
    </row>
    <row r="98" ht="30" customHeight="1">
      <c r="A98" s="2" t="inlineStr">
        <is>
          <t>2018::jama.2018.18020::C011</t>
        </is>
      </c>
      <c r="B98" s="2" t="inlineStr">
        <is>
          <t>relations</t>
        </is>
      </c>
      <c r="C98" s="2" t="n">
        <v>0</v>
      </c>
      <c r="D98" s="2" t="inlineStr">
        <is>
          <t>S_W</t>
        </is>
      </c>
    </row>
    <row r="99" ht="30" customHeight="1">
      <c r="A99" s="3" t="inlineStr">
        <is>
          <t>2018::jama.2018.18020::C012</t>
        </is>
      </c>
      <c r="B99" s="3" t="inlineStr">
        <is>
          <t>relations</t>
        </is>
      </c>
      <c r="C99" s="3" t="n">
        <v>0</v>
      </c>
      <c r="D99" s="3" t="inlineStr">
        <is>
          <t>S_W</t>
        </is>
      </c>
    </row>
    <row r="100" ht="30" customHeight="1">
      <c r="A100" s="2" t="inlineStr">
        <is>
          <t>2018::jama.2018.18020::C013</t>
        </is>
      </c>
      <c r="B100" s="2" t="inlineStr">
        <is>
          <t>relations</t>
        </is>
      </c>
      <c r="C100" s="2" t="n">
        <v>0</v>
      </c>
      <c r="D100" s="2" t="inlineStr">
        <is>
          <t>S_W</t>
        </is>
      </c>
    </row>
    <row r="101" ht="30" customHeight="1">
      <c r="A101" s="3" t="inlineStr">
        <is>
          <t>2018::jama.2018.18020::C014</t>
        </is>
      </c>
      <c r="B101" s="3" t="inlineStr">
        <is>
          <t>relations</t>
        </is>
      </c>
      <c r="C101" s="3" t="n">
        <v>0</v>
      </c>
      <c r="D101" s="3" t="inlineStr">
        <is>
          <t>S_W</t>
        </is>
      </c>
    </row>
    <row r="102" ht="30" customHeight="1">
      <c r="A102" s="2" t="inlineStr">
        <is>
          <t>2018::jama.2018.6496::C001</t>
        </is>
      </c>
      <c r="B102" s="2" t="inlineStr">
        <is>
          <t>relations</t>
        </is>
      </c>
      <c r="C102" s="2" t="n">
        <v>0</v>
      </c>
      <c r="D102" s="2" t="inlineStr">
        <is>
          <t>S_W</t>
        </is>
      </c>
    </row>
    <row r="103" ht="30" customHeight="1">
      <c r="A103" s="3" t="inlineStr">
        <is>
          <t>2018::jama.2018.6496::C002</t>
        </is>
      </c>
      <c r="B103" s="3" t="inlineStr">
        <is>
          <t>relations</t>
        </is>
      </c>
      <c r="C103" s="3" t="n">
        <v>0</v>
      </c>
      <c r="D103" s="3" t="inlineStr">
        <is>
          <t>S_W</t>
        </is>
      </c>
    </row>
    <row r="104" ht="30" customHeight="1">
      <c r="A104" s="2" t="inlineStr">
        <is>
          <t>2018::jama.2018.6496::C003</t>
        </is>
      </c>
      <c r="B104" s="2" t="inlineStr">
        <is>
          <t>relations</t>
        </is>
      </c>
      <c r="C104" s="2" t="n">
        <v>0</v>
      </c>
      <c r="D104" s="2" t="inlineStr">
        <is>
          <t>P_R</t>
        </is>
      </c>
    </row>
    <row r="105" ht="30" customHeight="1">
      <c r="A105" s="3" t="inlineStr">
        <is>
          <t>2018::jama.2018.6496::C004</t>
        </is>
      </c>
      <c r="B105" s="3" t="inlineStr">
        <is>
          <t>relations</t>
        </is>
      </c>
      <c r="C105" s="3" t="n">
        <v>0</v>
      </c>
      <c r="D105" s="3" t="inlineStr">
        <is>
          <t>P_R</t>
        </is>
      </c>
    </row>
    <row r="106" ht="30" customHeight="1">
      <c r="A106" s="2" t="inlineStr">
        <is>
          <t>2018::jama.2018.8802::C001</t>
        </is>
      </c>
      <c r="B106" s="2" t="inlineStr">
        <is>
          <t>relations</t>
        </is>
      </c>
      <c r="C106" s="2" t="n">
        <v>0</v>
      </c>
      <c r="D106" s="2" t="inlineStr">
        <is>
          <t>S_W</t>
        </is>
      </c>
    </row>
    <row r="107" ht="30" customHeight="1">
      <c r="A107" s="3" t="inlineStr">
        <is>
          <t>2018::jama.2018.8802::C002</t>
        </is>
      </c>
      <c r="B107" s="3" t="inlineStr">
        <is>
          <t>relations</t>
        </is>
      </c>
      <c r="C107" s="3" t="n">
        <v>0</v>
      </c>
      <c r="D107" s="3" t="inlineStr">
        <is>
          <t>P_R</t>
        </is>
      </c>
    </row>
    <row r="108" ht="30" customHeight="1">
      <c r="A108" s="2" t="inlineStr">
        <is>
          <t>2018::jama.2018.8802::C002</t>
        </is>
      </c>
      <c r="B108" s="2" t="inlineStr">
        <is>
          <t>relations</t>
        </is>
      </c>
      <c r="C108" s="2" t="n">
        <v>1</v>
      </c>
      <c r="D108" s="2" t="inlineStr">
        <is>
          <t>S_C</t>
        </is>
      </c>
    </row>
    <row r="109" ht="30" customHeight="1">
      <c r="A109" s="3" t="inlineStr">
        <is>
          <t>2018::jama.2018.8802::C002</t>
        </is>
      </c>
      <c r="B109" s="3" t="inlineStr">
        <is>
          <t>relations</t>
        </is>
      </c>
      <c r="C109" s="3" t="n">
        <v>2</v>
      </c>
      <c r="D109" s="3" t="inlineStr">
        <is>
          <t>S_W</t>
        </is>
      </c>
    </row>
    <row r="110" ht="30" customHeight="1">
      <c r="A110" s="2" t="inlineStr">
        <is>
          <t>2018::jama.2018.8802::C003</t>
        </is>
      </c>
      <c r="B110" s="2" t="inlineStr">
        <is>
          <t>relations</t>
        </is>
      </c>
      <c r="C110" s="2" t="n">
        <v>0</v>
      </c>
      <c r="D110" s="2" t="inlineStr">
        <is>
          <t>S_W</t>
        </is>
      </c>
    </row>
    <row r="111" ht="30" customHeight="1">
      <c r="A111" s="3" t="inlineStr">
        <is>
          <t>2018::jama.2018.8802::C004</t>
        </is>
      </c>
      <c r="B111" s="3" t="inlineStr">
        <is>
          <t>relations</t>
        </is>
      </c>
      <c r="C111" s="3" t="n">
        <v>0</v>
      </c>
      <c r="D111" s="3" t="inlineStr">
        <is>
          <t>S_W</t>
        </is>
      </c>
    </row>
    <row r="112" ht="30" customHeight="1">
      <c r="A112" s="2" t="inlineStr">
        <is>
          <t>2018::jama.2018.8802::C005</t>
        </is>
      </c>
      <c r="B112" s="2" t="inlineStr">
        <is>
          <t>relations</t>
        </is>
      </c>
      <c r="C112" s="2" t="n">
        <v>0</v>
      </c>
      <c r="D112" s="2" t="inlineStr">
        <is>
          <t>S_W</t>
        </is>
      </c>
    </row>
    <row r="113" ht="30" customHeight="1">
      <c r="A113" s="3" t="inlineStr">
        <is>
          <t>2018::jama.2018.8802::C006</t>
        </is>
      </c>
      <c r="B113" s="3" t="inlineStr">
        <is>
          <t>relations</t>
        </is>
      </c>
      <c r="C113" s="3" t="n">
        <v>0</v>
      </c>
      <c r="D113" s="3" t="inlineStr">
        <is>
          <t>S_W</t>
        </is>
      </c>
    </row>
    <row r="114" ht="30" customHeight="1">
      <c r="A114" s="2" t="inlineStr">
        <is>
          <t>2018::jama.2018.8802::C007</t>
        </is>
      </c>
      <c r="B114" s="2" t="inlineStr">
        <is>
          <t>relations</t>
        </is>
      </c>
      <c r="C114" s="2" t="n">
        <v>0</v>
      </c>
      <c r="D114" s="2" t="inlineStr">
        <is>
          <t>S_C</t>
        </is>
      </c>
    </row>
    <row r="115" ht="30" customHeight="1">
      <c r="A115" s="3" t="inlineStr">
        <is>
          <t>2018::jama.2018.8802::C008</t>
        </is>
      </c>
      <c r="B115" s="3" t="inlineStr">
        <is>
          <t>relations</t>
        </is>
      </c>
      <c r="C115" s="3" t="n">
        <v>0</v>
      </c>
      <c r="D115" s="3" t="inlineStr">
        <is>
          <t>S_W</t>
        </is>
      </c>
    </row>
    <row r="116" ht="30" customHeight="1">
      <c r="A116" s="2" t="inlineStr">
        <is>
          <t>2018::jama.2018.9128::C001</t>
        </is>
      </c>
      <c r="B116" s="2" t="inlineStr">
        <is>
          <t>relations</t>
        </is>
      </c>
      <c r="C116" s="2" t="n">
        <v>0</v>
      </c>
      <c r="D116" s="2" t="inlineStr">
        <is>
          <t>S_C</t>
        </is>
      </c>
    </row>
    <row r="117" ht="30" customHeight="1">
      <c r="A117" s="3" t="inlineStr">
        <is>
          <t>2018::jama.2018.9128::C001</t>
        </is>
      </c>
      <c r="B117" s="3" t="inlineStr">
        <is>
          <t>relations</t>
        </is>
      </c>
      <c r="C117" s="3" t="n">
        <v>1</v>
      </c>
      <c r="D117" s="3" t="inlineStr">
        <is>
          <t>S_W</t>
        </is>
      </c>
    </row>
    <row r="118" ht="30" customHeight="1">
      <c r="A118" s="2" t="inlineStr">
        <is>
          <t>2018::jama.2018.9128::C002</t>
        </is>
      </c>
      <c r="B118" s="2" t="inlineStr">
        <is>
          <t>relations</t>
        </is>
      </c>
      <c r="C118" s="2" t="n">
        <v>0</v>
      </c>
      <c r="D118" s="2" t="inlineStr">
        <is>
          <t>S_C</t>
        </is>
      </c>
    </row>
    <row r="119" ht="30" customHeight="1">
      <c r="A119" s="3" t="inlineStr">
        <is>
          <t>2018::jama.2018.9128::C002</t>
        </is>
      </c>
      <c r="B119" s="3" t="inlineStr">
        <is>
          <t>relations</t>
        </is>
      </c>
      <c r="C119" s="3" t="n">
        <v>1</v>
      </c>
      <c r="D119" s="3" t="inlineStr">
        <is>
          <t>S_W</t>
        </is>
      </c>
    </row>
    <row r="120" ht="30" customHeight="1">
      <c r="A120" s="2" t="inlineStr">
        <is>
          <t>2018::jama.2018.9128::C003</t>
        </is>
      </c>
      <c r="B120" s="2" t="inlineStr">
        <is>
          <t>relations</t>
        </is>
      </c>
      <c r="C120" s="2" t="n">
        <v>0</v>
      </c>
      <c r="D120" s="2" t="inlineStr">
        <is>
          <t>S_C</t>
        </is>
      </c>
    </row>
    <row r="121" ht="30" customHeight="1">
      <c r="A121" s="3" t="inlineStr">
        <is>
          <t>2018::jama.2018.9128::C003</t>
        </is>
      </c>
      <c r="B121" s="3" t="inlineStr">
        <is>
          <t>relations</t>
        </is>
      </c>
      <c r="C121" s="3" t="n">
        <v>1</v>
      </c>
      <c r="D121" s="3" t="inlineStr">
        <is>
          <t>S_W</t>
        </is>
      </c>
    </row>
    <row r="122" ht="30" customHeight="1">
      <c r="A122" s="2" t="inlineStr">
        <is>
          <t>2018::jama.2018.9128::C004</t>
        </is>
      </c>
      <c r="B122" s="2" t="inlineStr">
        <is>
          <t>relations</t>
        </is>
      </c>
      <c r="C122" s="2" t="n">
        <v>0</v>
      </c>
      <c r="D122" s="2" t="inlineStr">
        <is>
          <t>S_C</t>
        </is>
      </c>
    </row>
    <row r="123" ht="30" customHeight="1">
      <c r="A123" s="3" t="inlineStr">
        <is>
          <t>2018::jama.2018.9128::C004</t>
        </is>
      </c>
      <c r="B123" s="3" t="inlineStr">
        <is>
          <t>relations</t>
        </is>
      </c>
      <c r="C123" s="3" t="n">
        <v>1</v>
      </c>
      <c r="D123" s="3" t="inlineStr">
        <is>
          <t>S_W</t>
        </is>
      </c>
    </row>
    <row r="124" ht="30" customHeight="1">
      <c r="A124" s="2" t="inlineStr">
        <is>
          <t>2018::jama.2018.9128::C005</t>
        </is>
      </c>
      <c r="B124" s="2" t="inlineStr">
        <is>
          <t>relations</t>
        </is>
      </c>
      <c r="C124" s="2" t="n">
        <v>0</v>
      </c>
      <c r="D124" s="2" t="inlineStr">
        <is>
          <t>S_C</t>
        </is>
      </c>
    </row>
    <row r="125" ht="30" customHeight="1">
      <c r="A125" s="3" t="inlineStr">
        <is>
          <t>2018::jama.2018.9128::C005</t>
        </is>
      </c>
      <c r="B125" s="3" t="inlineStr">
        <is>
          <t>relations</t>
        </is>
      </c>
      <c r="C125" s="3" t="n">
        <v>1</v>
      </c>
      <c r="D125" s="3" t="inlineStr">
        <is>
          <t>S_W</t>
        </is>
      </c>
    </row>
    <row r="126" ht="30" customHeight="1">
      <c r="A126" s="2" t="inlineStr">
        <is>
          <t>2018::jama.2018.9128::C006</t>
        </is>
      </c>
      <c r="B126" s="2" t="inlineStr">
        <is>
          <t>relations</t>
        </is>
      </c>
      <c r="C126" s="2" t="n">
        <v>0</v>
      </c>
      <c r="D126" s="2" t="inlineStr">
        <is>
          <t>S_C</t>
        </is>
      </c>
    </row>
    <row r="127" ht="30" customHeight="1">
      <c r="A127" s="3" t="inlineStr">
        <is>
          <t>2018::jama.2018.9128::C006</t>
        </is>
      </c>
      <c r="B127" s="3" t="inlineStr">
        <is>
          <t>relations</t>
        </is>
      </c>
      <c r="C127" s="3" t="n">
        <v>1</v>
      </c>
      <c r="D127" s="3" t="inlineStr">
        <is>
          <t>S_W</t>
        </is>
      </c>
    </row>
    <row r="128" ht="30" customHeight="1">
      <c r="A128" s="2" t="inlineStr">
        <is>
          <t>2018::jama.2018.9128::C007</t>
        </is>
      </c>
      <c r="B128" s="2" t="inlineStr">
        <is>
          <t>relations</t>
        </is>
      </c>
      <c r="C128" s="2" t="n">
        <v>0</v>
      </c>
      <c r="D128" s="2" t="inlineStr">
        <is>
          <t>S_C</t>
        </is>
      </c>
    </row>
    <row r="129" ht="30" customHeight="1">
      <c r="A129" s="3" t="inlineStr">
        <is>
          <t>2018::jama.2018.9128::C007</t>
        </is>
      </c>
      <c r="B129" s="3" t="inlineStr">
        <is>
          <t>relations</t>
        </is>
      </c>
      <c r="C129" s="3" t="n">
        <v>1</v>
      </c>
      <c r="D129" s="3" t="inlineStr">
        <is>
          <t>S_W</t>
        </is>
      </c>
    </row>
    <row r="130" ht="30" customHeight="1">
      <c r="A130" s="2" t="inlineStr">
        <is>
          <t>2018::jama.2018.9128::C008</t>
        </is>
      </c>
      <c r="B130" s="2" t="inlineStr">
        <is>
          <t>relations</t>
        </is>
      </c>
      <c r="C130" s="2" t="n">
        <v>0</v>
      </c>
      <c r="D130" s="2" t="inlineStr">
        <is>
          <t>S_C</t>
        </is>
      </c>
    </row>
    <row r="131" ht="30" customHeight="1">
      <c r="A131" s="3" t="inlineStr">
        <is>
          <t>2018::jama.2018.9128::C008</t>
        </is>
      </c>
      <c r="B131" s="3" t="inlineStr">
        <is>
          <t>relations</t>
        </is>
      </c>
      <c r="C131" s="3" t="n">
        <v>1</v>
      </c>
      <c r="D131" s="3" t="inlineStr">
        <is>
          <t>S_W</t>
        </is>
      </c>
    </row>
    <row r="132" ht="30" customHeight="1">
      <c r="A132" s="2" t="inlineStr">
        <is>
          <t>2018::jama.2018.9128::C009</t>
        </is>
      </c>
      <c r="B132" s="2" t="inlineStr">
        <is>
          <t>relations</t>
        </is>
      </c>
      <c r="C132" s="2" t="n">
        <v>0</v>
      </c>
      <c r="D132" s="2" t="inlineStr">
        <is>
          <t>P_P</t>
        </is>
      </c>
    </row>
    <row r="133" ht="30" customHeight="1">
      <c r="A133" s="3" t="inlineStr">
        <is>
          <t>2018::jama.2018.9128::C010</t>
        </is>
      </c>
      <c r="B133" s="3" t="inlineStr">
        <is>
          <t>relations</t>
        </is>
      </c>
      <c r="C133" s="3" t="n">
        <v>0</v>
      </c>
      <c r="D133" s="3" t="inlineStr">
        <is>
          <t>P_P</t>
        </is>
      </c>
    </row>
    <row r="134" ht="30" customHeight="1">
      <c r="A134" s="2" t="inlineStr">
        <is>
          <t>2018::jama.2018.9128::C011</t>
        </is>
      </c>
      <c r="B134" s="2" t="inlineStr">
        <is>
          <t>relations</t>
        </is>
      </c>
      <c r="C134" s="2" t="n">
        <v>0</v>
      </c>
      <c r="D134" s="2" t="inlineStr">
        <is>
          <t>P_R</t>
        </is>
      </c>
    </row>
    <row r="135" ht="30" customHeight="1">
      <c r="A135" s="3" t="inlineStr">
        <is>
          <t>2018::jama.2018.9128::C011</t>
        </is>
      </c>
      <c r="B135" s="3" t="inlineStr">
        <is>
          <t>relations</t>
        </is>
      </c>
      <c r="C135" s="3" t="n">
        <v>1</v>
      </c>
      <c r="D135" s="3" t="inlineStr">
        <is>
          <t>P_P</t>
        </is>
      </c>
    </row>
    <row r="136" ht="30" customHeight="1">
      <c r="A136" s="2" t="inlineStr">
        <is>
          <t>2018::jama.2018.9128::C012</t>
        </is>
      </c>
      <c r="B136" s="2" t="inlineStr">
        <is>
          <t>relations</t>
        </is>
      </c>
      <c r="C136" s="2" t="n">
        <v>0</v>
      </c>
      <c r="D136" s="2" t="inlineStr">
        <is>
          <t>P_R</t>
        </is>
      </c>
    </row>
    <row r="137" ht="30" customHeight="1">
      <c r="A137" s="3" t="inlineStr">
        <is>
          <t>2018::jama.2018.9128::C012</t>
        </is>
      </c>
      <c r="B137" s="3" t="inlineStr">
        <is>
          <t>relations</t>
        </is>
      </c>
      <c r="C137" s="3" t="n">
        <v>1</v>
      </c>
      <c r="D137" s="3" t="inlineStr">
        <is>
          <t>P_P</t>
        </is>
      </c>
    </row>
    <row r="138" ht="30" customHeight="1">
      <c r="A138" s="2" t="inlineStr">
        <is>
          <t>2018::jama.2018.9128::C013</t>
        </is>
      </c>
      <c r="B138" s="2" t="inlineStr">
        <is>
          <t>relations</t>
        </is>
      </c>
      <c r="C138" s="2" t="n">
        <v>0</v>
      </c>
      <c r="D138" s="2" t="inlineStr">
        <is>
          <t>S_C</t>
        </is>
      </c>
    </row>
    <row r="139" ht="30" customHeight="1">
      <c r="A139" s="3" t="inlineStr">
        <is>
          <t>2018::jama.2018.9128::C013</t>
        </is>
      </c>
      <c r="B139" s="3" t="inlineStr">
        <is>
          <t>relations</t>
        </is>
      </c>
      <c r="C139" s="3" t="n">
        <v>1</v>
      </c>
      <c r="D13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13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2026-09-13T23:21:52Z</dcterms:created>
  <dcterms:modified xsi:type="dcterms:W3CDTF">2026-09-13T23:21:52Z</dcterms:modified>
</cp:coreProperties>
</file>