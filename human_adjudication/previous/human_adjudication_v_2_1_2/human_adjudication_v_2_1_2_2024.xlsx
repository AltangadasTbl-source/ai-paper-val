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24.0318" sheetId="4" state="visible" r:id="rId4"/>
    <sheet name="P_jama.2024.0572" sheetId="5" state="visible" r:id="rId5"/>
    <sheet name="P_jama.2024.11057" sheetId="6" state="visible" r:id="rId6"/>
    <sheet name="P_jama.2024.12829" sheetId="7" state="visible" r:id="rId7"/>
    <sheet name="P_jama.2024.19585" sheetId="8" state="visible" r:id="rId8"/>
    <sheet name="P_jama.2024.2302" sheetId="9" state="visible" r:id="rId9"/>
    <sheet name="P_jama.2024.23898" sheetId="10" state="visible" r:id="rId10"/>
    <sheet name="P_jama.2024.25786" sheetId="11" state="visible" r:id="rId11"/>
    <sheet name="P_jama.2024.4183" sheetId="12" state="visible" r:id="rId12"/>
    <sheet name="P_jama.2024.6063" sheetId="13" state="visible" r:id="rId13"/>
    <sheet name="Checker" sheetId="14" state="visible" r:id="rId14"/>
    <sheet name="Candidates" sheetId="15" state="visible" r:id="rId15"/>
    <sheet name="Evidence" sheetId="16" state="visible" r:id="rId16"/>
    <sheet name="Codebook" sheetId="17" state="visible" r:id="rId17"/>
    <sheet name="Manifest" sheetId="18" state="hidden" r:id="rId18"/>
    <sheet name="Links" sheetId="19" state="hidden" r:id="rId19"/>
    <sheet name="Relations" sheetId="20" state="hidden" r:id="rId20"/>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primary_jama_2024_0318_key">'P_jama.2024.0318'!$A$2:$A$7</definedName>
    <definedName name="primary_jama_2024_0318_disposition">'P_jama.2024.0318'!$D$2:$D$7</definedName>
    <definedName name="primary_jama_2024_0318_domain">'P_jama.2024.0318'!$E$2:$E$7</definedName>
    <definedName name="primary_jama_2024_0572_key">'P_jama.2024.0572'!$A$2:$A$3</definedName>
    <definedName name="primary_jama_2024_0572_disposition">'P_jama.2024.0572'!$D$2:$D$3</definedName>
    <definedName name="primary_jama_2024_0572_domain">'P_jama.2024.0572'!$E$2:$E$3</definedName>
    <definedName name="primary_jama_2024_11057_key">'P_jama.2024.11057'!$A$2:$A$4</definedName>
    <definedName name="primary_jama_2024_11057_disposition">'P_jama.2024.11057'!$D$2:$D$4</definedName>
    <definedName name="primary_jama_2024_11057_domain">'P_jama.2024.11057'!$E$2:$E$4</definedName>
    <definedName name="primary_jama_2024_12829_key">'P_jama.2024.12829'!$A$2:$A$18</definedName>
    <definedName name="primary_jama_2024_12829_disposition">'P_jama.2024.12829'!$D$2:$D$18</definedName>
    <definedName name="primary_jama_2024_12829_domain">'P_jama.2024.12829'!$E$2:$E$18</definedName>
    <definedName name="primary_jama_2024_19585_key">'P_jama.2024.19585'!$A$2:$A$4</definedName>
    <definedName name="primary_jama_2024_19585_disposition">'P_jama.2024.19585'!$D$2:$D$4</definedName>
    <definedName name="primary_jama_2024_19585_domain">'P_jama.2024.19585'!$E$2:$E$4</definedName>
    <definedName name="primary_jama_2024_2302_key">'P_jama.2024.2302'!$A$2:$A$6</definedName>
    <definedName name="primary_jama_2024_2302_disposition">'P_jama.2024.2302'!$D$2:$D$6</definedName>
    <definedName name="primary_jama_2024_2302_domain">'P_jama.2024.2302'!$E$2:$E$6</definedName>
    <definedName name="primary_jama_2024_23898_key">'P_jama.2024.23898'!$A$2:$A$8</definedName>
    <definedName name="primary_jama_2024_23898_disposition">'P_jama.2024.23898'!$D$2:$D$8</definedName>
    <definedName name="primary_jama_2024_23898_domain">'P_jama.2024.23898'!$E$2:$E$8</definedName>
    <definedName name="primary_jama_2024_25786_key">'P_jama.2024.25786'!$A$2:$A$9</definedName>
    <definedName name="primary_jama_2024_25786_disposition">'P_jama.2024.25786'!$D$2:$D$9</definedName>
    <definedName name="primary_jama_2024_25786_domain">'P_jama.2024.25786'!$E$2:$E$9</definedName>
    <definedName name="primary_jama_2024_4183_key">'P_jama.2024.4183'!$A$2:$A$25</definedName>
    <definedName name="primary_jama_2024_4183_disposition">'P_jama.2024.4183'!$D$2:$D$25</definedName>
    <definedName name="primary_jama_2024_4183_domain">'P_jama.2024.4183'!$E$2:$E$25</definedName>
    <definedName name="primary_jama_2024_6063_key">'P_jama.2024.6063'!$A$2:$A$17</definedName>
    <definedName name="primary_jama_2024_6063_disposition">'P_jama.2024.6063'!$D$2:$D$17</definedName>
    <definedName name="primary_jama_2024_6063_domain">'P_jama.2024.6063'!$E$2:$E$17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'P_jama.2024.0318'!$A$1:$N$7</definedName>
    <definedName name="_xlnm.Print_Titles" localSheetId="3">'P_jama.2024.0318'!$1:$1</definedName>
    <definedName name="_xlnm._FilterDatabase" localSheetId="4" hidden="1">'P_jama.2024.0572'!$A$1:$N$3</definedName>
    <definedName name="_xlnm.Print_Titles" localSheetId="4">'P_jama.2024.0572'!$1:$1</definedName>
    <definedName name="_xlnm._FilterDatabase" localSheetId="5" hidden="1">'P_jama.2024.11057'!$A$1:$N$4</definedName>
    <definedName name="_xlnm.Print_Titles" localSheetId="5">'P_jama.2024.11057'!$1:$1</definedName>
    <definedName name="_xlnm._FilterDatabase" localSheetId="6" hidden="1">'P_jama.2024.12829'!$A$1:$N$18</definedName>
    <definedName name="_xlnm.Print_Titles" localSheetId="6">'P_jama.2024.12829'!$1:$1</definedName>
    <definedName name="_xlnm._FilterDatabase" localSheetId="7" hidden="1">'P_jama.2024.19585'!$A$1:$N$4</definedName>
    <definedName name="_xlnm.Print_Titles" localSheetId="7">'P_jama.2024.19585'!$1:$1</definedName>
    <definedName name="_xlnm._FilterDatabase" localSheetId="8" hidden="1">'P_jama.2024.2302'!$A$1:$N$6</definedName>
    <definedName name="_xlnm.Print_Titles" localSheetId="8">'P_jama.2024.2302'!$1:$1</definedName>
    <definedName name="_xlnm._FilterDatabase" localSheetId="9" hidden="1">'P_jama.2024.23898'!$A$1:$N$8</definedName>
    <definedName name="_xlnm.Print_Titles" localSheetId="9">'P_jama.2024.23898'!$1:$1</definedName>
    <definedName name="_xlnm._FilterDatabase" localSheetId="10" hidden="1">'P_jama.2024.25786'!$A$1:$N$9</definedName>
    <definedName name="_xlnm.Print_Titles" localSheetId="10">'P_jama.2024.25786'!$1:$1</definedName>
    <definedName name="_xlnm._FilterDatabase" localSheetId="11" hidden="1">'P_jama.2024.4183'!$A$1:$N$25</definedName>
    <definedName name="_xlnm.Print_Titles" localSheetId="11">'P_jama.2024.4183'!$1:$1</definedName>
    <definedName name="_xlnm._FilterDatabase" localSheetId="12" hidden="1">'P_jama.2024.6063'!$A$1:$N$17</definedName>
    <definedName name="_xlnm.Print_Titles" localSheetId="12">'P_jama.2024.6063'!$1:$1</definedName>
    <definedName name="_xlnm._FilterDatabase" localSheetId="13" hidden="1">'Checker'!$A$1:$R$92</definedName>
    <definedName name="_xlnm.Print_Titles" localSheetId="13">'Checker'!$1:$1</definedName>
    <definedName name="_xlnm._FilterDatabase" localSheetId="14" hidden="1">'Candidates'!$A$1:$AB$92</definedName>
    <definedName name="_xlnm.Print_Titles" localSheetId="14">'Candidates'!$1:$1</definedName>
    <definedName name="_xlnm._FilterDatabase" localSheetId="15" hidden="1">'Evidence'!$A$1:$D$365</definedName>
    <definedName name="_xlnm.Print_Titles" localSheetId="15">'Evidence'!$1:$1</definedName>
    <definedName name="_xlnm.Print_Titles" localSheetId="16">'Codebook'!$1:$1</definedName>
    <definedName name="_xlnm._FilterDatabase" localSheetId="17" hidden="1">'Manifest'!$A$1:$B$11</definedName>
    <definedName name="_xlnm.Print_Titles" localSheetId="17">'Manifest'!$1:$1</definedName>
    <definedName name="_xlnm._FilterDatabase" localSheetId="18" hidden="1">'Links'!$A$1:$E$358</definedName>
    <definedName name="_xlnm.Print_Titles" localSheetId="18">'Links'!$1:$1</definedName>
    <definedName name="_xlnm._FilterDatabase" localSheetId="19" hidden="1">'Relations'!$A$1:$D$108</definedName>
    <definedName name="_xlnm.Print_Titles" localSheetId="19">'Relations'!$1:$1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4"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2.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3.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4.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5.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6.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7.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8.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9.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0.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1.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Paper
See Start and Codebook for instructions.</t>
      </text>
    </comment>
    <comment ref="C1" authorId="0" shapeId="0">
      <text>
        <t>Candidate title
See Start and Codebook for instructions.</t>
      </text>
    </comment>
    <comment ref="D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E1" authorId="0" shapeId="0">
      <text>
        <t>Checker comment
See Start and Codebook for instructions.</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I1" authorId="0" shapeId="0">
      <text>
        <t>Resolution note
See Start and Codebook for instructions.</t>
      </text>
    </comment>
    <comment ref="J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K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L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M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N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O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P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Q1" authorId="0" shapeId="0">
      <text>
        <t>Related cluster (optional)
See Start and Codebook for instructions.</t>
      </text>
    </comment>
    <comment ref="R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v.2.1.2 | 2024 | workbook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P_&lt;paper&gt; worksheet contains primary review for one paper only. Papers lists worksheet names and candidate counts. Checker remains the annual second-person review table.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Save the primary-completed workbook as a dated copy and pass it to the checker. The checker fills Checker in the same XLSX, leaving all P_&lt;paper&gt; worksheets unchanged. No script is needed for handoff.</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Current status</t>
        </is>
      </c>
      <c r="B16" s="2" t="inlineStr">
        <is>
          <t>412 frozen AI candidates in 45 papers; human review is pending. Do not report AI retained counts as confirmed errors. See USAGE.md for workflow and project rationale.</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primary_worksheet</t>
        </is>
      </c>
      <c r="C1" s="1" t="inlineStr">
        <is>
          <t>candidates</t>
        </is>
      </c>
    </row>
    <row r="2" ht="30" customHeight="1">
      <c r="A2" s="2" t="inlineStr">
        <is>
          <t>jama.2024.0318</t>
        </is>
      </c>
      <c r="B2" s="2" t="inlineStr">
        <is>
          <t>P_jama.2024.0318</t>
        </is>
      </c>
      <c r="C2" s="2" t="n">
        <v>6</v>
      </c>
    </row>
    <row r="3" ht="30" customHeight="1">
      <c r="A3" s="3" t="inlineStr">
        <is>
          <t>jama.2024.0572</t>
        </is>
      </c>
      <c r="B3" s="3" t="inlineStr">
        <is>
          <t>P_jama.2024.0572</t>
        </is>
      </c>
      <c r="C3" s="3" t="n">
        <v>2</v>
      </c>
    </row>
    <row r="4" ht="30" customHeight="1">
      <c r="A4" s="2" t="inlineStr">
        <is>
          <t>jama.2024.11057</t>
        </is>
      </c>
      <c r="B4" s="2" t="inlineStr">
        <is>
          <t>P_jama.2024.11057</t>
        </is>
      </c>
      <c r="C4" s="2" t="n">
        <v>3</v>
      </c>
    </row>
    <row r="5" ht="30" customHeight="1">
      <c r="A5" s="3" t="inlineStr">
        <is>
          <t>jama.2024.12829</t>
        </is>
      </c>
      <c r="B5" s="3" t="inlineStr">
        <is>
          <t>P_jama.2024.12829</t>
        </is>
      </c>
      <c r="C5" s="3" t="n">
        <v>17</v>
      </c>
    </row>
    <row r="6" ht="30" customHeight="1">
      <c r="A6" s="2" t="inlineStr">
        <is>
          <t>jama.2024.19585</t>
        </is>
      </c>
      <c r="B6" s="2" t="inlineStr">
        <is>
          <t>P_jama.2024.19585</t>
        </is>
      </c>
      <c r="C6" s="2" t="n">
        <v>3</v>
      </c>
    </row>
    <row r="7" ht="30" customHeight="1">
      <c r="A7" s="3" t="inlineStr">
        <is>
          <t>jama.2024.2302</t>
        </is>
      </c>
      <c r="B7" s="3" t="inlineStr">
        <is>
          <t>P_jama.2024.2302</t>
        </is>
      </c>
      <c r="C7" s="3" t="n">
        <v>5</v>
      </c>
    </row>
    <row r="8" ht="30" customHeight="1">
      <c r="A8" s="2" t="inlineStr">
        <is>
          <t>jama.2024.23898</t>
        </is>
      </c>
      <c r="B8" s="2" t="inlineStr">
        <is>
          <t>P_jama.2024.23898</t>
        </is>
      </c>
      <c r="C8" s="2" t="n">
        <v>7</v>
      </c>
    </row>
    <row r="9" ht="30" customHeight="1">
      <c r="A9" s="3" t="inlineStr">
        <is>
          <t>jama.2024.25786</t>
        </is>
      </c>
      <c r="B9" s="3" t="inlineStr">
        <is>
          <t>P_jama.2024.25786</t>
        </is>
      </c>
      <c r="C9" s="3" t="n">
        <v>8</v>
      </c>
    </row>
    <row r="10" ht="30" customHeight="1">
      <c r="A10" s="2" t="inlineStr">
        <is>
          <t>jama.2024.4183</t>
        </is>
      </c>
      <c r="B10" s="2" t="inlineStr">
        <is>
          <t>P_jama.2024.4183</t>
        </is>
      </c>
      <c r="C10" s="2" t="n">
        <v>24</v>
      </c>
    </row>
    <row r="11" ht="30" customHeight="1">
      <c r="A11" s="3" t="inlineStr">
        <is>
          <t>jama.2024.6063</t>
        </is>
      </c>
      <c r="B11" s="3" t="inlineStr">
        <is>
          <t>P_jama.2024.6063</t>
        </is>
      </c>
      <c r="C11" s="3" t="n">
        <v>16</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N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2024::jama.2024.0318::C001</t>
        </is>
      </c>
      <c r="B2" s="2" t="inlineStr">
        <is>
          <t>Figure 1 allocation branches exceed the displayed available cohort by 10 participants</t>
        </is>
      </c>
      <c r="C2" s="2" t="inlineStr">
        <is>
          <t>jama_courcoulas_2024_oi_240004_1721756962.76052.pdf — PDF p. 3, Figure 1 and adjoining Results text.</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2024::jama.2024.0318::C002</t>
        </is>
      </c>
      <c r="B3" s="3" t="inlineStr">
        <is>
          <t>Supplement eTable 2 mixes year-12 headings with year-7 quantitative footnote definitions</t>
        </is>
      </c>
      <c r="C3" s="3" t="inlineStr">
        <is>
          <t>joi240004supp2_prod_1721756962.82552.pdf — PDF p. 15, eTable 2 title, columns, rows, and footnotes a-b; joi240004supp2_prod_1721756962.82552.pdf — PDF p. 16, footnotes c-e; jama_courcoulas_2024_oi_240004_1721756962.76052.pdf — PDF p. 3, Results pointer to eTable 2.</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2024::jama.2024.0318::C003</t>
        </is>
      </c>
      <c r="B4" s="2" t="inlineStr">
        <is>
          <t>Matched 12-year HbA1c result has incompatible printed P values</t>
        </is>
      </c>
      <c r="C4" s="2" t="inlineStr">
        <is>
          <t>jama_courcoulas_2024_oi_240004_1721756962.76052.pdf — PDF p. 1, Abstract Results; jama_courcoulas_2024_oi_240004_1721756962.76052.pdf — PDF p. 3, Results; joi240004supp2_prod_1721756962.82552.pdf — PDF p. 15, eTable 2 HbA1c row.</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2024::jama.2024.0318::C004</t>
        </is>
      </c>
      <c r="B5" s="3" t="inlineStr">
        <is>
          <t>The same year-7 glycemic outcome is labeled as both HbA1c less than or equal to 6.5% and HbA1c below 6.5%</t>
        </is>
      </c>
      <c r="C5" s="3" t="inlineStr">
        <is>
          <t>jama_courcoulas_2024_oi_240004_1721756962.76052.pdf — PDF p. 4, Results narrative; jama_courcoulas_2024_oi_240004_1721756962.76052.pdf — PDF p. 6, Table 2; joi240004supp2_prod_1721756962.82552.pdf — PDF p. 4, binary-analysis context.</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2024::jama.2024.0318::C005</t>
        </is>
      </c>
      <c r="B6" s="2" t="inlineStr">
        <is>
          <t>Abstract percentage for four deaths does not reconcile with displayed group counts and denominators</t>
        </is>
      </c>
      <c r="C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2024::jama.2024.0318::C006</t>
        </is>
      </c>
      <c r="B7" s="3" t="inlineStr">
        <is>
          <t>The same exploratory BMI subgroup boundary is labeled as both 35 or greater and greater than 35</t>
        </is>
      </c>
      <c r="C7" s="3" t="inlineStr">
        <is>
          <t>jama_courcoulas_2024_oi_240004_1721756962.76052.pdf — PDF p. 7, Results narrative; joi240004supp2_prod_1721756962.82552.pdf — PDF p. 13, eFigure 6 title, legends, and explanatory text.</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sheetData>
  <sheetProtection selectLockedCells="0" selectUnlockedCells="0" sheet="1" objects="0" insertRows="1" insertHyperlinks="1" autoFilter="0" scenarios="0" formatColumns="1" deleteColumns="1" insertColumns="1" pivotTables="1" deleteRows="1" formatCells="1" formatRows="1" sort="1"/>
  <autoFilter ref="A1:N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N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2024::jama.2024.0572::C001</t>
        </is>
      </c>
      <c r="B2" s="2" t="inlineStr">
        <is>
          <t>ITT Figure 2 mRS distributions conflict with ITT eTable 2 threshold counts</t>
        </is>
      </c>
      <c r="C2" s="2" t="inlineStr">
        <is>
          <t>Main article Figure 2 — PDF p. 7; Supplement 5 eTable 2 — PDF p. 38; main Results population statement — PDF p. 4; and Supplement 5 eFigure 3 — PDF p. 8.</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2024::jama.2024.0572::C002</t>
        </is>
      </c>
      <c r="B3" s="3" t="inlineStr">
        <is>
          <t>aRR is labeled as an absolute risk reduction but displayed and interpreted as a ratio</t>
        </is>
      </c>
      <c r="C3" s="3" t="inlineStr">
        <is>
          <t>Main narrative — PDF p. 6; Main Table 2 — PDF p. 7; Main Table 3 — PDF p. 9; trial SAP — PDF p. 17; secondary-analysis SAP — PDF p. 4; and Supplement 5 eTable 7 — PDF p. 43.</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sheetData>
  <sheetProtection selectLockedCells="0" selectUnlockedCells="0" sheet="1" objects="0" insertRows="1" insertHyperlinks="1" autoFilter="0" scenarios="0" formatColumns="1" deleteColumns="1" insertColumns="1" pivotTables="1" deleteRows="1" formatCells="1" formatRows="1" sort="1"/>
  <autoFilter ref="A1:N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2024::jama.2024.11057::C001</t>
        </is>
      </c>
      <c r="B2" s="2" t="inlineStr">
        <is>
          <t>Quit-date pre-message duration conflicts between the main article and both support documents</t>
        </is>
      </c>
      <c r="C2" s="2" t="inlineStr">
        <is>
          <t>jama_graham_2024_oi_240078_1739900423.19074.pdf — PDF p. 3; joi240078supp1_prod_1739900423.22574.pdf — PDF p. 2; joi240078supp2_prod_1739900423.24574.pdf — PDF p. 2.</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2024::jama.2024.11057::C002</t>
        </is>
      </c>
      <c r="B3" s="3" t="inlineStr">
        <is>
          <t>eTable 4 labels motivation and confidence as median (IQR) but prints single parenthetical dispersion values</t>
        </is>
      </c>
      <c r="C3" s="3" t="inlineStr">
        <is>
          <t>joi240078supp2_prod_1739900423.24574.pdf — PDF p. 12, eTable 4; joi240078supp2_prod_1739900423.24574.pdf — PDF p. 13, scale footnote; jama_graham_2024_oi_240078_1739900423.19074.pdf — PDF p. 4, Table 1 comparator.</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2024::jama.2024.11057::C003</t>
        </is>
      </c>
      <c r="B4" s="2" t="inlineStr">
        <is>
          <t>eAppendix C prints IPWR once for a result otherwise defined and labelled as IPRW</t>
        </is>
      </c>
      <c r="C4" s="2" t="inlineStr">
        <is>
          <t>joi240078supp2_prod_1739900423.24574.pdf — PDF p. 5, eAppendix C; joi240078supp2_prod_1739900423.24574.pdf — PDF p. 14, eTable 5; jama_graham_2024_oi_240078_1739900423.19074.pdf — PDF p. 4, Statistical Methods.</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N1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2024::jama.2024.12829::C001</t>
        </is>
      </c>
      <c r="B2" s="2" t="inlineStr">
        <is>
          <t>Balloon-angioplasty female percentage does not reconcile with count and denominator</t>
        </is>
      </c>
      <c r="C2" s="2" t="inlineStr">
        <is>
          <t>DOC-001 Table 1,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2024::jama.2024.12829::C002</t>
        </is>
      </c>
      <c r="B3" s="3" t="inlineStr">
        <is>
          <t>Balloon-angioplasty ischemic-stroke percentage is outside ordinary one-decimal rounding</t>
        </is>
      </c>
      <c r="C3" s="3" t="inlineStr">
        <is>
          <t>DOC-001 Table 1, PDF p. 6; DOC-002 Table S1, PDF p. 14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2024::jama.2024.12829::C003</t>
        </is>
      </c>
      <c r="B4" s="2" t="inlineStr">
        <is>
          <t>Table S4 procedure rows use 241 while the column header states 249</t>
        </is>
      </c>
      <c r="C4" s="2" t="inlineStr">
        <is>
          <t>DOC-002 Table S4, PDF p. 17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2024::jama.2024.12829::C004</t>
        </is>
      </c>
      <c r="B5" s="3" t="inlineStr">
        <is>
          <t>Table S6 BA 9 (3.9) conflicts with its displayed denominator 249</t>
        </is>
      </c>
      <c r="C5" s="3" t="inlineStr">
        <is>
          <t>DOC-002 Table S6,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2024::jama.2024.12829::C005</t>
        </is>
      </c>
      <c r="B6" s="2" t="inlineStr">
        <is>
          <t>Table S7 group headers conflict with site totals and displayed site percentages</t>
        </is>
      </c>
      <c r="C6" s="2" t="inlineStr">
        <is>
          <t>DOC-002 Table S7, PDF p. 20; DOC-001 Figure 1, PDF p. 5; DOC-002 Table S10, PDF p. 23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2024::jama.2024.12829::C006</t>
        </is>
      </c>
      <c r="B7" s="3" t="inlineStr">
        <is>
          <t>Table S8 per-protocol percentages conflict with headers 249/252</t>
        </is>
      </c>
      <c r="C7" s="3" t="inlineStr">
        <is>
          <t>DOC-002 Table S8, PDF p. 21; DOC-001 Figure 1, PDF p. 5; DOC-002 Table S10, PDF p. 23</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2024::jama.2024.12829::C007</t>
        </is>
      </c>
      <c r="B8" s="2" t="inlineStr">
        <is>
          <t>Table S9 as-treated percentages conflict with headers 249/252</t>
        </is>
      </c>
      <c r="C8" s="2" t="inlineStr">
        <is>
          <t>DOC-002 Table S9, PDF p. 22; DOC-002 Table S10, PDF p. 23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2024::jama.2024.12829::C008</t>
        </is>
      </c>
      <c r="B9" s="3" t="inlineStr">
        <is>
          <t>Baseline stenosis categories include values outside the stated 70%-99% eligibility range</t>
        </is>
      </c>
      <c r="C9" s="3" t="inlineStr">
        <is>
          <t>DOC-001 eligibility, PDF p. 2; DOC-001 Figure 1, PDF p. 5; DOC-001 Table 1, PDF p. 6</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2024::jama.2024.12829::C009</t>
        </is>
      </c>
      <c r="B10" s="2" t="inlineStr">
        <is>
          <t>Thirty-day follow-up tolerance is plus or minus 3 days in the supplement but plus or minus 7 days elsewhere</t>
        </is>
      </c>
      <c r="C10" s="2" t="inlineStr">
        <is>
          <t>DOC-002 study-design graphic, PDF p. 6; DOC-001 schedule, PDF p. 3; DOC-003 schedule, PDF p. 15</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2024::jama.2024.12829::C010</t>
        </is>
      </c>
      <c r="B11" s="3" t="inlineStr">
        <is>
          <t>Protocol V2.0 gives 21-day and 14-day lower bounds for the same stroke criterion</t>
        </is>
      </c>
      <c r="C11" s="3" t="inlineStr">
        <is>
          <t>DOC-003 synopsis, PDF p. 7; DOC-003 body eligibility, PDF p. 21</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2024::jama.2024.12829::C011</t>
        </is>
      </c>
      <c r="B12" s="2" t="inlineStr">
        <is>
          <t>BA 3-month aspirin percentage does not reconcile with count and displayed arm denominator</t>
        </is>
      </c>
      <c r="C12" s="2" t="inlineStr">
        <is>
          <t>DOC-002 Table S3, PDF p. 16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2024::jama.2024.12829::C012</t>
        </is>
      </c>
      <c r="B13" s="3" t="inlineStr">
        <is>
          <t>Figure S1 repeats “2nd meeting” for three chronologically distinct meetings</t>
        </is>
      </c>
      <c r="C13" s="3" t="inlineStr">
        <is>
          <t>DOC-002 Figure S1, PDF p. 10</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2024::jama.2024.12829::C013</t>
        </is>
      </c>
      <c r="B14" s="2" t="inlineStr">
        <is>
          <t>Recurring-visit sentence ambiguously repeats visit numbers 9 and 11</t>
        </is>
      </c>
      <c r="C14" s="2" t="inlineStr">
        <is>
          <t>DOC-003 Protocol V2.0 paragraph, PDF p. 35; DOC-003 Protocol V2.3 paragraph, PDF p. 96; DOC-003 schedule, PDF p. 15</t>
        </is>
      </c>
      <c r="D14" s="8" t="inlineStr"/>
      <c r="E14" s="8" t="inlineStr">
        <is>
          <t>plan_material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2024::jama.2024.12829::C014</t>
        </is>
      </c>
      <c r="B15" s="3" t="inlineStr">
        <is>
          <t>Table S9 BA 8 (3.3) does not round from either supplied ATS or displayed denominator</t>
        </is>
      </c>
      <c r="C15" s="3" t="inlineStr">
        <is>
          <t>DOC-002 Table S9, PDF p. 22; DOC-002 Table S10, PDF p. 23</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2024::jama.2024.12829::C015</t>
        </is>
      </c>
      <c r="B16" s="2" t="inlineStr">
        <is>
          <t>Narrative assigns all 11 pre-analysis exclusions to consent withdrawal while Figure 1 assigns only 10</t>
        </is>
      </c>
      <c r="C16" s="2" t="inlineStr">
        <is>
          <t>DOC-001 narrative, PDF p. 4; DOC-001 Figure 1, PDF p. 5</t>
        </is>
      </c>
      <c r="D16" s="8" t="inlineStr"/>
      <c r="E16" s="8" t="inlineStr">
        <is>
          <t>internal_nonstatistical</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2024::jama.2024.12829::C016</t>
        </is>
      </c>
      <c r="B17" s="3" t="inlineStr">
        <is>
          <t>Table S6 BA event count 9 conflicts with the matched primary-analysis count 11</t>
        </is>
      </c>
      <c r="C17" s="3" t="inlineStr">
        <is>
          <t>DOC-001 primary narrative, PDF p. 5; DOC-001 Table 2, PDF p. 8; DOC-002 Table S6, PDF p. 19</t>
        </is>
      </c>
      <c r="D17" s="8" t="inlineStr"/>
      <c r="E17" s="8" t="inlineStr">
        <is>
          <t>internal_nonstatistical</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row r="18" ht="76" customHeight="1">
      <c r="A18" s="2" t="inlineStr">
        <is>
          <t>2024::jama.2024.12829::C017</t>
        </is>
      </c>
      <c r="B18" s="2" t="inlineStr">
        <is>
          <t>One-year incidence-difference point estimate lies outside its confidence interval</t>
        </is>
      </c>
      <c r="C18" s="2" t="inlineStr">
        <is>
          <t>DOC-001 Table 2, PDF p. 8</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row>
  </sheetData>
  <sheetProtection selectLockedCells="0" selectUnlockedCells="0" sheet="1" objects="0" insertRows="1" insertHyperlinks="1" autoFilter="0" scenarios="0" formatColumns="1" deleteColumns="1" insertColumns="1" pivotTables="1" deleteRows="1" formatCells="1" formatRows="1" sort="1"/>
  <autoFilter ref="A1:N18"/>
  <conditionalFormatting sqref="H2:H1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8" showDropDown="0" showInputMessage="1" showErrorMessage="1" allowBlank="1" errorTitle="Invalid option" error="Choose a listed value." promptTitle="Disposition" prompt="See Codebook for meanings." type="list" errorStyle="stop">
      <formula1>opt_disposition</formula1>
    </dataValidation>
    <dataValidation sqref="E2:E18" showDropDown="0" showInputMessage="1" showErrorMessage="1" allowBlank="1" errorTitle="Invalid option" error="Choose a listed value." promptTitle="Review domain" prompt="See Codebook for meanings." type="list" errorStyle="stop">
      <formula1>opt_domain</formula1>
    </dataValidation>
    <dataValidation sqref="F2:F18" showDropDown="0" showInputMessage="1" showErrorMessage="1" allowBlank="1" errorTitle="Invalid option" error="Choose a listed value." promptTitle="Complete" prompt="See Codebook for meanings." type="list" errorStyle="stop">
      <formula1>opt_reviewComplete</formula1>
    </dataValidation>
    <dataValidation sqref="H2:H1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8" showDropDown="0" showInputMessage="1" showErrorMessage="1" allowBlank="1" errorTitle="Invalid option" error="Choose a listed value." promptTitle="Substantiveness" prompt="See Codebook for meanings." type="list" errorStyle="stop">
      <formula1>opt_substantiveStatus</formula1>
    </dataValidation>
    <dataValidation sqref="J2:J18" showDropDown="0" showInputMessage="1" showErrorMessage="1" allowBlank="1" errorTitle="Invalid option" error="Choose a listed value." promptTitle="Downstream impact" prompt="See Codebook for meanings." type="list" errorStyle="stop">
      <formula1>opt_downstreamImpact</formula1>
    </dataValidation>
    <dataValidation sqref="K2:K1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2024::jama.2024.19585::C001</t>
        </is>
      </c>
      <c r="B2" s="2" t="inlineStr">
        <is>
          <t>Usual-care exclusion hierarchy requires source-layout confirmation</t>
        </is>
      </c>
      <c r="C2" s="2" t="inlineStr">
        <is>
          <t>jama_dupuis_2024_oi_240111_1733431204.38761.pdf — Figure 1, PDF p. 5, usual-care branch.</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2024::jama.2024.19585::C002</t>
        </is>
      </c>
      <c r="B3" s="3" t="inlineStr">
        <is>
          <t>Main-text rejected-statement percentage conflicts with the supplement counts</t>
        </is>
      </c>
      <c r="C3" s="3" t="inlineStr">
        <is>
          <t>jama_dupuis_2024_oi_240111_1733431204.38761.pdf — narrative, PDF p. 2 and joi240111supp2_prod_1733431204.76024.pdf — eTable 3, PDF p. 6.</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2024::jama.2024.19585::C003</t>
        </is>
      </c>
      <c r="B4" s="2" t="inlineStr">
        <is>
          <t>eTable 10 labels logistic-regression odds ratios as differences</t>
        </is>
      </c>
      <c r="C4"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N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2024::jama.2024.2302::C001</t>
        </is>
      </c>
      <c r="B2" s="2" t="inlineStr">
        <is>
          <t>Primary SAE endpoint threshold label</t>
        </is>
      </c>
      <c r="C2" s="2" t="inlineStr">
        <is>
          <t>main article — PDF p. 6, Table 2; results supplement — PDF p. 5, eTable 2; protocol — PDF p. 2; SAP — PDF p. 4.</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2024::jama.2024.2302::C002</t>
        </is>
      </c>
      <c r="B3" s="3" t="inlineStr">
        <is>
          <t>Planned hospital-day medians</t>
        </is>
      </c>
      <c r="C3" s="3" t="inlineStr">
        <is>
          <t>protocol — PDF p. 3; protocol — PDF p. 12; SAP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2024::jama.2024.2302::C003</t>
        </is>
      </c>
      <c r="B4" s="2" t="inlineStr">
        <is>
          <t>Bayesian intervention priors</t>
        </is>
      </c>
      <c r="C4" s="2" t="inlineStr">
        <is>
          <t>main article — PDF p. 4; SAP — PDF p. 8.</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2024::jama.2024.2302::C004</t>
        </is>
      </c>
      <c r="B5" s="3" t="inlineStr">
        <is>
          <t>Gestational-age boundary</t>
        </is>
      </c>
      <c r="C5" s="3" t="inlineStr">
        <is>
          <t>main article — PDF p. 8, Figure 3; SAP — PDF p. 3; SAP — PDF p. 8; SAP — PDF p. 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2024::jama.2024.2302::C005</t>
        </is>
      </c>
      <c r="B6" s="2" t="inlineStr">
        <is>
          <t>Primary-outcome time origin</t>
        </is>
      </c>
      <c r="C6" s="2" t="inlineStr">
        <is>
          <t>protocol — PDF p. 3; protocol — PDF p. 11; SAP — PDF p. 7; main article — PDF p. 3. Main article — PDF p. 6 footnote g is secondary-outcome context only, as it attaches to the hospital-stay row.</t>
        </is>
      </c>
      <c r="D6" s="8" t="inlineStr"/>
      <c r="E6" s="8" t="inlineStr">
        <is>
          <t>protocol_report</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sheetData>
  <sheetProtection selectLockedCells="0" selectUnlockedCells="0" sheet="1" objects="0" insertRows="1" insertHyperlinks="1" autoFilter="0" scenarios="0" formatColumns="1" deleteColumns="1" insertColumns="1" pivotTables="1" deleteRows="1" formatCells="1" formatRows="1" sort="1"/>
  <autoFilter ref="A1:N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N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2024::jama.2024.23898::C001</t>
        </is>
      </c>
      <c r="B2" s="2" t="inlineStr">
        <is>
          <t>Primary-outcome 72-hour clock origin is not stated consistently</t>
        </is>
      </c>
      <c r="C2" s="2" t="inlineStr">
        <is>
          <t>main article — PDF p. 1; main article — PDF p. 5; main article — PDF p. 6; SAP — PDF p. 9.</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2024::jama.2024.23898::C002</t>
        </is>
      </c>
      <c r="B3" s="3" t="inlineStr">
        <is>
          <t>Postoperative opioid-consumption window is 24 hours versus 72 hours</t>
        </is>
      </c>
      <c r="C3" s="3" t="inlineStr">
        <is>
          <t>main article — PDF p. 4; main article — PDF p. 6; protocol — PDF p. 17; SAP — PDF p. 11.</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2024::jama.2024.23898::C003</t>
        </is>
      </c>
      <c r="B4" s="2" t="inlineStr">
        <is>
          <t>Unplanned-readmission window is 90 days versus 30 days</t>
        </is>
      </c>
      <c r="C4" s="2" t="inlineStr">
        <is>
          <t>main article — PDF p. 4; main article — PDF p. 8; protocol — PDF p. 18; SAP — PDF p. 10; SAP — PDF p. 27.</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2024::jama.2024.23898::C004</t>
        </is>
      </c>
      <c r="B5" s="3" t="inlineStr">
        <is>
          <t>ERAS subgroup cut points differ from the protocol bands</t>
        </is>
      </c>
      <c r="C5" s="3" t="inlineStr">
        <is>
          <t>protocol — PDF p. 17; protocol — PDF p. 18; SAP — PDF p. 15; results supplement — PDF p. 2.</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2024::jama.2024.23898::C005</t>
        </is>
      </c>
      <c r="B6" s="2" t="inlineStr">
        <is>
          <t>The eFigure assigns both 99% and 95% labels to the same intervals</t>
        </is>
      </c>
      <c r="C6" s="2" t="inlineStr">
        <is>
          <t>results supplement — PDF p. 2; SAP — PDF p. 15.</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2024::jama.2024.23898::C006</t>
        </is>
      </c>
      <c r="B7" s="3" t="inlineStr">
        <is>
          <t>Day-5 EQ-5D inference conflicts with blanket no-difference prose</t>
        </is>
      </c>
      <c r="C7" s="3" t="inlineStr">
        <is>
          <t>main article — PDF p. 5; main article — PDF p. 6; SAP — PDF p. 13; SAP — PDF p. 14.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2024::jama.2024.23898::C007</t>
        </is>
      </c>
      <c r="B8" s="2" t="inlineStr">
        <is>
          <t>ERAS subgroup is labeled as two levels versus three levels</t>
        </is>
      </c>
      <c r="C8" s="2" t="inlineStr">
        <is>
          <t>main article — PDF p. 5; SAP — PDF p. 15; results supplement — PDF p. 2.</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sheetData>
  <sheetProtection selectLockedCells="0" selectUnlockedCells="0" sheet="1" objects="0" insertRows="1" insertHyperlinks="1" autoFilter="0" scenarios="0" formatColumns="1" deleteColumns="1" insertColumns="1" pivotTables="1" deleteRows="1" formatCells="1" formatRows="1" sort="1"/>
  <autoFilter ref="A1:N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2024::jama.2024.25786::C001</t>
        </is>
      </c>
      <c r="B2" s="2" t="inlineStr">
        <is>
          <t>Liberal walk-in transport percentage does not reconcile with 4/743</t>
        </is>
      </c>
      <c r="C2" s="2" t="inlineStr">
        <is>
          <t>Supplement 2, eTable 2, PDF p. 15, liberal oxygen group, walk-in transport row.</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2024::jama.2024.25786::C002</t>
        </is>
      </c>
      <c r="B3" s="3" t="inlineStr">
        <is>
          <t>Liberal vascular-surgery percentage is nonzero with a printed zero numerator</t>
        </is>
      </c>
      <c r="C3" s="3" t="inlineStr">
        <is>
          <t>Supplement 2, eTable 2, PDF p. 15, liberal oxygen group, vascular surgery row.</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2024::jama.2024.25786::C003</t>
        </is>
      </c>
      <c r="B4" s="2" t="inlineStr">
        <is>
          <t>Matched all-patient adjusted confidence-interval upper limit differs between eTables 4 and 7</t>
        </is>
      </c>
      <c r="C4" s="2" t="inlineStr">
        <is>
          <t>Supplement 2, eTable 4, PDF p. 17, further-adjusted primary outcome; Supplement 2, eTable 7, PDF p. 20, all-patient adjusted odds ratio; relevant methods Main article, PDF p. 5.</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2024::jama.2024.25786::C004</t>
        </is>
      </c>
      <c r="B5" s="3" t="inlineStr">
        <is>
          <t>AIS less-than-3 subgroup percentage conflicts with its count and matched Figure 4</t>
        </is>
      </c>
      <c r="C5" s="3" t="inlineStr">
        <is>
          <t>Main article, Figure 4, PDF p. 8, AIS score less than 3; Supplement 2, eTable 7, PDF p. 20, AIS less than 3.</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2024::jama.2024.25786::C005</t>
        </is>
      </c>
      <c r="B6" s="2" t="inlineStr">
        <is>
          <t>Known-lung-disease subgroup percentage conflicts with its count and matched Figure 4</t>
        </is>
      </c>
      <c r="C6" s="2" t="inlineStr">
        <is>
          <t>Main article, Figure 4, PDF p. 8, known lung disease, yes; Supplement 2, eTable 7, PDF p. 20, known lung disease, yes.</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2024::jama.2024.25786::C006</t>
        </is>
      </c>
      <c r="B7" s="3" t="inlineStr">
        <is>
          <t>Postrandomization-exclusion total and group counts do not reconcile across eTable 10 and Figure 1</t>
        </is>
      </c>
      <c r="C7" s="3" t="inlineStr">
        <is>
          <t>Supplement 2, eTable 10, PDF p. 24, exclusion after randomization; Main article, Figure 1, PDF p. 3, excluded after randomization.</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2024::jama.2024.25786::C007</t>
        </is>
      </c>
      <c r="B8" s="2" t="inlineStr">
        <is>
          <t>Secondary-exclusion cells pair within-group denominators with cross-group partition percentages</t>
        </is>
      </c>
      <c r="C8" s="2" t="inlineStr">
        <is>
          <t>Supplement 2, eTable 10, PDF p. 24, secondary exclusion; count comparator Main article, Figure 1, PDF p. 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2024::jama.2024.25786::C008</t>
        </is>
      </c>
      <c r="B9" s="3" t="inlineStr">
        <is>
          <t>Missing-as-event primary count uses a doubled numerator/denominator separator</t>
        </is>
      </c>
      <c r="C9" s="3" t="inlineStr">
        <is>
          <t>Supplement 2, eTable 11, PDF p. 25, primary outcome with missing counted as event.</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N2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2024::jama.2024.4183::C001</t>
        </is>
      </c>
      <c r="B2" s="2" t="inlineStr">
        <is>
          <t>Abstract phase-2 allocation percentages mix incompatible denominators</t>
        </is>
      </c>
      <c r="C2" s="2" t="inlineStr">
        <is>
          <t>Main article p. 1; Main article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2024::jama.2024.4183::C002</t>
        </is>
      </c>
      <c r="B3" s="3" t="inlineStr">
        <is>
          <t>Main baseline sex counts exceed both printed arm denominators</t>
        </is>
      </c>
      <c r="C3" s="3" t="inlineStr">
        <is>
          <t>Main article p. 5, baseline Table.</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2024::jama.2024.4183::C003</t>
        </is>
      </c>
      <c r="B4" s="2" t="inlineStr">
        <is>
          <t>Displayed randomization total does not equal its two initial branches</t>
        </is>
      </c>
      <c r="C4" s="2" t="inlineStr">
        <is>
          <t>Main article p. 4; Main article p. 6.</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2024::jama.2024.4183::C004</t>
        </is>
      </c>
      <c r="B5" s="3" t="inlineStr">
        <is>
          <t>Results reverses attendance status for continuation assignments</t>
        </is>
      </c>
      <c r="C5" s="3" t="inlineStr">
        <is>
          <t>Main article p. 1; Main article p. 4; Main article p. 6.</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2024::jama.2024.4183::C005</t>
        </is>
      </c>
      <c r="B6" s="2" t="inlineStr">
        <is>
          <t>CNRT dose-increase primary CrI differs between abstract and matched results</t>
        </is>
      </c>
      <c r="C6" s="2" t="inlineStr">
        <is>
          <t>Main article p. 1; Main article p. 5; Supplement 2 p. 21.</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2024::jama.2024.4183::C006</t>
        </is>
      </c>
      <c r="B7" s="3" t="inlineStr">
        <is>
          <t>CNRT switch primary CrI differs across abstract, Results, and eTable</t>
        </is>
      </c>
      <c r="C7" s="3" t="inlineStr">
        <is>
          <t>Main article p. 1; Main article p. 5; Supplement 2 p. 21.</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2024::jama.2024.4183::C007</t>
        </is>
      </c>
      <c r="B8" s="2" t="inlineStr">
        <is>
          <t>Varenicline-to-CNRT switch contrast has inconsistent sign and reference</t>
        </is>
      </c>
      <c r="C8" s="2" t="inlineStr">
        <is>
          <t>Main article p. 1; Main article p. 5; Main article p. 7; Supplement 2 p. 21.</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2024::jama.2024.4183::C008</t>
        </is>
      </c>
      <c r="B9" s="3" t="inlineStr">
        <is>
          <t>Increased-varenicline primary CrI upper endpoint differs</t>
        </is>
      </c>
      <c r="C9" s="3" t="inlineStr">
        <is>
          <t>Main article p. 1; Main article p. 5; Supplement 2 p. 21.</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2024::jama.2024.4183::C009</t>
        </is>
      </c>
      <c r="B10" s="2" t="inlineStr">
        <is>
          <t>Phase-1 abstainer primary CrI lower endpoint differs</t>
        </is>
      </c>
      <c r="C10" s="2" t="inlineStr">
        <is>
          <t>Main article p. 7; Supplement 2 p. 21.</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2024::jama.2024.4183::C010</t>
        </is>
      </c>
      <c r="B11" s="3" t="inlineStr">
        <is>
          <t>Protocol beta parameters do not reproduce the paired varenicline response probability</t>
        </is>
      </c>
      <c r="C11" s="3" t="inlineStr">
        <is>
          <t>Protocol p. 32, Figure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2024::jama.2024.4183::C011</t>
        </is>
      </c>
      <c r="B12" s="2" t="inlineStr">
        <is>
          <t>Protocol Aim-1 power increases at a stricter nested threshold</t>
        </is>
      </c>
      <c r="C12" s="2" t="inlineStr">
        <is>
          <t>Protocol p. 34, Table 3.</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2024::jama.2024.4183::C012</t>
        </is>
      </c>
      <c r="B13" s="3" t="inlineStr">
        <is>
          <t>Protocol Table 3 duplicates an Aim-2 comparator label</t>
        </is>
      </c>
      <c r="C13" s="3" t="inlineStr">
        <is>
          <t>Protocol p. 29; Protocol p. 33; Protocol p. 34.</t>
        </is>
      </c>
      <c r="D13" s="8" t="inlineStr"/>
      <c r="E13" s="8" t="inlineStr">
        <is>
          <t>plan_material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2024::jama.2024.4183::C013</t>
        </is>
      </c>
      <c r="B14" s="2" t="inlineStr">
        <is>
          <t>ETable 3 reverses count and percentage in one n (%) cell</t>
        </is>
      </c>
      <c r="C14" s="2" t="inlineStr">
        <is>
          <t>Supplement 2 p. 19, ETable 3.</t>
        </is>
      </c>
      <c r="D14" s="8" t="inlineStr"/>
      <c r="E14" s="8" t="inlineStr">
        <is>
          <t>internal_nonstatistical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2024::jama.2024.4183::C014</t>
        </is>
      </c>
      <c r="B15" s="3" t="inlineStr">
        <is>
          <t>EOT+30 CNRT-switch cell estimate and CrI do not reconcile with matched figure as printed</t>
        </is>
      </c>
      <c r="C15" s="3" t="inlineStr">
        <is>
          <t>Supplement 2 p. 10; Supplement 2 p. 15.</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2024::jama.2024.4183::C015</t>
        </is>
      </c>
      <c r="B16" s="2" t="inlineStr">
        <is>
          <t>EOT+30 increased-CNRT cell CrI upper endpoint does not reconcile with matched figure as printed</t>
        </is>
      </c>
      <c r="C16" s="2" t="inlineStr">
        <is>
          <t>Supplement 2 p. 10; Supplement 2 p. 15.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2024::jama.2024.4183::C016</t>
        </is>
      </c>
      <c r="B17" s="3" t="inlineStr">
        <is>
          <t>EOT+30 CNRT-switch ARD CrI upper endpoint does not reconcile with matched table as printed</t>
        </is>
      </c>
      <c r="C17" s="3" t="inlineStr">
        <is>
          <t>Supplement 2 p. 10; Supplement 2 p. 33.</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row r="18" ht="76" customHeight="1">
      <c r="A18" s="2" t="inlineStr">
        <is>
          <t>2024::jama.2024.4183::C017</t>
        </is>
      </c>
      <c r="B18" s="2" t="inlineStr">
        <is>
          <t>EOT+30 increased-varenicline narrative has repeated intervals that do not reconcile as printed</t>
        </is>
      </c>
      <c r="C18" s="2" t="inlineStr">
        <is>
          <t>Supplement 2 p. 10; Supplement 2 p. 11; Supplement 2 p. 15; Supplement 2 p. 33; Supplement 2 p. 34.</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row>
    <row r="19" ht="76" customHeight="1">
      <c r="A19" s="3" t="inlineStr">
        <is>
          <t>2024::jama.2024.4183::C018</t>
        </is>
      </c>
      <c r="B19" s="3" t="inlineStr">
        <is>
          <t>EOT+30 abstainer ARD is 1.1% in narrative but 11% in eTable</t>
        </is>
      </c>
      <c r="C19" s="3" t="inlineStr">
        <is>
          <t>Supplement 2 p. 11; Supplement 2 p. 15; Supplement 2 p. 35.</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row>
    <row r="20" ht="76" customHeight="1">
      <c r="A20" s="2" t="inlineStr">
        <is>
          <t>2024::jama.2024.4183::C019</t>
        </is>
      </c>
      <c r="B20" s="2" t="inlineStr">
        <is>
          <t>Six-month CNRT-switch cross-reference does not directly identify the matched table</t>
        </is>
      </c>
      <c r="C20" s="2" t="inlineStr">
        <is>
          <t>Supplement 2 p. 11; Supplement 2 p. 31; Supplement 2 p. 33.</t>
        </is>
      </c>
      <c r="D20" s="8" t="inlineStr"/>
      <c r="E20" s="8" t="inlineStr">
        <is>
          <t>internal_nonstatistical</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row>
    <row r="21" ht="76" customHeight="1">
      <c r="A21" s="3" t="inlineStr">
        <is>
          <t>2024::jama.2024.4183::C020</t>
        </is>
      </c>
      <c r="B21" s="3" t="inlineStr">
        <is>
          <t>Six-month abstainer narrative interval and direction do not reconcile with matched sources</t>
        </is>
      </c>
      <c r="C21" s="3" t="inlineStr">
        <is>
          <t>Supplement 2 p. 12; Supplement 2 p. 16; Supplement 2 p. 35.</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row>
    <row r="22" ht="76" customHeight="1">
      <c r="A22" s="2" t="inlineStr">
        <is>
          <t>2024::jama.2024.4183::C021</t>
        </is>
      </c>
      <c r="B22" s="2" t="inlineStr">
        <is>
          <t>Phase-1-abstainer summary cross-reference does not directly identify the matched table</t>
        </is>
      </c>
      <c r="C22" s="2" t="inlineStr">
        <is>
          <t>Supplement 2 p. 10; Supplement 2 p. 34; Supplement 2 p. 35.</t>
        </is>
      </c>
      <c r="D22" s="8" t="inlineStr"/>
      <c r="E22" s="8" t="inlineStr">
        <is>
          <t>internal_nonstatistical</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row>
    <row r="23" ht="76" customHeight="1">
      <c r="A23" s="3" t="inlineStr">
        <is>
          <t>2024::jama.2024.4183::C022</t>
        </is>
      </c>
      <c r="B23" s="3" t="inlineStr">
        <is>
          <t>Six-month VAR-plus-versus-switch cross-reference does not directly identify the matched table</t>
        </is>
      </c>
      <c r="C23" s="3" t="inlineStr">
        <is>
          <t>Supplement 2 p. 12; Supplement 2 p. 33; Supplement 2 p. 34.</t>
        </is>
      </c>
      <c r="D23" s="8" t="inlineStr"/>
      <c r="E23" s="8" t="inlineStr">
        <is>
          <t>internal_nonstatistical</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row>
    <row r="24" ht="76" customHeight="1">
      <c r="A24" s="2" t="inlineStr">
        <is>
          <t>2024::jama.2024.4183::C023</t>
        </is>
      </c>
      <c r="B24" s="2" t="inlineStr">
        <is>
          <t>ETable 3 employment value order differs from declared n (%)</t>
        </is>
      </c>
      <c r="C24" s="2" t="inlineStr">
        <is>
          <t>Supplement 2 p. 19, ETable 3.</t>
        </is>
      </c>
      <c r="D24" s="8" t="inlineStr"/>
      <c r="E24" s="8" t="inlineStr">
        <is>
          <t>internal_nonstatistical</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row>
    <row r="25" ht="76" customHeight="1">
      <c r="A25" s="3" t="inlineStr">
        <is>
          <t>2024::jama.2024.4183::C024</t>
        </is>
      </c>
      <c r="B25" s="3" t="inlineStr">
        <is>
          <t>ETable 3 employment totals do not close to two printed column Ns</t>
        </is>
      </c>
      <c r="C25" s="3" t="inlineStr">
        <is>
          <t>Supplement 2 p. 19, ETable 3.</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internal_nonstatistical",$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internal_nonstatistical",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IF(OR(AND($D25&lt;&gt;"",$D25&lt;&gt;"retain"),NOT(OR($E25="internal_nonstatistical",$E25="plan_material"))),"not_applicable","")</f>
        <v/>
      </c>
      <c r="L25" s="9">
        <f>IF(OR(AND($D25&lt;&gt;"",$D25&lt;&gt;"retain"),NOT(OR($E25="protocol_report"))),"not_applicable","")</f>
        <v/>
      </c>
      <c r="M25" s="10" t="inlineStr"/>
      <c r="N25" s="10" t="inlineStr"/>
    </row>
  </sheetData>
  <sheetProtection selectLockedCells="0" selectUnlockedCells="0" sheet="1" objects="0" insertRows="1" insertHyperlinks="1" autoFilter="0" scenarios="0" formatColumns="1" deleteColumns="1" insertColumns="1" pivotTables="1" deleteRows="1" formatCells="1" formatRows="1" sort="1"/>
  <autoFilter ref="A1:N25"/>
  <conditionalFormatting sqref="H2:H2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2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5" showDropDown="0" showInputMessage="1" showErrorMessage="1" allowBlank="1" errorTitle="Invalid option" error="Choose a listed value." promptTitle="Disposition" prompt="See Codebook for meanings." type="list" errorStyle="stop">
      <formula1>opt_disposition</formula1>
    </dataValidation>
    <dataValidation sqref="E2:E25" showDropDown="0" showInputMessage="1" showErrorMessage="1" allowBlank="1" errorTitle="Invalid option" error="Choose a listed value." promptTitle="Review domain" prompt="See Codebook for meanings." type="list" errorStyle="stop">
      <formula1>opt_domain</formula1>
    </dataValidation>
    <dataValidation sqref="F2:F25" showDropDown="0" showInputMessage="1" showErrorMessage="1" allowBlank="1" errorTitle="Invalid option" error="Choose a listed value." promptTitle="Complete" prompt="See Codebook for meanings." type="list" errorStyle="stop">
      <formula1>opt_reviewComplete</formula1>
    </dataValidation>
    <dataValidation sqref="H2:H2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5" showDropDown="0" showInputMessage="1" showErrorMessage="1" allowBlank="1" errorTitle="Invalid option" error="Choose a listed value." promptTitle="Substantiveness" prompt="See Codebook for meanings." type="list" errorStyle="stop">
      <formula1>opt_substantiveStatus</formula1>
    </dataValidation>
    <dataValidation sqref="J2:J25" showDropDown="0" showInputMessage="1" showErrorMessage="1" allowBlank="1" errorTitle="Invalid option" error="Choose a listed value." promptTitle="Downstream impact" prompt="See Codebook for meanings." type="list" errorStyle="stop">
      <formula1>opt_downstreamImpact</formula1>
    </dataValidation>
    <dataValidation sqref="K2:K2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N1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2024::jama.2024.6063::C001</t>
        </is>
      </c>
      <c r="B2" s="2" t="inlineStr">
        <is>
          <t>Placebo discontinuation counts differ between Figure 1 and the Results text</t>
        </is>
      </c>
      <c r="C2" s="2" t="inlineStr">
        <is>
          <t>Main article — PDF p. 3; Main article — PDF p. 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2024::jama.2024.6063::C002</t>
        </is>
      </c>
      <c r="B3" s="3" t="inlineStr">
        <is>
          <t>eTable 2 names 167 and 165 for the overall adherence population</t>
        </is>
      </c>
      <c r="C3" s="3" t="inlineStr">
        <is>
          <t>Supplement 3 — PDF p. 3.</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2024::jama.2024.6063::C003</t>
        </is>
      </c>
      <c r="B4" s="2" t="inlineStr">
        <is>
          <t>eTable 5 krill “Smaller by 1 unit” percentage conflicts with 10 of 107</t>
        </is>
      </c>
      <c r="C4" s="2" t="inlineStr">
        <is>
          <t>Supplement 3 — PDF p. 8.</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2024::jama.2024.6063::C004</t>
        </is>
      </c>
      <c r="B5" s="3" t="inlineStr">
        <is>
          <t>eTable 5 krill “No change” percentage conflicts with 80 of 107</t>
        </is>
      </c>
      <c r="C5" s="3" t="inlineStr">
        <is>
          <t>Supplement 3 — PDF p. 8.</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2024::jama.2024.6063::C005</t>
        </is>
      </c>
      <c r="B6" s="2" t="inlineStr">
        <is>
          <t>eTable 5 krill “Larger by 1 unit” percentage conflicts with 12 of 107</t>
        </is>
      </c>
      <c r="C6" s="2" t="inlineStr">
        <is>
          <t>Supplement 3 — PDF p. 8.</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2024::jama.2024.6063::C006</t>
        </is>
      </c>
      <c r="B7" s="3" t="inlineStr">
        <is>
          <t>eTable 5 placebo “Smaller by 2 units” percentage conflicts with 2 of 109</t>
        </is>
      </c>
      <c r="C7" s="3" t="inlineStr">
        <is>
          <t>Supplement 3 — PDF p. 8.</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2024::jama.2024.6063::C007</t>
        </is>
      </c>
      <c r="B8" s="2" t="inlineStr">
        <is>
          <t>eTable 5 placebo “Smaller by 1 unit” percentage conflicts with 16 of 109</t>
        </is>
      </c>
      <c r="C8" s="2" t="inlineStr">
        <is>
          <t>Supplement 3 — PDF p. 8.</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2024::jama.2024.6063::C008</t>
        </is>
      </c>
      <c r="B9" s="3" t="inlineStr">
        <is>
          <t>eTable 5 placebo “No change” percentage conflicts with 75 of 109</t>
        </is>
      </c>
      <c r="C9" s="3" t="inlineStr">
        <is>
          <t>Supplement 3 — PDF p. 8.</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2024::jama.2024.6063::C009</t>
        </is>
      </c>
      <c r="B10" s="2" t="inlineStr">
        <is>
          <t>eTable 4 repeats week-4 function changes in the weight-bearing-pain row</t>
        </is>
      </c>
      <c r="C10" s="2" t="inlineStr">
        <is>
          <t>Supplement 3 — PDF p. 5.</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2024::jama.2024.6063::C010</t>
        </is>
      </c>
      <c r="B11" s="3" t="inlineStr">
        <is>
          <t>eTable 4 repeats week-4 back-pain results in week-12 lower-leg strength</t>
        </is>
      </c>
      <c r="C11" s="3" t="inlineStr">
        <is>
          <t>Supplement 3 — PDF p. 6.</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2024::jama.2024.6063::C011</t>
        </is>
      </c>
      <c r="B12" s="2" t="inlineStr">
        <is>
          <t>eTable 4 repeats the week-12 hsCRP result in fasting glucose</t>
        </is>
      </c>
      <c r="C12" s="2" t="inlineStr">
        <is>
          <t>Supplement 3 — PDF p. 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2024::jama.2024.6063::C012</t>
        </is>
      </c>
      <c r="B13" s="3" t="inlineStr">
        <is>
          <t>Key Points and other matched primary-result displays use opposite signs</t>
        </is>
      </c>
      <c r="C13" s="3" t="inlineStr">
        <is>
          <t>Main article — PDF p. 2; Main article — PDF p. 1; Main article — PDF p. 6; Main article — PDF p. 7; Supplement 3 — PDF p. 2.</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2024::jama.2024.6063::C013</t>
        </is>
      </c>
      <c r="B14" s="2" t="inlineStr">
        <is>
          <t>Placebo extremity-pain event count is 6 in Table 3 and 5 elsewhere</t>
        </is>
      </c>
      <c r="C14" s="2" t="inlineStr">
        <is>
          <t>Main article — PDF p. 1; Main article — PDF p. 8; Supplement 3 — PDF p. 10.</t>
        </is>
      </c>
      <c r="D14" s="8" t="inlineStr"/>
      <c r="E14" s="8" t="inlineStr">
        <is>
          <t>internal_nonstatistical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2024::jama.2024.6063::C014</t>
        </is>
      </c>
      <c r="B15" s="3" t="inlineStr">
        <is>
          <t>Table 3 regular-adverse-event footnote points to eTable 4 instead of eTable 7</t>
        </is>
      </c>
      <c r="C15" s="3" t="inlineStr">
        <is>
          <t>Main article — PDF p. 8; Supplement 3 — PDF p. 5; Supplement 3 — PDF p. 10.</t>
        </is>
      </c>
      <c r="D15" s="8" t="inlineStr"/>
      <c r="E15" s="8" t="inlineStr">
        <is>
          <t>internal_nonstatistical</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2024::jama.2024.6063::C015</t>
        </is>
      </c>
      <c r="B16" s="2" t="inlineStr">
        <is>
          <t>Table 3 serious-adverse-event footnote points to eTables 5 and 6 instead of eTable 8</t>
        </is>
      </c>
      <c r="C16" s="2" t="inlineStr">
        <is>
          <t>Main article — PDF p. 8; Supplement 3 — PDF p. 8; Supplement 3 — PDF p. 9; Supplement 3 — PDF p. 14.</t>
        </is>
      </c>
      <c r="D16" s="8" t="inlineStr"/>
      <c r="E16" s="8" t="inlineStr">
        <is>
          <t>internal_nonstatistical</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2024::jama.2024.6063::C016</t>
        </is>
      </c>
      <c r="B17" s="3" t="inlineStr">
        <is>
          <t>Main-text 95% adherence does not reproduce the cited eTable 2 overall result</t>
        </is>
      </c>
      <c r="C17" s="3" t="inlineStr">
        <is>
          <t>Main article — PDF p. 7; Supplement 3 — PDF p. 3.</t>
        </is>
      </c>
      <c r="D17" s="8" t="inlineStr"/>
      <c r="E17" s="8" t="inlineStr">
        <is>
          <t>internal_nonstatistical</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sheetData>
  <sheetProtection selectLockedCells="0" selectUnlockedCells="0" sheet="1" objects="0" insertRows="1" insertHyperlinks="1" autoFilter="0" scenarios="0" formatColumns="1" deleteColumns="1" insertColumns="1" pivotTables="1" deleteRows="1" formatCells="1" formatRows="1" sort="1"/>
  <autoFilter ref="A1:N17"/>
  <conditionalFormatting sqref="H2:H1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7" showDropDown="0" showInputMessage="1" showErrorMessage="1" allowBlank="1" errorTitle="Invalid option" error="Choose a listed value." promptTitle="Disposition" prompt="See Codebook for meanings." type="list" errorStyle="stop">
      <formula1>opt_disposition</formula1>
    </dataValidation>
    <dataValidation sqref="E2:E17" showDropDown="0" showInputMessage="1" showErrorMessage="1" allowBlank="1" errorTitle="Invalid option" error="Choose a listed value." promptTitle="Review domain" prompt="See Codebook for meanings." type="list" errorStyle="stop">
      <formula1>opt_domain</formula1>
    </dataValidation>
    <dataValidation sqref="F2:F17" showDropDown="0" showInputMessage="1" showErrorMessage="1" allowBlank="1" errorTitle="Invalid option" error="Choose a listed value." promptTitle="Complete" prompt="See Codebook for meanings." type="list" errorStyle="stop">
      <formula1>opt_reviewComplete</formula1>
    </dataValidation>
    <dataValidation sqref="H2:H1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7" showDropDown="0" showInputMessage="1" showErrorMessage="1" allowBlank="1" errorTitle="Invalid option" error="Choose a listed value." promptTitle="Substantiveness" prompt="See Codebook for meanings." type="list" errorStyle="stop">
      <formula1>opt_substantiveStatus</formula1>
    </dataValidation>
    <dataValidation sqref="J2:J17" showDropDown="0" showInputMessage="1" showErrorMessage="1" allowBlank="1" errorTitle="Invalid option" error="Choose a listed value." promptTitle="Downstream impact" prompt="See Codebook for meanings." type="list" errorStyle="stop">
      <formula1>opt_downstreamImpact</formula1>
    </dataValidation>
    <dataValidation sqref="K2:K1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R9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0" customWidth="1" min="2" max="2"/>
    <col width="28" customWidth="1" min="3" max="3"/>
    <col width="18" customWidth="1" min="4" max="4"/>
    <col width="32" customWidth="1" min="5" max="5"/>
    <col width="12" customWidth="1" min="6" max="6"/>
    <col width="22" customWidth="1" min="7" max="7"/>
    <col width="18" customWidth="1" min="8" max="8"/>
    <col width="32" customWidth="1" min="9" max="9"/>
    <col width="18" customWidth="1" min="10" max="10"/>
    <col width="24" customWidth="1" min="11" max="11"/>
    <col width="18" customWidth="1" min="12" max="12"/>
    <col width="18" customWidth="1" min="13" max="13"/>
    <col width="18" customWidth="1" min="14" max="14"/>
    <col width="22" customWidth="1" min="15" max="15"/>
    <col width="18" customWidth="1" min="16" max="16"/>
    <col width="18" customWidth="1" min="17" max="17"/>
    <col width="32" customWidth="1" min="18" max="18"/>
  </cols>
  <sheetData>
    <row r="1" ht="40" customHeight="1">
      <c r="A1" s="1" t="inlineStr">
        <is>
          <t>Candidate key</t>
        </is>
      </c>
      <c r="B1" s="1" t="inlineStr">
        <is>
          <t>Paper</t>
        </is>
      </c>
      <c r="C1" s="1" t="inlineStr">
        <is>
          <t>Candidate title</t>
        </is>
      </c>
      <c r="D1" s="1" t="inlineStr">
        <is>
          <t>Checker result</t>
        </is>
      </c>
      <c r="E1" s="1" t="inlineStr">
        <is>
          <t>Checker comment</t>
        </is>
      </c>
      <c r="F1" s="1" t="inlineStr">
        <is>
          <t>Complete</t>
        </is>
      </c>
      <c r="G1" s="1" t="inlineStr">
        <is>
          <t>Validation hint</t>
        </is>
      </c>
      <c r="H1" s="1" t="inlineStr">
        <is>
          <t>Discussion resolution</t>
        </is>
      </c>
      <c r="I1" s="1" t="inlineStr">
        <is>
          <t>Resolution note</t>
        </is>
      </c>
      <c r="J1" s="1" t="inlineStr">
        <is>
          <t>Disposition</t>
        </is>
      </c>
      <c r="K1" s="1" t="inlineStr">
        <is>
          <t>Review domain</t>
        </is>
      </c>
      <c r="L1" s="5" t="inlineStr">
        <is>
          <t>Statistical error</t>
        </is>
      </c>
      <c r="M1" s="5" t="inlineStr">
        <is>
          <t>Substantiveness</t>
        </is>
      </c>
      <c r="N1" s="5" t="inlineStr">
        <is>
          <t>Downstream impact</t>
        </is>
      </c>
      <c r="O1" s="6" t="inlineStr">
        <is>
          <t>Internal or plan assessment</t>
        </is>
      </c>
      <c r="P1" s="7" t="inlineStr">
        <is>
          <t>Protocol interpretation</t>
        </is>
      </c>
      <c r="Q1" s="1" t="inlineStr">
        <is>
          <t>Related cluster (optional)</t>
        </is>
      </c>
      <c r="R1" s="1" t="inlineStr">
        <is>
          <t>Notes (optional)</t>
        </is>
      </c>
    </row>
    <row r="2" ht="76" customHeight="1">
      <c r="A2" s="2" t="inlineStr">
        <is>
          <t>2024::jama.2024.0318::C001</t>
        </is>
      </c>
      <c r="B2" s="2" t="inlineStr">
        <is>
          <t>jama.2024.0318</t>
        </is>
      </c>
      <c r="C2" s="2" t="inlineStr">
        <is>
          <t>Figure 1 allocation branches exceed the displayed available cohort by 10 participants</t>
        </is>
      </c>
      <c r="D2" s="8" t="inlineStr"/>
      <c r="E2" s="11" t="inlineStr"/>
      <c r="F2" s="8" t="inlineStr">
        <is>
          <t>no</t>
        </is>
      </c>
      <c r="G2" s="2">
        <f>IF(OR(AND(OR(AND(IF($J2="",INDEX(primary_jama_2024_0318_disposition,MATCH($A2,primary_jama_2024_0318_key,0)),$J2)&lt;&gt;"",IF($J2="",INDEX(primary_jama_2024_0318_disposition,MATCH($A2,primary_jama_2024_0318_key,0)),$J2)&lt;&gt;"retain"),NOT(OR(IF($K2="",INDEX(primary_jama_2024_0318_domain,MATCH($A2,primary_jama_2024_0318_key,0)),$K2)="statistical_results"))),L2&lt;&gt;"",L2&lt;&gt;"not_applicable"),AND(OR(AND(IF($J2="",INDEX(primary_jama_2024_0318_disposition,MATCH($A2,primary_jama_2024_0318_key,0)),$J2)&lt;&gt;"",IF($J2="",INDEX(primary_jama_2024_0318_disposition,MATCH($A2,primary_jama_2024_0318_key,0)),$J2)&lt;&gt;"retain"),NOT(OR(IF($K2="",INDEX(primary_jama_2024_0318_domain,MATCH($A2,primary_jama_2024_0318_key,0)),$K2)="statistical_results"))),M2&lt;&gt;"",M2&lt;&gt;"not_applicable"),AND(OR(AND(IF($J2="",INDEX(primary_jama_2024_0318_disposition,MATCH($A2,primary_jama_2024_0318_key,0)),$J2)&lt;&gt;"",IF($J2="",INDEX(primary_jama_2024_0318_disposition,MATCH($A2,primary_jama_2024_0318_key,0)),$J2)&lt;&gt;"retain"),NOT(OR(IF($K2="",INDEX(primary_jama_2024_0318_domain,MATCH($A2,primary_jama_2024_0318_key,0)),$K2)="statistical_results"))),N2&lt;&gt;"",N2&lt;&gt;"not_applicable"),AND(OR(AND(IF($J2="",INDEX(primary_jama_2024_0318_disposition,MATCH($A2,primary_jama_2024_0318_key,0)),$J2)&lt;&gt;"",IF($J2="",INDEX(primary_jama_2024_0318_disposition,MATCH($A2,primary_jama_2024_0318_key,0)),$J2)&lt;&gt;"retain"),NOT(OR(IF($K2="",INDEX(primary_jama_2024_0318_domain,MATCH($A2,primary_jama_2024_0318_key,0)),$K2)="internal_nonstatistical",IF($K2="",INDEX(primary_jama_2024_0318_domain,MATCH($A2,primary_jama_2024_0318_key,0)),$K2)="plan_material"))),O2&lt;&gt;"",O2&lt;&gt;"not_applicable"),AND(OR(AND(IF($J2="",INDEX(primary_jama_2024_0318_disposition,MATCH($A2,primary_jama_2024_0318_key,0)),$J2)&lt;&gt;"",IF($J2="",INDEX(primary_jama_2024_0318_disposition,MATCH($A2,primary_jama_2024_0318_key,0)),$J2)&lt;&gt;"retain"),NOT(OR(IF($K2="",INDEX(primary_jama_2024_0318_domain,MATCH($A2,primary_jama_2024_0318_key,0)),$K2)="protocol_report"))),P2&lt;&gt;"",P2&lt;&gt;"not_applicable")),"CLEAR INACTIVE VALUES",IF(D2="","PENDING",IF(AND(D2&lt;&gt;"agree",LEN(TRIM(E2))=0),"COMMENT NEEDED",IF(F2="yes","CHECKED - see resolution","DRAFT"))))</f>
        <v/>
      </c>
      <c r="H2" s="8" t="inlineStr">
        <is>
          <t>pending</t>
        </is>
      </c>
      <c r="I2" s="11" t="inlineStr"/>
      <c r="J2" s="8" t="inlineStr"/>
      <c r="K2" s="8" t="inlineStr"/>
      <c r="L2" s="8">
        <f>IF(OR(AND(IF($J2="",INDEX(primary_jama_2024_0318_disposition,MATCH($A2,primary_jama_2024_0318_key,0)),$J2)&lt;&gt;"",IF($J2="",INDEX(primary_jama_2024_0318_disposition,MATCH($A2,primary_jama_2024_0318_key,0)),$J2)&lt;&gt;"retain"),NOT(OR(IF($K2="",INDEX(primary_jama_2024_0318_domain,MATCH($A2,primary_jama_2024_0318_key,0)),$K2)="statistical_results"))),"not_applicable","")</f>
        <v/>
      </c>
      <c r="M2" s="8">
        <f>IF(OR(AND(IF($J2="",INDEX(primary_jama_2024_0318_disposition,MATCH($A2,primary_jama_2024_0318_key,0)),$J2)&lt;&gt;"",IF($J2="",INDEX(primary_jama_2024_0318_disposition,MATCH($A2,primary_jama_2024_0318_key,0)),$J2)&lt;&gt;"retain"),NOT(OR(IF($K2="",INDEX(primary_jama_2024_0318_domain,MATCH($A2,primary_jama_2024_0318_key,0)),$K2)="statistical_results"))),"not_applicable","")</f>
        <v/>
      </c>
      <c r="N2" s="9">
        <f>IF(OR(AND(IF($J2="",INDEX(primary_jama_2024_0318_disposition,MATCH($A2,primary_jama_2024_0318_key,0)),$J2)&lt;&gt;"",IF($J2="",INDEX(primary_jama_2024_0318_disposition,MATCH($A2,primary_jama_2024_0318_key,0)),$J2)&lt;&gt;"retain"),NOT(OR(IF($K2="",INDEX(primary_jama_2024_0318_domain,MATCH($A2,primary_jama_2024_0318_key,0)),$K2)="statistical_results"))),"not_applicable","")</f>
        <v/>
      </c>
      <c r="O2" s="8">
        <f>IF(OR(AND(IF($J2="",INDEX(primary_jama_2024_0318_disposition,MATCH($A2,primary_jama_2024_0318_key,0)),$J2)&lt;&gt;"",IF($J2="",INDEX(primary_jama_2024_0318_disposition,MATCH($A2,primary_jama_2024_0318_key,0)),$J2)&lt;&gt;"retain"),NOT(OR(IF($K2="",INDEX(primary_jama_2024_0318_domain,MATCH($A2,primary_jama_2024_0318_key,0)),$K2)="internal_nonstatistical",IF($K2="",INDEX(primary_jama_2024_0318_domain,MATCH($A2,primary_jama_2024_0318_key,0)),$K2)="plan_material"))),"not_applicable","")</f>
        <v/>
      </c>
      <c r="P2" s="9">
        <f>IF(OR(AND(IF($J2="",INDEX(primary_jama_2024_0318_disposition,MATCH($A2,primary_jama_2024_0318_key,0)),$J2)&lt;&gt;"",IF($J2="",INDEX(primary_jama_2024_0318_disposition,MATCH($A2,primary_jama_2024_0318_key,0)),$J2)&lt;&gt;"retain"),NOT(OR(IF($K2="",INDEX(primary_jama_2024_0318_domain,MATCH($A2,primary_jama_2024_0318_key,0)),$K2)="protocol_report"))),"not_applicable","")</f>
        <v/>
      </c>
      <c r="Q2" s="10" t="inlineStr"/>
      <c r="R2" s="10" t="inlineStr"/>
    </row>
    <row r="3" ht="76" customHeight="1">
      <c r="A3" s="3" t="inlineStr">
        <is>
          <t>2024::jama.2024.0318::C002</t>
        </is>
      </c>
      <c r="B3" s="3" t="inlineStr">
        <is>
          <t>jama.2024.0318</t>
        </is>
      </c>
      <c r="C3" s="3" t="inlineStr">
        <is>
          <t>Supplement eTable 2 mixes year-12 headings with year-7 quantitative footnote definitions</t>
        </is>
      </c>
      <c r="D3" s="8" t="inlineStr"/>
      <c r="E3" s="11" t="inlineStr"/>
      <c r="F3" s="8" t="inlineStr">
        <is>
          <t>no</t>
        </is>
      </c>
      <c r="G3" s="3">
        <f>IF(OR(AND(OR(AND(IF($J3="",INDEX(primary_jama_2024_0318_disposition,MATCH($A3,primary_jama_2024_0318_key,0)),$J3)&lt;&gt;"",IF($J3="",INDEX(primary_jama_2024_0318_disposition,MATCH($A3,primary_jama_2024_0318_key,0)),$J3)&lt;&gt;"retain"),NOT(OR(IF($K3="",INDEX(primary_jama_2024_0318_domain,MATCH($A3,primary_jama_2024_0318_key,0)),$K3)="statistical_results"))),L3&lt;&gt;"",L3&lt;&gt;"not_applicable"),AND(OR(AND(IF($J3="",INDEX(primary_jama_2024_0318_disposition,MATCH($A3,primary_jama_2024_0318_key,0)),$J3)&lt;&gt;"",IF($J3="",INDEX(primary_jama_2024_0318_disposition,MATCH($A3,primary_jama_2024_0318_key,0)),$J3)&lt;&gt;"retain"),NOT(OR(IF($K3="",INDEX(primary_jama_2024_0318_domain,MATCH($A3,primary_jama_2024_0318_key,0)),$K3)="statistical_results"))),M3&lt;&gt;"",M3&lt;&gt;"not_applicable"),AND(OR(AND(IF($J3="",INDEX(primary_jama_2024_0318_disposition,MATCH($A3,primary_jama_2024_0318_key,0)),$J3)&lt;&gt;"",IF($J3="",INDEX(primary_jama_2024_0318_disposition,MATCH($A3,primary_jama_2024_0318_key,0)),$J3)&lt;&gt;"retain"),NOT(OR(IF($K3="",INDEX(primary_jama_2024_0318_domain,MATCH($A3,primary_jama_2024_0318_key,0)),$K3)="statistical_results"))),N3&lt;&gt;"",N3&lt;&gt;"not_applicable"),AND(OR(AND(IF($J3="",INDEX(primary_jama_2024_0318_disposition,MATCH($A3,primary_jama_2024_0318_key,0)),$J3)&lt;&gt;"",IF($J3="",INDEX(primary_jama_2024_0318_disposition,MATCH($A3,primary_jama_2024_0318_key,0)),$J3)&lt;&gt;"retain"),NOT(OR(IF($K3="",INDEX(primary_jama_2024_0318_domain,MATCH($A3,primary_jama_2024_0318_key,0)),$K3)="internal_nonstatistical",IF($K3="",INDEX(primary_jama_2024_0318_domain,MATCH($A3,primary_jama_2024_0318_key,0)),$K3)="plan_material"))),O3&lt;&gt;"",O3&lt;&gt;"not_applicable"),AND(OR(AND(IF($J3="",INDEX(primary_jama_2024_0318_disposition,MATCH($A3,primary_jama_2024_0318_key,0)),$J3)&lt;&gt;"",IF($J3="",INDEX(primary_jama_2024_0318_disposition,MATCH($A3,primary_jama_2024_0318_key,0)),$J3)&lt;&gt;"retain"),NOT(OR(IF($K3="",INDEX(primary_jama_2024_0318_domain,MATCH($A3,primary_jama_2024_0318_key,0)),$K3)="protocol_report"))),P3&lt;&gt;"",P3&lt;&gt;"not_applicable")),"CLEAR INACTIVE VALUES",IF(D3="","PENDING",IF(AND(D3&lt;&gt;"agree",LEN(TRIM(E3))=0),"COMMENT NEEDED",IF(F3="yes","CHECKED - see resolution","DRAFT"))))</f>
        <v/>
      </c>
      <c r="H3" s="8" t="inlineStr">
        <is>
          <t>pending</t>
        </is>
      </c>
      <c r="I3" s="11" t="inlineStr"/>
      <c r="J3" s="8" t="inlineStr"/>
      <c r="K3" s="8" t="inlineStr"/>
      <c r="L3" s="8">
        <f>IF(OR(AND(IF($J3="",INDEX(primary_jama_2024_0318_disposition,MATCH($A3,primary_jama_2024_0318_key,0)),$J3)&lt;&gt;"",IF($J3="",INDEX(primary_jama_2024_0318_disposition,MATCH($A3,primary_jama_2024_0318_key,0)),$J3)&lt;&gt;"retain"),NOT(OR(IF($K3="",INDEX(primary_jama_2024_0318_domain,MATCH($A3,primary_jama_2024_0318_key,0)),$K3)="statistical_results"))),"not_applicable","")</f>
        <v/>
      </c>
      <c r="M3" s="8">
        <f>IF(OR(AND(IF($J3="",INDEX(primary_jama_2024_0318_disposition,MATCH($A3,primary_jama_2024_0318_key,0)),$J3)&lt;&gt;"",IF($J3="",INDEX(primary_jama_2024_0318_disposition,MATCH($A3,primary_jama_2024_0318_key,0)),$J3)&lt;&gt;"retain"),NOT(OR(IF($K3="",INDEX(primary_jama_2024_0318_domain,MATCH($A3,primary_jama_2024_0318_key,0)),$K3)="statistical_results"))),"not_applicable","")</f>
        <v/>
      </c>
      <c r="N3" s="9">
        <f>IF(OR(AND(IF($J3="",INDEX(primary_jama_2024_0318_disposition,MATCH($A3,primary_jama_2024_0318_key,0)),$J3)&lt;&gt;"",IF($J3="",INDEX(primary_jama_2024_0318_disposition,MATCH($A3,primary_jama_2024_0318_key,0)),$J3)&lt;&gt;"retain"),NOT(OR(IF($K3="",INDEX(primary_jama_2024_0318_domain,MATCH($A3,primary_jama_2024_0318_key,0)),$K3)="statistical_results"))),"not_applicable","")</f>
        <v/>
      </c>
      <c r="O3" s="8">
        <f>IF(OR(AND(IF($J3="",INDEX(primary_jama_2024_0318_disposition,MATCH($A3,primary_jama_2024_0318_key,0)),$J3)&lt;&gt;"",IF($J3="",INDEX(primary_jama_2024_0318_disposition,MATCH($A3,primary_jama_2024_0318_key,0)),$J3)&lt;&gt;"retain"),NOT(OR(IF($K3="",INDEX(primary_jama_2024_0318_domain,MATCH($A3,primary_jama_2024_0318_key,0)),$K3)="internal_nonstatistical",IF($K3="",INDEX(primary_jama_2024_0318_domain,MATCH($A3,primary_jama_2024_0318_key,0)),$K3)="plan_material"))),"not_applicable","")</f>
        <v/>
      </c>
      <c r="P3" s="9">
        <f>IF(OR(AND(IF($J3="",INDEX(primary_jama_2024_0318_disposition,MATCH($A3,primary_jama_2024_0318_key,0)),$J3)&lt;&gt;"",IF($J3="",INDEX(primary_jama_2024_0318_disposition,MATCH($A3,primary_jama_2024_0318_key,0)),$J3)&lt;&gt;"retain"),NOT(OR(IF($K3="",INDEX(primary_jama_2024_0318_domain,MATCH($A3,primary_jama_2024_0318_key,0)),$K3)="protocol_report"))),"not_applicable","")</f>
        <v/>
      </c>
      <c r="Q3" s="10" t="inlineStr"/>
      <c r="R3" s="10" t="inlineStr"/>
    </row>
    <row r="4" ht="76" customHeight="1">
      <c r="A4" s="2" t="inlineStr">
        <is>
          <t>2024::jama.2024.0318::C003</t>
        </is>
      </c>
      <c r="B4" s="2" t="inlineStr">
        <is>
          <t>jama.2024.0318</t>
        </is>
      </c>
      <c r="C4" s="2" t="inlineStr">
        <is>
          <t>Matched 12-year HbA1c result has incompatible printed P values</t>
        </is>
      </c>
      <c r="D4" s="8" t="inlineStr"/>
      <c r="E4" s="11" t="inlineStr"/>
      <c r="F4" s="8" t="inlineStr">
        <is>
          <t>no</t>
        </is>
      </c>
      <c r="G4" s="2">
        <f>IF(OR(AND(OR(AND(IF($J4="",INDEX(primary_jama_2024_0318_disposition,MATCH($A4,primary_jama_2024_0318_key,0)),$J4)&lt;&gt;"",IF($J4="",INDEX(primary_jama_2024_0318_disposition,MATCH($A4,primary_jama_2024_0318_key,0)),$J4)&lt;&gt;"retain"),NOT(OR(IF($K4="",INDEX(primary_jama_2024_0318_domain,MATCH($A4,primary_jama_2024_0318_key,0)),$K4)="statistical_results"))),L4&lt;&gt;"",L4&lt;&gt;"not_applicable"),AND(OR(AND(IF($J4="",INDEX(primary_jama_2024_0318_disposition,MATCH($A4,primary_jama_2024_0318_key,0)),$J4)&lt;&gt;"",IF($J4="",INDEX(primary_jama_2024_0318_disposition,MATCH($A4,primary_jama_2024_0318_key,0)),$J4)&lt;&gt;"retain"),NOT(OR(IF($K4="",INDEX(primary_jama_2024_0318_domain,MATCH($A4,primary_jama_2024_0318_key,0)),$K4)="statistical_results"))),M4&lt;&gt;"",M4&lt;&gt;"not_applicable"),AND(OR(AND(IF($J4="",INDEX(primary_jama_2024_0318_disposition,MATCH($A4,primary_jama_2024_0318_key,0)),$J4)&lt;&gt;"",IF($J4="",INDEX(primary_jama_2024_0318_disposition,MATCH($A4,primary_jama_2024_0318_key,0)),$J4)&lt;&gt;"retain"),NOT(OR(IF($K4="",INDEX(primary_jama_2024_0318_domain,MATCH($A4,primary_jama_2024_0318_key,0)),$K4)="statistical_results"))),N4&lt;&gt;"",N4&lt;&gt;"not_applicable"),AND(OR(AND(IF($J4="",INDEX(primary_jama_2024_0318_disposition,MATCH($A4,primary_jama_2024_0318_key,0)),$J4)&lt;&gt;"",IF($J4="",INDEX(primary_jama_2024_0318_disposition,MATCH($A4,primary_jama_2024_0318_key,0)),$J4)&lt;&gt;"retain"),NOT(OR(IF($K4="",INDEX(primary_jama_2024_0318_domain,MATCH($A4,primary_jama_2024_0318_key,0)),$K4)="internal_nonstatistical",IF($K4="",INDEX(primary_jama_2024_0318_domain,MATCH($A4,primary_jama_2024_0318_key,0)),$K4)="plan_material"))),O4&lt;&gt;"",O4&lt;&gt;"not_applicable"),AND(OR(AND(IF($J4="",INDEX(primary_jama_2024_0318_disposition,MATCH($A4,primary_jama_2024_0318_key,0)),$J4)&lt;&gt;"",IF($J4="",INDEX(primary_jama_2024_0318_disposition,MATCH($A4,primary_jama_2024_0318_key,0)),$J4)&lt;&gt;"retain"),NOT(OR(IF($K4="",INDEX(primary_jama_2024_0318_domain,MATCH($A4,primary_jama_2024_0318_key,0)),$K4)="protocol_report"))),P4&lt;&gt;"",P4&lt;&gt;"not_applicable")),"CLEAR INACTIVE VALUES",IF(D4="","PENDING",IF(AND(D4&lt;&gt;"agree",LEN(TRIM(E4))=0),"COMMENT NEEDED",IF(F4="yes","CHECKED - see resolution","DRAFT"))))</f>
        <v/>
      </c>
      <c r="H4" s="8" t="inlineStr">
        <is>
          <t>pending</t>
        </is>
      </c>
      <c r="I4" s="11" t="inlineStr"/>
      <c r="J4" s="8" t="inlineStr"/>
      <c r="K4" s="8" t="inlineStr"/>
      <c r="L4" s="8">
        <f>IF(OR(AND(IF($J4="",INDEX(primary_jama_2024_0318_disposition,MATCH($A4,primary_jama_2024_0318_key,0)),$J4)&lt;&gt;"",IF($J4="",INDEX(primary_jama_2024_0318_disposition,MATCH($A4,primary_jama_2024_0318_key,0)),$J4)&lt;&gt;"retain"),NOT(OR(IF($K4="",INDEX(primary_jama_2024_0318_domain,MATCH($A4,primary_jama_2024_0318_key,0)),$K4)="statistical_results"))),"not_applicable","")</f>
        <v/>
      </c>
      <c r="M4" s="8">
        <f>IF(OR(AND(IF($J4="",INDEX(primary_jama_2024_0318_disposition,MATCH($A4,primary_jama_2024_0318_key,0)),$J4)&lt;&gt;"",IF($J4="",INDEX(primary_jama_2024_0318_disposition,MATCH($A4,primary_jama_2024_0318_key,0)),$J4)&lt;&gt;"retain"),NOT(OR(IF($K4="",INDEX(primary_jama_2024_0318_domain,MATCH($A4,primary_jama_2024_0318_key,0)),$K4)="statistical_results"))),"not_applicable","")</f>
        <v/>
      </c>
      <c r="N4" s="9">
        <f>IF(OR(AND(IF($J4="",INDEX(primary_jama_2024_0318_disposition,MATCH($A4,primary_jama_2024_0318_key,0)),$J4)&lt;&gt;"",IF($J4="",INDEX(primary_jama_2024_0318_disposition,MATCH($A4,primary_jama_2024_0318_key,0)),$J4)&lt;&gt;"retain"),NOT(OR(IF($K4="",INDEX(primary_jama_2024_0318_domain,MATCH($A4,primary_jama_2024_0318_key,0)),$K4)="statistical_results"))),"not_applicable","")</f>
        <v/>
      </c>
      <c r="O4" s="8">
        <f>IF(OR(AND(IF($J4="",INDEX(primary_jama_2024_0318_disposition,MATCH($A4,primary_jama_2024_0318_key,0)),$J4)&lt;&gt;"",IF($J4="",INDEX(primary_jama_2024_0318_disposition,MATCH($A4,primary_jama_2024_0318_key,0)),$J4)&lt;&gt;"retain"),NOT(OR(IF($K4="",INDEX(primary_jama_2024_0318_domain,MATCH($A4,primary_jama_2024_0318_key,0)),$K4)="internal_nonstatistical",IF($K4="",INDEX(primary_jama_2024_0318_domain,MATCH($A4,primary_jama_2024_0318_key,0)),$K4)="plan_material"))),"not_applicable","")</f>
        <v/>
      </c>
      <c r="P4" s="9">
        <f>IF(OR(AND(IF($J4="",INDEX(primary_jama_2024_0318_disposition,MATCH($A4,primary_jama_2024_0318_key,0)),$J4)&lt;&gt;"",IF($J4="",INDEX(primary_jama_2024_0318_disposition,MATCH($A4,primary_jama_2024_0318_key,0)),$J4)&lt;&gt;"retain"),NOT(OR(IF($K4="",INDEX(primary_jama_2024_0318_domain,MATCH($A4,primary_jama_2024_0318_key,0)),$K4)="protocol_report"))),"not_applicable","")</f>
        <v/>
      </c>
      <c r="Q4" s="10" t="inlineStr"/>
      <c r="R4" s="10" t="inlineStr"/>
    </row>
    <row r="5" ht="76" customHeight="1">
      <c r="A5" s="3" t="inlineStr">
        <is>
          <t>2024::jama.2024.0318::C004</t>
        </is>
      </c>
      <c r="B5" s="3" t="inlineStr">
        <is>
          <t>jama.2024.0318</t>
        </is>
      </c>
      <c r="C5" s="3" t="inlineStr">
        <is>
          <t>The same year-7 glycemic outcome is labeled as both HbA1c less than or equal to 6.5% and HbA1c below 6.5%</t>
        </is>
      </c>
      <c r="D5" s="8" t="inlineStr"/>
      <c r="E5" s="11" t="inlineStr"/>
      <c r="F5" s="8" t="inlineStr">
        <is>
          <t>no</t>
        </is>
      </c>
      <c r="G5" s="3">
        <f>IF(OR(AND(OR(AND(IF($J5="",INDEX(primary_jama_2024_0318_disposition,MATCH($A5,primary_jama_2024_0318_key,0)),$J5)&lt;&gt;"",IF($J5="",INDEX(primary_jama_2024_0318_disposition,MATCH($A5,primary_jama_2024_0318_key,0)),$J5)&lt;&gt;"retain"),NOT(OR(IF($K5="",INDEX(primary_jama_2024_0318_domain,MATCH($A5,primary_jama_2024_0318_key,0)),$K5)="statistical_results"))),L5&lt;&gt;"",L5&lt;&gt;"not_applicable"),AND(OR(AND(IF($J5="",INDEX(primary_jama_2024_0318_disposition,MATCH($A5,primary_jama_2024_0318_key,0)),$J5)&lt;&gt;"",IF($J5="",INDEX(primary_jama_2024_0318_disposition,MATCH($A5,primary_jama_2024_0318_key,0)),$J5)&lt;&gt;"retain"),NOT(OR(IF($K5="",INDEX(primary_jama_2024_0318_domain,MATCH($A5,primary_jama_2024_0318_key,0)),$K5)="statistical_results"))),M5&lt;&gt;"",M5&lt;&gt;"not_applicable"),AND(OR(AND(IF($J5="",INDEX(primary_jama_2024_0318_disposition,MATCH($A5,primary_jama_2024_0318_key,0)),$J5)&lt;&gt;"",IF($J5="",INDEX(primary_jama_2024_0318_disposition,MATCH($A5,primary_jama_2024_0318_key,0)),$J5)&lt;&gt;"retain"),NOT(OR(IF($K5="",INDEX(primary_jama_2024_0318_domain,MATCH($A5,primary_jama_2024_0318_key,0)),$K5)="statistical_results"))),N5&lt;&gt;"",N5&lt;&gt;"not_applicable"),AND(OR(AND(IF($J5="",INDEX(primary_jama_2024_0318_disposition,MATCH($A5,primary_jama_2024_0318_key,0)),$J5)&lt;&gt;"",IF($J5="",INDEX(primary_jama_2024_0318_disposition,MATCH($A5,primary_jama_2024_0318_key,0)),$J5)&lt;&gt;"retain"),NOT(OR(IF($K5="",INDEX(primary_jama_2024_0318_domain,MATCH($A5,primary_jama_2024_0318_key,0)),$K5)="internal_nonstatistical",IF($K5="",INDEX(primary_jama_2024_0318_domain,MATCH($A5,primary_jama_2024_0318_key,0)),$K5)="plan_material"))),O5&lt;&gt;"",O5&lt;&gt;"not_applicable"),AND(OR(AND(IF($J5="",INDEX(primary_jama_2024_0318_disposition,MATCH($A5,primary_jama_2024_0318_key,0)),$J5)&lt;&gt;"",IF($J5="",INDEX(primary_jama_2024_0318_disposition,MATCH($A5,primary_jama_2024_0318_key,0)),$J5)&lt;&gt;"retain"),NOT(OR(IF($K5="",INDEX(primary_jama_2024_0318_domain,MATCH($A5,primary_jama_2024_0318_key,0)),$K5)="protocol_report"))),P5&lt;&gt;"",P5&lt;&gt;"not_applicable")),"CLEAR INACTIVE VALUES",IF(D5="","PENDING",IF(AND(D5&lt;&gt;"agree",LEN(TRIM(E5))=0),"COMMENT NEEDED",IF(F5="yes","CHECKED - see resolution","DRAFT"))))</f>
        <v/>
      </c>
      <c r="H5" s="8" t="inlineStr">
        <is>
          <t>pending</t>
        </is>
      </c>
      <c r="I5" s="11" t="inlineStr"/>
      <c r="J5" s="8" t="inlineStr"/>
      <c r="K5" s="8" t="inlineStr"/>
      <c r="L5" s="8">
        <f>IF(OR(AND(IF($J5="",INDEX(primary_jama_2024_0318_disposition,MATCH($A5,primary_jama_2024_0318_key,0)),$J5)&lt;&gt;"",IF($J5="",INDEX(primary_jama_2024_0318_disposition,MATCH($A5,primary_jama_2024_0318_key,0)),$J5)&lt;&gt;"retain"),NOT(OR(IF($K5="",INDEX(primary_jama_2024_0318_domain,MATCH($A5,primary_jama_2024_0318_key,0)),$K5)="statistical_results"))),"not_applicable","")</f>
        <v/>
      </c>
      <c r="M5" s="8">
        <f>IF(OR(AND(IF($J5="",INDEX(primary_jama_2024_0318_disposition,MATCH($A5,primary_jama_2024_0318_key,0)),$J5)&lt;&gt;"",IF($J5="",INDEX(primary_jama_2024_0318_disposition,MATCH($A5,primary_jama_2024_0318_key,0)),$J5)&lt;&gt;"retain"),NOT(OR(IF($K5="",INDEX(primary_jama_2024_0318_domain,MATCH($A5,primary_jama_2024_0318_key,0)),$K5)="statistical_results"))),"not_applicable","")</f>
        <v/>
      </c>
      <c r="N5" s="9">
        <f>IF(OR(AND(IF($J5="",INDEX(primary_jama_2024_0318_disposition,MATCH($A5,primary_jama_2024_0318_key,0)),$J5)&lt;&gt;"",IF($J5="",INDEX(primary_jama_2024_0318_disposition,MATCH($A5,primary_jama_2024_0318_key,0)),$J5)&lt;&gt;"retain"),NOT(OR(IF($K5="",INDEX(primary_jama_2024_0318_domain,MATCH($A5,primary_jama_2024_0318_key,0)),$K5)="statistical_results"))),"not_applicable","")</f>
        <v/>
      </c>
      <c r="O5" s="8">
        <f>IF(OR(AND(IF($J5="",INDEX(primary_jama_2024_0318_disposition,MATCH($A5,primary_jama_2024_0318_key,0)),$J5)&lt;&gt;"",IF($J5="",INDEX(primary_jama_2024_0318_disposition,MATCH($A5,primary_jama_2024_0318_key,0)),$J5)&lt;&gt;"retain"),NOT(OR(IF($K5="",INDEX(primary_jama_2024_0318_domain,MATCH($A5,primary_jama_2024_0318_key,0)),$K5)="internal_nonstatistical",IF($K5="",INDEX(primary_jama_2024_0318_domain,MATCH($A5,primary_jama_2024_0318_key,0)),$K5)="plan_material"))),"not_applicable","")</f>
        <v/>
      </c>
      <c r="P5" s="9">
        <f>IF(OR(AND(IF($J5="",INDEX(primary_jama_2024_0318_disposition,MATCH($A5,primary_jama_2024_0318_key,0)),$J5)&lt;&gt;"",IF($J5="",INDEX(primary_jama_2024_0318_disposition,MATCH($A5,primary_jama_2024_0318_key,0)),$J5)&lt;&gt;"retain"),NOT(OR(IF($K5="",INDEX(primary_jama_2024_0318_domain,MATCH($A5,primary_jama_2024_0318_key,0)),$K5)="protocol_report"))),"not_applicable","")</f>
        <v/>
      </c>
      <c r="Q5" s="10" t="inlineStr"/>
      <c r="R5" s="10" t="inlineStr"/>
    </row>
    <row r="6" ht="76" customHeight="1">
      <c r="A6" s="2" t="inlineStr">
        <is>
          <t>2024::jama.2024.0318::C005</t>
        </is>
      </c>
      <c r="B6" s="2" t="inlineStr">
        <is>
          <t>jama.2024.0318</t>
        </is>
      </c>
      <c r="C6" s="2" t="inlineStr">
        <is>
          <t>Abstract percentage for four deaths does not reconcile with displayed group counts and denominators</t>
        </is>
      </c>
      <c r="D6" s="8" t="inlineStr"/>
      <c r="E6" s="11" t="inlineStr"/>
      <c r="F6" s="8" t="inlineStr">
        <is>
          <t>no</t>
        </is>
      </c>
      <c r="G6" s="2">
        <f>IF(OR(AND(OR(AND(IF($J6="",INDEX(primary_jama_2024_0318_disposition,MATCH($A6,primary_jama_2024_0318_key,0)),$J6)&lt;&gt;"",IF($J6="",INDEX(primary_jama_2024_0318_disposition,MATCH($A6,primary_jama_2024_0318_key,0)),$J6)&lt;&gt;"retain"),NOT(OR(IF($K6="",INDEX(primary_jama_2024_0318_domain,MATCH($A6,primary_jama_2024_0318_key,0)),$K6)="statistical_results"))),L6&lt;&gt;"",L6&lt;&gt;"not_applicable"),AND(OR(AND(IF($J6="",INDEX(primary_jama_2024_0318_disposition,MATCH($A6,primary_jama_2024_0318_key,0)),$J6)&lt;&gt;"",IF($J6="",INDEX(primary_jama_2024_0318_disposition,MATCH($A6,primary_jama_2024_0318_key,0)),$J6)&lt;&gt;"retain"),NOT(OR(IF($K6="",INDEX(primary_jama_2024_0318_domain,MATCH($A6,primary_jama_2024_0318_key,0)),$K6)="statistical_results"))),M6&lt;&gt;"",M6&lt;&gt;"not_applicable"),AND(OR(AND(IF($J6="",INDEX(primary_jama_2024_0318_disposition,MATCH($A6,primary_jama_2024_0318_key,0)),$J6)&lt;&gt;"",IF($J6="",INDEX(primary_jama_2024_0318_disposition,MATCH($A6,primary_jama_2024_0318_key,0)),$J6)&lt;&gt;"retain"),NOT(OR(IF($K6="",INDEX(primary_jama_2024_0318_domain,MATCH($A6,primary_jama_2024_0318_key,0)),$K6)="statistical_results"))),N6&lt;&gt;"",N6&lt;&gt;"not_applicable"),AND(OR(AND(IF($J6="",INDEX(primary_jama_2024_0318_disposition,MATCH($A6,primary_jama_2024_0318_key,0)),$J6)&lt;&gt;"",IF($J6="",INDEX(primary_jama_2024_0318_disposition,MATCH($A6,primary_jama_2024_0318_key,0)),$J6)&lt;&gt;"retain"),NOT(OR(IF($K6="",INDEX(primary_jama_2024_0318_domain,MATCH($A6,primary_jama_2024_0318_key,0)),$K6)="internal_nonstatistical",IF($K6="",INDEX(primary_jama_2024_0318_domain,MATCH($A6,primary_jama_2024_0318_key,0)),$K6)="plan_material"))),O6&lt;&gt;"",O6&lt;&gt;"not_applicable"),AND(OR(AND(IF($J6="",INDEX(primary_jama_2024_0318_disposition,MATCH($A6,primary_jama_2024_0318_key,0)),$J6)&lt;&gt;"",IF($J6="",INDEX(primary_jama_2024_0318_disposition,MATCH($A6,primary_jama_2024_0318_key,0)),$J6)&lt;&gt;"retain"),NOT(OR(IF($K6="",INDEX(primary_jama_2024_0318_domain,MATCH($A6,primary_jama_2024_0318_key,0)),$K6)="protocol_report"))),P6&lt;&gt;"",P6&lt;&gt;"not_applicable")),"CLEAR INACTIVE VALUES",IF(D6="","PENDING",IF(AND(D6&lt;&gt;"agree",LEN(TRIM(E6))=0),"COMMENT NEEDED",IF(F6="yes","CHECKED - see resolution","DRAFT"))))</f>
        <v/>
      </c>
      <c r="H6" s="8" t="inlineStr">
        <is>
          <t>pending</t>
        </is>
      </c>
      <c r="I6" s="11" t="inlineStr"/>
      <c r="J6" s="8" t="inlineStr"/>
      <c r="K6" s="8" t="inlineStr"/>
      <c r="L6" s="8">
        <f>IF(OR(AND(IF($J6="",INDEX(primary_jama_2024_0318_disposition,MATCH($A6,primary_jama_2024_0318_key,0)),$J6)&lt;&gt;"",IF($J6="",INDEX(primary_jama_2024_0318_disposition,MATCH($A6,primary_jama_2024_0318_key,0)),$J6)&lt;&gt;"retain"),NOT(OR(IF($K6="",INDEX(primary_jama_2024_0318_domain,MATCH($A6,primary_jama_2024_0318_key,0)),$K6)="statistical_results"))),"not_applicable","")</f>
        <v/>
      </c>
      <c r="M6" s="8">
        <f>IF(OR(AND(IF($J6="",INDEX(primary_jama_2024_0318_disposition,MATCH($A6,primary_jama_2024_0318_key,0)),$J6)&lt;&gt;"",IF($J6="",INDEX(primary_jama_2024_0318_disposition,MATCH($A6,primary_jama_2024_0318_key,0)),$J6)&lt;&gt;"retain"),NOT(OR(IF($K6="",INDEX(primary_jama_2024_0318_domain,MATCH($A6,primary_jama_2024_0318_key,0)),$K6)="statistical_results"))),"not_applicable","")</f>
        <v/>
      </c>
      <c r="N6" s="9">
        <f>IF(OR(AND(IF($J6="",INDEX(primary_jama_2024_0318_disposition,MATCH($A6,primary_jama_2024_0318_key,0)),$J6)&lt;&gt;"",IF($J6="",INDEX(primary_jama_2024_0318_disposition,MATCH($A6,primary_jama_2024_0318_key,0)),$J6)&lt;&gt;"retain"),NOT(OR(IF($K6="",INDEX(primary_jama_2024_0318_domain,MATCH($A6,primary_jama_2024_0318_key,0)),$K6)="statistical_results"))),"not_applicable","")</f>
        <v/>
      </c>
      <c r="O6" s="8">
        <f>IF(OR(AND(IF($J6="",INDEX(primary_jama_2024_0318_disposition,MATCH($A6,primary_jama_2024_0318_key,0)),$J6)&lt;&gt;"",IF($J6="",INDEX(primary_jama_2024_0318_disposition,MATCH($A6,primary_jama_2024_0318_key,0)),$J6)&lt;&gt;"retain"),NOT(OR(IF($K6="",INDEX(primary_jama_2024_0318_domain,MATCH($A6,primary_jama_2024_0318_key,0)),$K6)="internal_nonstatistical",IF($K6="",INDEX(primary_jama_2024_0318_domain,MATCH($A6,primary_jama_2024_0318_key,0)),$K6)="plan_material"))),"not_applicable","")</f>
        <v/>
      </c>
      <c r="P6" s="9">
        <f>IF(OR(AND(IF($J6="",INDEX(primary_jama_2024_0318_disposition,MATCH($A6,primary_jama_2024_0318_key,0)),$J6)&lt;&gt;"",IF($J6="",INDEX(primary_jama_2024_0318_disposition,MATCH($A6,primary_jama_2024_0318_key,0)),$J6)&lt;&gt;"retain"),NOT(OR(IF($K6="",INDEX(primary_jama_2024_0318_domain,MATCH($A6,primary_jama_2024_0318_key,0)),$K6)="protocol_report"))),"not_applicable","")</f>
        <v/>
      </c>
      <c r="Q6" s="10" t="inlineStr"/>
      <c r="R6" s="10" t="inlineStr"/>
    </row>
    <row r="7" ht="76" customHeight="1">
      <c r="A7" s="3" t="inlineStr">
        <is>
          <t>2024::jama.2024.0318::C006</t>
        </is>
      </c>
      <c r="B7" s="3" t="inlineStr">
        <is>
          <t>jama.2024.0318</t>
        </is>
      </c>
      <c r="C7" s="3" t="inlineStr">
        <is>
          <t>The same exploratory BMI subgroup boundary is labeled as both 35 or greater and greater than 35</t>
        </is>
      </c>
      <c r="D7" s="8" t="inlineStr"/>
      <c r="E7" s="11" t="inlineStr"/>
      <c r="F7" s="8" t="inlineStr">
        <is>
          <t>no</t>
        </is>
      </c>
      <c r="G7" s="3">
        <f>IF(OR(AND(OR(AND(IF($J7="",INDEX(primary_jama_2024_0318_disposition,MATCH($A7,primary_jama_2024_0318_key,0)),$J7)&lt;&gt;"",IF($J7="",INDEX(primary_jama_2024_0318_disposition,MATCH($A7,primary_jama_2024_0318_key,0)),$J7)&lt;&gt;"retain"),NOT(OR(IF($K7="",INDEX(primary_jama_2024_0318_domain,MATCH($A7,primary_jama_2024_0318_key,0)),$K7)="statistical_results"))),L7&lt;&gt;"",L7&lt;&gt;"not_applicable"),AND(OR(AND(IF($J7="",INDEX(primary_jama_2024_0318_disposition,MATCH($A7,primary_jama_2024_0318_key,0)),$J7)&lt;&gt;"",IF($J7="",INDEX(primary_jama_2024_0318_disposition,MATCH($A7,primary_jama_2024_0318_key,0)),$J7)&lt;&gt;"retain"),NOT(OR(IF($K7="",INDEX(primary_jama_2024_0318_domain,MATCH($A7,primary_jama_2024_0318_key,0)),$K7)="statistical_results"))),M7&lt;&gt;"",M7&lt;&gt;"not_applicable"),AND(OR(AND(IF($J7="",INDEX(primary_jama_2024_0318_disposition,MATCH($A7,primary_jama_2024_0318_key,0)),$J7)&lt;&gt;"",IF($J7="",INDEX(primary_jama_2024_0318_disposition,MATCH($A7,primary_jama_2024_0318_key,0)),$J7)&lt;&gt;"retain"),NOT(OR(IF($K7="",INDEX(primary_jama_2024_0318_domain,MATCH($A7,primary_jama_2024_0318_key,0)),$K7)="statistical_results"))),N7&lt;&gt;"",N7&lt;&gt;"not_applicable"),AND(OR(AND(IF($J7="",INDEX(primary_jama_2024_0318_disposition,MATCH($A7,primary_jama_2024_0318_key,0)),$J7)&lt;&gt;"",IF($J7="",INDEX(primary_jama_2024_0318_disposition,MATCH($A7,primary_jama_2024_0318_key,0)),$J7)&lt;&gt;"retain"),NOT(OR(IF($K7="",INDEX(primary_jama_2024_0318_domain,MATCH($A7,primary_jama_2024_0318_key,0)),$K7)="internal_nonstatistical",IF($K7="",INDEX(primary_jama_2024_0318_domain,MATCH($A7,primary_jama_2024_0318_key,0)),$K7)="plan_material"))),O7&lt;&gt;"",O7&lt;&gt;"not_applicable"),AND(OR(AND(IF($J7="",INDEX(primary_jama_2024_0318_disposition,MATCH($A7,primary_jama_2024_0318_key,0)),$J7)&lt;&gt;"",IF($J7="",INDEX(primary_jama_2024_0318_disposition,MATCH($A7,primary_jama_2024_0318_key,0)),$J7)&lt;&gt;"retain"),NOT(OR(IF($K7="",INDEX(primary_jama_2024_0318_domain,MATCH($A7,primary_jama_2024_0318_key,0)),$K7)="protocol_report"))),P7&lt;&gt;"",P7&lt;&gt;"not_applicable")),"CLEAR INACTIVE VALUES",IF(D7="","PENDING",IF(AND(D7&lt;&gt;"agree",LEN(TRIM(E7))=0),"COMMENT NEEDED",IF(F7="yes","CHECKED - see resolution","DRAFT"))))</f>
        <v/>
      </c>
      <c r="H7" s="8" t="inlineStr">
        <is>
          <t>pending</t>
        </is>
      </c>
      <c r="I7" s="11" t="inlineStr"/>
      <c r="J7" s="8" t="inlineStr"/>
      <c r="K7" s="8" t="inlineStr"/>
      <c r="L7" s="8">
        <f>IF(OR(AND(IF($J7="",INDEX(primary_jama_2024_0318_disposition,MATCH($A7,primary_jama_2024_0318_key,0)),$J7)&lt;&gt;"",IF($J7="",INDEX(primary_jama_2024_0318_disposition,MATCH($A7,primary_jama_2024_0318_key,0)),$J7)&lt;&gt;"retain"),NOT(OR(IF($K7="",INDEX(primary_jama_2024_0318_domain,MATCH($A7,primary_jama_2024_0318_key,0)),$K7)="statistical_results"))),"not_applicable","")</f>
        <v/>
      </c>
      <c r="M7" s="8">
        <f>IF(OR(AND(IF($J7="",INDEX(primary_jama_2024_0318_disposition,MATCH($A7,primary_jama_2024_0318_key,0)),$J7)&lt;&gt;"",IF($J7="",INDEX(primary_jama_2024_0318_disposition,MATCH($A7,primary_jama_2024_0318_key,0)),$J7)&lt;&gt;"retain"),NOT(OR(IF($K7="",INDEX(primary_jama_2024_0318_domain,MATCH($A7,primary_jama_2024_0318_key,0)),$K7)="statistical_results"))),"not_applicable","")</f>
        <v/>
      </c>
      <c r="N7" s="9">
        <f>IF(OR(AND(IF($J7="",INDEX(primary_jama_2024_0318_disposition,MATCH($A7,primary_jama_2024_0318_key,0)),$J7)&lt;&gt;"",IF($J7="",INDEX(primary_jama_2024_0318_disposition,MATCH($A7,primary_jama_2024_0318_key,0)),$J7)&lt;&gt;"retain"),NOT(OR(IF($K7="",INDEX(primary_jama_2024_0318_domain,MATCH($A7,primary_jama_2024_0318_key,0)),$K7)="statistical_results"))),"not_applicable","")</f>
        <v/>
      </c>
      <c r="O7" s="8">
        <f>IF(OR(AND(IF($J7="",INDEX(primary_jama_2024_0318_disposition,MATCH($A7,primary_jama_2024_0318_key,0)),$J7)&lt;&gt;"",IF($J7="",INDEX(primary_jama_2024_0318_disposition,MATCH($A7,primary_jama_2024_0318_key,0)),$J7)&lt;&gt;"retain"),NOT(OR(IF($K7="",INDEX(primary_jama_2024_0318_domain,MATCH($A7,primary_jama_2024_0318_key,0)),$K7)="internal_nonstatistical",IF($K7="",INDEX(primary_jama_2024_0318_domain,MATCH($A7,primary_jama_2024_0318_key,0)),$K7)="plan_material"))),"not_applicable","")</f>
        <v/>
      </c>
      <c r="P7" s="9">
        <f>IF(OR(AND(IF($J7="",INDEX(primary_jama_2024_0318_disposition,MATCH($A7,primary_jama_2024_0318_key,0)),$J7)&lt;&gt;"",IF($J7="",INDEX(primary_jama_2024_0318_disposition,MATCH($A7,primary_jama_2024_0318_key,0)),$J7)&lt;&gt;"retain"),NOT(OR(IF($K7="",INDEX(primary_jama_2024_0318_domain,MATCH($A7,primary_jama_2024_0318_key,0)),$K7)="protocol_report"))),"not_applicable","")</f>
        <v/>
      </c>
      <c r="Q7" s="10" t="inlineStr"/>
      <c r="R7" s="10" t="inlineStr"/>
    </row>
    <row r="8" ht="76" customHeight="1">
      <c r="A8" s="2" t="inlineStr">
        <is>
          <t>2024::jama.2024.0572::C001</t>
        </is>
      </c>
      <c r="B8" s="2" t="inlineStr">
        <is>
          <t>jama.2024.0572</t>
        </is>
      </c>
      <c r="C8" s="2" t="inlineStr">
        <is>
          <t>ITT Figure 2 mRS distributions conflict with ITT eTable 2 threshold counts</t>
        </is>
      </c>
      <c r="D8" s="8" t="inlineStr"/>
      <c r="E8" s="11" t="inlineStr"/>
      <c r="F8" s="8" t="inlineStr">
        <is>
          <t>no</t>
        </is>
      </c>
      <c r="G8" s="2">
        <f>IF(OR(AND(OR(AND(IF($J8="",INDEX(primary_jama_2024_0572_disposition,MATCH($A8,primary_jama_2024_0572_key,0)),$J8)&lt;&gt;"",IF($J8="",INDEX(primary_jama_2024_0572_disposition,MATCH($A8,primary_jama_2024_0572_key,0)),$J8)&lt;&gt;"retain"),NOT(OR(IF($K8="",INDEX(primary_jama_2024_0572_domain,MATCH($A8,primary_jama_2024_0572_key,0)),$K8)="statistical_results"))),L8&lt;&gt;"",L8&lt;&gt;"not_applicable"),AND(OR(AND(IF($J8="",INDEX(primary_jama_2024_0572_disposition,MATCH($A8,primary_jama_2024_0572_key,0)),$J8)&lt;&gt;"",IF($J8="",INDEX(primary_jama_2024_0572_disposition,MATCH($A8,primary_jama_2024_0572_key,0)),$J8)&lt;&gt;"retain"),NOT(OR(IF($K8="",INDEX(primary_jama_2024_0572_domain,MATCH($A8,primary_jama_2024_0572_key,0)),$K8)="statistical_results"))),M8&lt;&gt;"",M8&lt;&gt;"not_applicable"),AND(OR(AND(IF($J8="",INDEX(primary_jama_2024_0572_disposition,MATCH($A8,primary_jama_2024_0572_key,0)),$J8)&lt;&gt;"",IF($J8="",INDEX(primary_jama_2024_0572_disposition,MATCH($A8,primary_jama_2024_0572_key,0)),$J8)&lt;&gt;"retain"),NOT(OR(IF($K8="",INDEX(primary_jama_2024_0572_domain,MATCH($A8,primary_jama_2024_0572_key,0)),$K8)="statistical_results"))),N8&lt;&gt;"",N8&lt;&gt;"not_applicable"),AND(OR(AND(IF($J8="",INDEX(primary_jama_2024_0572_disposition,MATCH($A8,primary_jama_2024_0572_key,0)),$J8)&lt;&gt;"",IF($J8="",INDEX(primary_jama_2024_0572_disposition,MATCH($A8,primary_jama_2024_0572_key,0)),$J8)&lt;&gt;"retain"),NOT(OR(IF($K8="",INDEX(primary_jama_2024_0572_domain,MATCH($A8,primary_jama_2024_0572_key,0)),$K8)="internal_nonstatistical",IF($K8="",INDEX(primary_jama_2024_0572_domain,MATCH($A8,primary_jama_2024_0572_key,0)),$K8)="plan_material"))),O8&lt;&gt;"",O8&lt;&gt;"not_applicable"),AND(OR(AND(IF($J8="",INDEX(primary_jama_2024_0572_disposition,MATCH($A8,primary_jama_2024_0572_key,0)),$J8)&lt;&gt;"",IF($J8="",INDEX(primary_jama_2024_0572_disposition,MATCH($A8,primary_jama_2024_0572_key,0)),$J8)&lt;&gt;"retain"),NOT(OR(IF($K8="",INDEX(primary_jama_2024_0572_domain,MATCH($A8,primary_jama_2024_0572_key,0)),$K8)="protocol_report"))),P8&lt;&gt;"",P8&lt;&gt;"not_applicable")),"CLEAR INACTIVE VALUES",IF(D8="","PENDING",IF(AND(D8&lt;&gt;"agree",LEN(TRIM(E8))=0),"COMMENT NEEDED",IF(F8="yes","CHECKED - see resolution","DRAFT"))))</f>
        <v/>
      </c>
      <c r="H8" s="8" t="inlineStr">
        <is>
          <t>pending</t>
        </is>
      </c>
      <c r="I8" s="11" t="inlineStr"/>
      <c r="J8" s="8" t="inlineStr"/>
      <c r="K8" s="8" t="inlineStr"/>
      <c r="L8" s="8">
        <f>IF(OR(AND(IF($J8="",INDEX(primary_jama_2024_0572_disposition,MATCH($A8,primary_jama_2024_0572_key,0)),$J8)&lt;&gt;"",IF($J8="",INDEX(primary_jama_2024_0572_disposition,MATCH($A8,primary_jama_2024_0572_key,0)),$J8)&lt;&gt;"retain"),NOT(OR(IF($K8="",INDEX(primary_jama_2024_0572_domain,MATCH($A8,primary_jama_2024_0572_key,0)),$K8)="statistical_results"))),"not_applicable","")</f>
        <v/>
      </c>
      <c r="M8" s="8">
        <f>IF(OR(AND(IF($J8="",INDEX(primary_jama_2024_0572_disposition,MATCH($A8,primary_jama_2024_0572_key,0)),$J8)&lt;&gt;"",IF($J8="",INDEX(primary_jama_2024_0572_disposition,MATCH($A8,primary_jama_2024_0572_key,0)),$J8)&lt;&gt;"retain"),NOT(OR(IF($K8="",INDEX(primary_jama_2024_0572_domain,MATCH($A8,primary_jama_2024_0572_key,0)),$K8)="statistical_results"))),"not_applicable","")</f>
        <v/>
      </c>
      <c r="N8" s="9">
        <f>IF(OR(AND(IF($J8="",INDEX(primary_jama_2024_0572_disposition,MATCH($A8,primary_jama_2024_0572_key,0)),$J8)&lt;&gt;"",IF($J8="",INDEX(primary_jama_2024_0572_disposition,MATCH($A8,primary_jama_2024_0572_key,0)),$J8)&lt;&gt;"retain"),NOT(OR(IF($K8="",INDEX(primary_jama_2024_0572_domain,MATCH($A8,primary_jama_2024_0572_key,0)),$K8)="statistical_results"))),"not_applicable","")</f>
        <v/>
      </c>
      <c r="O8" s="8">
        <f>IF(OR(AND(IF($J8="",INDEX(primary_jama_2024_0572_disposition,MATCH($A8,primary_jama_2024_0572_key,0)),$J8)&lt;&gt;"",IF($J8="",INDEX(primary_jama_2024_0572_disposition,MATCH($A8,primary_jama_2024_0572_key,0)),$J8)&lt;&gt;"retain"),NOT(OR(IF($K8="",INDEX(primary_jama_2024_0572_domain,MATCH($A8,primary_jama_2024_0572_key,0)),$K8)="internal_nonstatistical",IF($K8="",INDEX(primary_jama_2024_0572_domain,MATCH($A8,primary_jama_2024_0572_key,0)),$K8)="plan_material"))),"not_applicable","")</f>
        <v/>
      </c>
      <c r="P8" s="9">
        <f>IF(OR(AND(IF($J8="",INDEX(primary_jama_2024_0572_disposition,MATCH($A8,primary_jama_2024_0572_key,0)),$J8)&lt;&gt;"",IF($J8="",INDEX(primary_jama_2024_0572_disposition,MATCH($A8,primary_jama_2024_0572_key,0)),$J8)&lt;&gt;"retain"),NOT(OR(IF($K8="",INDEX(primary_jama_2024_0572_domain,MATCH($A8,primary_jama_2024_0572_key,0)),$K8)="protocol_report"))),"not_applicable","")</f>
        <v/>
      </c>
      <c r="Q8" s="10" t="inlineStr"/>
      <c r="R8" s="10" t="inlineStr"/>
    </row>
    <row r="9" ht="76" customHeight="1">
      <c r="A9" s="3" t="inlineStr">
        <is>
          <t>2024::jama.2024.0572::C002</t>
        </is>
      </c>
      <c r="B9" s="3" t="inlineStr">
        <is>
          <t>jama.2024.0572</t>
        </is>
      </c>
      <c r="C9" s="3" t="inlineStr">
        <is>
          <t>aRR is labeled as an absolute risk reduction but displayed and interpreted as a ratio</t>
        </is>
      </c>
      <c r="D9" s="8" t="inlineStr"/>
      <c r="E9" s="11" t="inlineStr"/>
      <c r="F9" s="8" t="inlineStr">
        <is>
          <t>no</t>
        </is>
      </c>
      <c r="G9" s="3">
        <f>IF(OR(AND(OR(AND(IF($J9="",INDEX(primary_jama_2024_0572_disposition,MATCH($A9,primary_jama_2024_0572_key,0)),$J9)&lt;&gt;"",IF($J9="",INDEX(primary_jama_2024_0572_disposition,MATCH($A9,primary_jama_2024_0572_key,0)),$J9)&lt;&gt;"retain"),NOT(OR(IF($K9="",INDEX(primary_jama_2024_0572_domain,MATCH($A9,primary_jama_2024_0572_key,0)),$K9)="statistical_results"))),L9&lt;&gt;"",L9&lt;&gt;"not_applicable"),AND(OR(AND(IF($J9="",INDEX(primary_jama_2024_0572_disposition,MATCH($A9,primary_jama_2024_0572_key,0)),$J9)&lt;&gt;"",IF($J9="",INDEX(primary_jama_2024_0572_disposition,MATCH($A9,primary_jama_2024_0572_key,0)),$J9)&lt;&gt;"retain"),NOT(OR(IF($K9="",INDEX(primary_jama_2024_0572_domain,MATCH($A9,primary_jama_2024_0572_key,0)),$K9)="statistical_results"))),M9&lt;&gt;"",M9&lt;&gt;"not_applicable"),AND(OR(AND(IF($J9="",INDEX(primary_jama_2024_0572_disposition,MATCH($A9,primary_jama_2024_0572_key,0)),$J9)&lt;&gt;"",IF($J9="",INDEX(primary_jama_2024_0572_disposition,MATCH($A9,primary_jama_2024_0572_key,0)),$J9)&lt;&gt;"retain"),NOT(OR(IF($K9="",INDEX(primary_jama_2024_0572_domain,MATCH($A9,primary_jama_2024_0572_key,0)),$K9)="statistical_results"))),N9&lt;&gt;"",N9&lt;&gt;"not_applicable"),AND(OR(AND(IF($J9="",INDEX(primary_jama_2024_0572_disposition,MATCH($A9,primary_jama_2024_0572_key,0)),$J9)&lt;&gt;"",IF($J9="",INDEX(primary_jama_2024_0572_disposition,MATCH($A9,primary_jama_2024_0572_key,0)),$J9)&lt;&gt;"retain"),NOT(OR(IF($K9="",INDEX(primary_jama_2024_0572_domain,MATCH($A9,primary_jama_2024_0572_key,0)),$K9)="internal_nonstatistical",IF($K9="",INDEX(primary_jama_2024_0572_domain,MATCH($A9,primary_jama_2024_0572_key,0)),$K9)="plan_material"))),O9&lt;&gt;"",O9&lt;&gt;"not_applicable"),AND(OR(AND(IF($J9="",INDEX(primary_jama_2024_0572_disposition,MATCH($A9,primary_jama_2024_0572_key,0)),$J9)&lt;&gt;"",IF($J9="",INDEX(primary_jama_2024_0572_disposition,MATCH($A9,primary_jama_2024_0572_key,0)),$J9)&lt;&gt;"retain"),NOT(OR(IF($K9="",INDEX(primary_jama_2024_0572_domain,MATCH($A9,primary_jama_2024_0572_key,0)),$K9)="protocol_report"))),P9&lt;&gt;"",P9&lt;&gt;"not_applicable")),"CLEAR INACTIVE VALUES",IF(D9="","PENDING",IF(AND(D9&lt;&gt;"agree",LEN(TRIM(E9))=0),"COMMENT NEEDED",IF(F9="yes","CHECKED - see resolution","DRAFT"))))</f>
        <v/>
      </c>
      <c r="H9" s="8" t="inlineStr">
        <is>
          <t>pending</t>
        </is>
      </c>
      <c r="I9" s="11" t="inlineStr"/>
      <c r="J9" s="8" t="inlineStr"/>
      <c r="K9" s="8" t="inlineStr"/>
      <c r="L9" s="8">
        <f>IF(OR(AND(IF($J9="",INDEX(primary_jama_2024_0572_disposition,MATCH($A9,primary_jama_2024_0572_key,0)),$J9)&lt;&gt;"",IF($J9="",INDEX(primary_jama_2024_0572_disposition,MATCH($A9,primary_jama_2024_0572_key,0)),$J9)&lt;&gt;"retain"),NOT(OR(IF($K9="",INDEX(primary_jama_2024_0572_domain,MATCH($A9,primary_jama_2024_0572_key,0)),$K9)="statistical_results"))),"not_applicable","")</f>
        <v/>
      </c>
      <c r="M9" s="8">
        <f>IF(OR(AND(IF($J9="",INDEX(primary_jama_2024_0572_disposition,MATCH($A9,primary_jama_2024_0572_key,0)),$J9)&lt;&gt;"",IF($J9="",INDEX(primary_jama_2024_0572_disposition,MATCH($A9,primary_jama_2024_0572_key,0)),$J9)&lt;&gt;"retain"),NOT(OR(IF($K9="",INDEX(primary_jama_2024_0572_domain,MATCH($A9,primary_jama_2024_0572_key,0)),$K9)="statistical_results"))),"not_applicable","")</f>
        <v/>
      </c>
      <c r="N9" s="9">
        <f>IF(OR(AND(IF($J9="",INDEX(primary_jama_2024_0572_disposition,MATCH($A9,primary_jama_2024_0572_key,0)),$J9)&lt;&gt;"",IF($J9="",INDEX(primary_jama_2024_0572_disposition,MATCH($A9,primary_jama_2024_0572_key,0)),$J9)&lt;&gt;"retain"),NOT(OR(IF($K9="",INDEX(primary_jama_2024_0572_domain,MATCH($A9,primary_jama_2024_0572_key,0)),$K9)="statistical_results"))),"not_applicable","")</f>
        <v/>
      </c>
      <c r="O9" s="8">
        <f>IF(OR(AND(IF($J9="",INDEX(primary_jama_2024_0572_disposition,MATCH($A9,primary_jama_2024_0572_key,0)),$J9)&lt;&gt;"",IF($J9="",INDEX(primary_jama_2024_0572_disposition,MATCH($A9,primary_jama_2024_0572_key,0)),$J9)&lt;&gt;"retain"),NOT(OR(IF($K9="",INDEX(primary_jama_2024_0572_domain,MATCH($A9,primary_jama_2024_0572_key,0)),$K9)="internal_nonstatistical",IF($K9="",INDEX(primary_jama_2024_0572_domain,MATCH($A9,primary_jama_2024_0572_key,0)),$K9)="plan_material"))),"not_applicable","")</f>
        <v/>
      </c>
      <c r="P9" s="9">
        <f>IF(OR(AND(IF($J9="",INDEX(primary_jama_2024_0572_disposition,MATCH($A9,primary_jama_2024_0572_key,0)),$J9)&lt;&gt;"",IF($J9="",INDEX(primary_jama_2024_0572_disposition,MATCH($A9,primary_jama_2024_0572_key,0)),$J9)&lt;&gt;"retain"),NOT(OR(IF($K9="",INDEX(primary_jama_2024_0572_domain,MATCH($A9,primary_jama_2024_0572_key,0)),$K9)="protocol_report"))),"not_applicable","")</f>
        <v/>
      </c>
      <c r="Q9" s="10" t="inlineStr"/>
      <c r="R9" s="10" t="inlineStr"/>
    </row>
    <row r="10" ht="76" customHeight="1">
      <c r="A10" s="2" t="inlineStr">
        <is>
          <t>2024::jama.2024.11057::C001</t>
        </is>
      </c>
      <c r="B10" s="2" t="inlineStr">
        <is>
          <t>jama.2024.11057</t>
        </is>
      </c>
      <c r="C10" s="2" t="inlineStr">
        <is>
          <t>Quit-date pre-message duration conflicts between the main article and both support documents</t>
        </is>
      </c>
      <c r="D10" s="8" t="inlineStr"/>
      <c r="E10" s="11" t="inlineStr"/>
      <c r="F10" s="8" t="inlineStr">
        <is>
          <t>no</t>
        </is>
      </c>
      <c r="G10" s="2">
        <f>IF(OR(AND(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L10&lt;&gt;"",L10&lt;&gt;"not_applicable"),AND(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M10&lt;&gt;"",M10&lt;&gt;"not_applicable"),AND(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N10&lt;&gt;"",N10&lt;&gt;"not_applicable"),AND(OR(AND(IF($J10="",INDEX(primary_jama_2024_11057_disposition,MATCH($A10,primary_jama_2024_11057_key,0)),$J10)&lt;&gt;"",IF($J10="",INDEX(primary_jama_2024_11057_disposition,MATCH($A10,primary_jama_2024_11057_key,0)),$J10)&lt;&gt;"retain"),NOT(OR(IF($K10="",INDEX(primary_jama_2024_11057_domain,MATCH($A10,primary_jama_2024_11057_key,0)),$K10)="internal_nonstatistical",IF($K10="",INDEX(primary_jama_2024_11057_domain,MATCH($A10,primary_jama_2024_11057_key,0)),$K10)="plan_material"))),O10&lt;&gt;"",O10&lt;&gt;"not_applicable"),AND(OR(AND(IF($J10="",INDEX(primary_jama_2024_11057_disposition,MATCH($A10,primary_jama_2024_11057_key,0)),$J10)&lt;&gt;"",IF($J10="",INDEX(primary_jama_2024_11057_disposition,MATCH($A10,primary_jama_2024_11057_key,0)),$J10)&lt;&gt;"retain"),NOT(OR(IF($K10="",INDEX(primary_jama_2024_11057_domain,MATCH($A10,primary_jama_2024_11057_key,0)),$K10)="protocol_report"))),P10&lt;&gt;"",P10&lt;&gt;"not_applicable")),"CLEAR INACTIVE VALUES",IF(D10="","PENDING",IF(AND(D10&lt;&gt;"agree",LEN(TRIM(E10))=0),"COMMENT NEEDED",IF(F10="yes","CHECKED - see resolution","DRAFT"))))</f>
        <v/>
      </c>
      <c r="H10" s="8" t="inlineStr">
        <is>
          <t>pending</t>
        </is>
      </c>
      <c r="I10" s="11" t="inlineStr"/>
      <c r="J10" s="8" t="inlineStr"/>
      <c r="K10" s="8" t="inlineStr"/>
      <c r="L10" s="8">
        <f>IF(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not_applicable","")</f>
        <v/>
      </c>
      <c r="M10" s="8">
        <f>IF(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not_applicable","")</f>
        <v/>
      </c>
      <c r="N10" s="9">
        <f>IF(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not_applicable","")</f>
        <v/>
      </c>
      <c r="O10" s="8">
        <f>IF(OR(AND(IF($J10="",INDEX(primary_jama_2024_11057_disposition,MATCH($A10,primary_jama_2024_11057_key,0)),$J10)&lt;&gt;"",IF($J10="",INDEX(primary_jama_2024_11057_disposition,MATCH($A10,primary_jama_2024_11057_key,0)),$J10)&lt;&gt;"retain"),NOT(OR(IF($K10="",INDEX(primary_jama_2024_11057_domain,MATCH($A10,primary_jama_2024_11057_key,0)),$K10)="internal_nonstatistical",IF($K10="",INDEX(primary_jama_2024_11057_domain,MATCH($A10,primary_jama_2024_11057_key,0)),$K10)="plan_material"))),"not_applicable","")</f>
        <v/>
      </c>
      <c r="P10" s="9">
        <f>IF(OR(AND(IF($J10="",INDEX(primary_jama_2024_11057_disposition,MATCH($A10,primary_jama_2024_11057_key,0)),$J10)&lt;&gt;"",IF($J10="",INDEX(primary_jama_2024_11057_disposition,MATCH($A10,primary_jama_2024_11057_key,0)),$J10)&lt;&gt;"retain"),NOT(OR(IF($K10="",INDEX(primary_jama_2024_11057_domain,MATCH($A10,primary_jama_2024_11057_key,0)),$K10)="protocol_report"))),"not_applicable","")</f>
        <v/>
      </c>
      <c r="Q10" s="10" t="inlineStr"/>
      <c r="R10" s="10" t="inlineStr"/>
    </row>
    <row r="11" ht="76" customHeight="1">
      <c r="A11" s="3" t="inlineStr">
        <is>
          <t>2024::jama.2024.11057::C002</t>
        </is>
      </c>
      <c r="B11" s="3" t="inlineStr">
        <is>
          <t>jama.2024.11057</t>
        </is>
      </c>
      <c r="C11" s="3" t="inlineStr">
        <is>
          <t>eTable 4 labels motivation and confidence as median (IQR) but prints single parenthetical dispersion values</t>
        </is>
      </c>
      <c r="D11" s="8" t="inlineStr"/>
      <c r="E11" s="11" t="inlineStr"/>
      <c r="F11" s="8" t="inlineStr">
        <is>
          <t>no</t>
        </is>
      </c>
      <c r="G11" s="3">
        <f>IF(OR(AND(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L11&lt;&gt;"",L11&lt;&gt;"not_applicable"),AND(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M11&lt;&gt;"",M11&lt;&gt;"not_applicable"),AND(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N11&lt;&gt;"",N11&lt;&gt;"not_applicable"),AND(OR(AND(IF($J11="",INDEX(primary_jama_2024_11057_disposition,MATCH($A11,primary_jama_2024_11057_key,0)),$J11)&lt;&gt;"",IF($J11="",INDEX(primary_jama_2024_11057_disposition,MATCH($A11,primary_jama_2024_11057_key,0)),$J11)&lt;&gt;"retain"),NOT(OR(IF($K11="",INDEX(primary_jama_2024_11057_domain,MATCH($A11,primary_jama_2024_11057_key,0)),$K11)="internal_nonstatistical",IF($K11="",INDEX(primary_jama_2024_11057_domain,MATCH($A11,primary_jama_2024_11057_key,0)),$K11)="plan_material"))),O11&lt;&gt;"",O11&lt;&gt;"not_applicable"),AND(OR(AND(IF($J11="",INDEX(primary_jama_2024_11057_disposition,MATCH($A11,primary_jama_2024_11057_key,0)),$J11)&lt;&gt;"",IF($J11="",INDEX(primary_jama_2024_11057_disposition,MATCH($A11,primary_jama_2024_11057_key,0)),$J11)&lt;&gt;"retain"),NOT(OR(IF($K11="",INDEX(primary_jama_2024_11057_domain,MATCH($A11,primary_jama_2024_11057_key,0)),$K11)="protocol_report"))),P11&lt;&gt;"",P11&lt;&gt;"not_applicable")),"CLEAR INACTIVE VALUES",IF(D11="","PENDING",IF(AND(D11&lt;&gt;"agree",LEN(TRIM(E11))=0),"COMMENT NEEDED",IF(F11="yes","CHECKED - see resolution","DRAFT"))))</f>
        <v/>
      </c>
      <c r="H11" s="8" t="inlineStr">
        <is>
          <t>pending</t>
        </is>
      </c>
      <c r="I11" s="11" t="inlineStr"/>
      <c r="J11" s="8" t="inlineStr"/>
      <c r="K11" s="8" t="inlineStr"/>
      <c r="L11" s="8">
        <f>IF(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not_applicable","")</f>
        <v/>
      </c>
      <c r="M11" s="8">
        <f>IF(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not_applicable","")</f>
        <v/>
      </c>
      <c r="N11" s="9">
        <f>IF(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not_applicable","")</f>
        <v/>
      </c>
      <c r="O11" s="8">
        <f>IF(OR(AND(IF($J11="",INDEX(primary_jama_2024_11057_disposition,MATCH($A11,primary_jama_2024_11057_key,0)),$J11)&lt;&gt;"",IF($J11="",INDEX(primary_jama_2024_11057_disposition,MATCH($A11,primary_jama_2024_11057_key,0)),$J11)&lt;&gt;"retain"),NOT(OR(IF($K11="",INDEX(primary_jama_2024_11057_domain,MATCH($A11,primary_jama_2024_11057_key,0)),$K11)="internal_nonstatistical",IF($K11="",INDEX(primary_jama_2024_11057_domain,MATCH($A11,primary_jama_2024_11057_key,0)),$K11)="plan_material"))),"not_applicable","")</f>
        <v/>
      </c>
      <c r="P11" s="9">
        <f>IF(OR(AND(IF($J11="",INDEX(primary_jama_2024_11057_disposition,MATCH($A11,primary_jama_2024_11057_key,0)),$J11)&lt;&gt;"",IF($J11="",INDEX(primary_jama_2024_11057_disposition,MATCH($A11,primary_jama_2024_11057_key,0)),$J11)&lt;&gt;"retain"),NOT(OR(IF($K11="",INDEX(primary_jama_2024_11057_domain,MATCH($A11,primary_jama_2024_11057_key,0)),$K11)="protocol_report"))),"not_applicable","")</f>
        <v/>
      </c>
      <c r="Q11" s="10" t="inlineStr"/>
      <c r="R11" s="10" t="inlineStr"/>
    </row>
    <row r="12" ht="76" customHeight="1">
      <c r="A12" s="2" t="inlineStr">
        <is>
          <t>2024::jama.2024.11057::C003</t>
        </is>
      </c>
      <c r="B12" s="2" t="inlineStr">
        <is>
          <t>jama.2024.11057</t>
        </is>
      </c>
      <c r="C12" s="2" t="inlineStr">
        <is>
          <t>eAppendix C prints IPWR once for a result otherwise defined and labelled as IPRW</t>
        </is>
      </c>
      <c r="D12" s="8" t="inlineStr"/>
      <c r="E12" s="11" t="inlineStr"/>
      <c r="F12" s="8" t="inlineStr">
        <is>
          <t>no</t>
        </is>
      </c>
      <c r="G12" s="2">
        <f>IF(OR(AND(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L12&lt;&gt;"",L12&lt;&gt;"not_applicable"),AND(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M12&lt;&gt;"",M12&lt;&gt;"not_applicable"),AND(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N12&lt;&gt;"",N12&lt;&gt;"not_applicable"),AND(OR(AND(IF($J12="",INDEX(primary_jama_2024_11057_disposition,MATCH($A12,primary_jama_2024_11057_key,0)),$J12)&lt;&gt;"",IF($J12="",INDEX(primary_jama_2024_11057_disposition,MATCH($A12,primary_jama_2024_11057_key,0)),$J12)&lt;&gt;"retain"),NOT(OR(IF($K12="",INDEX(primary_jama_2024_11057_domain,MATCH($A12,primary_jama_2024_11057_key,0)),$K12)="internal_nonstatistical",IF($K12="",INDEX(primary_jama_2024_11057_domain,MATCH($A12,primary_jama_2024_11057_key,0)),$K12)="plan_material"))),O12&lt;&gt;"",O12&lt;&gt;"not_applicable"),AND(OR(AND(IF($J12="",INDEX(primary_jama_2024_11057_disposition,MATCH($A12,primary_jama_2024_11057_key,0)),$J12)&lt;&gt;"",IF($J12="",INDEX(primary_jama_2024_11057_disposition,MATCH($A12,primary_jama_2024_11057_key,0)),$J12)&lt;&gt;"retain"),NOT(OR(IF($K12="",INDEX(primary_jama_2024_11057_domain,MATCH($A12,primary_jama_2024_11057_key,0)),$K12)="protocol_report"))),P12&lt;&gt;"",P12&lt;&gt;"not_applicable")),"CLEAR INACTIVE VALUES",IF(D12="","PENDING",IF(AND(D12&lt;&gt;"agree",LEN(TRIM(E12))=0),"COMMENT NEEDED",IF(F12="yes","CHECKED - see resolution","DRAFT"))))</f>
        <v/>
      </c>
      <c r="H12" s="8" t="inlineStr">
        <is>
          <t>pending</t>
        </is>
      </c>
      <c r="I12" s="11" t="inlineStr"/>
      <c r="J12" s="8" t="inlineStr"/>
      <c r="K12" s="8" t="inlineStr"/>
      <c r="L12" s="8">
        <f>IF(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not_applicable","")</f>
        <v/>
      </c>
      <c r="M12" s="8">
        <f>IF(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not_applicable","")</f>
        <v/>
      </c>
      <c r="N12" s="9">
        <f>IF(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not_applicable","")</f>
        <v/>
      </c>
      <c r="O12" s="8">
        <f>IF(OR(AND(IF($J12="",INDEX(primary_jama_2024_11057_disposition,MATCH($A12,primary_jama_2024_11057_key,0)),$J12)&lt;&gt;"",IF($J12="",INDEX(primary_jama_2024_11057_disposition,MATCH($A12,primary_jama_2024_11057_key,0)),$J12)&lt;&gt;"retain"),NOT(OR(IF($K12="",INDEX(primary_jama_2024_11057_domain,MATCH($A12,primary_jama_2024_11057_key,0)),$K12)="internal_nonstatistical",IF($K12="",INDEX(primary_jama_2024_11057_domain,MATCH($A12,primary_jama_2024_11057_key,0)),$K12)="plan_material"))),"not_applicable","")</f>
        <v/>
      </c>
      <c r="P12" s="9">
        <f>IF(OR(AND(IF($J12="",INDEX(primary_jama_2024_11057_disposition,MATCH($A12,primary_jama_2024_11057_key,0)),$J12)&lt;&gt;"",IF($J12="",INDEX(primary_jama_2024_11057_disposition,MATCH($A12,primary_jama_2024_11057_key,0)),$J12)&lt;&gt;"retain"),NOT(OR(IF($K12="",INDEX(primary_jama_2024_11057_domain,MATCH($A12,primary_jama_2024_11057_key,0)),$K12)="protocol_report"))),"not_applicable","")</f>
        <v/>
      </c>
      <c r="Q12" s="10" t="inlineStr"/>
      <c r="R12" s="10" t="inlineStr"/>
    </row>
    <row r="13" ht="76" customHeight="1">
      <c r="A13" s="3" t="inlineStr">
        <is>
          <t>2024::jama.2024.12829::C001</t>
        </is>
      </c>
      <c r="B13" s="3" t="inlineStr">
        <is>
          <t>jama.2024.12829</t>
        </is>
      </c>
      <c r="C13" s="3" t="inlineStr">
        <is>
          <t>Balloon-angioplasty female percentage does not reconcile with count and denominator</t>
        </is>
      </c>
      <c r="D13" s="8" t="inlineStr"/>
      <c r="E13" s="11" t="inlineStr"/>
      <c r="F13" s="8" t="inlineStr">
        <is>
          <t>no</t>
        </is>
      </c>
      <c r="G13" s="3">
        <f>IF(OR(AND(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L13&lt;&gt;"",L13&lt;&gt;"not_applicable"),AND(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M13&lt;&gt;"",M13&lt;&gt;"not_applicable"),AND(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N13&lt;&gt;"",N13&lt;&gt;"not_applicable"),AND(OR(AND(IF($J13="",INDEX(primary_jama_2024_12829_disposition,MATCH($A13,primary_jama_2024_12829_key,0)),$J13)&lt;&gt;"",IF($J13="",INDEX(primary_jama_2024_12829_disposition,MATCH($A13,primary_jama_2024_12829_key,0)),$J13)&lt;&gt;"retain"),NOT(OR(IF($K13="",INDEX(primary_jama_2024_12829_domain,MATCH($A13,primary_jama_2024_12829_key,0)),$K13)="internal_nonstatistical",IF($K13="",INDEX(primary_jama_2024_12829_domain,MATCH($A13,primary_jama_2024_12829_key,0)),$K13)="plan_material"))),O13&lt;&gt;"",O13&lt;&gt;"not_applicable"),AND(OR(AND(IF($J13="",INDEX(primary_jama_2024_12829_disposition,MATCH($A13,primary_jama_2024_12829_key,0)),$J13)&lt;&gt;"",IF($J13="",INDEX(primary_jama_2024_12829_disposition,MATCH($A13,primary_jama_2024_12829_key,0)),$J13)&lt;&gt;"retain"),NOT(OR(IF($K13="",INDEX(primary_jama_2024_12829_domain,MATCH($A13,primary_jama_2024_12829_key,0)),$K13)="protocol_report"))),P13&lt;&gt;"",P13&lt;&gt;"not_applicable")),"CLEAR INACTIVE VALUES",IF(D13="","PENDING",IF(AND(D13&lt;&gt;"agree",LEN(TRIM(E13))=0),"COMMENT NEEDED",IF(F13="yes","CHECKED - see resolution","DRAFT"))))</f>
        <v/>
      </c>
      <c r="H13" s="8" t="inlineStr">
        <is>
          <t>pending</t>
        </is>
      </c>
      <c r="I13" s="11" t="inlineStr"/>
      <c r="J13" s="8" t="inlineStr"/>
      <c r="K13" s="8" t="inlineStr"/>
      <c r="L13" s="8">
        <f>IF(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not_applicable","")</f>
        <v/>
      </c>
      <c r="M13" s="8">
        <f>IF(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not_applicable","")</f>
        <v/>
      </c>
      <c r="N13" s="9">
        <f>IF(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not_applicable","")</f>
        <v/>
      </c>
      <c r="O13" s="8">
        <f>IF(OR(AND(IF($J13="",INDEX(primary_jama_2024_12829_disposition,MATCH($A13,primary_jama_2024_12829_key,0)),$J13)&lt;&gt;"",IF($J13="",INDEX(primary_jama_2024_12829_disposition,MATCH($A13,primary_jama_2024_12829_key,0)),$J13)&lt;&gt;"retain"),NOT(OR(IF($K13="",INDEX(primary_jama_2024_12829_domain,MATCH($A13,primary_jama_2024_12829_key,0)),$K13)="internal_nonstatistical",IF($K13="",INDEX(primary_jama_2024_12829_domain,MATCH($A13,primary_jama_2024_12829_key,0)),$K13)="plan_material"))),"not_applicable","")</f>
        <v/>
      </c>
      <c r="P13" s="9">
        <f>IF(OR(AND(IF($J13="",INDEX(primary_jama_2024_12829_disposition,MATCH($A13,primary_jama_2024_12829_key,0)),$J13)&lt;&gt;"",IF($J13="",INDEX(primary_jama_2024_12829_disposition,MATCH($A13,primary_jama_2024_12829_key,0)),$J13)&lt;&gt;"retain"),NOT(OR(IF($K13="",INDEX(primary_jama_2024_12829_domain,MATCH($A13,primary_jama_2024_12829_key,0)),$K13)="protocol_report"))),"not_applicable","")</f>
        <v/>
      </c>
      <c r="Q13" s="10" t="inlineStr"/>
      <c r="R13" s="10" t="inlineStr"/>
    </row>
    <row r="14" ht="76" customHeight="1">
      <c r="A14" s="2" t="inlineStr">
        <is>
          <t>2024::jama.2024.12829::C002</t>
        </is>
      </c>
      <c r="B14" s="2" t="inlineStr">
        <is>
          <t>jama.2024.12829</t>
        </is>
      </c>
      <c r="C14" s="2" t="inlineStr">
        <is>
          <t>Balloon-angioplasty ischemic-stroke percentage is outside ordinary one-decimal rounding</t>
        </is>
      </c>
      <c r="D14" s="8" t="inlineStr"/>
      <c r="E14" s="11" t="inlineStr"/>
      <c r="F14" s="8" t="inlineStr">
        <is>
          <t>no</t>
        </is>
      </c>
      <c r="G14" s="2">
        <f>IF(OR(AND(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L14&lt;&gt;"",L14&lt;&gt;"not_applicable"),AND(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M14&lt;&gt;"",M14&lt;&gt;"not_applicable"),AND(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N14&lt;&gt;"",N14&lt;&gt;"not_applicable"),AND(OR(AND(IF($J14="",INDEX(primary_jama_2024_12829_disposition,MATCH($A14,primary_jama_2024_12829_key,0)),$J14)&lt;&gt;"",IF($J14="",INDEX(primary_jama_2024_12829_disposition,MATCH($A14,primary_jama_2024_12829_key,0)),$J14)&lt;&gt;"retain"),NOT(OR(IF($K14="",INDEX(primary_jama_2024_12829_domain,MATCH($A14,primary_jama_2024_12829_key,0)),$K14)="internal_nonstatistical",IF($K14="",INDEX(primary_jama_2024_12829_domain,MATCH($A14,primary_jama_2024_12829_key,0)),$K14)="plan_material"))),O14&lt;&gt;"",O14&lt;&gt;"not_applicable"),AND(OR(AND(IF($J14="",INDEX(primary_jama_2024_12829_disposition,MATCH($A14,primary_jama_2024_12829_key,0)),$J14)&lt;&gt;"",IF($J14="",INDEX(primary_jama_2024_12829_disposition,MATCH($A14,primary_jama_2024_12829_key,0)),$J14)&lt;&gt;"retain"),NOT(OR(IF($K14="",INDEX(primary_jama_2024_12829_domain,MATCH($A14,primary_jama_2024_12829_key,0)),$K14)="protocol_report"))),P14&lt;&gt;"",P14&lt;&gt;"not_applicable")),"CLEAR INACTIVE VALUES",IF(D14="","PENDING",IF(AND(D14&lt;&gt;"agree",LEN(TRIM(E14))=0),"COMMENT NEEDED",IF(F14="yes","CHECKED - see resolution","DRAFT"))))</f>
        <v/>
      </c>
      <c r="H14" s="8" t="inlineStr">
        <is>
          <t>pending</t>
        </is>
      </c>
      <c r="I14" s="11" t="inlineStr"/>
      <c r="J14" s="8" t="inlineStr"/>
      <c r="K14" s="8" t="inlineStr"/>
      <c r="L14" s="8">
        <f>IF(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not_applicable","")</f>
        <v/>
      </c>
      <c r="M14" s="8">
        <f>IF(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not_applicable","")</f>
        <v/>
      </c>
      <c r="N14" s="9">
        <f>IF(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not_applicable","")</f>
        <v/>
      </c>
      <c r="O14" s="8">
        <f>IF(OR(AND(IF($J14="",INDEX(primary_jama_2024_12829_disposition,MATCH($A14,primary_jama_2024_12829_key,0)),$J14)&lt;&gt;"",IF($J14="",INDEX(primary_jama_2024_12829_disposition,MATCH($A14,primary_jama_2024_12829_key,0)),$J14)&lt;&gt;"retain"),NOT(OR(IF($K14="",INDEX(primary_jama_2024_12829_domain,MATCH($A14,primary_jama_2024_12829_key,0)),$K14)="internal_nonstatistical",IF($K14="",INDEX(primary_jama_2024_12829_domain,MATCH($A14,primary_jama_2024_12829_key,0)),$K14)="plan_material"))),"not_applicable","")</f>
        <v/>
      </c>
      <c r="P14" s="9">
        <f>IF(OR(AND(IF($J14="",INDEX(primary_jama_2024_12829_disposition,MATCH($A14,primary_jama_2024_12829_key,0)),$J14)&lt;&gt;"",IF($J14="",INDEX(primary_jama_2024_12829_disposition,MATCH($A14,primary_jama_2024_12829_key,0)),$J14)&lt;&gt;"retain"),NOT(OR(IF($K14="",INDEX(primary_jama_2024_12829_domain,MATCH($A14,primary_jama_2024_12829_key,0)),$K14)="protocol_report"))),"not_applicable","")</f>
        <v/>
      </c>
      <c r="Q14" s="10" t="inlineStr"/>
      <c r="R14" s="10" t="inlineStr"/>
    </row>
    <row r="15" ht="76" customHeight="1">
      <c r="A15" s="3" t="inlineStr">
        <is>
          <t>2024::jama.2024.12829::C003</t>
        </is>
      </c>
      <c r="B15" s="3" t="inlineStr">
        <is>
          <t>jama.2024.12829</t>
        </is>
      </c>
      <c r="C15" s="3" t="inlineStr">
        <is>
          <t>Table S4 procedure rows use 241 while the column header states 249</t>
        </is>
      </c>
      <c r="D15" s="8" t="inlineStr"/>
      <c r="E15" s="11" t="inlineStr"/>
      <c r="F15" s="8" t="inlineStr">
        <is>
          <t>no</t>
        </is>
      </c>
      <c r="G15" s="3">
        <f>IF(OR(AND(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L15&lt;&gt;"",L15&lt;&gt;"not_applicable"),AND(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M15&lt;&gt;"",M15&lt;&gt;"not_applicable"),AND(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N15&lt;&gt;"",N15&lt;&gt;"not_applicable"),AND(OR(AND(IF($J15="",INDEX(primary_jama_2024_12829_disposition,MATCH($A15,primary_jama_2024_12829_key,0)),$J15)&lt;&gt;"",IF($J15="",INDEX(primary_jama_2024_12829_disposition,MATCH($A15,primary_jama_2024_12829_key,0)),$J15)&lt;&gt;"retain"),NOT(OR(IF($K15="",INDEX(primary_jama_2024_12829_domain,MATCH($A15,primary_jama_2024_12829_key,0)),$K15)="internal_nonstatistical",IF($K15="",INDEX(primary_jama_2024_12829_domain,MATCH($A15,primary_jama_2024_12829_key,0)),$K15)="plan_material"))),O15&lt;&gt;"",O15&lt;&gt;"not_applicable"),AND(OR(AND(IF($J15="",INDEX(primary_jama_2024_12829_disposition,MATCH($A15,primary_jama_2024_12829_key,0)),$J15)&lt;&gt;"",IF($J15="",INDEX(primary_jama_2024_12829_disposition,MATCH($A15,primary_jama_2024_12829_key,0)),$J15)&lt;&gt;"retain"),NOT(OR(IF($K15="",INDEX(primary_jama_2024_12829_domain,MATCH($A15,primary_jama_2024_12829_key,0)),$K15)="protocol_report"))),P15&lt;&gt;"",P15&lt;&gt;"not_applicable")),"CLEAR INACTIVE VALUES",IF(D15="","PENDING",IF(AND(D15&lt;&gt;"agree",LEN(TRIM(E15))=0),"COMMENT NEEDED",IF(F15="yes","CHECKED - see resolution","DRAFT"))))</f>
        <v/>
      </c>
      <c r="H15" s="8" t="inlineStr">
        <is>
          <t>pending</t>
        </is>
      </c>
      <c r="I15" s="11" t="inlineStr"/>
      <c r="J15" s="8" t="inlineStr"/>
      <c r="K15" s="8" t="inlineStr"/>
      <c r="L15" s="8">
        <f>IF(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not_applicable","")</f>
        <v/>
      </c>
      <c r="M15" s="8">
        <f>IF(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not_applicable","")</f>
        <v/>
      </c>
      <c r="N15" s="9">
        <f>IF(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not_applicable","")</f>
        <v/>
      </c>
      <c r="O15" s="8">
        <f>IF(OR(AND(IF($J15="",INDEX(primary_jama_2024_12829_disposition,MATCH($A15,primary_jama_2024_12829_key,0)),$J15)&lt;&gt;"",IF($J15="",INDEX(primary_jama_2024_12829_disposition,MATCH($A15,primary_jama_2024_12829_key,0)),$J15)&lt;&gt;"retain"),NOT(OR(IF($K15="",INDEX(primary_jama_2024_12829_domain,MATCH($A15,primary_jama_2024_12829_key,0)),$K15)="internal_nonstatistical",IF($K15="",INDEX(primary_jama_2024_12829_domain,MATCH($A15,primary_jama_2024_12829_key,0)),$K15)="plan_material"))),"not_applicable","")</f>
        <v/>
      </c>
      <c r="P15" s="9">
        <f>IF(OR(AND(IF($J15="",INDEX(primary_jama_2024_12829_disposition,MATCH($A15,primary_jama_2024_12829_key,0)),$J15)&lt;&gt;"",IF($J15="",INDEX(primary_jama_2024_12829_disposition,MATCH($A15,primary_jama_2024_12829_key,0)),$J15)&lt;&gt;"retain"),NOT(OR(IF($K15="",INDEX(primary_jama_2024_12829_domain,MATCH($A15,primary_jama_2024_12829_key,0)),$K15)="protocol_report"))),"not_applicable","")</f>
        <v/>
      </c>
      <c r="Q15" s="10" t="inlineStr"/>
      <c r="R15" s="10" t="inlineStr"/>
    </row>
    <row r="16" ht="76" customHeight="1">
      <c r="A16" s="2" t="inlineStr">
        <is>
          <t>2024::jama.2024.12829::C004</t>
        </is>
      </c>
      <c r="B16" s="2" t="inlineStr">
        <is>
          <t>jama.2024.12829</t>
        </is>
      </c>
      <c r="C16" s="2" t="inlineStr">
        <is>
          <t>Table S6 BA 9 (3.9) conflicts with its displayed denominator 249</t>
        </is>
      </c>
      <c r="D16" s="8" t="inlineStr"/>
      <c r="E16" s="11" t="inlineStr"/>
      <c r="F16" s="8" t="inlineStr">
        <is>
          <t>no</t>
        </is>
      </c>
      <c r="G16" s="2">
        <f>IF(OR(AND(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L16&lt;&gt;"",L16&lt;&gt;"not_applicable"),AND(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M16&lt;&gt;"",M16&lt;&gt;"not_applicable"),AND(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N16&lt;&gt;"",N16&lt;&gt;"not_applicable"),AND(OR(AND(IF($J16="",INDEX(primary_jama_2024_12829_disposition,MATCH($A16,primary_jama_2024_12829_key,0)),$J16)&lt;&gt;"",IF($J16="",INDEX(primary_jama_2024_12829_disposition,MATCH($A16,primary_jama_2024_12829_key,0)),$J16)&lt;&gt;"retain"),NOT(OR(IF($K16="",INDEX(primary_jama_2024_12829_domain,MATCH($A16,primary_jama_2024_12829_key,0)),$K16)="internal_nonstatistical",IF($K16="",INDEX(primary_jama_2024_12829_domain,MATCH($A16,primary_jama_2024_12829_key,0)),$K16)="plan_material"))),O16&lt;&gt;"",O16&lt;&gt;"not_applicable"),AND(OR(AND(IF($J16="",INDEX(primary_jama_2024_12829_disposition,MATCH($A16,primary_jama_2024_12829_key,0)),$J16)&lt;&gt;"",IF($J16="",INDEX(primary_jama_2024_12829_disposition,MATCH($A16,primary_jama_2024_12829_key,0)),$J16)&lt;&gt;"retain"),NOT(OR(IF($K16="",INDEX(primary_jama_2024_12829_domain,MATCH($A16,primary_jama_2024_12829_key,0)),$K16)="protocol_report"))),P16&lt;&gt;"",P16&lt;&gt;"not_applicable")),"CLEAR INACTIVE VALUES",IF(D16="","PENDING",IF(AND(D16&lt;&gt;"agree",LEN(TRIM(E16))=0),"COMMENT NEEDED",IF(F16="yes","CHECKED - see resolution","DRAFT"))))</f>
        <v/>
      </c>
      <c r="H16" s="8" t="inlineStr">
        <is>
          <t>pending</t>
        </is>
      </c>
      <c r="I16" s="11" t="inlineStr"/>
      <c r="J16" s="8" t="inlineStr"/>
      <c r="K16" s="8" t="inlineStr"/>
      <c r="L16" s="8">
        <f>IF(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not_applicable","")</f>
        <v/>
      </c>
      <c r="M16" s="8">
        <f>IF(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not_applicable","")</f>
        <v/>
      </c>
      <c r="N16" s="9">
        <f>IF(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not_applicable","")</f>
        <v/>
      </c>
      <c r="O16" s="8">
        <f>IF(OR(AND(IF($J16="",INDEX(primary_jama_2024_12829_disposition,MATCH($A16,primary_jama_2024_12829_key,0)),$J16)&lt;&gt;"",IF($J16="",INDEX(primary_jama_2024_12829_disposition,MATCH($A16,primary_jama_2024_12829_key,0)),$J16)&lt;&gt;"retain"),NOT(OR(IF($K16="",INDEX(primary_jama_2024_12829_domain,MATCH($A16,primary_jama_2024_12829_key,0)),$K16)="internal_nonstatistical",IF($K16="",INDEX(primary_jama_2024_12829_domain,MATCH($A16,primary_jama_2024_12829_key,0)),$K16)="plan_material"))),"not_applicable","")</f>
        <v/>
      </c>
      <c r="P16" s="9">
        <f>IF(OR(AND(IF($J16="",INDEX(primary_jama_2024_12829_disposition,MATCH($A16,primary_jama_2024_12829_key,0)),$J16)&lt;&gt;"",IF($J16="",INDEX(primary_jama_2024_12829_disposition,MATCH($A16,primary_jama_2024_12829_key,0)),$J16)&lt;&gt;"retain"),NOT(OR(IF($K16="",INDEX(primary_jama_2024_12829_domain,MATCH($A16,primary_jama_2024_12829_key,0)),$K16)="protocol_report"))),"not_applicable","")</f>
        <v/>
      </c>
      <c r="Q16" s="10" t="inlineStr"/>
      <c r="R16" s="10" t="inlineStr"/>
    </row>
    <row r="17" ht="76" customHeight="1">
      <c r="A17" s="3" t="inlineStr">
        <is>
          <t>2024::jama.2024.12829::C005</t>
        </is>
      </c>
      <c r="B17" s="3" t="inlineStr">
        <is>
          <t>jama.2024.12829</t>
        </is>
      </c>
      <c r="C17" s="3" t="inlineStr">
        <is>
          <t>Table S7 group headers conflict with site totals and displayed site percentages</t>
        </is>
      </c>
      <c r="D17" s="8" t="inlineStr"/>
      <c r="E17" s="11" t="inlineStr"/>
      <c r="F17" s="8" t="inlineStr">
        <is>
          <t>no</t>
        </is>
      </c>
      <c r="G17" s="3">
        <f>IF(OR(AND(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L17&lt;&gt;"",L17&lt;&gt;"not_applicable"),AND(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M17&lt;&gt;"",M17&lt;&gt;"not_applicable"),AND(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N17&lt;&gt;"",N17&lt;&gt;"not_applicable"),AND(OR(AND(IF($J17="",INDEX(primary_jama_2024_12829_disposition,MATCH($A17,primary_jama_2024_12829_key,0)),$J17)&lt;&gt;"",IF($J17="",INDEX(primary_jama_2024_12829_disposition,MATCH($A17,primary_jama_2024_12829_key,0)),$J17)&lt;&gt;"retain"),NOT(OR(IF($K17="",INDEX(primary_jama_2024_12829_domain,MATCH($A17,primary_jama_2024_12829_key,0)),$K17)="internal_nonstatistical",IF($K17="",INDEX(primary_jama_2024_12829_domain,MATCH($A17,primary_jama_2024_12829_key,0)),$K17)="plan_material"))),O17&lt;&gt;"",O17&lt;&gt;"not_applicable"),AND(OR(AND(IF($J17="",INDEX(primary_jama_2024_12829_disposition,MATCH($A17,primary_jama_2024_12829_key,0)),$J17)&lt;&gt;"",IF($J17="",INDEX(primary_jama_2024_12829_disposition,MATCH($A17,primary_jama_2024_12829_key,0)),$J17)&lt;&gt;"retain"),NOT(OR(IF($K17="",INDEX(primary_jama_2024_12829_domain,MATCH($A17,primary_jama_2024_12829_key,0)),$K17)="protocol_report"))),P17&lt;&gt;"",P17&lt;&gt;"not_applicable")),"CLEAR INACTIVE VALUES",IF(D17="","PENDING",IF(AND(D17&lt;&gt;"agree",LEN(TRIM(E17))=0),"COMMENT NEEDED",IF(F17="yes","CHECKED - see resolution","DRAFT"))))</f>
        <v/>
      </c>
      <c r="H17" s="8" t="inlineStr">
        <is>
          <t>pending</t>
        </is>
      </c>
      <c r="I17" s="11" t="inlineStr"/>
      <c r="J17" s="8" t="inlineStr"/>
      <c r="K17" s="8" t="inlineStr"/>
      <c r="L17" s="8">
        <f>IF(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not_applicable","")</f>
        <v/>
      </c>
      <c r="M17" s="8">
        <f>IF(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not_applicable","")</f>
        <v/>
      </c>
      <c r="N17" s="9">
        <f>IF(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not_applicable","")</f>
        <v/>
      </c>
      <c r="O17" s="8">
        <f>IF(OR(AND(IF($J17="",INDEX(primary_jama_2024_12829_disposition,MATCH($A17,primary_jama_2024_12829_key,0)),$J17)&lt;&gt;"",IF($J17="",INDEX(primary_jama_2024_12829_disposition,MATCH($A17,primary_jama_2024_12829_key,0)),$J17)&lt;&gt;"retain"),NOT(OR(IF($K17="",INDEX(primary_jama_2024_12829_domain,MATCH($A17,primary_jama_2024_12829_key,0)),$K17)="internal_nonstatistical",IF($K17="",INDEX(primary_jama_2024_12829_domain,MATCH($A17,primary_jama_2024_12829_key,0)),$K17)="plan_material"))),"not_applicable","")</f>
        <v/>
      </c>
      <c r="P17" s="9">
        <f>IF(OR(AND(IF($J17="",INDEX(primary_jama_2024_12829_disposition,MATCH($A17,primary_jama_2024_12829_key,0)),$J17)&lt;&gt;"",IF($J17="",INDEX(primary_jama_2024_12829_disposition,MATCH($A17,primary_jama_2024_12829_key,0)),$J17)&lt;&gt;"retain"),NOT(OR(IF($K17="",INDEX(primary_jama_2024_12829_domain,MATCH($A17,primary_jama_2024_12829_key,0)),$K17)="protocol_report"))),"not_applicable","")</f>
        <v/>
      </c>
      <c r="Q17" s="10" t="inlineStr"/>
      <c r="R17" s="10" t="inlineStr"/>
    </row>
    <row r="18" ht="76" customHeight="1">
      <c r="A18" s="2" t="inlineStr">
        <is>
          <t>2024::jama.2024.12829::C006</t>
        </is>
      </c>
      <c r="B18" s="2" t="inlineStr">
        <is>
          <t>jama.2024.12829</t>
        </is>
      </c>
      <c r="C18" s="2" t="inlineStr">
        <is>
          <t>Table S8 per-protocol percentages conflict with headers 249/252</t>
        </is>
      </c>
      <c r="D18" s="8" t="inlineStr"/>
      <c r="E18" s="11" t="inlineStr"/>
      <c r="F18" s="8" t="inlineStr">
        <is>
          <t>no</t>
        </is>
      </c>
      <c r="G18" s="2">
        <f>IF(OR(AND(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L18&lt;&gt;"",L18&lt;&gt;"not_applicable"),AND(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M18&lt;&gt;"",M18&lt;&gt;"not_applicable"),AND(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N18&lt;&gt;"",N18&lt;&gt;"not_applicable"),AND(OR(AND(IF($J18="",INDEX(primary_jama_2024_12829_disposition,MATCH($A18,primary_jama_2024_12829_key,0)),$J18)&lt;&gt;"",IF($J18="",INDEX(primary_jama_2024_12829_disposition,MATCH($A18,primary_jama_2024_12829_key,0)),$J18)&lt;&gt;"retain"),NOT(OR(IF($K18="",INDEX(primary_jama_2024_12829_domain,MATCH($A18,primary_jama_2024_12829_key,0)),$K18)="internal_nonstatistical",IF($K18="",INDEX(primary_jama_2024_12829_domain,MATCH($A18,primary_jama_2024_12829_key,0)),$K18)="plan_material"))),O18&lt;&gt;"",O18&lt;&gt;"not_applicable"),AND(OR(AND(IF($J18="",INDEX(primary_jama_2024_12829_disposition,MATCH($A18,primary_jama_2024_12829_key,0)),$J18)&lt;&gt;"",IF($J18="",INDEX(primary_jama_2024_12829_disposition,MATCH($A18,primary_jama_2024_12829_key,0)),$J18)&lt;&gt;"retain"),NOT(OR(IF($K18="",INDEX(primary_jama_2024_12829_domain,MATCH($A18,primary_jama_2024_12829_key,0)),$K18)="protocol_report"))),P18&lt;&gt;"",P18&lt;&gt;"not_applicable")),"CLEAR INACTIVE VALUES",IF(D18="","PENDING",IF(AND(D18&lt;&gt;"agree",LEN(TRIM(E18))=0),"COMMENT NEEDED",IF(F18="yes","CHECKED - see resolution","DRAFT"))))</f>
        <v/>
      </c>
      <c r="H18" s="8" t="inlineStr">
        <is>
          <t>pending</t>
        </is>
      </c>
      <c r="I18" s="11" t="inlineStr"/>
      <c r="J18" s="8" t="inlineStr"/>
      <c r="K18" s="8" t="inlineStr"/>
      <c r="L18" s="8">
        <f>IF(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not_applicable","")</f>
        <v/>
      </c>
      <c r="M18" s="8">
        <f>IF(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not_applicable","")</f>
        <v/>
      </c>
      <c r="N18" s="9">
        <f>IF(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not_applicable","")</f>
        <v/>
      </c>
      <c r="O18" s="8">
        <f>IF(OR(AND(IF($J18="",INDEX(primary_jama_2024_12829_disposition,MATCH($A18,primary_jama_2024_12829_key,0)),$J18)&lt;&gt;"",IF($J18="",INDEX(primary_jama_2024_12829_disposition,MATCH($A18,primary_jama_2024_12829_key,0)),$J18)&lt;&gt;"retain"),NOT(OR(IF($K18="",INDEX(primary_jama_2024_12829_domain,MATCH($A18,primary_jama_2024_12829_key,0)),$K18)="internal_nonstatistical",IF($K18="",INDEX(primary_jama_2024_12829_domain,MATCH($A18,primary_jama_2024_12829_key,0)),$K18)="plan_material"))),"not_applicable","")</f>
        <v/>
      </c>
      <c r="P18" s="9">
        <f>IF(OR(AND(IF($J18="",INDEX(primary_jama_2024_12829_disposition,MATCH($A18,primary_jama_2024_12829_key,0)),$J18)&lt;&gt;"",IF($J18="",INDEX(primary_jama_2024_12829_disposition,MATCH($A18,primary_jama_2024_12829_key,0)),$J18)&lt;&gt;"retain"),NOT(OR(IF($K18="",INDEX(primary_jama_2024_12829_domain,MATCH($A18,primary_jama_2024_12829_key,0)),$K18)="protocol_report"))),"not_applicable","")</f>
        <v/>
      </c>
      <c r="Q18" s="10" t="inlineStr"/>
      <c r="R18" s="10" t="inlineStr"/>
    </row>
    <row r="19" ht="76" customHeight="1">
      <c r="A19" s="3" t="inlineStr">
        <is>
          <t>2024::jama.2024.12829::C007</t>
        </is>
      </c>
      <c r="B19" s="3" t="inlineStr">
        <is>
          <t>jama.2024.12829</t>
        </is>
      </c>
      <c r="C19" s="3" t="inlineStr">
        <is>
          <t>Table S9 as-treated percentages conflict with headers 249/252</t>
        </is>
      </c>
      <c r="D19" s="8" t="inlineStr"/>
      <c r="E19" s="11" t="inlineStr"/>
      <c r="F19" s="8" t="inlineStr">
        <is>
          <t>no</t>
        </is>
      </c>
      <c r="G19" s="3">
        <f>IF(OR(AND(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L19&lt;&gt;"",L19&lt;&gt;"not_applicable"),AND(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M19&lt;&gt;"",M19&lt;&gt;"not_applicable"),AND(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N19&lt;&gt;"",N19&lt;&gt;"not_applicable"),AND(OR(AND(IF($J19="",INDEX(primary_jama_2024_12829_disposition,MATCH($A19,primary_jama_2024_12829_key,0)),$J19)&lt;&gt;"",IF($J19="",INDEX(primary_jama_2024_12829_disposition,MATCH($A19,primary_jama_2024_12829_key,0)),$J19)&lt;&gt;"retain"),NOT(OR(IF($K19="",INDEX(primary_jama_2024_12829_domain,MATCH($A19,primary_jama_2024_12829_key,0)),$K19)="internal_nonstatistical",IF($K19="",INDEX(primary_jama_2024_12829_domain,MATCH($A19,primary_jama_2024_12829_key,0)),$K19)="plan_material"))),O19&lt;&gt;"",O19&lt;&gt;"not_applicable"),AND(OR(AND(IF($J19="",INDEX(primary_jama_2024_12829_disposition,MATCH($A19,primary_jama_2024_12829_key,0)),$J19)&lt;&gt;"",IF($J19="",INDEX(primary_jama_2024_12829_disposition,MATCH($A19,primary_jama_2024_12829_key,0)),$J19)&lt;&gt;"retain"),NOT(OR(IF($K19="",INDEX(primary_jama_2024_12829_domain,MATCH($A19,primary_jama_2024_12829_key,0)),$K19)="protocol_report"))),P19&lt;&gt;"",P19&lt;&gt;"not_applicable")),"CLEAR INACTIVE VALUES",IF(D19="","PENDING",IF(AND(D19&lt;&gt;"agree",LEN(TRIM(E19))=0),"COMMENT NEEDED",IF(F19="yes","CHECKED - see resolution","DRAFT"))))</f>
        <v/>
      </c>
      <c r="H19" s="8" t="inlineStr">
        <is>
          <t>pending</t>
        </is>
      </c>
      <c r="I19" s="11" t="inlineStr"/>
      <c r="J19" s="8" t="inlineStr"/>
      <c r="K19" s="8" t="inlineStr"/>
      <c r="L19" s="8">
        <f>IF(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not_applicable","")</f>
        <v/>
      </c>
      <c r="M19" s="8">
        <f>IF(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not_applicable","")</f>
        <v/>
      </c>
      <c r="N19" s="9">
        <f>IF(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not_applicable","")</f>
        <v/>
      </c>
      <c r="O19" s="8">
        <f>IF(OR(AND(IF($J19="",INDEX(primary_jama_2024_12829_disposition,MATCH($A19,primary_jama_2024_12829_key,0)),$J19)&lt;&gt;"",IF($J19="",INDEX(primary_jama_2024_12829_disposition,MATCH($A19,primary_jama_2024_12829_key,0)),$J19)&lt;&gt;"retain"),NOT(OR(IF($K19="",INDEX(primary_jama_2024_12829_domain,MATCH($A19,primary_jama_2024_12829_key,0)),$K19)="internal_nonstatistical",IF($K19="",INDEX(primary_jama_2024_12829_domain,MATCH($A19,primary_jama_2024_12829_key,0)),$K19)="plan_material"))),"not_applicable","")</f>
        <v/>
      </c>
      <c r="P19" s="9">
        <f>IF(OR(AND(IF($J19="",INDEX(primary_jama_2024_12829_disposition,MATCH($A19,primary_jama_2024_12829_key,0)),$J19)&lt;&gt;"",IF($J19="",INDEX(primary_jama_2024_12829_disposition,MATCH($A19,primary_jama_2024_12829_key,0)),$J19)&lt;&gt;"retain"),NOT(OR(IF($K19="",INDEX(primary_jama_2024_12829_domain,MATCH($A19,primary_jama_2024_12829_key,0)),$K19)="protocol_report"))),"not_applicable","")</f>
        <v/>
      </c>
      <c r="Q19" s="10" t="inlineStr"/>
      <c r="R19" s="10" t="inlineStr"/>
    </row>
    <row r="20" ht="76" customHeight="1">
      <c r="A20" s="2" t="inlineStr">
        <is>
          <t>2024::jama.2024.12829::C008</t>
        </is>
      </c>
      <c r="B20" s="2" t="inlineStr">
        <is>
          <t>jama.2024.12829</t>
        </is>
      </c>
      <c r="C20" s="2" t="inlineStr">
        <is>
          <t>Baseline stenosis categories include values outside the stated 70%-99% eligibility range</t>
        </is>
      </c>
      <c r="D20" s="8" t="inlineStr"/>
      <c r="E20" s="11" t="inlineStr"/>
      <c r="F20" s="8" t="inlineStr">
        <is>
          <t>no</t>
        </is>
      </c>
      <c r="G20" s="2">
        <f>IF(OR(AND(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L20&lt;&gt;"",L20&lt;&gt;"not_applicable"),AND(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M20&lt;&gt;"",M20&lt;&gt;"not_applicable"),AND(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N20&lt;&gt;"",N20&lt;&gt;"not_applicable"),AND(OR(AND(IF($J20="",INDEX(primary_jama_2024_12829_disposition,MATCH($A20,primary_jama_2024_12829_key,0)),$J20)&lt;&gt;"",IF($J20="",INDEX(primary_jama_2024_12829_disposition,MATCH($A20,primary_jama_2024_12829_key,0)),$J20)&lt;&gt;"retain"),NOT(OR(IF($K20="",INDEX(primary_jama_2024_12829_domain,MATCH($A20,primary_jama_2024_12829_key,0)),$K20)="internal_nonstatistical",IF($K20="",INDEX(primary_jama_2024_12829_domain,MATCH($A20,primary_jama_2024_12829_key,0)),$K20)="plan_material"))),O20&lt;&gt;"",O20&lt;&gt;"not_applicable"),AND(OR(AND(IF($J20="",INDEX(primary_jama_2024_12829_disposition,MATCH($A20,primary_jama_2024_12829_key,0)),$J20)&lt;&gt;"",IF($J20="",INDEX(primary_jama_2024_12829_disposition,MATCH($A20,primary_jama_2024_12829_key,0)),$J20)&lt;&gt;"retain"),NOT(OR(IF($K20="",INDEX(primary_jama_2024_12829_domain,MATCH($A20,primary_jama_2024_12829_key,0)),$K20)="protocol_report"))),P20&lt;&gt;"",P20&lt;&gt;"not_applicable")),"CLEAR INACTIVE VALUES",IF(D20="","PENDING",IF(AND(D20&lt;&gt;"agree",LEN(TRIM(E20))=0),"COMMENT NEEDED",IF(F20="yes","CHECKED - see resolution","DRAFT"))))</f>
        <v/>
      </c>
      <c r="H20" s="8" t="inlineStr">
        <is>
          <t>pending</t>
        </is>
      </c>
      <c r="I20" s="11" t="inlineStr"/>
      <c r="J20" s="8" t="inlineStr"/>
      <c r="K20" s="8" t="inlineStr"/>
      <c r="L20" s="8">
        <f>IF(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not_applicable","")</f>
        <v/>
      </c>
      <c r="M20" s="8">
        <f>IF(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not_applicable","")</f>
        <v/>
      </c>
      <c r="N20" s="9">
        <f>IF(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not_applicable","")</f>
        <v/>
      </c>
      <c r="O20" s="8">
        <f>IF(OR(AND(IF($J20="",INDEX(primary_jama_2024_12829_disposition,MATCH($A20,primary_jama_2024_12829_key,0)),$J20)&lt;&gt;"",IF($J20="",INDEX(primary_jama_2024_12829_disposition,MATCH($A20,primary_jama_2024_12829_key,0)),$J20)&lt;&gt;"retain"),NOT(OR(IF($K20="",INDEX(primary_jama_2024_12829_domain,MATCH($A20,primary_jama_2024_12829_key,0)),$K20)="internal_nonstatistical",IF($K20="",INDEX(primary_jama_2024_12829_domain,MATCH($A20,primary_jama_2024_12829_key,0)),$K20)="plan_material"))),"not_applicable","")</f>
        <v/>
      </c>
      <c r="P20" s="9">
        <f>IF(OR(AND(IF($J20="",INDEX(primary_jama_2024_12829_disposition,MATCH($A20,primary_jama_2024_12829_key,0)),$J20)&lt;&gt;"",IF($J20="",INDEX(primary_jama_2024_12829_disposition,MATCH($A20,primary_jama_2024_12829_key,0)),$J20)&lt;&gt;"retain"),NOT(OR(IF($K20="",INDEX(primary_jama_2024_12829_domain,MATCH($A20,primary_jama_2024_12829_key,0)),$K20)="protocol_report"))),"not_applicable","")</f>
        <v/>
      </c>
      <c r="Q20" s="10" t="inlineStr"/>
      <c r="R20" s="10" t="inlineStr"/>
    </row>
    <row r="21" ht="76" customHeight="1">
      <c r="A21" s="3" t="inlineStr">
        <is>
          <t>2024::jama.2024.12829::C009</t>
        </is>
      </c>
      <c r="B21" s="3" t="inlineStr">
        <is>
          <t>jama.2024.12829</t>
        </is>
      </c>
      <c r="C21" s="3" t="inlineStr">
        <is>
          <t>Thirty-day follow-up tolerance is plus or minus 3 days in the supplement but plus or minus 7 days elsewhere</t>
        </is>
      </c>
      <c r="D21" s="8" t="inlineStr"/>
      <c r="E21" s="11" t="inlineStr"/>
      <c r="F21" s="8" t="inlineStr">
        <is>
          <t>no</t>
        </is>
      </c>
      <c r="G21" s="3">
        <f>IF(OR(AND(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L21&lt;&gt;"",L21&lt;&gt;"not_applicable"),AND(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M21&lt;&gt;"",M21&lt;&gt;"not_applicable"),AND(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N21&lt;&gt;"",N21&lt;&gt;"not_applicable"),AND(OR(AND(IF($J21="",INDEX(primary_jama_2024_12829_disposition,MATCH($A21,primary_jama_2024_12829_key,0)),$J21)&lt;&gt;"",IF($J21="",INDEX(primary_jama_2024_12829_disposition,MATCH($A21,primary_jama_2024_12829_key,0)),$J21)&lt;&gt;"retain"),NOT(OR(IF($K21="",INDEX(primary_jama_2024_12829_domain,MATCH($A21,primary_jama_2024_12829_key,0)),$K21)="internal_nonstatistical",IF($K21="",INDEX(primary_jama_2024_12829_domain,MATCH($A21,primary_jama_2024_12829_key,0)),$K21)="plan_material"))),O21&lt;&gt;"",O21&lt;&gt;"not_applicable"),AND(OR(AND(IF($J21="",INDEX(primary_jama_2024_12829_disposition,MATCH($A21,primary_jama_2024_12829_key,0)),$J21)&lt;&gt;"",IF($J21="",INDEX(primary_jama_2024_12829_disposition,MATCH($A21,primary_jama_2024_12829_key,0)),$J21)&lt;&gt;"retain"),NOT(OR(IF($K21="",INDEX(primary_jama_2024_12829_domain,MATCH($A21,primary_jama_2024_12829_key,0)),$K21)="protocol_report"))),P21&lt;&gt;"",P21&lt;&gt;"not_applicable")),"CLEAR INACTIVE VALUES",IF(D21="","PENDING",IF(AND(D21&lt;&gt;"agree",LEN(TRIM(E21))=0),"COMMENT NEEDED",IF(F21="yes","CHECKED - see resolution","DRAFT"))))</f>
        <v/>
      </c>
      <c r="H21" s="8" t="inlineStr">
        <is>
          <t>pending</t>
        </is>
      </c>
      <c r="I21" s="11" t="inlineStr"/>
      <c r="J21" s="8" t="inlineStr"/>
      <c r="K21" s="8" t="inlineStr"/>
      <c r="L21" s="8">
        <f>IF(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not_applicable","")</f>
        <v/>
      </c>
      <c r="M21" s="8">
        <f>IF(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not_applicable","")</f>
        <v/>
      </c>
      <c r="N21" s="9">
        <f>IF(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not_applicable","")</f>
        <v/>
      </c>
      <c r="O21" s="8">
        <f>IF(OR(AND(IF($J21="",INDEX(primary_jama_2024_12829_disposition,MATCH($A21,primary_jama_2024_12829_key,0)),$J21)&lt;&gt;"",IF($J21="",INDEX(primary_jama_2024_12829_disposition,MATCH($A21,primary_jama_2024_12829_key,0)),$J21)&lt;&gt;"retain"),NOT(OR(IF($K21="",INDEX(primary_jama_2024_12829_domain,MATCH($A21,primary_jama_2024_12829_key,0)),$K21)="internal_nonstatistical",IF($K21="",INDEX(primary_jama_2024_12829_domain,MATCH($A21,primary_jama_2024_12829_key,0)),$K21)="plan_material"))),"not_applicable","")</f>
        <v/>
      </c>
      <c r="P21" s="9">
        <f>IF(OR(AND(IF($J21="",INDEX(primary_jama_2024_12829_disposition,MATCH($A21,primary_jama_2024_12829_key,0)),$J21)&lt;&gt;"",IF($J21="",INDEX(primary_jama_2024_12829_disposition,MATCH($A21,primary_jama_2024_12829_key,0)),$J21)&lt;&gt;"retain"),NOT(OR(IF($K21="",INDEX(primary_jama_2024_12829_domain,MATCH($A21,primary_jama_2024_12829_key,0)),$K21)="protocol_report"))),"not_applicable","")</f>
        <v/>
      </c>
      <c r="Q21" s="10" t="inlineStr"/>
      <c r="R21" s="10" t="inlineStr"/>
    </row>
    <row r="22" ht="76" customHeight="1">
      <c r="A22" s="2" t="inlineStr">
        <is>
          <t>2024::jama.2024.12829::C010</t>
        </is>
      </c>
      <c r="B22" s="2" t="inlineStr">
        <is>
          <t>jama.2024.12829</t>
        </is>
      </c>
      <c r="C22" s="2" t="inlineStr">
        <is>
          <t>Protocol V2.0 gives 21-day and 14-day lower bounds for the same stroke criterion</t>
        </is>
      </c>
      <c r="D22" s="8" t="inlineStr"/>
      <c r="E22" s="11" t="inlineStr"/>
      <c r="F22" s="8" t="inlineStr">
        <is>
          <t>no</t>
        </is>
      </c>
      <c r="G22" s="2">
        <f>IF(OR(AND(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L22&lt;&gt;"",L22&lt;&gt;"not_applicable"),AND(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M22&lt;&gt;"",M22&lt;&gt;"not_applicable"),AND(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N22&lt;&gt;"",N22&lt;&gt;"not_applicable"),AND(OR(AND(IF($J22="",INDEX(primary_jama_2024_12829_disposition,MATCH($A22,primary_jama_2024_12829_key,0)),$J22)&lt;&gt;"",IF($J22="",INDEX(primary_jama_2024_12829_disposition,MATCH($A22,primary_jama_2024_12829_key,0)),$J22)&lt;&gt;"retain"),NOT(OR(IF($K22="",INDEX(primary_jama_2024_12829_domain,MATCH($A22,primary_jama_2024_12829_key,0)),$K22)="internal_nonstatistical",IF($K22="",INDEX(primary_jama_2024_12829_domain,MATCH($A22,primary_jama_2024_12829_key,0)),$K22)="plan_material"))),O22&lt;&gt;"",O22&lt;&gt;"not_applicable"),AND(OR(AND(IF($J22="",INDEX(primary_jama_2024_12829_disposition,MATCH($A22,primary_jama_2024_12829_key,0)),$J22)&lt;&gt;"",IF($J22="",INDEX(primary_jama_2024_12829_disposition,MATCH($A22,primary_jama_2024_12829_key,0)),$J22)&lt;&gt;"retain"),NOT(OR(IF($K22="",INDEX(primary_jama_2024_12829_domain,MATCH($A22,primary_jama_2024_12829_key,0)),$K22)="protocol_report"))),P22&lt;&gt;"",P22&lt;&gt;"not_applicable")),"CLEAR INACTIVE VALUES",IF(D22="","PENDING",IF(AND(D22&lt;&gt;"agree",LEN(TRIM(E22))=0),"COMMENT NEEDED",IF(F22="yes","CHECKED - see resolution","DRAFT"))))</f>
        <v/>
      </c>
      <c r="H22" s="8" t="inlineStr">
        <is>
          <t>pending</t>
        </is>
      </c>
      <c r="I22" s="11" t="inlineStr"/>
      <c r="J22" s="8" t="inlineStr"/>
      <c r="K22" s="8" t="inlineStr"/>
      <c r="L22" s="8">
        <f>IF(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not_applicable","")</f>
        <v/>
      </c>
      <c r="M22" s="8">
        <f>IF(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not_applicable","")</f>
        <v/>
      </c>
      <c r="N22" s="9">
        <f>IF(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not_applicable","")</f>
        <v/>
      </c>
      <c r="O22" s="8">
        <f>IF(OR(AND(IF($J22="",INDEX(primary_jama_2024_12829_disposition,MATCH($A22,primary_jama_2024_12829_key,0)),$J22)&lt;&gt;"",IF($J22="",INDEX(primary_jama_2024_12829_disposition,MATCH($A22,primary_jama_2024_12829_key,0)),$J22)&lt;&gt;"retain"),NOT(OR(IF($K22="",INDEX(primary_jama_2024_12829_domain,MATCH($A22,primary_jama_2024_12829_key,0)),$K22)="internal_nonstatistical",IF($K22="",INDEX(primary_jama_2024_12829_domain,MATCH($A22,primary_jama_2024_12829_key,0)),$K22)="plan_material"))),"not_applicable","")</f>
        <v/>
      </c>
      <c r="P22" s="9">
        <f>IF(OR(AND(IF($J22="",INDEX(primary_jama_2024_12829_disposition,MATCH($A22,primary_jama_2024_12829_key,0)),$J22)&lt;&gt;"",IF($J22="",INDEX(primary_jama_2024_12829_disposition,MATCH($A22,primary_jama_2024_12829_key,0)),$J22)&lt;&gt;"retain"),NOT(OR(IF($K22="",INDEX(primary_jama_2024_12829_domain,MATCH($A22,primary_jama_2024_12829_key,0)),$K22)="protocol_report"))),"not_applicable","")</f>
        <v/>
      </c>
      <c r="Q22" s="10" t="inlineStr"/>
      <c r="R22" s="10" t="inlineStr"/>
    </row>
    <row r="23" ht="76" customHeight="1">
      <c r="A23" s="3" t="inlineStr">
        <is>
          <t>2024::jama.2024.12829::C011</t>
        </is>
      </c>
      <c r="B23" s="3" t="inlineStr">
        <is>
          <t>jama.2024.12829</t>
        </is>
      </c>
      <c r="C23" s="3" t="inlineStr">
        <is>
          <t>BA 3-month aspirin percentage does not reconcile with count and displayed arm denominator</t>
        </is>
      </c>
      <c r="D23" s="8" t="inlineStr"/>
      <c r="E23" s="11" t="inlineStr"/>
      <c r="F23" s="8" t="inlineStr">
        <is>
          <t>no</t>
        </is>
      </c>
      <c r="G23" s="3">
        <f>IF(OR(AND(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L23&lt;&gt;"",L23&lt;&gt;"not_applicable"),AND(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M23&lt;&gt;"",M23&lt;&gt;"not_applicable"),AND(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N23&lt;&gt;"",N23&lt;&gt;"not_applicable"),AND(OR(AND(IF($J23="",INDEX(primary_jama_2024_12829_disposition,MATCH($A23,primary_jama_2024_12829_key,0)),$J23)&lt;&gt;"",IF($J23="",INDEX(primary_jama_2024_12829_disposition,MATCH($A23,primary_jama_2024_12829_key,0)),$J23)&lt;&gt;"retain"),NOT(OR(IF($K23="",INDEX(primary_jama_2024_12829_domain,MATCH($A23,primary_jama_2024_12829_key,0)),$K23)="internal_nonstatistical",IF($K23="",INDEX(primary_jama_2024_12829_domain,MATCH($A23,primary_jama_2024_12829_key,0)),$K23)="plan_material"))),O23&lt;&gt;"",O23&lt;&gt;"not_applicable"),AND(OR(AND(IF($J23="",INDEX(primary_jama_2024_12829_disposition,MATCH($A23,primary_jama_2024_12829_key,0)),$J23)&lt;&gt;"",IF($J23="",INDEX(primary_jama_2024_12829_disposition,MATCH($A23,primary_jama_2024_12829_key,0)),$J23)&lt;&gt;"retain"),NOT(OR(IF($K23="",INDEX(primary_jama_2024_12829_domain,MATCH($A23,primary_jama_2024_12829_key,0)),$K23)="protocol_report"))),P23&lt;&gt;"",P23&lt;&gt;"not_applicable")),"CLEAR INACTIVE VALUES",IF(D23="","PENDING",IF(AND(D23&lt;&gt;"agree",LEN(TRIM(E23))=0),"COMMENT NEEDED",IF(F23="yes","CHECKED - see resolution","DRAFT"))))</f>
        <v/>
      </c>
      <c r="H23" s="8" t="inlineStr">
        <is>
          <t>pending</t>
        </is>
      </c>
      <c r="I23" s="11" t="inlineStr"/>
      <c r="J23" s="8" t="inlineStr"/>
      <c r="K23" s="8" t="inlineStr"/>
      <c r="L23" s="8">
        <f>IF(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not_applicable","")</f>
        <v/>
      </c>
      <c r="M23" s="8">
        <f>IF(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not_applicable","")</f>
        <v/>
      </c>
      <c r="N23" s="9">
        <f>IF(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not_applicable","")</f>
        <v/>
      </c>
      <c r="O23" s="8">
        <f>IF(OR(AND(IF($J23="",INDEX(primary_jama_2024_12829_disposition,MATCH($A23,primary_jama_2024_12829_key,0)),$J23)&lt;&gt;"",IF($J23="",INDEX(primary_jama_2024_12829_disposition,MATCH($A23,primary_jama_2024_12829_key,0)),$J23)&lt;&gt;"retain"),NOT(OR(IF($K23="",INDEX(primary_jama_2024_12829_domain,MATCH($A23,primary_jama_2024_12829_key,0)),$K23)="internal_nonstatistical",IF($K23="",INDEX(primary_jama_2024_12829_domain,MATCH($A23,primary_jama_2024_12829_key,0)),$K23)="plan_material"))),"not_applicable","")</f>
        <v/>
      </c>
      <c r="P23" s="9">
        <f>IF(OR(AND(IF($J23="",INDEX(primary_jama_2024_12829_disposition,MATCH($A23,primary_jama_2024_12829_key,0)),$J23)&lt;&gt;"",IF($J23="",INDEX(primary_jama_2024_12829_disposition,MATCH($A23,primary_jama_2024_12829_key,0)),$J23)&lt;&gt;"retain"),NOT(OR(IF($K23="",INDEX(primary_jama_2024_12829_domain,MATCH($A23,primary_jama_2024_12829_key,0)),$K23)="protocol_report"))),"not_applicable","")</f>
        <v/>
      </c>
      <c r="Q23" s="10" t="inlineStr"/>
      <c r="R23" s="10" t="inlineStr"/>
    </row>
    <row r="24" ht="76" customHeight="1">
      <c r="A24" s="2" t="inlineStr">
        <is>
          <t>2024::jama.2024.12829::C012</t>
        </is>
      </c>
      <c r="B24" s="2" t="inlineStr">
        <is>
          <t>jama.2024.12829</t>
        </is>
      </c>
      <c r="C24" s="2" t="inlineStr">
        <is>
          <t>Figure S1 repeats “2nd meeting” for three chronologically distinct meetings</t>
        </is>
      </c>
      <c r="D24" s="8" t="inlineStr"/>
      <c r="E24" s="11" t="inlineStr"/>
      <c r="F24" s="8" t="inlineStr">
        <is>
          <t>no</t>
        </is>
      </c>
      <c r="G24" s="2">
        <f>IF(OR(AND(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L24&lt;&gt;"",L24&lt;&gt;"not_applicable"),AND(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M24&lt;&gt;"",M24&lt;&gt;"not_applicable"),AND(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N24&lt;&gt;"",N24&lt;&gt;"not_applicable"),AND(OR(AND(IF($J24="",INDEX(primary_jama_2024_12829_disposition,MATCH($A24,primary_jama_2024_12829_key,0)),$J24)&lt;&gt;"",IF($J24="",INDEX(primary_jama_2024_12829_disposition,MATCH($A24,primary_jama_2024_12829_key,0)),$J24)&lt;&gt;"retain"),NOT(OR(IF($K24="",INDEX(primary_jama_2024_12829_domain,MATCH($A24,primary_jama_2024_12829_key,0)),$K24)="internal_nonstatistical",IF($K24="",INDEX(primary_jama_2024_12829_domain,MATCH($A24,primary_jama_2024_12829_key,0)),$K24)="plan_material"))),O24&lt;&gt;"",O24&lt;&gt;"not_applicable"),AND(OR(AND(IF($J24="",INDEX(primary_jama_2024_12829_disposition,MATCH($A24,primary_jama_2024_12829_key,0)),$J24)&lt;&gt;"",IF($J24="",INDEX(primary_jama_2024_12829_disposition,MATCH($A24,primary_jama_2024_12829_key,0)),$J24)&lt;&gt;"retain"),NOT(OR(IF($K24="",INDEX(primary_jama_2024_12829_domain,MATCH($A24,primary_jama_2024_12829_key,0)),$K24)="protocol_report"))),P24&lt;&gt;"",P24&lt;&gt;"not_applicable")),"CLEAR INACTIVE VALUES",IF(D24="","PENDING",IF(AND(D24&lt;&gt;"agree",LEN(TRIM(E24))=0),"COMMENT NEEDED",IF(F24="yes","CHECKED - see resolution","DRAFT"))))</f>
        <v/>
      </c>
      <c r="H24" s="8" t="inlineStr">
        <is>
          <t>pending</t>
        </is>
      </c>
      <c r="I24" s="11" t="inlineStr"/>
      <c r="J24" s="8" t="inlineStr"/>
      <c r="K24" s="8" t="inlineStr"/>
      <c r="L24" s="8">
        <f>IF(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not_applicable","")</f>
        <v/>
      </c>
      <c r="M24" s="8">
        <f>IF(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not_applicable","")</f>
        <v/>
      </c>
      <c r="N24" s="9">
        <f>IF(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not_applicable","")</f>
        <v/>
      </c>
      <c r="O24" s="8">
        <f>IF(OR(AND(IF($J24="",INDEX(primary_jama_2024_12829_disposition,MATCH($A24,primary_jama_2024_12829_key,0)),$J24)&lt;&gt;"",IF($J24="",INDEX(primary_jama_2024_12829_disposition,MATCH($A24,primary_jama_2024_12829_key,0)),$J24)&lt;&gt;"retain"),NOT(OR(IF($K24="",INDEX(primary_jama_2024_12829_domain,MATCH($A24,primary_jama_2024_12829_key,0)),$K24)="internal_nonstatistical",IF($K24="",INDEX(primary_jama_2024_12829_domain,MATCH($A24,primary_jama_2024_12829_key,0)),$K24)="plan_material"))),"not_applicable","")</f>
        <v/>
      </c>
      <c r="P24" s="9">
        <f>IF(OR(AND(IF($J24="",INDEX(primary_jama_2024_12829_disposition,MATCH($A24,primary_jama_2024_12829_key,0)),$J24)&lt;&gt;"",IF($J24="",INDEX(primary_jama_2024_12829_disposition,MATCH($A24,primary_jama_2024_12829_key,0)),$J24)&lt;&gt;"retain"),NOT(OR(IF($K24="",INDEX(primary_jama_2024_12829_domain,MATCH($A24,primary_jama_2024_12829_key,0)),$K24)="protocol_report"))),"not_applicable","")</f>
        <v/>
      </c>
      <c r="Q24" s="10" t="inlineStr"/>
      <c r="R24" s="10" t="inlineStr"/>
    </row>
    <row r="25" ht="76" customHeight="1">
      <c r="A25" s="3" t="inlineStr">
        <is>
          <t>2024::jama.2024.12829::C013</t>
        </is>
      </c>
      <c r="B25" s="3" t="inlineStr">
        <is>
          <t>jama.2024.12829</t>
        </is>
      </c>
      <c r="C25" s="3" t="inlineStr">
        <is>
          <t>Recurring-visit sentence ambiguously repeats visit numbers 9 and 11</t>
        </is>
      </c>
      <c r="D25" s="8" t="inlineStr"/>
      <c r="E25" s="11" t="inlineStr"/>
      <c r="F25" s="8" t="inlineStr">
        <is>
          <t>no</t>
        </is>
      </c>
      <c r="G25" s="3">
        <f>IF(OR(AND(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L25&lt;&gt;"",L25&lt;&gt;"not_applicable"),AND(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M25&lt;&gt;"",M25&lt;&gt;"not_applicable"),AND(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N25&lt;&gt;"",N25&lt;&gt;"not_applicable"),AND(OR(AND(IF($J25="",INDEX(primary_jama_2024_12829_disposition,MATCH($A25,primary_jama_2024_12829_key,0)),$J25)&lt;&gt;"",IF($J25="",INDEX(primary_jama_2024_12829_disposition,MATCH($A25,primary_jama_2024_12829_key,0)),$J25)&lt;&gt;"retain"),NOT(OR(IF($K25="",INDEX(primary_jama_2024_12829_domain,MATCH($A25,primary_jama_2024_12829_key,0)),$K25)="internal_nonstatistical",IF($K25="",INDEX(primary_jama_2024_12829_domain,MATCH($A25,primary_jama_2024_12829_key,0)),$K25)="plan_material"))),O25&lt;&gt;"",O25&lt;&gt;"not_applicable"),AND(OR(AND(IF($J25="",INDEX(primary_jama_2024_12829_disposition,MATCH($A25,primary_jama_2024_12829_key,0)),$J25)&lt;&gt;"",IF($J25="",INDEX(primary_jama_2024_12829_disposition,MATCH($A25,primary_jama_2024_12829_key,0)),$J25)&lt;&gt;"retain"),NOT(OR(IF($K25="",INDEX(primary_jama_2024_12829_domain,MATCH($A25,primary_jama_2024_12829_key,0)),$K25)="protocol_report"))),P25&lt;&gt;"",P25&lt;&gt;"not_applicable")),"CLEAR INACTIVE VALUES",IF(D25="","PENDING",IF(AND(D25&lt;&gt;"agree",LEN(TRIM(E25))=0),"COMMENT NEEDED",IF(F25="yes","CHECKED - see resolution","DRAFT"))))</f>
        <v/>
      </c>
      <c r="H25" s="8" t="inlineStr">
        <is>
          <t>pending</t>
        </is>
      </c>
      <c r="I25" s="11" t="inlineStr"/>
      <c r="J25" s="8" t="inlineStr"/>
      <c r="K25" s="8" t="inlineStr"/>
      <c r="L25" s="8">
        <f>IF(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not_applicable","")</f>
        <v/>
      </c>
      <c r="M25" s="8">
        <f>IF(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not_applicable","")</f>
        <v/>
      </c>
      <c r="N25" s="9">
        <f>IF(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not_applicable","")</f>
        <v/>
      </c>
      <c r="O25" s="8">
        <f>IF(OR(AND(IF($J25="",INDEX(primary_jama_2024_12829_disposition,MATCH($A25,primary_jama_2024_12829_key,0)),$J25)&lt;&gt;"",IF($J25="",INDEX(primary_jama_2024_12829_disposition,MATCH($A25,primary_jama_2024_12829_key,0)),$J25)&lt;&gt;"retain"),NOT(OR(IF($K25="",INDEX(primary_jama_2024_12829_domain,MATCH($A25,primary_jama_2024_12829_key,0)),$K25)="internal_nonstatistical",IF($K25="",INDEX(primary_jama_2024_12829_domain,MATCH($A25,primary_jama_2024_12829_key,0)),$K25)="plan_material"))),"not_applicable","")</f>
        <v/>
      </c>
      <c r="P25" s="9">
        <f>IF(OR(AND(IF($J25="",INDEX(primary_jama_2024_12829_disposition,MATCH($A25,primary_jama_2024_12829_key,0)),$J25)&lt;&gt;"",IF($J25="",INDEX(primary_jama_2024_12829_disposition,MATCH($A25,primary_jama_2024_12829_key,0)),$J25)&lt;&gt;"retain"),NOT(OR(IF($K25="",INDEX(primary_jama_2024_12829_domain,MATCH($A25,primary_jama_2024_12829_key,0)),$K25)="protocol_report"))),"not_applicable","")</f>
        <v/>
      </c>
      <c r="Q25" s="10" t="inlineStr"/>
      <c r="R25" s="10" t="inlineStr"/>
    </row>
    <row r="26" ht="76" customHeight="1">
      <c r="A26" s="2" t="inlineStr">
        <is>
          <t>2024::jama.2024.12829::C014</t>
        </is>
      </c>
      <c r="B26" s="2" t="inlineStr">
        <is>
          <t>jama.2024.12829</t>
        </is>
      </c>
      <c r="C26" s="2" t="inlineStr">
        <is>
          <t>Table S9 BA 8 (3.3) does not round from either supplied ATS or displayed denominator</t>
        </is>
      </c>
      <c r="D26" s="8" t="inlineStr"/>
      <c r="E26" s="11" t="inlineStr"/>
      <c r="F26" s="8" t="inlineStr">
        <is>
          <t>no</t>
        </is>
      </c>
      <c r="G26" s="2">
        <f>IF(OR(AND(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L26&lt;&gt;"",L26&lt;&gt;"not_applicable"),AND(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M26&lt;&gt;"",M26&lt;&gt;"not_applicable"),AND(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N26&lt;&gt;"",N26&lt;&gt;"not_applicable"),AND(OR(AND(IF($J26="",INDEX(primary_jama_2024_12829_disposition,MATCH($A26,primary_jama_2024_12829_key,0)),$J26)&lt;&gt;"",IF($J26="",INDEX(primary_jama_2024_12829_disposition,MATCH($A26,primary_jama_2024_12829_key,0)),$J26)&lt;&gt;"retain"),NOT(OR(IF($K26="",INDEX(primary_jama_2024_12829_domain,MATCH($A26,primary_jama_2024_12829_key,0)),$K26)="internal_nonstatistical",IF($K26="",INDEX(primary_jama_2024_12829_domain,MATCH($A26,primary_jama_2024_12829_key,0)),$K26)="plan_material"))),O26&lt;&gt;"",O26&lt;&gt;"not_applicable"),AND(OR(AND(IF($J26="",INDEX(primary_jama_2024_12829_disposition,MATCH($A26,primary_jama_2024_12829_key,0)),$J26)&lt;&gt;"",IF($J26="",INDEX(primary_jama_2024_12829_disposition,MATCH($A26,primary_jama_2024_12829_key,0)),$J26)&lt;&gt;"retain"),NOT(OR(IF($K26="",INDEX(primary_jama_2024_12829_domain,MATCH($A26,primary_jama_2024_12829_key,0)),$K26)="protocol_report"))),P26&lt;&gt;"",P26&lt;&gt;"not_applicable")),"CLEAR INACTIVE VALUES",IF(D26="","PENDING",IF(AND(D26&lt;&gt;"agree",LEN(TRIM(E26))=0),"COMMENT NEEDED",IF(F26="yes","CHECKED - see resolution","DRAFT"))))</f>
        <v/>
      </c>
      <c r="H26" s="8" t="inlineStr">
        <is>
          <t>pending</t>
        </is>
      </c>
      <c r="I26" s="11" t="inlineStr"/>
      <c r="J26" s="8" t="inlineStr"/>
      <c r="K26" s="8" t="inlineStr"/>
      <c r="L26" s="8">
        <f>IF(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not_applicable","")</f>
        <v/>
      </c>
      <c r="M26" s="8">
        <f>IF(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not_applicable","")</f>
        <v/>
      </c>
      <c r="N26" s="9">
        <f>IF(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not_applicable","")</f>
        <v/>
      </c>
      <c r="O26" s="8">
        <f>IF(OR(AND(IF($J26="",INDEX(primary_jama_2024_12829_disposition,MATCH($A26,primary_jama_2024_12829_key,0)),$J26)&lt;&gt;"",IF($J26="",INDEX(primary_jama_2024_12829_disposition,MATCH($A26,primary_jama_2024_12829_key,0)),$J26)&lt;&gt;"retain"),NOT(OR(IF($K26="",INDEX(primary_jama_2024_12829_domain,MATCH($A26,primary_jama_2024_12829_key,0)),$K26)="internal_nonstatistical",IF($K26="",INDEX(primary_jama_2024_12829_domain,MATCH($A26,primary_jama_2024_12829_key,0)),$K26)="plan_material"))),"not_applicable","")</f>
        <v/>
      </c>
      <c r="P26" s="9">
        <f>IF(OR(AND(IF($J26="",INDEX(primary_jama_2024_12829_disposition,MATCH($A26,primary_jama_2024_12829_key,0)),$J26)&lt;&gt;"",IF($J26="",INDEX(primary_jama_2024_12829_disposition,MATCH($A26,primary_jama_2024_12829_key,0)),$J26)&lt;&gt;"retain"),NOT(OR(IF($K26="",INDEX(primary_jama_2024_12829_domain,MATCH($A26,primary_jama_2024_12829_key,0)),$K26)="protocol_report"))),"not_applicable","")</f>
        <v/>
      </c>
      <c r="Q26" s="10" t="inlineStr"/>
      <c r="R26" s="10" t="inlineStr"/>
    </row>
    <row r="27" ht="76" customHeight="1">
      <c r="A27" s="3" t="inlineStr">
        <is>
          <t>2024::jama.2024.12829::C015</t>
        </is>
      </c>
      <c r="B27" s="3" t="inlineStr">
        <is>
          <t>jama.2024.12829</t>
        </is>
      </c>
      <c r="C27" s="3" t="inlineStr">
        <is>
          <t>Narrative assigns all 11 pre-analysis exclusions to consent withdrawal while Figure 1 assigns only 10</t>
        </is>
      </c>
      <c r="D27" s="8" t="inlineStr"/>
      <c r="E27" s="11" t="inlineStr"/>
      <c r="F27" s="8" t="inlineStr">
        <is>
          <t>no</t>
        </is>
      </c>
      <c r="G27" s="3">
        <f>IF(OR(AND(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L27&lt;&gt;"",L27&lt;&gt;"not_applicable"),AND(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M27&lt;&gt;"",M27&lt;&gt;"not_applicable"),AND(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N27&lt;&gt;"",N27&lt;&gt;"not_applicable"),AND(OR(AND(IF($J27="",INDEX(primary_jama_2024_12829_disposition,MATCH($A27,primary_jama_2024_12829_key,0)),$J27)&lt;&gt;"",IF($J27="",INDEX(primary_jama_2024_12829_disposition,MATCH($A27,primary_jama_2024_12829_key,0)),$J27)&lt;&gt;"retain"),NOT(OR(IF($K27="",INDEX(primary_jama_2024_12829_domain,MATCH($A27,primary_jama_2024_12829_key,0)),$K27)="internal_nonstatistical",IF($K27="",INDEX(primary_jama_2024_12829_domain,MATCH($A27,primary_jama_2024_12829_key,0)),$K27)="plan_material"))),O27&lt;&gt;"",O27&lt;&gt;"not_applicable"),AND(OR(AND(IF($J27="",INDEX(primary_jama_2024_12829_disposition,MATCH($A27,primary_jama_2024_12829_key,0)),$J27)&lt;&gt;"",IF($J27="",INDEX(primary_jama_2024_12829_disposition,MATCH($A27,primary_jama_2024_12829_key,0)),$J27)&lt;&gt;"retain"),NOT(OR(IF($K27="",INDEX(primary_jama_2024_12829_domain,MATCH($A27,primary_jama_2024_12829_key,0)),$K27)="protocol_report"))),P27&lt;&gt;"",P27&lt;&gt;"not_applicable")),"CLEAR INACTIVE VALUES",IF(D27="","PENDING",IF(AND(D27&lt;&gt;"agree",LEN(TRIM(E27))=0),"COMMENT NEEDED",IF(F27="yes","CHECKED - see resolution","DRAFT"))))</f>
        <v/>
      </c>
      <c r="H27" s="8" t="inlineStr">
        <is>
          <t>pending</t>
        </is>
      </c>
      <c r="I27" s="11" t="inlineStr"/>
      <c r="J27" s="8" t="inlineStr"/>
      <c r="K27" s="8" t="inlineStr"/>
      <c r="L27" s="8">
        <f>IF(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not_applicable","")</f>
        <v/>
      </c>
      <c r="M27" s="8">
        <f>IF(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not_applicable","")</f>
        <v/>
      </c>
      <c r="N27" s="9">
        <f>IF(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not_applicable","")</f>
        <v/>
      </c>
      <c r="O27" s="8">
        <f>IF(OR(AND(IF($J27="",INDEX(primary_jama_2024_12829_disposition,MATCH($A27,primary_jama_2024_12829_key,0)),$J27)&lt;&gt;"",IF($J27="",INDEX(primary_jama_2024_12829_disposition,MATCH($A27,primary_jama_2024_12829_key,0)),$J27)&lt;&gt;"retain"),NOT(OR(IF($K27="",INDEX(primary_jama_2024_12829_domain,MATCH($A27,primary_jama_2024_12829_key,0)),$K27)="internal_nonstatistical",IF($K27="",INDEX(primary_jama_2024_12829_domain,MATCH($A27,primary_jama_2024_12829_key,0)),$K27)="plan_material"))),"not_applicable","")</f>
        <v/>
      </c>
      <c r="P27" s="9">
        <f>IF(OR(AND(IF($J27="",INDEX(primary_jama_2024_12829_disposition,MATCH($A27,primary_jama_2024_12829_key,0)),$J27)&lt;&gt;"",IF($J27="",INDEX(primary_jama_2024_12829_disposition,MATCH($A27,primary_jama_2024_12829_key,0)),$J27)&lt;&gt;"retain"),NOT(OR(IF($K27="",INDEX(primary_jama_2024_12829_domain,MATCH($A27,primary_jama_2024_12829_key,0)),$K27)="protocol_report"))),"not_applicable","")</f>
        <v/>
      </c>
      <c r="Q27" s="10" t="inlineStr"/>
      <c r="R27" s="10" t="inlineStr"/>
    </row>
    <row r="28" ht="76" customHeight="1">
      <c r="A28" s="2" t="inlineStr">
        <is>
          <t>2024::jama.2024.12829::C016</t>
        </is>
      </c>
      <c r="B28" s="2" t="inlineStr">
        <is>
          <t>jama.2024.12829</t>
        </is>
      </c>
      <c r="C28" s="2" t="inlineStr">
        <is>
          <t>Table S6 BA event count 9 conflicts with the matched primary-analysis count 11</t>
        </is>
      </c>
      <c r="D28" s="8" t="inlineStr"/>
      <c r="E28" s="11" t="inlineStr"/>
      <c r="F28" s="8" t="inlineStr">
        <is>
          <t>no</t>
        </is>
      </c>
      <c r="G28" s="2">
        <f>IF(OR(AND(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L28&lt;&gt;"",L28&lt;&gt;"not_applicable"),AND(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M28&lt;&gt;"",M28&lt;&gt;"not_applicable"),AND(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N28&lt;&gt;"",N28&lt;&gt;"not_applicable"),AND(OR(AND(IF($J28="",INDEX(primary_jama_2024_12829_disposition,MATCH($A28,primary_jama_2024_12829_key,0)),$J28)&lt;&gt;"",IF($J28="",INDEX(primary_jama_2024_12829_disposition,MATCH($A28,primary_jama_2024_12829_key,0)),$J28)&lt;&gt;"retain"),NOT(OR(IF($K28="",INDEX(primary_jama_2024_12829_domain,MATCH($A28,primary_jama_2024_12829_key,0)),$K28)="internal_nonstatistical",IF($K28="",INDEX(primary_jama_2024_12829_domain,MATCH($A28,primary_jama_2024_12829_key,0)),$K28)="plan_material"))),O28&lt;&gt;"",O28&lt;&gt;"not_applicable"),AND(OR(AND(IF($J28="",INDEX(primary_jama_2024_12829_disposition,MATCH($A28,primary_jama_2024_12829_key,0)),$J28)&lt;&gt;"",IF($J28="",INDEX(primary_jama_2024_12829_disposition,MATCH($A28,primary_jama_2024_12829_key,0)),$J28)&lt;&gt;"retain"),NOT(OR(IF($K28="",INDEX(primary_jama_2024_12829_domain,MATCH($A28,primary_jama_2024_12829_key,0)),$K28)="protocol_report"))),P28&lt;&gt;"",P28&lt;&gt;"not_applicable")),"CLEAR INACTIVE VALUES",IF(D28="","PENDING",IF(AND(D28&lt;&gt;"agree",LEN(TRIM(E28))=0),"COMMENT NEEDED",IF(F28="yes","CHECKED - see resolution","DRAFT"))))</f>
        <v/>
      </c>
      <c r="H28" s="8" t="inlineStr">
        <is>
          <t>pending</t>
        </is>
      </c>
      <c r="I28" s="11" t="inlineStr"/>
      <c r="J28" s="8" t="inlineStr"/>
      <c r="K28" s="8" t="inlineStr"/>
      <c r="L28" s="8">
        <f>IF(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not_applicable","")</f>
        <v/>
      </c>
      <c r="M28" s="8">
        <f>IF(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not_applicable","")</f>
        <v/>
      </c>
      <c r="N28" s="9">
        <f>IF(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not_applicable","")</f>
        <v/>
      </c>
      <c r="O28" s="8">
        <f>IF(OR(AND(IF($J28="",INDEX(primary_jama_2024_12829_disposition,MATCH($A28,primary_jama_2024_12829_key,0)),$J28)&lt;&gt;"",IF($J28="",INDEX(primary_jama_2024_12829_disposition,MATCH($A28,primary_jama_2024_12829_key,0)),$J28)&lt;&gt;"retain"),NOT(OR(IF($K28="",INDEX(primary_jama_2024_12829_domain,MATCH($A28,primary_jama_2024_12829_key,0)),$K28)="internal_nonstatistical",IF($K28="",INDEX(primary_jama_2024_12829_domain,MATCH($A28,primary_jama_2024_12829_key,0)),$K28)="plan_material"))),"not_applicable","")</f>
        <v/>
      </c>
      <c r="P28" s="9">
        <f>IF(OR(AND(IF($J28="",INDEX(primary_jama_2024_12829_disposition,MATCH($A28,primary_jama_2024_12829_key,0)),$J28)&lt;&gt;"",IF($J28="",INDEX(primary_jama_2024_12829_disposition,MATCH($A28,primary_jama_2024_12829_key,0)),$J28)&lt;&gt;"retain"),NOT(OR(IF($K28="",INDEX(primary_jama_2024_12829_domain,MATCH($A28,primary_jama_2024_12829_key,0)),$K28)="protocol_report"))),"not_applicable","")</f>
        <v/>
      </c>
      <c r="Q28" s="10" t="inlineStr"/>
      <c r="R28" s="10" t="inlineStr"/>
    </row>
    <row r="29" ht="76" customHeight="1">
      <c r="A29" s="3" t="inlineStr">
        <is>
          <t>2024::jama.2024.12829::C017</t>
        </is>
      </c>
      <c r="B29" s="3" t="inlineStr">
        <is>
          <t>jama.2024.12829</t>
        </is>
      </c>
      <c r="C29" s="3" t="inlineStr">
        <is>
          <t>One-year incidence-difference point estimate lies outside its confidence interval</t>
        </is>
      </c>
      <c r="D29" s="8" t="inlineStr"/>
      <c r="E29" s="11" t="inlineStr"/>
      <c r="F29" s="8" t="inlineStr">
        <is>
          <t>no</t>
        </is>
      </c>
      <c r="G29" s="3">
        <f>IF(OR(AND(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L29&lt;&gt;"",L29&lt;&gt;"not_applicable"),AND(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M29&lt;&gt;"",M29&lt;&gt;"not_applicable"),AND(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N29&lt;&gt;"",N29&lt;&gt;"not_applicable"),AND(OR(AND(IF($J29="",INDEX(primary_jama_2024_12829_disposition,MATCH($A29,primary_jama_2024_12829_key,0)),$J29)&lt;&gt;"",IF($J29="",INDEX(primary_jama_2024_12829_disposition,MATCH($A29,primary_jama_2024_12829_key,0)),$J29)&lt;&gt;"retain"),NOT(OR(IF($K29="",INDEX(primary_jama_2024_12829_domain,MATCH($A29,primary_jama_2024_12829_key,0)),$K29)="internal_nonstatistical",IF($K29="",INDEX(primary_jama_2024_12829_domain,MATCH($A29,primary_jama_2024_12829_key,0)),$K29)="plan_material"))),O29&lt;&gt;"",O29&lt;&gt;"not_applicable"),AND(OR(AND(IF($J29="",INDEX(primary_jama_2024_12829_disposition,MATCH($A29,primary_jama_2024_12829_key,0)),$J29)&lt;&gt;"",IF($J29="",INDEX(primary_jama_2024_12829_disposition,MATCH($A29,primary_jama_2024_12829_key,0)),$J29)&lt;&gt;"retain"),NOT(OR(IF($K29="",INDEX(primary_jama_2024_12829_domain,MATCH($A29,primary_jama_2024_12829_key,0)),$K29)="protocol_report"))),P29&lt;&gt;"",P29&lt;&gt;"not_applicable")),"CLEAR INACTIVE VALUES",IF(D29="","PENDING",IF(AND(D29&lt;&gt;"agree",LEN(TRIM(E29))=0),"COMMENT NEEDED",IF(F29="yes","CHECKED - see resolution","DRAFT"))))</f>
        <v/>
      </c>
      <c r="H29" s="8" t="inlineStr">
        <is>
          <t>pending</t>
        </is>
      </c>
      <c r="I29" s="11" t="inlineStr"/>
      <c r="J29" s="8" t="inlineStr"/>
      <c r="K29" s="8" t="inlineStr"/>
      <c r="L29" s="8">
        <f>IF(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not_applicable","")</f>
        <v/>
      </c>
      <c r="M29" s="8">
        <f>IF(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not_applicable","")</f>
        <v/>
      </c>
      <c r="N29" s="9">
        <f>IF(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not_applicable","")</f>
        <v/>
      </c>
      <c r="O29" s="8">
        <f>IF(OR(AND(IF($J29="",INDEX(primary_jama_2024_12829_disposition,MATCH($A29,primary_jama_2024_12829_key,0)),$J29)&lt;&gt;"",IF($J29="",INDEX(primary_jama_2024_12829_disposition,MATCH($A29,primary_jama_2024_12829_key,0)),$J29)&lt;&gt;"retain"),NOT(OR(IF($K29="",INDEX(primary_jama_2024_12829_domain,MATCH($A29,primary_jama_2024_12829_key,0)),$K29)="internal_nonstatistical",IF($K29="",INDEX(primary_jama_2024_12829_domain,MATCH($A29,primary_jama_2024_12829_key,0)),$K29)="plan_material"))),"not_applicable","")</f>
        <v/>
      </c>
      <c r="P29" s="9">
        <f>IF(OR(AND(IF($J29="",INDEX(primary_jama_2024_12829_disposition,MATCH($A29,primary_jama_2024_12829_key,0)),$J29)&lt;&gt;"",IF($J29="",INDEX(primary_jama_2024_12829_disposition,MATCH($A29,primary_jama_2024_12829_key,0)),$J29)&lt;&gt;"retain"),NOT(OR(IF($K29="",INDEX(primary_jama_2024_12829_domain,MATCH($A29,primary_jama_2024_12829_key,0)),$K29)="protocol_report"))),"not_applicable","")</f>
        <v/>
      </c>
      <c r="Q29" s="10" t="inlineStr"/>
      <c r="R29" s="10" t="inlineStr"/>
    </row>
    <row r="30" ht="76" customHeight="1">
      <c r="A30" s="2" t="inlineStr">
        <is>
          <t>2024::jama.2024.19585::C001</t>
        </is>
      </c>
      <c r="B30" s="2" t="inlineStr">
        <is>
          <t>jama.2024.19585</t>
        </is>
      </c>
      <c r="C30" s="2" t="inlineStr">
        <is>
          <t>Usual-care exclusion hierarchy requires source-layout confirmation</t>
        </is>
      </c>
      <c r="D30" s="8" t="inlineStr"/>
      <c r="E30" s="11" t="inlineStr"/>
      <c r="F30" s="8" t="inlineStr">
        <is>
          <t>no</t>
        </is>
      </c>
      <c r="G30" s="2">
        <f>IF(OR(AND(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L30&lt;&gt;"",L30&lt;&gt;"not_applicable"),AND(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M30&lt;&gt;"",M30&lt;&gt;"not_applicable"),AND(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N30&lt;&gt;"",N30&lt;&gt;"not_applicable"),AND(OR(AND(IF($J30="",INDEX(primary_jama_2024_19585_disposition,MATCH($A30,primary_jama_2024_19585_key,0)),$J30)&lt;&gt;"",IF($J30="",INDEX(primary_jama_2024_19585_disposition,MATCH($A30,primary_jama_2024_19585_key,0)),$J30)&lt;&gt;"retain"),NOT(OR(IF($K30="",INDEX(primary_jama_2024_19585_domain,MATCH($A30,primary_jama_2024_19585_key,0)),$K30)="internal_nonstatistical",IF($K30="",INDEX(primary_jama_2024_19585_domain,MATCH($A30,primary_jama_2024_19585_key,0)),$K30)="plan_material"))),O30&lt;&gt;"",O30&lt;&gt;"not_applicable"),AND(OR(AND(IF($J30="",INDEX(primary_jama_2024_19585_disposition,MATCH($A30,primary_jama_2024_19585_key,0)),$J30)&lt;&gt;"",IF($J30="",INDEX(primary_jama_2024_19585_disposition,MATCH($A30,primary_jama_2024_19585_key,0)),$J30)&lt;&gt;"retain"),NOT(OR(IF($K30="",INDEX(primary_jama_2024_19585_domain,MATCH($A30,primary_jama_2024_19585_key,0)),$K30)="protocol_report"))),P30&lt;&gt;"",P30&lt;&gt;"not_applicable")),"CLEAR INACTIVE VALUES",IF(D30="","PENDING",IF(AND(D30&lt;&gt;"agree",LEN(TRIM(E30))=0),"COMMENT NEEDED",IF(F30="yes","CHECKED - see resolution","DRAFT"))))</f>
        <v/>
      </c>
      <c r="H30" s="8" t="inlineStr">
        <is>
          <t>pending</t>
        </is>
      </c>
      <c r="I30" s="11" t="inlineStr"/>
      <c r="J30" s="8" t="inlineStr"/>
      <c r="K30" s="8" t="inlineStr"/>
      <c r="L30" s="8">
        <f>IF(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not_applicable","")</f>
        <v/>
      </c>
      <c r="M30" s="8">
        <f>IF(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not_applicable","")</f>
        <v/>
      </c>
      <c r="N30" s="9">
        <f>IF(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not_applicable","")</f>
        <v/>
      </c>
      <c r="O30" s="8">
        <f>IF(OR(AND(IF($J30="",INDEX(primary_jama_2024_19585_disposition,MATCH($A30,primary_jama_2024_19585_key,0)),$J30)&lt;&gt;"",IF($J30="",INDEX(primary_jama_2024_19585_disposition,MATCH($A30,primary_jama_2024_19585_key,0)),$J30)&lt;&gt;"retain"),NOT(OR(IF($K30="",INDEX(primary_jama_2024_19585_domain,MATCH($A30,primary_jama_2024_19585_key,0)),$K30)="internal_nonstatistical",IF($K30="",INDEX(primary_jama_2024_19585_domain,MATCH($A30,primary_jama_2024_19585_key,0)),$K30)="plan_material"))),"not_applicable","")</f>
        <v/>
      </c>
      <c r="P30" s="9">
        <f>IF(OR(AND(IF($J30="",INDEX(primary_jama_2024_19585_disposition,MATCH($A30,primary_jama_2024_19585_key,0)),$J30)&lt;&gt;"",IF($J30="",INDEX(primary_jama_2024_19585_disposition,MATCH($A30,primary_jama_2024_19585_key,0)),$J30)&lt;&gt;"retain"),NOT(OR(IF($K30="",INDEX(primary_jama_2024_19585_domain,MATCH($A30,primary_jama_2024_19585_key,0)),$K30)="protocol_report"))),"not_applicable","")</f>
        <v/>
      </c>
      <c r="Q30" s="10" t="inlineStr"/>
      <c r="R30" s="10" t="inlineStr"/>
    </row>
    <row r="31" ht="76" customHeight="1">
      <c r="A31" s="3" t="inlineStr">
        <is>
          <t>2024::jama.2024.19585::C002</t>
        </is>
      </c>
      <c r="B31" s="3" t="inlineStr">
        <is>
          <t>jama.2024.19585</t>
        </is>
      </c>
      <c r="C31" s="3" t="inlineStr">
        <is>
          <t>Main-text rejected-statement percentage conflicts with the supplement counts</t>
        </is>
      </c>
      <c r="D31" s="8" t="inlineStr"/>
      <c r="E31" s="11" t="inlineStr"/>
      <c r="F31" s="8" t="inlineStr">
        <is>
          <t>no</t>
        </is>
      </c>
      <c r="G31" s="3">
        <f>IF(OR(AND(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L31&lt;&gt;"",L31&lt;&gt;"not_applicable"),AND(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M31&lt;&gt;"",M31&lt;&gt;"not_applicable"),AND(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N31&lt;&gt;"",N31&lt;&gt;"not_applicable"),AND(OR(AND(IF($J31="",INDEX(primary_jama_2024_19585_disposition,MATCH($A31,primary_jama_2024_19585_key,0)),$J31)&lt;&gt;"",IF($J31="",INDEX(primary_jama_2024_19585_disposition,MATCH($A31,primary_jama_2024_19585_key,0)),$J31)&lt;&gt;"retain"),NOT(OR(IF($K31="",INDEX(primary_jama_2024_19585_domain,MATCH($A31,primary_jama_2024_19585_key,0)),$K31)="internal_nonstatistical",IF($K31="",INDEX(primary_jama_2024_19585_domain,MATCH($A31,primary_jama_2024_19585_key,0)),$K31)="plan_material"))),O31&lt;&gt;"",O31&lt;&gt;"not_applicable"),AND(OR(AND(IF($J31="",INDEX(primary_jama_2024_19585_disposition,MATCH($A31,primary_jama_2024_19585_key,0)),$J31)&lt;&gt;"",IF($J31="",INDEX(primary_jama_2024_19585_disposition,MATCH($A31,primary_jama_2024_19585_key,0)),$J31)&lt;&gt;"retain"),NOT(OR(IF($K31="",INDEX(primary_jama_2024_19585_domain,MATCH($A31,primary_jama_2024_19585_key,0)),$K31)="protocol_report"))),P31&lt;&gt;"",P31&lt;&gt;"not_applicable")),"CLEAR INACTIVE VALUES",IF(D31="","PENDING",IF(AND(D31&lt;&gt;"agree",LEN(TRIM(E31))=0),"COMMENT NEEDED",IF(F31="yes","CHECKED - see resolution","DRAFT"))))</f>
        <v/>
      </c>
      <c r="H31" s="8" t="inlineStr">
        <is>
          <t>pending</t>
        </is>
      </c>
      <c r="I31" s="11" t="inlineStr"/>
      <c r="J31" s="8" t="inlineStr"/>
      <c r="K31" s="8" t="inlineStr"/>
      <c r="L31" s="8">
        <f>IF(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not_applicable","")</f>
        <v/>
      </c>
      <c r="M31" s="8">
        <f>IF(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not_applicable","")</f>
        <v/>
      </c>
      <c r="N31" s="9">
        <f>IF(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not_applicable","")</f>
        <v/>
      </c>
      <c r="O31" s="8">
        <f>IF(OR(AND(IF($J31="",INDEX(primary_jama_2024_19585_disposition,MATCH($A31,primary_jama_2024_19585_key,0)),$J31)&lt;&gt;"",IF($J31="",INDEX(primary_jama_2024_19585_disposition,MATCH($A31,primary_jama_2024_19585_key,0)),$J31)&lt;&gt;"retain"),NOT(OR(IF($K31="",INDEX(primary_jama_2024_19585_domain,MATCH($A31,primary_jama_2024_19585_key,0)),$K31)="internal_nonstatistical",IF($K31="",INDEX(primary_jama_2024_19585_domain,MATCH($A31,primary_jama_2024_19585_key,0)),$K31)="plan_material"))),"not_applicable","")</f>
        <v/>
      </c>
      <c r="P31" s="9">
        <f>IF(OR(AND(IF($J31="",INDEX(primary_jama_2024_19585_disposition,MATCH($A31,primary_jama_2024_19585_key,0)),$J31)&lt;&gt;"",IF($J31="",INDEX(primary_jama_2024_19585_disposition,MATCH($A31,primary_jama_2024_19585_key,0)),$J31)&lt;&gt;"retain"),NOT(OR(IF($K31="",INDEX(primary_jama_2024_19585_domain,MATCH($A31,primary_jama_2024_19585_key,0)),$K31)="protocol_report"))),"not_applicable","")</f>
        <v/>
      </c>
      <c r="Q31" s="10" t="inlineStr"/>
      <c r="R31" s="10" t="inlineStr"/>
    </row>
    <row r="32" ht="76" customHeight="1">
      <c r="A32" s="2" t="inlineStr">
        <is>
          <t>2024::jama.2024.19585::C003</t>
        </is>
      </c>
      <c r="B32" s="2" t="inlineStr">
        <is>
          <t>jama.2024.19585</t>
        </is>
      </c>
      <c r="C32" s="2" t="inlineStr">
        <is>
          <t>eTable 10 labels logistic-regression odds ratios as differences</t>
        </is>
      </c>
      <c r="D32" s="8" t="inlineStr"/>
      <c r="E32" s="11" t="inlineStr"/>
      <c r="F32" s="8" t="inlineStr">
        <is>
          <t>no</t>
        </is>
      </c>
      <c r="G32" s="2">
        <f>IF(OR(AND(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L32&lt;&gt;"",L32&lt;&gt;"not_applicable"),AND(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M32&lt;&gt;"",M32&lt;&gt;"not_applicable"),AND(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N32&lt;&gt;"",N32&lt;&gt;"not_applicable"),AND(OR(AND(IF($J32="",INDEX(primary_jama_2024_19585_disposition,MATCH($A32,primary_jama_2024_19585_key,0)),$J32)&lt;&gt;"",IF($J32="",INDEX(primary_jama_2024_19585_disposition,MATCH($A32,primary_jama_2024_19585_key,0)),$J32)&lt;&gt;"retain"),NOT(OR(IF($K32="",INDEX(primary_jama_2024_19585_domain,MATCH($A32,primary_jama_2024_19585_key,0)),$K32)="internal_nonstatistical",IF($K32="",INDEX(primary_jama_2024_19585_domain,MATCH($A32,primary_jama_2024_19585_key,0)),$K32)="plan_material"))),O32&lt;&gt;"",O32&lt;&gt;"not_applicable"),AND(OR(AND(IF($J32="",INDEX(primary_jama_2024_19585_disposition,MATCH($A32,primary_jama_2024_19585_key,0)),$J32)&lt;&gt;"",IF($J32="",INDEX(primary_jama_2024_19585_disposition,MATCH($A32,primary_jama_2024_19585_key,0)),$J32)&lt;&gt;"retain"),NOT(OR(IF($K32="",INDEX(primary_jama_2024_19585_domain,MATCH($A32,primary_jama_2024_19585_key,0)),$K32)="protocol_report"))),P32&lt;&gt;"",P32&lt;&gt;"not_applicable")),"CLEAR INACTIVE VALUES",IF(D32="","PENDING",IF(AND(D32&lt;&gt;"agree",LEN(TRIM(E32))=0),"COMMENT NEEDED",IF(F32="yes","CHECKED - see resolution","DRAFT"))))</f>
        <v/>
      </c>
      <c r="H32" s="8" t="inlineStr">
        <is>
          <t>pending</t>
        </is>
      </c>
      <c r="I32" s="11" t="inlineStr"/>
      <c r="J32" s="8" t="inlineStr"/>
      <c r="K32" s="8" t="inlineStr"/>
      <c r="L32" s="8">
        <f>IF(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not_applicable","")</f>
        <v/>
      </c>
      <c r="M32" s="8">
        <f>IF(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not_applicable","")</f>
        <v/>
      </c>
      <c r="N32" s="9">
        <f>IF(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not_applicable","")</f>
        <v/>
      </c>
      <c r="O32" s="8">
        <f>IF(OR(AND(IF($J32="",INDEX(primary_jama_2024_19585_disposition,MATCH($A32,primary_jama_2024_19585_key,0)),$J32)&lt;&gt;"",IF($J32="",INDEX(primary_jama_2024_19585_disposition,MATCH($A32,primary_jama_2024_19585_key,0)),$J32)&lt;&gt;"retain"),NOT(OR(IF($K32="",INDEX(primary_jama_2024_19585_domain,MATCH($A32,primary_jama_2024_19585_key,0)),$K32)="internal_nonstatistical",IF($K32="",INDEX(primary_jama_2024_19585_domain,MATCH($A32,primary_jama_2024_19585_key,0)),$K32)="plan_material"))),"not_applicable","")</f>
        <v/>
      </c>
      <c r="P32" s="9">
        <f>IF(OR(AND(IF($J32="",INDEX(primary_jama_2024_19585_disposition,MATCH($A32,primary_jama_2024_19585_key,0)),$J32)&lt;&gt;"",IF($J32="",INDEX(primary_jama_2024_19585_disposition,MATCH($A32,primary_jama_2024_19585_key,0)),$J32)&lt;&gt;"retain"),NOT(OR(IF($K32="",INDEX(primary_jama_2024_19585_domain,MATCH($A32,primary_jama_2024_19585_key,0)),$K32)="protocol_report"))),"not_applicable","")</f>
        <v/>
      </c>
      <c r="Q32" s="10" t="inlineStr"/>
      <c r="R32" s="10" t="inlineStr"/>
    </row>
    <row r="33" ht="76" customHeight="1">
      <c r="A33" s="3" t="inlineStr">
        <is>
          <t>2024::jama.2024.2302::C001</t>
        </is>
      </c>
      <c r="B33" s="3" t="inlineStr">
        <is>
          <t>jama.2024.2302</t>
        </is>
      </c>
      <c r="C33" s="3" t="inlineStr">
        <is>
          <t>Primary SAE endpoint threshold label</t>
        </is>
      </c>
      <c r="D33" s="8" t="inlineStr"/>
      <c r="E33" s="11" t="inlineStr"/>
      <c r="F33" s="8" t="inlineStr">
        <is>
          <t>no</t>
        </is>
      </c>
      <c r="G33" s="3">
        <f>IF(OR(AND(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L33&lt;&gt;"",L33&lt;&gt;"not_applicable"),AND(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M33&lt;&gt;"",M33&lt;&gt;"not_applicable"),AND(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N33&lt;&gt;"",N33&lt;&gt;"not_applicable"),AND(OR(AND(IF($J33="",INDEX(primary_jama_2024_2302_disposition,MATCH($A33,primary_jama_2024_2302_key,0)),$J33)&lt;&gt;"",IF($J33="",INDEX(primary_jama_2024_2302_disposition,MATCH($A33,primary_jama_2024_2302_key,0)),$J33)&lt;&gt;"retain"),NOT(OR(IF($K33="",INDEX(primary_jama_2024_2302_domain,MATCH($A33,primary_jama_2024_2302_key,0)),$K33)="internal_nonstatistical",IF($K33="",INDEX(primary_jama_2024_2302_domain,MATCH($A33,primary_jama_2024_2302_key,0)),$K33)="plan_material"))),O33&lt;&gt;"",O33&lt;&gt;"not_applicable"),AND(OR(AND(IF($J33="",INDEX(primary_jama_2024_2302_disposition,MATCH($A33,primary_jama_2024_2302_key,0)),$J33)&lt;&gt;"",IF($J33="",INDEX(primary_jama_2024_2302_disposition,MATCH($A33,primary_jama_2024_2302_key,0)),$J33)&lt;&gt;"retain"),NOT(OR(IF($K33="",INDEX(primary_jama_2024_2302_domain,MATCH($A33,primary_jama_2024_2302_key,0)),$K33)="protocol_report"))),P33&lt;&gt;"",P33&lt;&gt;"not_applicable")),"CLEAR INACTIVE VALUES",IF(D33="","PENDING",IF(AND(D33&lt;&gt;"agree",LEN(TRIM(E33))=0),"COMMENT NEEDED",IF(F33="yes","CHECKED - see resolution","DRAFT"))))</f>
        <v/>
      </c>
      <c r="H33" s="8" t="inlineStr">
        <is>
          <t>pending</t>
        </is>
      </c>
      <c r="I33" s="11" t="inlineStr"/>
      <c r="J33" s="8" t="inlineStr"/>
      <c r="K33" s="8" t="inlineStr"/>
      <c r="L33" s="8">
        <f>IF(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not_applicable","")</f>
        <v/>
      </c>
      <c r="M33" s="8">
        <f>IF(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not_applicable","")</f>
        <v/>
      </c>
      <c r="N33" s="9">
        <f>IF(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not_applicable","")</f>
        <v/>
      </c>
      <c r="O33" s="8">
        <f>IF(OR(AND(IF($J33="",INDEX(primary_jama_2024_2302_disposition,MATCH($A33,primary_jama_2024_2302_key,0)),$J33)&lt;&gt;"",IF($J33="",INDEX(primary_jama_2024_2302_disposition,MATCH($A33,primary_jama_2024_2302_key,0)),$J33)&lt;&gt;"retain"),NOT(OR(IF($K33="",INDEX(primary_jama_2024_2302_domain,MATCH($A33,primary_jama_2024_2302_key,0)),$K33)="internal_nonstatistical",IF($K33="",INDEX(primary_jama_2024_2302_domain,MATCH($A33,primary_jama_2024_2302_key,0)),$K33)="plan_material"))),"not_applicable","")</f>
        <v/>
      </c>
      <c r="P33" s="9">
        <f>IF(OR(AND(IF($J33="",INDEX(primary_jama_2024_2302_disposition,MATCH($A33,primary_jama_2024_2302_key,0)),$J33)&lt;&gt;"",IF($J33="",INDEX(primary_jama_2024_2302_disposition,MATCH($A33,primary_jama_2024_2302_key,0)),$J33)&lt;&gt;"retain"),NOT(OR(IF($K33="",INDEX(primary_jama_2024_2302_domain,MATCH($A33,primary_jama_2024_2302_key,0)),$K33)="protocol_report"))),"not_applicable","")</f>
        <v/>
      </c>
      <c r="Q33" s="10" t="inlineStr"/>
      <c r="R33" s="10" t="inlineStr"/>
    </row>
    <row r="34" ht="76" customHeight="1">
      <c r="A34" s="2" t="inlineStr">
        <is>
          <t>2024::jama.2024.2302::C002</t>
        </is>
      </c>
      <c r="B34" s="2" t="inlineStr">
        <is>
          <t>jama.2024.2302</t>
        </is>
      </c>
      <c r="C34" s="2" t="inlineStr">
        <is>
          <t>Planned hospital-day medians</t>
        </is>
      </c>
      <c r="D34" s="8" t="inlineStr"/>
      <c r="E34" s="11" t="inlineStr"/>
      <c r="F34" s="8" t="inlineStr">
        <is>
          <t>no</t>
        </is>
      </c>
      <c r="G34" s="2">
        <f>IF(OR(AND(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L34&lt;&gt;"",L34&lt;&gt;"not_applicable"),AND(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M34&lt;&gt;"",M34&lt;&gt;"not_applicable"),AND(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N34&lt;&gt;"",N34&lt;&gt;"not_applicable"),AND(OR(AND(IF($J34="",INDEX(primary_jama_2024_2302_disposition,MATCH($A34,primary_jama_2024_2302_key,0)),$J34)&lt;&gt;"",IF($J34="",INDEX(primary_jama_2024_2302_disposition,MATCH($A34,primary_jama_2024_2302_key,0)),$J34)&lt;&gt;"retain"),NOT(OR(IF($K34="",INDEX(primary_jama_2024_2302_domain,MATCH($A34,primary_jama_2024_2302_key,0)),$K34)="internal_nonstatistical",IF($K34="",INDEX(primary_jama_2024_2302_domain,MATCH($A34,primary_jama_2024_2302_key,0)),$K34)="plan_material"))),O34&lt;&gt;"",O34&lt;&gt;"not_applicable"),AND(OR(AND(IF($J34="",INDEX(primary_jama_2024_2302_disposition,MATCH($A34,primary_jama_2024_2302_key,0)),$J34)&lt;&gt;"",IF($J34="",INDEX(primary_jama_2024_2302_disposition,MATCH($A34,primary_jama_2024_2302_key,0)),$J34)&lt;&gt;"retain"),NOT(OR(IF($K34="",INDEX(primary_jama_2024_2302_domain,MATCH($A34,primary_jama_2024_2302_key,0)),$K34)="protocol_report"))),P34&lt;&gt;"",P34&lt;&gt;"not_applicable")),"CLEAR INACTIVE VALUES",IF(D34="","PENDING",IF(AND(D34&lt;&gt;"agree",LEN(TRIM(E34))=0),"COMMENT NEEDED",IF(F34="yes","CHECKED - see resolution","DRAFT"))))</f>
        <v/>
      </c>
      <c r="H34" s="8" t="inlineStr">
        <is>
          <t>pending</t>
        </is>
      </c>
      <c r="I34" s="11" t="inlineStr"/>
      <c r="J34" s="8" t="inlineStr"/>
      <c r="K34" s="8" t="inlineStr"/>
      <c r="L34" s="8">
        <f>IF(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not_applicable","")</f>
        <v/>
      </c>
      <c r="M34" s="8">
        <f>IF(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not_applicable","")</f>
        <v/>
      </c>
      <c r="N34" s="9">
        <f>IF(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not_applicable","")</f>
        <v/>
      </c>
      <c r="O34" s="8">
        <f>IF(OR(AND(IF($J34="",INDEX(primary_jama_2024_2302_disposition,MATCH($A34,primary_jama_2024_2302_key,0)),$J34)&lt;&gt;"",IF($J34="",INDEX(primary_jama_2024_2302_disposition,MATCH($A34,primary_jama_2024_2302_key,0)),$J34)&lt;&gt;"retain"),NOT(OR(IF($K34="",INDEX(primary_jama_2024_2302_domain,MATCH($A34,primary_jama_2024_2302_key,0)),$K34)="internal_nonstatistical",IF($K34="",INDEX(primary_jama_2024_2302_domain,MATCH($A34,primary_jama_2024_2302_key,0)),$K34)="plan_material"))),"not_applicable","")</f>
        <v/>
      </c>
      <c r="P34" s="9">
        <f>IF(OR(AND(IF($J34="",INDEX(primary_jama_2024_2302_disposition,MATCH($A34,primary_jama_2024_2302_key,0)),$J34)&lt;&gt;"",IF($J34="",INDEX(primary_jama_2024_2302_disposition,MATCH($A34,primary_jama_2024_2302_key,0)),$J34)&lt;&gt;"retain"),NOT(OR(IF($K34="",INDEX(primary_jama_2024_2302_domain,MATCH($A34,primary_jama_2024_2302_key,0)),$K34)="protocol_report"))),"not_applicable","")</f>
        <v/>
      </c>
      <c r="Q34" s="10" t="inlineStr"/>
      <c r="R34" s="10" t="inlineStr"/>
    </row>
    <row r="35" ht="76" customHeight="1">
      <c r="A35" s="3" t="inlineStr">
        <is>
          <t>2024::jama.2024.2302::C003</t>
        </is>
      </c>
      <c r="B35" s="3" t="inlineStr">
        <is>
          <t>jama.2024.2302</t>
        </is>
      </c>
      <c r="C35" s="3" t="inlineStr">
        <is>
          <t>Bayesian intervention priors</t>
        </is>
      </c>
      <c r="D35" s="8" t="inlineStr"/>
      <c r="E35" s="11" t="inlineStr"/>
      <c r="F35" s="8" t="inlineStr">
        <is>
          <t>no</t>
        </is>
      </c>
      <c r="G35" s="3">
        <f>IF(OR(AND(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L35&lt;&gt;"",L35&lt;&gt;"not_applicable"),AND(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M35&lt;&gt;"",M35&lt;&gt;"not_applicable"),AND(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N35&lt;&gt;"",N35&lt;&gt;"not_applicable"),AND(OR(AND(IF($J35="",INDEX(primary_jama_2024_2302_disposition,MATCH($A35,primary_jama_2024_2302_key,0)),$J35)&lt;&gt;"",IF($J35="",INDEX(primary_jama_2024_2302_disposition,MATCH($A35,primary_jama_2024_2302_key,0)),$J35)&lt;&gt;"retain"),NOT(OR(IF($K35="",INDEX(primary_jama_2024_2302_domain,MATCH($A35,primary_jama_2024_2302_key,0)),$K35)="internal_nonstatistical",IF($K35="",INDEX(primary_jama_2024_2302_domain,MATCH($A35,primary_jama_2024_2302_key,0)),$K35)="plan_material"))),O35&lt;&gt;"",O35&lt;&gt;"not_applicable"),AND(OR(AND(IF($J35="",INDEX(primary_jama_2024_2302_disposition,MATCH($A35,primary_jama_2024_2302_key,0)),$J35)&lt;&gt;"",IF($J35="",INDEX(primary_jama_2024_2302_disposition,MATCH($A35,primary_jama_2024_2302_key,0)),$J35)&lt;&gt;"retain"),NOT(OR(IF($K35="",INDEX(primary_jama_2024_2302_domain,MATCH($A35,primary_jama_2024_2302_key,0)),$K35)="protocol_report"))),P35&lt;&gt;"",P35&lt;&gt;"not_applicable")),"CLEAR INACTIVE VALUES",IF(D35="","PENDING",IF(AND(D35&lt;&gt;"agree",LEN(TRIM(E35))=0),"COMMENT NEEDED",IF(F35="yes","CHECKED - see resolution","DRAFT"))))</f>
        <v/>
      </c>
      <c r="H35" s="8" t="inlineStr">
        <is>
          <t>pending</t>
        </is>
      </c>
      <c r="I35" s="11" t="inlineStr"/>
      <c r="J35" s="8" t="inlineStr"/>
      <c r="K35" s="8" t="inlineStr"/>
      <c r="L35" s="8">
        <f>IF(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not_applicable","")</f>
        <v/>
      </c>
      <c r="M35" s="8">
        <f>IF(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not_applicable","")</f>
        <v/>
      </c>
      <c r="N35" s="9">
        <f>IF(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not_applicable","")</f>
        <v/>
      </c>
      <c r="O35" s="8">
        <f>IF(OR(AND(IF($J35="",INDEX(primary_jama_2024_2302_disposition,MATCH($A35,primary_jama_2024_2302_key,0)),$J35)&lt;&gt;"",IF($J35="",INDEX(primary_jama_2024_2302_disposition,MATCH($A35,primary_jama_2024_2302_key,0)),$J35)&lt;&gt;"retain"),NOT(OR(IF($K35="",INDEX(primary_jama_2024_2302_domain,MATCH($A35,primary_jama_2024_2302_key,0)),$K35)="internal_nonstatistical",IF($K35="",INDEX(primary_jama_2024_2302_domain,MATCH($A35,primary_jama_2024_2302_key,0)),$K35)="plan_material"))),"not_applicable","")</f>
        <v/>
      </c>
      <c r="P35" s="9">
        <f>IF(OR(AND(IF($J35="",INDEX(primary_jama_2024_2302_disposition,MATCH($A35,primary_jama_2024_2302_key,0)),$J35)&lt;&gt;"",IF($J35="",INDEX(primary_jama_2024_2302_disposition,MATCH($A35,primary_jama_2024_2302_key,0)),$J35)&lt;&gt;"retain"),NOT(OR(IF($K35="",INDEX(primary_jama_2024_2302_domain,MATCH($A35,primary_jama_2024_2302_key,0)),$K35)="protocol_report"))),"not_applicable","")</f>
        <v/>
      </c>
      <c r="Q35" s="10" t="inlineStr"/>
      <c r="R35" s="10" t="inlineStr"/>
    </row>
    <row r="36" ht="76" customHeight="1">
      <c r="A36" s="2" t="inlineStr">
        <is>
          <t>2024::jama.2024.2302::C004</t>
        </is>
      </c>
      <c r="B36" s="2" t="inlineStr">
        <is>
          <t>jama.2024.2302</t>
        </is>
      </c>
      <c r="C36" s="2" t="inlineStr">
        <is>
          <t>Gestational-age boundary</t>
        </is>
      </c>
      <c r="D36" s="8" t="inlineStr"/>
      <c r="E36" s="11" t="inlineStr"/>
      <c r="F36" s="8" t="inlineStr">
        <is>
          <t>no</t>
        </is>
      </c>
      <c r="G36" s="2">
        <f>IF(OR(AND(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L36&lt;&gt;"",L36&lt;&gt;"not_applicable"),AND(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M36&lt;&gt;"",M36&lt;&gt;"not_applicable"),AND(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N36&lt;&gt;"",N36&lt;&gt;"not_applicable"),AND(OR(AND(IF($J36="",INDEX(primary_jama_2024_2302_disposition,MATCH($A36,primary_jama_2024_2302_key,0)),$J36)&lt;&gt;"",IF($J36="",INDEX(primary_jama_2024_2302_disposition,MATCH($A36,primary_jama_2024_2302_key,0)),$J36)&lt;&gt;"retain"),NOT(OR(IF($K36="",INDEX(primary_jama_2024_2302_domain,MATCH($A36,primary_jama_2024_2302_key,0)),$K36)="internal_nonstatistical",IF($K36="",INDEX(primary_jama_2024_2302_domain,MATCH($A36,primary_jama_2024_2302_key,0)),$K36)="plan_material"))),O36&lt;&gt;"",O36&lt;&gt;"not_applicable"),AND(OR(AND(IF($J36="",INDEX(primary_jama_2024_2302_disposition,MATCH($A36,primary_jama_2024_2302_key,0)),$J36)&lt;&gt;"",IF($J36="",INDEX(primary_jama_2024_2302_disposition,MATCH($A36,primary_jama_2024_2302_key,0)),$J36)&lt;&gt;"retain"),NOT(OR(IF($K36="",INDEX(primary_jama_2024_2302_domain,MATCH($A36,primary_jama_2024_2302_key,0)),$K36)="protocol_report"))),P36&lt;&gt;"",P36&lt;&gt;"not_applicable")),"CLEAR INACTIVE VALUES",IF(D36="","PENDING",IF(AND(D36&lt;&gt;"agree",LEN(TRIM(E36))=0),"COMMENT NEEDED",IF(F36="yes","CHECKED - see resolution","DRAFT"))))</f>
        <v/>
      </c>
      <c r="H36" s="8" t="inlineStr">
        <is>
          <t>pending</t>
        </is>
      </c>
      <c r="I36" s="11" t="inlineStr"/>
      <c r="J36" s="8" t="inlineStr"/>
      <c r="K36" s="8" t="inlineStr"/>
      <c r="L36" s="8">
        <f>IF(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not_applicable","")</f>
        <v/>
      </c>
      <c r="M36" s="8">
        <f>IF(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not_applicable","")</f>
        <v/>
      </c>
      <c r="N36" s="9">
        <f>IF(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not_applicable","")</f>
        <v/>
      </c>
      <c r="O36" s="8">
        <f>IF(OR(AND(IF($J36="",INDEX(primary_jama_2024_2302_disposition,MATCH($A36,primary_jama_2024_2302_key,0)),$J36)&lt;&gt;"",IF($J36="",INDEX(primary_jama_2024_2302_disposition,MATCH($A36,primary_jama_2024_2302_key,0)),$J36)&lt;&gt;"retain"),NOT(OR(IF($K36="",INDEX(primary_jama_2024_2302_domain,MATCH($A36,primary_jama_2024_2302_key,0)),$K36)="internal_nonstatistical",IF($K36="",INDEX(primary_jama_2024_2302_domain,MATCH($A36,primary_jama_2024_2302_key,0)),$K36)="plan_material"))),"not_applicable","")</f>
        <v/>
      </c>
      <c r="P36" s="9">
        <f>IF(OR(AND(IF($J36="",INDEX(primary_jama_2024_2302_disposition,MATCH($A36,primary_jama_2024_2302_key,0)),$J36)&lt;&gt;"",IF($J36="",INDEX(primary_jama_2024_2302_disposition,MATCH($A36,primary_jama_2024_2302_key,0)),$J36)&lt;&gt;"retain"),NOT(OR(IF($K36="",INDEX(primary_jama_2024_2302_domain,MATCH($A36,primary_jama_2024_2302_key,0)),$K36)="protocol_report"))),"not_applicable","")</f>
        <v/>
      </c>
      <c r="Q36" s="10" t="inlineStr"/>
      <c r="R36" s="10" t="inlineStr"/>
    </row>
    <row r="37" ht="76" customHeight="1">
      <c r="A37" s="3" t="inlineStr">
        <is>
          <t>2024::jama.2024.2302::C005</t>
        </is>
      </c>
      <c r="B37" s="3" t="inlineStr">
        <is>
          <t>jama.2024.2302</t>
        </is>
      </c>
      <c r="C37" s="3" t="inlineStr">
        <is>
          <t>Primary-outcome time origin</t>
        </is>
      </c>
      <c r="D37" s="8" t="inlineStr"/>
      <c r="E37" s="11" t="inlineStr"/>
      <c r="F37" s="8" t="inlineStr">
        <is>
          <t>no</t>
        </is>
      </c>
      <c r="G37" s="3">
        <f>IF(OR(AND(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L37&lt;&gt;"",L37&lt;&gt;"not_applicable"),AND(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M37&lt;&gt;"",M37&lt;&gt;"not_applicable"),AND(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N37&lt;&gt;"",N37&lt;&gt;"not_applicable"),AND(OR(AND(IF($J37="",INDEX(primary_jama_2024_2302_disposition,MATCH($A37,primary_jama_2024_2302_key,0)),$J37)&lt;&gt;"",IF($J37="",INDEX(primary_jama_2024_2302_disposition,MATCH($A37,primary_jama_2024_2302_key,0)),$J37)&lt;&gt;"retain"),NOT(OR(IF($K37="",INDEX(primary_jama_2024_2302_domain,MATCH($A37,primary_jama_2024_2302_key,0)),$K37)="internal_nonstatistical",IF($K37="",INDEX(primary_jama_2024_2302_domain,MATCH($A37,primary_jama_2024_2302_key,0)),$K37)="plan_material"))),O37&lt;&gt;"",O37&lt;&gt;"not_applicable"),AND(OR(AND(IF($J37="",INDEX(primary_jama_2024_2302_disposition,MATCH($A37,primary_jama_2024_2302_key,0)),$J37)&lt;&gt;"",IF($J37="",INDEX(primary_jama_2024_2302_disposition,MATCH($A37,primary_jama_2024_2302_key,0)),$J37)&lt;&gt;"retain"),NOT(OR(IF($K37="",INDEX(primary_jama_2024_2302_domain,MATCH($A37,primary_jama_2024_2302_key,0)),$K37)="protocol_report"))),P37&lt;&gt;"",P37&lt;&gt;"not_applicable")),"CLEAR INACTIVE VALUES",IF(D37="","PENDING",IF(AND(D37&lt;&gt;"agree",LEN(TRIM(E37))=0),"COMMENT NEEDED",IF(F37="yes","CHECKED - see resolution","DRAFT"))))</f>
        <v/>
      </c>
      <c r="H37" s="8" t="inlineStr">
        <is>
          <t>pending</t>
        </is>
      </c>
      <c r="I37" s="11" t="inlineStr"/>
      <c r="J37" s="8" t="inlineStr"/>
      <c r="K37" s="8" t="inlineStr"/>
      <c r="L37" s="8">
        <f>IF(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not_applicable","")</f>
        <v/>
      </c>
      <c r="M37" s="8">
        <f>IF(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not_applicable","")</f>
        <v/>
      </c>
      <c r="N37" s="9">
        <f>IF(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not_applicable","")</f>
        <v/>
      </c>
      <c r="O37" s="8">
        <f>IF(OR(AND(IF($J37="",INDEX(primary_jama_2024_2302_disposition,MATCH($A37,primary_jama_2024_2302_key,0)),$J37)&lt;&gt;"",IF($J37="",INDEX(primary_jama_2024_2302_disposition,MATCH($A37,primary_jama_2024_2302_key,0)),$J37)&lt;&gt;"retain"),NOT(OR(IF($K37="",INDEX(primary_jama_2024_2302_domain,MATCH($A37,primary_jama_2024_2302_key,0)),$K37)="internal_nonstatistical",IF($K37="",INDEX(primary_jama_2024_2302_domain,MATCH($A37,primary_jama_2024_2302_key,0)),$K37)="plan_material"))),"not_applicable","")</f>
        <v/>
      </c>
      <c r="P37" s="9">
        <f>IF(OR(AND(IF($J37="",INDEX(primary_jama_2024_2302_disposition,MATCH($A37,primary_jama_2024_2302_key,0)),$J37)&lt;&gt;"",IF($J37="",INDEX(primary_jama_2024_2302_disposition,MATCH($A37,primary_jama_2024_2302_key,0)),$J37)&lt;&gt;"retain"),NOT(OR(IF($K37="",INDEX(primary_jama_2024_2302_domain,MATCH($A37,primary_jama_2024_2302_key,0)),$K37)="protocol_report"))),"not_applicable","")</f>
        <v/>
      </c>
      <c r="Q37" s="10" t="inlineStr"/>
      <c r="R37" s="10" t="inlineStr"/>
    </row>
    <row r="38" ht="76" customHeight="1">
      <c r="A38" s="2" t="inlineStr">
        <is>
          <t>2024::jama.2024.23898::C001</t>
        </is>
      </c>
      <c r="B38" s="2" t="inlineStr">
        <is>
          <t>jama.2024.23898</t>
        </is>
      </c>
      <c r="C38" s="2" t="inlineStr">
        <is>
          <t>Primary-outcome 72-hour clock origin is not stated consistently</t>
        </is>
      </c>
      <c r="D38" s="8" t="inlineStr"/>
      <c r="E38" s="11" t="inlineStr"/>
      <c r="F38" s="8" t="inlineStr">
        <is>
          <t>no</t>
        </is>
      </c>
      <c r="G38" s="2">
        <f>IF(OR(AND(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L38&lt;&gt;"",L38&lt;&gt;"not_applicable"),AND(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M38&lt;&gt;"",M38&lt;&gt;"not_applicable"),AND(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N38&lt;&gt;"",N38&lt;&gt;"not_applicable"),AND(OR(AND(IF($J38="",INDEX(primary_jama_2024_23898_disposition,MATCH($A38,primary_jama_2024_23898_key,0)),$J38)&lt;&gt;"",IF($J38="",INDEX(primary_jama_2024_23898_disposition,MATCH($A38,primary_jama_2024_23898_key,0)),$J38)&lt;&gt;"retain"),NOT(OR(IF($K38="",INDEX(primary_jama_2024_23898_domain,MATCH($A38,primary_jama_2024_23898_key,0)),$K38)="internal_nonstatistical",IF($K38="",INDEX(primary_jama_2024_23898_domain,MATCH($A38,primary_jama_2024_23898_key,0)),$K38)="plan_material"))),O38&lt;&gt;"",O38&lt;&gt;"not_applicable"),AND(OR(AND(IF($J38="",INDEX(primary_jama_2024_23898_disposition,MATCH($A38,primary_jama_2024_23898_key,0)),$J38)&lt;&gt;"",IF($J38="",INDEX(primary_jama_2024_23898_disposition,MATCH($A38,primary_jama_2024_23898_key,0)),$J38)&lt;&gt;"retain"),NOT(OR(IF($K38="",INDEX(primary_jama_2024_23898_domain,MATCH($A38,primary_jama_2024_23898_key,0)),$K38)="protocol_report"))),P38&lt;&gt;"",P38&lt;&gt;"not_applicable")),"CLEAR INACTIVE VALUES",IF(D38="","PENDING",IF(AND(D38&lt;&gt;"agree",LEN(TRIM(E38))=0),"COMMENT NEEDED",IF(F38="yes","CHECKED - see resolution","DRAFT"))))</f>
        <v/>
      </c>
      <c r="H38" s="8" t="inlineStr">
        <is>
          <t>pending</t>
        </is>
      </c>
      <c r="I38" s="11" t="inlineStr"/>
      <c r="J38" s="8" t="inlineStr"/>
      <c r="K38" s="8" t="inlineStr"/>
      <c r="L38" s="8">
        <f>IF(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not_applicable","")</f>
        <v/>
      </c>
      <c r="M38" s="8">
        <f>IF(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not_applicable","")</f>
        <v/>
      </c>
      <c r="N38" s="9">
        <f>IF(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not_applicable","")</f>
        <v/>
      </c>
      <c r="O38" s="8">
        <f>IF(OR(AND(IF($J38="",INDEX(primary_jama_2024_23898_disposition,MATCH($A38,primary_jama_2024_23898_key,0)),$J38)&lt;&gt;"",IF($J38="",INDEX(primary_jama_2024_23898_disposition,MATCH($A38,primary_jama_2024_23898_key,0)),$J38)&lt;&gt;"retain"),NOT(OR(IF($K38="",INDEX(primary_jama_2024_23898_domain,MATCH($A38,primary_jama_2024_23898_key,0)),$K38)="internal_nonstatistical",IF($K38="",INDEX(primary_jama_2024_23898_domain,MATCH($A38,primary_jama_2024_23898_key,0)),$K38)="plan_material"))),"not_applicable","")</f>
        <v/>
      </c>
      <c r="P38" s="9">
        <f>IF(OR(AND(IF($J38="",INDEX(primary_jama_2024_23898_disposition,MATCH($A38,primary_jama_2024_23898_key,0)),$J38)&lt;&gt;"",IF($J38="",INDEX(primary_jama_2024_23898_disposition,MATCH($A38,primary_jama_2024_23898_key,0)),$J38)&lt;&gt;"retain"),NOT(OR(IF($K38="",INDEX(primary_jama_2024_23898_domain,MATCH($A38,primary_jama_2024_23898_key,0)),$K38)="protocol_report"))),"not_applicable","")</f>
        <v/>
      </c>
      <c r="Q38" s="10" t="inlineStr"/>
      <c r="R38" s="10" t="inlineStr"/>
    </row>
    <row r="39" ht="76" customHeight="1">
      <c r="A39" s="3" t="inlineStr">
        <is>
          <t>2024::jama.2024.23898::C002</t>
        </is>
      </c>
      <c r="B39" s="3" t="inlineStr">
        <is>
          <t>jama.2024.23898</t>
        </is>
      </c>
      <c r="C39" s="3" t="inlineStr">
        <is>
          <t>Postoperative opioid-consumption window is 24 hours versus 72 hours</t>
        </is>
      </c>
      <c r="D39" s="8" t="inlineStr"/>
      <c r="E39" s="11" t="inlineStr"/>
      <c r="F39" s="8" t="inlineStr">
        <is>
          <t>no</t>
        </is>
      </c>
      <c r="G39" s="3">
        <f>IF(OR(AND(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L39&lt;&gt;"",L39&lt;&gt;"not_applicable"),AND(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M39&lt;&gt;"",M39&lt;&gt;"not_applicable"),AND(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N39&lt;&gt;"",N39&lt;&gt;"not_applicable"),AND(OR(AND(IF($J39="",INDEX(primary_jama_2024_23898_disposition,MATCH($A39,primary_jama_2024_23898_key,0)),$J39)&lt;&gt;"",IF($J39="",INDEX(primary_jama_2024_23898_disposition,MATCH($A39,primary_jama_2024_23898_key,0)),$J39)&lt;&gt;"retain"),NOT(OR(IF($K39="",INDEX(primary_jama_2024_23898_domain,MATCH($A39,primary_jama_2024_23898_key,0)),$K39)="internal_nonstatistical",IF($K39="",INDEX(primary_jama_2024_23898_domain,MATCH($A39,primary_jama_2024_23898_key,0)),$K39)="plan_material"))),O39&lt;&gt;"",O39&lt;&gt;"not_applicable"),AND(OR(AND(IF($J39="",INDEX(primary_jama_2024_23898_disposition,MATCH($A39,primary_jama_2024_23898_key,0)),$J39)&lt;&gt;"",IF($J39="",INDEX(primary_jama_2024_23898_disposition,MATCH($A39,primary_jama_2024_23898_key,0)),$J39)&lt;&gt;"retain"),NOT(OR(IF($K39="",INDEX(primary_jama_2024_23898_domain,MATCH($A39,primary_jama_2024_23898_key,0)),$K39)="protocol_report"))),P39&lt;&gt;"",P39&lt;&gt;"not_applicable")),"CLEAR INACTIVE VALUES",IF(D39="","PENDING",IF(AND(D39&lt;&gt;"agree",LEN(TRIM(E39))=0),"COMMENT NEEDED",IF(F39="yes","CHECKED - see resolution","DRAFT"))))</f>
        <v/>
      </c>
      <c r="H39" s="8" t="inlineStr">
        <is>
          <t>pending</t>
        </is>
      </c>
      <c r="I39" s="11" t="inlineStr"/>
      <c r="J39" s="8" t="inlineStr"/>
      <c r="K39" s="8" t="inlineStr"/>
      <c r="L39" s="8">
        <f>IF(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not_applicable","")</f>
        <v/>
      </c>
      <c r="M39" s="8">
        <f>IF(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not_applicable","")</f>
        <v/>
      </c>
      <c r="N39" s="9">
        <f>IF(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not_applicable","")</f>
        <v/>
      </c>
      <c r="O39" s="8">
        <f>IF(OR(AND(IF($J39="",INDEX(primary_jama_2024_23898_disposition,MATCH($A39,primary_jama_2024_23898_key,0)),$J39)&lt;&gt;"",IF($J39="",INDEX(primary_jama_2024_23898_disposition,MATCH($A39,primary_jama_2024_23898_key,0)),$J39)&lt;&gt;"retain"),NOT(OR(IF($K39="",INDEX(primary_jama_2024_23898_domain,MATCH($A39,primary_jama_2024_23898_key,0)),$K39)="internal_nonstatistical",IF($K39="",INDEX(primary_jama_2024_23898_domain,MATCH($A39,primary_jama_2024_23898_key,0)),$K39)="plan_material"))),"not_applicable","")</f>
        <v/>
      </c>
      <c r="P39" s="9">
        <f>IF(OR(AND(IF($J39="",INDEX(primary_jama_2024_23898_disposition,MATCH($A39,primary_jama_2024_23898_key,0)),$J39)&lt;&gt;"",IF($J39="",INDEX(primary_jama_2024_23898_disposition,MATCH($A39,primary_jama_2024_23898_key,0)),$J39)&lt;&gt;"retain"),NOT(OR(IF($K39="",INDEX(primary_jama_2024_23898_domain,MATCH($A39,primary_jama_2024_23898_key,0)),$K39)="protocol_report"))),"not_applicable","")</f>
        <v/>
      </c>
      <c r="Q39" s="10" t="inlineStr"/>
      <c r="R39" s="10" t="inlineStr"/>
    </row>
    <row r="40" ht="76" customHeight="1">
      <c r="A40" s="2" t="inlineStr">
        <is>
          <t>2024::jama.2024.23898::C003</t>
        </is>
      </c>
      <c r="B40" s="2" t="inlineStr">
        <is>
          <t>jama.2024.23898</t>
        </is>
      </c>
      <c r="C40" s="2" t="inlineStr">
        <is>
          <t>Unplanned-readmission window is 90 days versus 30 days</t>
        </is>
      </c>
      <c r="D40" s="8" t="inlineStr"/>
      <c r="E40" s="11" t="inlineStr"/>
      <c r="F40" s="8" t="inlineStr">
        <is>
          <t>no</t>
        </is>
      </c>
      <c r="G40" s="2">
        <f>IF(OR(AND(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L40&lt;&gt;"",L40&lt;&gt;"not_applicable"),AND(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M40&lt;&gt;"",M40&lt;&gt;"not_applicable"),AND(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N40&lt;&gt;"",N40&lt;&gt;"not_applicable"),AND(OR(AND(IF($J40="",INDEX(primary_jama_2024_23898_disposition,MATCH($A40,primary_jama_2024_23898_key,0)),$J40)&lt;&gt;"",IF($J40="",INDEX(primary_jama_2024_23898_disposition,MATCH($A40,primary_jama_2024_23898_key,0)),$J40)&lt;&gt;"retain"),NOT(OR(IF($K40="",INDEX(primary_jama_2024_23898_domain,MATCH($A40,primary_jama_2024_23898_key,0)),$K40)="internal_nonstatistical",IF($K40="",INDEX(primary_jama_2024_23898_domain,MATCH($A40,primary_jama_2024_23898_key,0)),$K40)="plan_material"))),O40&lt;&gt;"",O40&lt;&gt;"not_applicable"),AND(OR(AND(IF($J40="",INDEX(primary_jama_2024_23898_disposition,MATCH($A40,primary_jama_2024_23898_key,0)),$J40)&lt;&gt;"",IF($J40="",INDEX(primary_jama_2024_23898_disposition,MATCH($A40,primary_jama_2024_23898_key,0)),$J40)&lt;&gt;"retain"),NOT(OR(IF($K40="",INDEX(primary_jama_2024_23898_domain,MATCH($A40,primary_jama_2024_23898_key,0)),$K40)="protocol_report"))),P40&lt;&gt;"",P40&lt;&gt;"not_applicable")),"CLEAR INACTIVE VALUES",IF(D40="","PENDING",IF(AND(D40&lt;&gt;"agree",LEN(TRIM(E40))=0),"COMMENT NEEDED",IF(F40="yes","CHECKED - see resolution","DRAFT"))))</f>
        <v/>
      </c>
      <c r="H40" s="8" t="inlineStr">
        <is>
          <t>pending</t>
        </is>
      </c>
      <c r="I40" s="11" t="inlineStr"/>
      <c r="J40" s="8" t="inlineStr"/>
      <c r="K40" s="8" t="inlineStr"/>
      <c r="L40" s="8">
        <f>IF(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not_applicable","")</f>
        <v/>
      </c>
      <c r="M40" s="8">
        <f>IF(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not_applicable","")</f>
        <v/>
      </c>
      <c r="N40" s="9">
        <f>IF(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not_applicable","")</f>
        <v/>
      </c>
      <c r="O40" s="8">
        <f>IF(OR(AND(IF($J40="",INDEX(primary_jama_2024_23898_disposition,MATCH($A40,primary_jama_2024_23898_key,0)),$J40)&lt;&gt;"",IF($J40="",INDEX(primary_jama_2024_23898_disposition,MATCH($A40,primary_jama_2024_23898_key,0)),$J40)&lt;&gt;"retain"),NOT(OR(IF($K40="",INDEX(primary_jama_2024_23898_domain,MATCH($A40,primary_jama_2024_23898_key,0)),$K40)="internal_nonstatistical",IF($K40="",INDEX(primary_jama_2024_23898_domain,MATCH($A40,primary_jama_2024_23898_key,0)),$K40)="plan_material"))),"not_applicable","")</f>
        <v/>
      </c>
      <c r="P40" s="9">
        <f>IF(OR(AND(IF($J40="",INDEX(primary_jama_2024_23898_disposition,MATCH($A40,primary_jama_2024_23898_key,0)),$J40)&lt;&gt;"",IF($J40="",INDEX(primary_jama_2024_23898_disposition,MATCH($A40,primary_jama_2024_23898_key,0)),$J40)&lt;&gt;"retain"),NOT(OR(IF($K40="",INDEX(primary_jama_2024_23898_domain,MATCH($A40,primary_jama_2024_23898_key,0)),$K40)="protocol_report"))),"not_applicable","")</f>
        <v/>
      </c>
      <c r="Q40" s="10" t="inlineStr"/>
      <c r="R40" s="10" t="inlineStr"/>
    </row>
    <row r="41" ht="76" customHeight="1">
      <c r="A41" s="3" t="inlineStr">
        <is>
          <t>2024::jama.2024.23898::C004</t>
        </is>
      </c>
      <c r="B41" s="3" t="inlineStr">
        <is>
          <t>jama.2024.23898</t>
        </is>
      </c>
      <c r="C41" s="3" t="inlineStr">
        <is>
          <t>ERAS subgroup cut points differ from the protocol bands</t>
        </is>
      </c>
      <c r="D41" s="8" t="inlineStr"/>
      <c r="E41" s="11" t="inlineStr"/>
      <c r="F41" s="8" t="inlineStr">
        <is>
          <t>no</t>
        </is>
      </c>
      <c r="G41" s="3">
        <f>IF(OR(AND(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L41&lt;&gt;"",L41&lt;&gt;"not_applicable"),AND(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M41&lt;&gt;"",M41&lt;&gt;"not_applicable"),AND(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N41&lt;&gt;"",N41&lt;&gt;"not_applicable"),AND(OR(AND(IF($J41="",INDEX(primary_jama_2024_23898_disposition,MATCH($A41,primary_jama_2024_23898_key,0)),$J41)&lt;&gt;"",IF($J41="",INDEX(primary_jama_2024_23898_disposition,MATCH($A41,primary_jama_2024_23898_key,0)),$J41)&lt;&gt;"retain"),NOT(OR(IF($K41="",INDEX(primary_jama_2024_23898_domain,MATCH($A41,primary_jama_2024_23898_key,0)),$K41)="internal_nonstatistical",IF($K41="",INDEX(primary_jama_2024_23898_domain,MATCH($A41,primary_jama_2024_23898_key,0)),$K41)="plan_material"))),O41&lt;&gt;"",O41&lt;&gt;"not_applicable"),AND(OR(AND(IF($J41="",INDEX(primary_jama_2024_23898_disposition,MATCH($A41,primary_jama_2024_23898_key,0)),$J41)&lt;&gt;"",IF($J41="",INDEX(primary_jama_2024_23898_disposition,MATCH($A41,primary_jama_2024_23898_key,0)),$J41)&lt;&gt;"retain"),NOT(OR(IF($K41="",INDEX(primary_jama_2024_23898_domain,MATCH($A41,primary_jama_2024_23898_key,0)),$K41)="protocol_report"))),P41&lt;&gt;"",P41&lt;&gt;"not_applicable")),"CLEAR INACTIVE VALUES",IF(D41="","PENDING",IF(AND(D41&lt;&gt;"agree",LEN(TRIM(E41))=0),"COMMENT NEEDED",IF(F41="yes","CHECKED - see resolution","DRAFT"))))</f>
        <v/>
      </c>
      <c r="H41" s="8" t="inlineStr">
        <is>
          <t>pending</t>
        </is>
      </c>
      <c r="I41" s="11" t="inlineStr"/>
      <c r="J41" s="8" t="inlineStr"/>
      <c r="K41" s="8" t="inlineStr"/>
      <c r="L41" s="8">
        <f>IF(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not_applicable","")</f>
        <v/>
      </c>
      <c r="M41" s="8">
        <f>IF(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not_applicable","")</f>
        <v/>
      </c>
      <c r="N41" s="9">
        <f>IF(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not_applicable","")</f>
        <v/>
      </c>
      <c r="O41" s="8">
        <f>IF(OR(AND(IF($J41="",INDEX(primary_jama_2024_23898_disposition,MATCH($A41,primary_jama_2024_23898_key,0)),$J41)&lt;&gt;"",IF($J41="",INDEX(primary_jama_2024_23898_disposition,MATCH($A41,primary_jama_2024_23898_key,0)),$J41)&lt;&gt;"retain"),NOT(OR(IF($K41="",INDEX(primary_jama_2024_23898_domain,MATCH($A41,primary_jama_2024_23898_key,0)),$K41)="internal_nonstatistical",IF($K41="",INDEX(primary_jama_2024_23898_domain,MATCH($A41,primary_jama_2024_23898_key,0)),$K41)="plan_material"))),"not_applicable","")</f>
        <v/>
      </c>
      <c r="P41" s="9">
        <f>IF(OR(AND(IF($J41="",INDEX(primary_jama_2024_23898_disposition,MATCH($A41,primary_jama_2024_23898_key,0)),$J41)&lt;&gt;"",IF($J41="",INDEX(primary_jama_2024_23898_disposition,MATCH($A41,primary_jama_2024_23898_key,0)),$J41)&lt;&gt;"retain"),NOT(OR(IF($K41="",INDEX(primary_jama_2024_23898_domain,MATCH($A41,primary_jama_2024_23898_key,0)),$K41)="protocol_report"))),"not_applicable","")</f>
        <v/>
      </c>
      <c r="Q41" s="10" t="inlineStr"/>
      <c r="R41" s="10" t="inlineStr"/>
    </row>
    <row r="42" ht="76" customHeight="1">
      <c r="A42" s="2" t="inlineStr">
        <is>
          <t>2024::jama.2024.23898::C005</t>
        </is>
      </c>
      <c r="B42" s="2" t="inlineStr">
        <is>
          <t>jama.2024.23898</t>
        </is>
      </c>
      <c r="C42" s="2" t="inlineStr">
        <is>
          <t>The eFigure assigns both 99% and 95% labels to the same intervals</t>
        </is>
      </c>
      <c r="D42" s="8" t="inlineStr"/>
      <c r="E42" s="11" t="inlineStr"/>
      <c r="F42" s="8" t="inlineStr">
        <is>
          <t>no</t>
        </is>
      </c>
      <c r="G42" s="2">
        <f>IF(OR(AND(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L42&lt;&gt;"",L42&lt;&gt;"not_applicable"),AND(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M42&lt;&gt;"",M42&lt;&gt;"not_applicable"),AND(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N42&lt;&gt;"",N42&lt;&gt;"not_applicable"),AND(OR(AND(IF($J42="",INDEX(primary_jama_2024_23898_disposition,MATCH($A42,primary_jama_2024_23898_key,0)),$J42)&lt;&gt;"",IF($J42="",INDEX(primary_jama_2024_23898_disposition,MATCH($A42,primary_jama_2024_23898_key,0)),$J42)&lt;&gt;"retain"),NOT(OR(IF($K42="",INDEX(primary_jama_2024_23898_domain,MATCH($A42,primary_jama_2024_23898_key,0)),$K42)="internal_nonstatistical",IF($K42="",INDEX(primary_jama_2024_23898_domain,MATCH($A42,primary_jama_2024_23898_key,0)),$K42)="plan_material"))),O42&lt;&gt;"",O42&lt;&gt;"not_applicable"),AND(OR(AND(IF($J42="",INDEX(primary_jama_2024_23898_disposition,MATCH($A42,primary_jama_2024_23898_key,0)),$J42)&lt;&gt;"",IF($J42="",INDEX(primary_jama_2024_23898_disposition,MATCH($A42,primary_jama_2024_23898_key,0)),$J42)&lt;&gt;"retain"),NOT(OR(IF($K42="",INDEX(primary_jama_2024_23898_domain,MATCH($A42,primary_jama_2024_23898_key,0)),$K42)="protocol_report"))),P42&lt;&gt;"",P42&lt;&gt;"not_applicable")),"CLEAR INACTIVE VALUES",IF(D42="","PENDING",IF(AND(D42&lt;&gt;"agree",LEN(TRIM(E42))=0),"COMMENT NEEDED",IF(F42="yes","CHECKED - see resolution","DRAFT"))))</f>
        <v/>
      </c>
      <c r="H42" s="8" t="inlineStr">
        <is>
          <t>pending</t>
        </is>
      </c>
      <c r="I42" s="11" t="inlineStr"/>
      <c r="J42" s="8" t="inlineStr"/>
      <c r="K42" s="8" t="inlineStr"/>
      <c r="L42" s="8">
        <f>IF(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not_applicable","")</f>
        <v/>
      </c>
      <c r="M42" s="8">
        <f>IF(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not_applicable","")</f>
        <v/>
      </c>
      <c r="N42" s="9">
        <f>IF(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not_applicable","")</f>
        <v/>
      </c>
      <c r="O42" s="8">
        <f>IF(OR(AND(IF($J42="",INDEX(primary_jama_2024_23898_disposition,MATCH($A42,primary_jama_2024_23898_key,0)),$J42)&lt;&gt;"",IF($J42="",INDEX(primary_jama_2024_23898_disposition,MATCH($A42,primary_jama_2024_23898_key,0)),$J42)&lt;&gt;"retain"),NOT(OR(IF($K42="",INDEX(primary_jama_2024_23898_domain,MATCH($A42,primary_jama_2024_23898_key,0)),$K42)="internal_nonstatistical",IF($K42="",INDEX(primary_jama_2024_23898_domain,MATCH($A42,primary_jama_2024_23898_key,0)),$K42)="plan_material"))),"not_applicable","")</f>
        <v/>
      </c>
      <c r="P42" s="9">
        <f>IF(OR(AND(IF($J42="",INDEX(primary_jama_2024_23898_disposition,MATCH($A42,primary_jama_2024_23898_key,0)),$J42)&lt;&gt;"",IF($J42="",INDEX(primary_jama_2024_23898_disposition,MATCH($A42,primary_jama_2024_23898_key,0)),$J42)&lt;&gt;"retain"),NOT(OR(IF($K42="",INDEX(primary_jama_2024_23898_domain,MATCH($A42,primary_jama_2024_23898_key,0)),$K42)="protocol_report"))),"not_applicable","")</f>
        <v/>
      </c>
      <c r="Q42" s="10" t="inlineStr"/>
      <c r="R42" s="10" t="inlineStr"/>
    </row>
    <row r="43" ht="76" customHeight="1">
      <c r="A43" s="3" t="inlineStr">
        <is>
          <t>2024::jama.2024.23898::C006</t>
        </is>
      </c>
      <c r="B43" s="3" t="inlineStr">
        <is>
          <t>jama.2024.23898</t>
        </is>
      </c>
      <c r="C43" s="3" t="inlineStr">
        <is>
          <t>Day-5 EQ-5D inference conflicts with blanket no-difference prose</t>
        </is>
      </c>
      <c r="D43" s="8" t="inlineStr"/>
      <c r="E43" s="11" t="inlineStr"/>
      <c r="F43" s="8" t="inlineStr">
        <is>
          <t>no</t>
        </is>
      </c>
      <c r="G43" s="3">
        <f>IF(OR(AND(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L43&lt;&gt;"",L43&lt;&gt;"not_applicable"),AND(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M43&lt;&gt;"",M43&lt;&gt;"not_applicable"),AND(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N43&lt;&gt;"",N43&lt;&gt;"not_applicable"),AND(OR(AND(IF($J43="",INDEX(primary_jama_2024_23898_disposition,MATCH($A43,primary_jama_2024_23898_key,0)),$J43)&lt;&gt;"",IF($J43="",INDEX(primary_jama_2024_23898_disposition,MATCH($A43,primary_jama_2024_23898_key,0)),$J43)&lt;&gt;"retain"),NOT(OR(IF($K43="",INDEX(primary_jama_2024_23898_domain,MATCH($A43,primary_jama_2024_23898_key,0)),$K43)="internal_nonstatistical",IF($K43="",INDEX(primary_jama_2024_23898_domain,MATCH($A43,primary_jama_2024_23898_key,0)),$K43)="plan_material"))),O43&lt;&gt;"",O43&lt;&gt;"not_applicable"),AND(OR(AND(IF($J43="",INDEX(primary_jama_2024_23898_disposition,MATCH($A43,primary_jama_2024_23898_key,0)),$J43)&lt;&gt;"",IF($J43="",INDEX(primary_jama_2024_23898_disposition,MATCH($A43,primary_jama_2024_23898_key,0)),$J43)&lt;&gt;"retain"),NOT(OR(IF($K43="",INDEX(primary_jama_2024_23898_domain,MATCH($A43,primary_jama_2024_23898_key,0)),$K43)="protocol_report"))),P43&lt;&gt;"",P43&lt;&gt;"not_applicable")),"CLEAR INACTIVE VALUES",IF(D43="","PENDING",IF(AND(D43&lt;&gt;"agree",LEN(TRIM(E43))=0),"COMMENT NEEDED",IF(F43="yes","CHECKED - see resolution","DRAFT"))))</f>
        <v/>
      </c>
      <c r="H43" s="8" t="inlineStr">
        <is>
          <t>pending</t>
        </is>
      </c>
      <c r="I43" s="11" t="inlineStr"/>
      <c r="J43" s="8" t="inlineStr"/>
      <c r="K43" s="8" t="inlineStr"/>
      <c r="L43" s="8">
        <f>IF(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not_applicable","")</f>
        <v/>
      </c>
      <c r="M43" s="8">
        <f>IF(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not_applicable","")</f>
        <v/>
      </c>
      <c r="N43" s="9">
        <f>IF(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not_applicable","")</f>
        <v/>
      </c>
      <c r="O43" s="8">
        <f>IF(OR(AND(IF($J43="",INDEX(primary_jama_2024_23898_disposition,MATCH($A43,primary_jama_2024_23898_key,0)),$J43)&lt;&gt;"",IF($J43="",INDEX(primary_jama_2024_23898_disposition,MATCH($A43,primary_jama_2024_23898_key,0)),$J43)&lt;&gt;"retain"),NOT(OR(IF($K43="",INDEX(primary_jama_2024_23898_domain,MATCH($A43,primary_jama_2024_23898_key,0)),$K43)="internal_nonstatistical",IF($K43="",INDEX(primary_jama_2024_23898_domain,MATCH($A43,primary_jama_2024_23898_key,0)),$K43)="plan_material"))),"not_applicable","")</f>
        <v/>
      </c>
      <c r="P43" s="9">
        <f>IF(OR(AND(IF($J43="",INDEX(primary_jama_2024_23898_disposition,MATCH($A43,primary_jama_2024_23898_key,0)),$J43)&lt;&gt;"",IF($J43="",INDEX(primary_jama_2024_23898_disposition,MATCH($A43,primary_jama_2024_23898_key,0)),$J43)&lt;&gt;"retain"),NOT(OR(IF($K43="",INDEX(primary_jama_2024_23898_domain,MATCH($A43,primary_jama_2024_23898_key,0)),$K43)="protocol_report"))),"not_applicable","")</f>
        <v/>
      </c>
      <c r="Q43" s="10" t="inlineStr"/>
      <c r="R43" s="10" t="inlineStr"/>
    </row>
    <row r="44" ht="76" customHeight="1">
      <c r="A44" s="2" t="inlineStr">
        <is>
          <t>2024::jama.2024.23898::C007</t>
        </is>
      </c>
      <c r="B44" s="2" t="inlineStr">
        <is>
          <t>jama.2024.23898</t>
        </is>
      </c>
      <c r="C44" s="2" t="inlineStr">
        <is>
          <t>ERAS subgroup is labeled as two levels versus three levels</t>
        </is>
      </c>
      <c r="D44" s="8" t="inlineStr"/>
      <c r="E44" s="11" t="inlineStr"/>
      <c r="F44" s="8" t="inlineStr">
        <is>
          <t>no</t>
        </is>
      </c>
      <c r="G44" s="2">
        <f>IF(OR(AND(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L44&lt;&gt;"",L44&lt;&gt;"not_applicable"),AND(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M44&lt;&gt;"",M44&lt;&gt;"not_applicable"),AND(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N44&lt;&gt;"",N44&lt;&gt;"not_applicable"),AND(OR(AND(IF($J44="",INDEX(primary_jama_2024_23898_disposition,MATCH($A44,primary_jama_2024_23898_key,0)),$J44)&lt;&gt;"",IF($J44="",INDEX(primary_jama_2024_23898_disposition,MATCH($A44,primary_jama_2024_23898_key,0)),$J44)&lt;&gt;"retain"),NOT(OR(IF($K44="",INDEX(primary_jama_2024_23898_domain,MATCH($A44,primary_jama_2024_23898_key,0)),$K44)="internal_nonstatistical",IF($K44="",INDEX(primary_jama_2024_23898_domain,MATCH($A44,primary_jama_2024_23898_key,0)),$K44)="plan_material"))),O44&lt;&gt;"",O44&lt;&gt;"not_applicable"),AND(OR(AND(IF($J44="",INDEX(primary_jama_2024_23898_disposition,MATCH($A44,primary_jama_2024_23898_key,0)),$J44)&lt;&gt;"",IF($J44="",INDEX(primary_jama_2024_23898_disposition,MATCH($A44,primary_jama_2024_23898_key,0)),$J44)&lt;&gt;"retain"),NOT(OR(IF($K44="",INDEX(primary_jama_2024_23898_domain,MATCH($A44,primary_jama_2024_23898_key,0)),$K44)="protocol_report"))),P44&lt;&gt;"",P44&lt;&gt;"not_applicable")),"CLEAR INACTIVE VALUES",IF(D44="","PENDING",IF(AND(D44&lt;&gt;"agree",LEN(TRIM(E44))=0),"COMMENT NEEDED",IF(F44="yes","CHECKED - see resolution","DRAFT"))))</f>
        <v/>
      </c>
      <c r="H44" s="8" t="inlineStr">
        <is>
          <t>pending</t>
        </is>
      </c>
      <c r="I44" s="11" t="inlineStr"/>
      <c r="J44" s="8" t="inlineStr"/>
      <c r="K44" s="8" t="inlineStr"/>
      <c r="L44" s="8">
        <f>IF(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not_applicable","")</f>
        <v/>
      </c>
      <c r="M44" s="8">
        <f>IF(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not_applicable","")</f>
        <v/>
      </c>
      <c r="N44" s="9">
        <f>IF(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not_applicable","")</f>
        <v/>
      </c>
      <c r="O44" s="8">
        <f>IF(OR(AND(IF($J44="",INDEX(primary_jama_2024_23898_disposition,MATCH($A44,primary_jama_2024_23898_key,0)),$J44)&lt;&gt;"",IF($J44="",INDEX(primary_jama_2024_23898_disposition,MATCH($A44,primary_jama_2024_23898_key,0)),$J44)&lt;&gt;"retain"),NOT(OR(IF($K44="",INDEX(primary_jama_2024_23898_domain,MATCH($A44,primary_jama_2024_23898_key,0)),$K44)="internal_nonstatistical",IF($K44="",INDEX(primary_jama_2024_23898_domain,MATCH($A44,primary_jama_2024_23898_key,0)),$K44)="plan_material"))),"not_applicable","")</f>
        <v/>
      </c>
      <c r="P44" s="9">
        <f>IF(OR(AND(IF($J44="",INDEX(primary_jama_2024_23898_disposition,MATCH($A44,primary_jama_2024_23898_key,0)),$J44)&lt;&gt;"",IF($J44="",INDEX(primary_jama_2024_23898_disposition,MATCH($A44,primary_jama_2024_23898_key,0)),$J44)&lt;&gt;"retain"),NOT(OR(IF($K44="",INDEX(primary_jama_2024_23898_domain,MATCH($A44,primary_jama_2024_23898_key,0)),$K44)="protocol_report"))),"not_applicable","")</f>
        <v/>
      </c>
      <c r="Q44" s="10" t="inlineStr"/>
      <c r="R44" s="10" t="inlineStr"/>
    </row>
    <row r="45" ht="76" customHeight="1">
      <c r="A45" s="3" t="inlineStr">
        <is>
          <t>2024::jama.2024.25786::C001</t>
        </is>
      </c>
      <c r="B45" s="3" t="inlineStr">
        <is>
          <t>jama.2024.25786</t>
        </is>
      </c>
      <c r="C45" s="3" t="inlineStr">
        <is>
          <t>Liberal walk-in transport percentage does not reconcile with 4/743</t>
        </is>
      </c>
      <c r="D45" s="8" t="inlineStr"/>
      <c r="E45" s="11" t="inlineStr"/>
      <c r="F45" s="8" t="inlineStr">
        <is>
          <t>no</t>
        </is>
      </c>
      <c r="G45" s="3">
        <f>IF(OR(AND(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L45&lt;&gt;"",L45&lt;&gt;"not_applicable"),AND(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M45&lt;&gt;"",M45&lt;&gt;"not_applicable"),AND(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N45&lt;&gt;"",N45&lt;&gt;"not_applicable"),AND(OR(AND(IF($J45="",INDEX(primary_jama_2024_25786_disposition,MATCH($A45,primary_jama_2024_25786_key,0)),$J45)&lt;&gt;"",IF($J45="",INDEX(primary_jama_2024_25786_disposition,MATCH($A45,primary_jama_2024_25786_key,0)),$J45)&lt;&gt;"retain"),NOT(OR(IF($K45="",INDEX(primary_jama_2024_25786_domain,MATCH($A45,primary_jama_2024_25786_key,0)),$K45)="internal_nonstatistical",IF($K45="",INDEX(primary_jama_2024_25786_domain,MATCH($A45,primary_jama_2024_25786_key,0)),$K45)="plan_material"))),O45&lt;&gt;"",O45&lt;&gt;"not_applicable"),AND(OR(AND(IF($J45="",INDEX(primary_jama_2024_25786_disposition,MATCH($A45,primary_jama_2024_25786_key,0)),$J45)&lt;&gt;"",IF($J45="",INDEX(primary_jama_2024_25786_disposition,MATCH($A45,primary_jama_2024_25786_key,0)),$J45)&lt;&gt;"retain"),NOT(OR(IF($K45="",INDEX(primary_jama_2024_25786_domain,MATCH($A45,primary_jama_2024_25786_key,0)),$K45)="protocol_report"))),P45&lt;&gt;"",P45&lt;&gt;"not_applicable")),"CLEAR INACTIVE VALUES",IF(D45="","PENDING",IF(AND(D45&lt;&gt;"agree",LEN(TRIM(E45))=0),"COMMENT NEEDED",IF(F45="yes","CHECKED - see resolution","DRAFT"))))</f>
        <v/>
      </c>
      <c r="H45" s="8" t="inlineStr">
        <is>
          <t>pending</t>
        </is>
      </c>
      <c r="I45" s="11" t="inlineStr"/>
      <c r="J45" s="8" t="inlineStr"/>
      <c r="K45" s="8" t="inlineStr"/>
      <c r="L45" s="8">
        <f>IF(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not_applicable","")</f>
        <v/>
      </c>
      <c r="M45" s="8">
        <f>IF(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not_applicable","")</f>
        <v/>
      </c>
      <c r="N45" s="9">
        <f>IF(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not_applicable","")</f>
        <v/>
      </c>
      <c r="O45" s="8">
        <f>IF(OR(AND(IF($J45="",INDEX(primary_jama_2024_25786_disposition,MATCH($A45,primary_jama_2024_25786_key,0)),$J45)&lt;&gt;"",IF($J45="",INDEX(primary_jama_2024_25786_disposition,MATCH($A45,primary_jama_2024_25786_key,0)),$J45)&lt;&gt;"retain"),NOT(OR(IF($K45="",INDEX(primary_jama_2024_25786_domain,MATCH($A45,primary_jama_2024_25786_key,0)),$K45)="internal_nonstatistical",IF($K45="",INDEX(primary_jama_2024_25786_domain,MATCH($A45,primary_jama_2024_25786_key,0)),$K45)="plan_material"))),"not_applicable","")</f>
        <v/>
      </c>
      <c r="P45" s="9">
        <f>IF(OR(AND(IF($J45="",INDEX(primary_jama_2024_25786_disposition,MATCH($A45,primary_jama_2024_25786_key,0)),$J45)&lt;&gt;"",IF($J45="",INDEX(primary_jama_2024_25786_disposition,MATCH($A45,primary_jama_2024_25786_key,0)),$J45)&lt;&gt;"retain"),NOT(OR(IF($K45="",INDEX(primary_jama_2024_25786_domain,MATCH($A45,primary_jama_2024_25786_key,0)),$K45)="protocol_report"))),"not_applicable","")</f>
        <v/>
      </c>
      <c r="Q45" s="10" t="inlineStr"/>
      <c r="R45" s="10" t="inlineStr"/>
    </row>
    <row r="46" ht="76" customHeight="1">
      <c r="A46" s="2" t="inlineStr">
        <is>
          <t>2024::jama.2024.25786::C002</t>
        </is>
      </c>
      <c r="B46" s="2" t="inlineStr">
        <is>
          <t>jama.2024.25786</t>
        </is>
      </c>
      <c r="C46" s="2" t="inlineStr">
        <is>
          <t>Liberal vascular-surgery percentage is nonzero with a printed zero numerator</t>
        </is>
      </c>
      <c r="D46" s="8" t="inlineStr"/>
      <c r="E46" s="11" t="inlineStr"/>
      <c r="F46" s="8" t="inlineStr">
        <is>
          <t>no</t>
        </is>
      </c>
      <c r="G46" s="2">
        <f>IF(OR(AND(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L46&lt;&gt;"",L46&lt;&gt;"not_applicable"),AND(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M46&lt;&gt;"",M46&lt;&gt;"not_applicable"),AND(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N46&lt;&gt;"",N46&lt;&gt;"not_applicable"),AND(OR(AND(IF($J46="",INDEX(primary_jama_2024_25786_disposition,MATCH($A46,primary_jama_2024_25786_key,0)),$J46)&lt;&gt;"",IF($J46="",INDEX(primary_jama_2024_25786_disposition,MATCH($A46,primary_jama_2024_25786_key,0)),$J46)&lt;&gt;"retain"),NOT(OR(IF($K46="",INDEX(primary_jama_2024_25786_domain,MATCH($A46,primary_jama_2024_25786_key,0)),$K46)="internal_nonstatistical",IF($K46="",INDEX(primary_jama_2024_25786_domain,MATCH($A46,primary_jama_2024_25786_key,0)),$K46)="plan_material"))),O46&lt;&gt;"",O46&lt;&gt;"not_applicable"),AND(OR(AND(IF($J46="",INDEX(primary_jama_2024_25786_disposition,MATCH($A46,primary_jama_2024_25786_key,0)),$J46)&lt;&gt;"",IF($J46="",INDEX(primary_jama_2024_25786_disposition,MATCH($A46,primary_jama_2024_25786_key,0)),$J46)&lt;&gt;"retain"),NOT(OR(IF($K46="",INDEX(primary_jama_2024_25786_domain,MATCH($A46,primary_jama_2024_25786_key,0)),$K46)="protocol_report"))),P46&lt;&gt;"",P46&lt;&gt;"not_applicable")),"CLEAR INACTIVE VALUES",IF(D46="","PENDING",IF(AND(D46&lt;&gt;"agree",LEN(TRIM(E46))=0),"COMMENT NEEDED",IF(F46="yes","CHECKED - see resolution","DRAFT"))))</f>
        <v/>
      </c>
      <c r="H46" s="8" t="inlineStr">
        <is>
          <t>pending</t>
        </is>
      </c>
      <c r="I46" s="11" t="inlineStr"/>
      <c r="J46" s="8" t="inlineStr"/>
      <c r="K46" s="8" t="inlineStr"/>
      <c r="L46" s="8">
        <f>IF(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not_applicable","")</f>
        <v/>
      </c>
      <c r="M46" s="8">
        <f>IF(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not_applicable","")</f>
        <v/>
      </c>
      <c r="N46" s="9">
        <f>IF(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not_applicable","")</f>
        <v/>
      </c>
      <c r="O46" s="8">
        <f>IF(OR(AND(IF($J46="",INDEX(primary_jama_2024_25786_disposition,MATCH($A46,primary_jama_2024_25786_key,0)),$J46)&lt;&gt;"",IF($J46="",INDEX(primary_jama_2024_25786_disposition,MATCH($A46,primary_jama_2024_25786_key,0)),$J46)&lt;&gt;"retain"),NOT(OR(IF($K46="",INDEX(primary_jama_2024_25786_domain,MATCH($A46,primary_jama_2024_25786_key,0)),$K46)="internal_nonstatistical",IF($K46="",INDEX(primary_jama_2024_25786_domain,MATCH($A46,primary_jama_2024_25786_key,0)),$K46)="plan_material"))),"not_applicable","")</f>
        <v/>
      </c>
      <c r="P46" s="9">
        <f>IF(OR(AND(IF($J46="",INDEX(primary_jama_2024_25786_disposition,MATCH($A46,primary_jama_2024_25786_key,0)),$J46)&lt;&gt;"",IF($J46="",INDEX(primary_jama_2024_25786_disposition,MATCH($A46,primary_jama_2024_25786_key,0)),$J46)&lt;&gt;"retain"),NOT(OR(IF($K46="",INDEX(primary_jama_2024_25786_domain,MATCH($A46,primary_jama_2024_25786_key,0)),$K46)="protocol_report"))),"not_applicable","")</f>
        <v/>
      </c>
      <c r="Q46" s="10" t="inlineStr"/>
      <c r="R46" s="10" t="inlineStr"/>
    </row>
    <row r="47" ht="76" customHeight="1">
      <c r="A47" s="3" t="inlineStr">
        <is>
          <t>2024::jama.2024.25786::C003</t>
        </is>
      </c>
      <c r="B47" s="3" t="inlineStr">
        <is>
          <t>jama.2024.25786</t>
        </is>
      </c>
      <c r="C47" s="3" t="inlineStr">
        <is>
          <t>Matched all-patient adjusted confidence-interval upper limit differs between eTables 4 and 7</t>
        </is>
      </c>
      <c r="D47" s="8" t="inlineStr"/>
      <c r="E47" s="11" t="inlineStr"/>
      <c r="F47" s="8" t="inlineStr">
        <is>
          <t>no</t>
        </is>
      </c>
      <c r="G47" s="3">
        <f>IF(OR(AND(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L47&lt;&gt;"",L47&lt;&gt;"not_applicable"),AND(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M47&lt;&gt;"",M47&lt;&gt;"not_applicable"),AND(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N47&lt;&gt;"",N47&lt;&gt;"not_applicable"),AND(OR(AND(IF($J47="",INDEX(primary_jama_2024_25786_disposition,MATCH($A47,primary_jama_2024_25786_key,0)),$J47)&lt;&gt;"",IF($J47="",INDEX(primary_jama_2024_25786_disposition,MATCH($A47,primary_jama_2024_25786_key,0)),$J47)&lt;&gt;"retain"),NOT(OR(IF($K47="",INDEX(primary_jama_2024_25786_domain,MATCH($A47,primary_jama_2024_25786_key,0)),$K47)="internal_nonstatistical",IF($K47="",INDEX(primary_jama_2024_25786_domain,MATCH($A47,primary_jama_2024_25786_key,0)),$K47)="plan_material"))),O47&lt;&gt;"",O47&lt;&gt;"not_applicable"),AND(OR(AND(IF($J47="",INDEX(primary_jama_2024_25786_disposition,MATCH($A47,primary_jama_2024_25786_key,0)),$J47)&lt;&gt;"",IF($J47="",INDEX(primary_jama_2024_25786_disposition,MATCH($A47,primary_jama_2024_25786_key,0)),$J47)&lt;&gt;"retain"),NOT(OR(IF($K47="",INDEX(primary_jama_2024_25786_domain,MATCH($A47,primary_jama_2024_25786_key,0)),$K47)="protocol_report"))),P47&lt;&gt;"",P47&lt;&gt;"not_applicable")),"CLEAR INACTIVE VALUES",IF(D47="","PENDING",IF(AND(D47&lt;&gt;"agree",LEN(TRIM(E47))=0),"COMMENT NEEDED",IF(F47="yes","CHECKED - see resolution","DRAFT"))))</f>
        <v/>
      </c>
      <c r="H47" s="8" t="inlineStr">
        <is>
          <t>pending</t>
        </is>
      </c>
      <c r="I47" s="11" t="inlineStr"/>
      <c r="J47" s="8" t="inlineStr"/>
      <c r="K47" s="8" t="inlineStr"/>
      <c r="L47" s="8">
        <f>IF(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not_applicable","")</f>
        <v/>
      </c>
      <c r="M47" s="8">
        <f>IF(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not_applicable","")</f>
        <v/>
      </c>
      <c r="N47" s="9">
        <f>IF(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not_applicable","")</f>
        <v/>
      </c>
      <c r="O47" s="8">
        <f>IF(OR(AND(IF($J47="",INDEX(primary_jama_2024_25786_disposition,MATCH($A47,primary_jama_2024_25786_key,0)),$J47)&lt;&gt;"",IF($J47="",INDEX(primary_jama_2024_25786_disposition,MATCH($A47,primary_jama_2024_25786_key,0)),$J47)&lt;&gt;"retain"),NOT(OR(IF($K47="",INDEX(primary_jama_2024_25786_domain,MATCH($A47,primary_jama_2024_25786_key,0)),$K47)="internal_nonstatistical",IF($K47="",INDEX(primary_jama_2024_25786_domain,MATCH($A47,primary_jama_2024_25786_key,0)),$K47)="plan_material"))),"not_applicable","")</f>
        <v/>
      </c>
      <c r="P47" s="9">
        <f>IF(OR(AND(IF($J47="",INDEX(primary_jama_2024_25786_disposition,MATCH($A47,primary_jama_2024_25786_key,0)),$J47)&lt;&gt;"",IF($J47="",INDEX(primary_jama_2024_25786_disposition,MATCH($A47,primary_jama_2024_25786_key,0)),$J47)&lt;&gt;"retain"),NOT(OR(IF($K47="",INDEX(primary_jama_2024_25786_domain,MATCH($A47,primary_jama_2024_25786_key,0)),$K47)="protocol_report"))),"not_applicable","")</f>
        <v/>
      </c>
      <c r="Q47" s="10" t="inlineStr"/>
      <c r="R47" s="10" t="inlineStr"/>
    </row>
    <row r="48" ht="76" customHeight="1">
      <c r="A48" s="2" t="inlineStr">
        <is>
          <t>2024::jama.2024.25786::C004</t>
        </is>
      </c>
      <c r="B48" s="2" t="inlineStr">
        <is>
          <t>jama.2024.25786</t>
        </is>
      </c>
      <c r="C48" s="2" t="inlineStr">
        <is>
          <t>AIS less-than-3 subgroup percentage conflicts with its count and matched Figure 4</t>
        </is>
      </c>
      <c r="D48" s="8" t="inlineStr"/>
      <c r="E48" s="11" t="inlineStr"/>
      <c r="F48" s="8" t="inlineStr">
        <is>
          <t>no</t>
        </is>
      </c>
      <c r="G48" s="2">
        <f>IF(OR(AND(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L48&lt;&gt;"",L48&lt;&gt;"not_applicable"),AND(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M48&lt;&gt;"",M48&lt;&gt;"not_applicable"),AND(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N48&lt;&gt;"",N48&lt;&gt;"not_applicable"),AND(OR(AND(IF($J48="",INDEX(primary_jama_2024_25786_disposition,MATCH($A48,primary_jama_2024_25786_key,0)),$J48)&lt;&gt;"",IF($J48="",INDEX(primary_jama_2024_25786_disposition,MATCH($A48,primary_jama_2024_25786_key,0)),$J48)&lt;&gt;"retain"),NOT(OR(IF($K48="",INDEX(primary_jama_2024_25786_domain,MATCH($A48,primary_jama_2024_25786_key,0)),$K48)="internal_nonstatistical",IF($K48="",INDEX(primary_jama_2024_25786_domain,MATCH($A48,primary_jama_2024_25786_key,0)),$K48)="plan_material"))),O48&lt;&gt;"",O48&lt;&gt;"not_applicable"),AND(OR(AND(IF($J48="",INDEX(primary_jama_2024_25786_disposition,MATCH($A48,primary_jama_2024_25786_key,0)),$J48)&lt;&gt;"",IF($J48="",INDEX(primary_jama_2024_25786_disposition,MATCH($A48,primary_jama_2024_25786_key,0)),$J48)&lt;&gt;"retain"),NOT(OR(IF($K48="",INDEX(primary_jama_2024_25786_domain,MATCH($A48,primary_jama_2024_25786_key,0)),$K48)="protocol_report"))),P48&lt;&gt;"",P48&lt;&gt;"not_applicable")),"CLEAR INACTIVE VALUES",IF(D48="","PENDING",IF(AND(D48&lt;&gt;"agree",LEN(TRIM(E48))=0),"COMMENT NEEDED",IF(F48="yes","CHECKED - see resolution","DRAFT"))))</f>
        <v/>
      </c>
      <c r="H48" s="8" t="inlineStr">
        <is>
          <t>pending</t>
        </is>
      </c>
      <c r="I48" s="11" t="inlineStr"/>
      <c r="J48" s="8" t="inlineStr"/>
      <c r="K48" s="8" t="inlineStr"/>
      <c r="L48" s="8">
        <f>IF(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not_applicable","")</f>
        <v/>
      </c>
      <c r="M48" s="8">
        <f>IF(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not_applicable","")</f>
        <v/>
      </c>
      <c r="N48" s="9">
        <f>IF(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not_applicable","")</f>
        <v/>
      </c>
      <c r="O48" s="8">
        <f>IF(OR(AND(IF($J48="",INDEX(primary_jama_2024_25786_disposition,MATCH($A48,primary_jama_2024_25786_key,0)),$J48)&lt;&gt;"",IF($J48="",INDEX(primary_jama_2024_25786_disposition,MATCH($A48,primary_jama_2024_25786_key,0)),$J48)&lt;&gt;"retain"),NOT(OR(IF($K48="",INDEX(primary_jama_2024_25786_domain,MATCH($A48,primary_jama_2024_25786_key,0)),$K48)="internal_nonstatistical",IF($K48="",INDEX(primary_jama_2024_25786_domain,MATCH($A48,primary_jama_2024_25786_key,0)),$K48)="plan_material"))),"not_applicable","")</f>
        <v/>
      </c>
      <c r="P48" s="9">
        <f>IF(OR(AND(IF($J48="",INDEX(primary_jama_2024_25786_disposition,MATCH($A48,primary_jama_2024_25786_key,0)),$J48)&lt;&gt;"",IF($J48="",INDEX(primary_jama_2024_25786_disposition,MATCH($A48,primary_jama_2024_25786_key,0)),$J48)&lt;&gt;"retain"),NOT(OR(IF($K48="",INDEX(primary_jama_2024_25786_domain,MATCH($A48,primary_jama_2024_25786_key,0)),$K48)="protocol_report"))),"not_applicable","")</f>
        <v/>
      </c>
      <c r="Q48" s="10" t="inlineStr"/>
      <c r="R48" s="10" t="inlineStr"/>
    </row>
    <row r="49" ht="76" customHeight="1">
      <c r="A49" s="3" t="inlineStr">
        <is>
          <t>2024::jama.2024.25786::C005</t>
        </is>
      </c>
      <c r="B49" s="3" t="inlineStr">
        <is>
          <t>jama.2024.25786</t>
        </is>
      </c>
      <c r="C49" s="3" t="inlineStr">
        <is>
          <t>Known-lung-disease subgroup percentage conflicts with its count and matched Figure 4</t>
        </is>
      </c>
      <c r="D49" s="8" t="inlineStr"/>
      <c r="E49" s="11" t="inlineStr"/>
      <c r="F49" s="8" t="inlineStr">
        <is>
          <t>no</t>
        </is>
      </c>
      <c r="G49" s="3">
        <f>IF(OR(AND(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L49&lt;&gt;"",L49&lt;&gt;"not_applicable"),AND(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M49&lt;&gt;"",M49&lt;&gt;"not_applicable"),AND(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N49&lt;&gt;"",N49&lt;&gt;"not_applicable"),AND(OR(AND(IF($J49="",INDEX(primary_jama_2024_25786_disposition,MATCH($A49,primary_jama_2024_25786_key,0)),$J49)&lt;&gt;"",IF($J49="",INDEX(primary_jama_2024_25786_disposition,MATCH($A49,primary_jama_2024_25786_key,0)),$J49)&lt;&gt;"retain"),NOT(OR(IF($K49="",INDEX(primary_jama_2024_25786_domain,MATCH($A49,primary_jama_2024_25786_key,0)),$K49)="internal_nonstatistical",IF($K49="",INDEX(primary_jama_2024_25786_domain,MATCH($A49,primary_jama_2024_25786_key,0)),$K49)="plan_material"))),O49&lt;&gt;"",O49&lt;&gt;"not_applicable"),AND(OR(AND(IF($J49="",INDEX(primary_jama_2024_25786_disposition,MATCH($A49,primary_jama_2024_25786_key,0)),$J49)&lt;&gt;"",IF($J49="",INDEX(primary_jama_2024_25786_disposition,MATCH($A49,primary_jama_2024_25786_key,0)),$J49)&lt;&gt;"retain"),NOT(OR(IF($K49="",INDEX(primary_jama_2024_25786_domain,MATCH($A49,primary_jama_2024_25786_key,0)),$K49)="protocol_report"))),P49&lt;&gt;"",P49&lt;&gt;"not_applicable")),"CLEAR INACTIVE VALUES",IF(D49="","PENDING",IF(AND(D49&lt;&gt;"agree",LEN(TRIM(E49))=0),"COMMENT NEEDED",IF(F49="yes","CHECKED - see resolution","DRAFT"))))</f>
        <v/>
      </c>
      <c r="H49" s="8" t="inlineStr">
        <is>
          <t>pending</t>
        </is>
      </c>
      <c r="I49" s="11" t="inlineStr"/>
      <c r="J49" s="8" t="inlineStr"/>
      <c r="K49" s="8" t="inlineStr"/>
      <c r="L49" s="8">
        <f>IF(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not_applicable","")</f>
        <v/>
      </c>
      <c r="M49" s="8">
        <f>IF(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not_applicable","")</f>
        <v/>
      </c>
      <c r="N49" s="9">
        <f>IF(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not_applicable","")</f>
        <v/>
      </c>
      <c r="O49" s="8">
        <f>IF(OR(AND(IF($J49="",INDEX(primary_jama_2024_25786_disposition,MATCH($A49,primary_jama_2024_25786_key,0)),$J49)&lt;&gt;"",IF($J49="",INDEX(primary_jama_2024_25786_disposition,MATCH($A49,primary_jama_2024_25786_key,0)),$J49)&lt;&gt;"retain"),NOT(OR(IF($K49="",INDEX(primary_jama_2024_25786_domain,MATCH($A49,primary_jama_2024_25786_key,0)),$K49)="internal_nonstatistical",IF($K49="",INDEX(primary_jama_2024_25786_domain,MATCH($A49,primary_jama_2024_25786_key,0)),$K49)="plan_material"))),"not_applicable","")</f>
        <v/>
      </c>
      <c r="P49" s="9">
        <f>IF(OR(AND(IF($J49="",INDEX(primary_jama_2024_25786_disposition,MATCH($A49,primary_jama_2024_25786_key,0)),$J49)&lt;&gt;"",IF($J49="",INDEX(primary_jama_2024_25786_disposition,MATCH($A49,primary_jama_2024_25786_key,0)),$J49)&lt;&gt;"retain"),NOT(OR(IF($K49="",INDEX(primary_jama_2024_25786_domain,MATCH($A49,primary_jama_2024_25786_key,0)),$K49)="protocol_report"))),"not_applicable","")</f>
        <v/>
      </c>
      <c r="Q49" s="10" t="inlineStr"/>
      <c r="R49" s="10" t="inlineStr"/>
    </row>
    <row r="50" ht="76" customHeight="1">
      <c r="A50" s="2" t="inlineStr">
        <is>
          <t>2024::jama.2024.25786::C006</t>
        </is>
      </c>
      <c r="B50" s="2" t="inlineStr">
        <is>
          <t>jama.2024.25786</t>
        </is>
      </c>
      <c r="C50" s="2" t="inlineStr">
        <is>
          <t>Postrandomization-exclusion total and group counts do not reconcile across eTable 10 and Figure 1</t>
        </is>
      </c>
      <c r="D50" s="8" t="inlineStr"/>
      <c r="E50" s="11" t="inlineStr"/>
      <c r="F50" s="8" t="inlineStr">
        <is>
          <t>no</t>
        </is>
      </c>
      <c r="G50" s="2">
        <f>IF(OR(AND(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L50&lt;&gt;"",L50&lt;&gt;"not_applicable"),AND(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M50&lt;&gt;"",M50&lt;&gt;"not_applicable"),AND(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N50&lt;&gt;"",N50&lt;&gt;"not_applicable"),AND(OR(AND(IF($J50="",INDEX(primary_jama_2024_25786_disposition,MATCH($A50,primary_jama_2024_25786_key,0)),$J50)&lt;&gt;"",IF($J50="",INDEX(primary_jama_2024_25786_disposition,MATCH($A50,primary_jama_2024_25786_key,0)),$J50)&lt;&gt;"retain"),NOT(OR(IF($K50="",INDEX(primary_jama_2024_25786_domain,MATCH($A50,primary_jama_2024_25786_key,0)),$K50)="internal_nonstatistical",IF($K50="",INDEX(primary_jama_2024_25786_domain,MATCH($A50,primary_jama_2024_25786_key,0)),$K50)="plan_material"))),O50&lt;&gt;"",O50&lt;&gt;"not_applicable"),AND(OR(AND(IF($J50="",INDEX(primary_jama_2024_25786_disposition,MATCH($A50,primary_jama_2024_25786_key,0)),$J50)&lt;&gt;"",IF($J50="",INDEX(primary_jama_2024_25786_disposition,MATCH($A50,primary_jama_2024_25786_key,0)),$J50)&lt;&gt;"retain"),NOT(OR(IF($K50="",INDEX(primary_jama_2024_25786_domain,MATCH($A50,primary_jama_2024_25786_key,0)),$K50)="protocol_report"))),P50&lt;&gt;"",P50&lt;&gt;"not_applicable")),"CLEAR INACTIVE VALUES",IF(D50="","PENDING",IF(AND(D50&lt;&gt;"agree",LEN(TRIM(E50))=0),"COMMENT NEEDED",IF(F50="yes","CHECKED - see resolution","DRAFT"))))</f>
        <v/>
      </c>
      <c r="H50" s="8" t="inlineStr">
        <is>
          <t>pending</t>
        </is>
      </c>
      <c r="I50" s="11" t="inlineStr"/>
      <c r="J50" s="8" t="inlineStr"/>
      <c r="K50" s="8" t="inlineStr"/>
      <c r="L50" s="8">
        <f>IF(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not_applicable","")</f>
        <v/>
      </c>
      <c r="M50" s="8">
        <f>IF(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not_applicable","")</f>
        <v/>
      </c>
      <c r="N50" s="9">
        <f>IF(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not_applicable","")</f>
        <v/>
      </c>
      <c r="O50" s="8">
        <f>IF(OR(AND(IF($J50="",INDEX(primary_jama_2024_25786_disposition,MATCH($A50,primary_jama_2024_25786_key,0)),$J50)&lt;&gt;"",IF($J50="",INDEX(primary_jama_2024_25786_disposition,MATCH($A50,primary_jama_2024_25786_key,0)),$J50)&lt;&gt;"retain"),NOT(OR(IF($K50="",INDEX(primary_jama_2024_25786_domain,MATCH($A50,primary_jama_2024_25786_key,0)),$K50)="internal_nonstatistical",IF($K50="",INDEX(primary_jama_2024_25786_domain,MATCH($A50,primary_jama_2024_25786_key,0)),$K50)="plan_material"))),"not_applicable","")</f>
        <v/>
      </c>
      <c r="P50" s="9">
        <f>IF(OR(AND(IF($J50="",INDEX(primary_jama_2024_25786_disposition,MATCH($A50,primary_jama_2024_25786_key,0)),$J50)&lt;&gt;"",IF($J50="",INDEX(primary_jama_2024_25786_disposition,MATCH($A50,primary_jama_2024_25786_key,0)),$J50)&lt;&gt;"retain"),NOT(OR(IF($K50="",INDEX(primary_jama_2024_25786_domain,MATCH($A50,primary_jama_2024_25786_key,0)),$K50)="protocol_report"))),"not_applicable","")</f>
        <v/>
      </c>
      <c r="Q50" s="10" t="inlineStr"/>
      <c r="R50" s="10" t="inlineStr"/>
    </row>
    <row r="51" ht="76" customHeight="1">
      <c r="A51" s="3" t="inlineStr">
        <is>
          <t>2024::jama.2024.25786::C007</t>
        </is>
      </c>
      <c r="B51" s="3" t="inlineStr">
        <is>
          <t>jama.2024.25786</t>
        </is>
      </c>
      <c r="C51" s="3" t="inlineStr">
        <is>
          <t>Secondary-exclusion cells pair within-group denominators with cross-group partition percentages</t>
        </is>
      </c>
      <c r="D51" s="8" t="inlineStr"/>
      <c r="E51" s="11" t="inlineStr"/>
      <c r="F51" s="8" t="inlineStr">
        <is>
          <t>no</t>
        </is>
      </c>
      <c r="G51" s="3">
        <f>IF(OR(AND(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L51&lt;&gt;"",L51&lt;&gt;"not_applicable"),AND(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M51&lt;&gt;"",M51&lt;&gt;"not_applicable"),AND(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N51&lt;&gt;"",N51&lt;&gt;"not_applicable"),AND(OR(AND(IF($J51="",INDEX(primary_jama_2024_25786_disposition,MATCH($A51,primary_jama_2024_25786_key,0)),$J51)&lt;&gt;"",IF($J51="",INDEX(primary_jama_2024_25786_disposition,MATCH($A51,primary_jama_2024_25786_key,0)),$J51)&lt;&gt;"retain"),NOT(OR(IF($K51="",INDEX(primary_jama_2024_25786_domain,MATCH($A51,primary_jama_2024_25786_key,0)),$K51)="internal_nonstatistical",IF($K51="",INDEX(primary_jama_2024_25786_domain,MATCH($A51,primary_jama_2024_25786_key,0)),$K51)="plan_material"))),O51&lt;&gt;"",O51&lt;&gt;"not_applicable"),AND(OR(AND(IF($J51="",INDEX(primary_jama_2024_25786_disposition,MATCH($A51,primary_jama_2024_25786_key,0)),$J51)&lt;&gt;"",IF($J51="",INDEX(primary_jama_2024_25786_disposition,MATCH($A51,primary_jama_2024_25786_key,0)),$J51)&lt;&gt;"retain"),NOT(OR(IF($K51="",INDEX(primary_jama_2024_25786_domain,MATCH($A51,primary_jama_2024_25786_key,0)),$K51)="protocol_report"))),P51&lt;&gt;"",P51&lt;&gt;"not_applicable")),"CLEAR INACTIVE VALUES",IF(D51="","PENDING",IF(AND(D51&lt;&gt;"agree",LEN(TRIM(E51))=0),"COMMENT NEEDED",IF(F51="yes","CHECKED - see resolution","DRAFT"))))</f>
        <v/>
      </c>
      <c r="H51" s="8" t="inlineStr">
        <is>
          <t>pending</t>
        </is>
      </c>
      <c r="I51" s="11" t="inlineStr"/>
      <c r="J51" s="8" t="inlineStr"/>
      <c r="K51" s="8" t="inlineStr"/>
      <c r="L51" s="8">
        <f>IF(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not_applicable","")</f>
        <v/>
      </c>
      <c r="M51" s="8">
        <f>IF(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not_applicable","")</f>
        <v/>
      </c>
      <c r="N51" s="9">
        <f>IF(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not_applicable","")</f>
        <v/>
      </c>
      <c r="O51" s="8">
        <f>IF(OR(AND(IF($J51="",INDEX(primary_jama_2024_25786_disposition,MATCH($A51,primary_jama_2024_25786_key,0)),$J51)&lt;&gt;"",IF($J51="",INDEX(primary_jama_2024_25786_disposition,MATCH($A51,primary_jama_2024_25786_key,0)),$J51)&lt;&gt;"retain"),NOT(OR(IF($K51="",INDEX(primary_jama_2024_25786_domain,MATCH($A51,primary_jama_2024_25786_key,0)),$K51)="internal_nonstatistical",IF($K51="",INDEX(primary_jama_2024_25786_domain,MATCH($A51,primary_jama_2024_25786_key,0)),$K51)="plan_material"))),"not_applicable","")</f>
        <v/>
      </c>
      <c r="P51" s="9">
        <f>IF(OR(AND(IF($J51="",INDEX(primary_jama_2024_25786_disposition,MATCH($A51,primary_jama_2024_25786_key,0)),$J51)&lt;&gt;"",IF($J51="",INDEX(primary_jama_2024_25786_disposition,MATCH($A51,primary_jama_2024_25786_key,0)),$J51)&lt;&gt;"retain"),NOT(OR(IF($K51="",INDEX(primary_jama_2024_25786_domain,MATCH($A51,primary_jama_2024_25786_key,0)),$K51)="protocol_report"))),"not_applicable","")</f>
        <v/>
      </c>
      <c r="Q51" s="10" t="inlineStr"/>
      <c r="R51" s="10" t="inlineStr"/>
    </row>
    <row r="52" ht="76" customHeight="1">
      <c r="A52" s="2" t="inlineStr">
        <is>
          <t>2024::jama.2024.25786::C008</t>
        </is>
      </c>
      <c r="B52" s="2" t="inlineStr">
        <is>
          <t>jama.2024.25786</t>
        </is>
      </c>
      <c r="C52" s="2" t="inlineStr">
        <is>
          <t>Missing-as-event primary count uses a doubled numerator/denominator separator</t>
        </is>
      </c>
      <c r="D52" s="8" t="inlineStr"/>
      <c r="E52" s="11" t="inlineStr"/>
      <c r="F52" s="8" t="inlineStr">
        <is>
          <t>no</t>
        </is>
      </c>
      <c r="G52" s="2">
        <f>IF(OR(AND(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L52&lt;&gt;"",L52&lt;&gt;"not_applicable"),AND(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M52&lt;&gt;"",M52&lt;&gt;"not_applicable"),AND(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N52&lt;&gt;"",N52&lt;&gt;"not_applicable"),AND(OR(AND(IF($J52="",INDEX(primary_jama_2024_25786_disposition,MATCH($A52,primary_jama_2024_25786_key,0)),$J52)&lt;&gt;"",IF($J52="",INDEX(primary_jama_2024_25786_disposition,MATCH($A52,primary_jama_2024_25786_key,0)),$J52)&lt;&gt;"retain"),NOT(OR(IF($K52="",INDEX(primary_jama_2024_25786_domain,MATCH($A52,primary_jama_2024_25786_key,0)),$K52)="internal_nonstatistical",IF($K52="",INDEX(primary_jama_2024_25786_domain,MATCH($A52,primary_jama_2024_25786_key,0)),$K52)="plan_material"))),O52&lt;&gt;"",O52&lt;&gt;"not_applicable"),AND(OR(AND(IF($J52="",INDEX(primary_jama_2024_25786_disposition,MATCH($A52,primary_jama_2024_25786_key,0)),$J52)&lt;&gt;"",IF($J52="",INDEX(primary_jama_2024_25786_disposition,MATCH($A52,primary_jama_2024_25786_key,0)),$J52)&lt;&gt;"retain"),NOT(OR(IF($K52="",INDEX(primary_jama_2024_25786_domain,MATCH($A52,primary_jama_2024_25786_key,0)),$K52)="protocol_report"))),P52&lt;&gt;"",P52&lt;&gt;"not_applicable")),"CLEAR INACTIVE VALUES",IF(D52="","PENDING",IF(AND(D52&lt;&gt;"agree",LEN(TRIM(E52))=0),"COMMENT NEEDED",IF(F52="yes","CHECKED - see resolution","DRAFT"))))</f>
        <v/>
      </c>
      <c r="H52" s="8" t="inlineStr">
        <is>
          <t>pending</t>
        </is>
      </c>
      <c r="I52" s="11" t="inlineStr"/>
      <c r="J52" s="8" t="inlineStr"/>
      <c r="K52" s="8" t="inlineStr"/>
      <c r="L52" s="8">
        <f>IF(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not_applicable","")</f>
        <v/>
      </c>
      <c r="M52" s="8">
        <f>IF(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not_applicable","")</f>
        <v/>
      </c>
      <c r="N52" s="9">
        <f>IF(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not_applicable","")</f>
        <v/>
      </c>
      <c r="O52" s="8">
        <f>IF(OR(AND(IF($J52="",INDEX(primary_jama_2024_25786_disposition,MATCH($A52,primary_jama_2024_25786_key,0)),$J52)&lt;&gt;"",IF($J52="",INDEX(primary_jama_2024_25786_disposition,MATCH($A52,primary_jama_2024_25786_key,0)),$J52)&lt;&gt;"retain"),NOT(OR(IF($K52="",INDEX(primary_jama_2024_25786_domain,MATCH($A52,primary_jama_2024_25786_key,0)),$K52)="internal_nonstatistical",IF($K52="",INDEX(primary_jama_2024_25786_domain,MATCH($A52,primary_jama_2024_25786_key,0)),$K52)="plan_material"))),"not_applicable","")</f>
        <v/>
      </c>
      <c r="P52" s="9">
        <f>IF(OR(AND(IF($J52="",INDEX(primary_jama_2024_25786_disposition,MATCH($A52,primary_jama_2024_25786_key,0)),$J52)&lt;&gt;"",IF($J52="",INDEX(primary_jama_2024_25786_disposition,MATCH($A52,primary_jama_2024_25786_key,0)),$J52)&lt;&gt;"retain"),NOT(OR(IF($K52="",INDEX(primary_jama_2024_25786_domain,MATCH($A52,primary_jama_2024_25786_key,0)),$K52)="protocol_report"))),"not_applicable","")</f>
        <v/>
      </c>
      <c r="Q52" s="10" t="inlineStr"/>
      <c r="R52" s="10" t="inlineStr"/>
    </row>
    <row r="53" ht="76" customHeight="1">
      <c r="A53" s="3" t="inlineStr">
        <is>
          <t>2024::jama.2024.4183::C001</t>
        </is>
      </c>
      <c r="B53" s="3" t="inlineStr">
        <is>
          <t>jama.2024.4183</t>
        </is>
      </c>
      <c r="C53" s="3" t="inlineStr">
        <is>
          <t>Abstract phase-2 allocation percentages mix incompatible denominators</t>
        </is>
      </c>
      <c r="D53" s="8" t="inlineStr"/>
      <c r="E53" s="11" t="inlineStr"/>
      <c r="F53" s="8" t="inlineStr">
        <is>
          <t>no</t>
        </is>
      </c>
      <c r="G53" s="3">
        <f>IF(OR(AND(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L53&lt;&gt;"",L53&lt;&gt;"not_applicable"),AND(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M53&lt;&gt;"",M53&lt;&gt;"not_applicable"),AND(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N53&lt;&gt;"",N53&lt;&gt;"not_applicable"),AND(OR(AND(IF($J53="",INDEX(primary_jama_2024_4183_disposition,MATCH($A53,primary_jama_2024_4183_key,0)),$J53)&lt;&gt;"",IF($J53="",INDEX(primary_jama_2024_4183_disposition,MATCH($A53,primary_jama_2024_4183_key,0)),$J53)&lt;&gt;"retain"),NOT(OR(IF($K53="",INDEX(primary_jama_2024_4183_domain,MATCH($A53,primary_jama_2024_4183_key,0)),$K53)="internal_nonstatistical",IF($K53="",INDEX(primary_jama_2024_4183_domain,MATCH($A53,primary_jama_2024_4183_key,0)),$K53)="plan_material"))),O53&lt;&gt;"",O53&lt;&gt;"not_applicable"),AND(OR(AND(IF($J53="",INDEX(primary_jama_2024_4183_disposition,MATCH($A53,primary_jama_2024_4183_key,0)),$J53)&lt;&gt;"",IF($J53="",INDEX(primary_jama_2024_4183_disposition,MATCH($A53,primary_jama_2024_4183_key,0)),$J53)&lt;&gt;"retain"),NOT(OR(IF($K53="",INDEX(primary_jama_2024_4183_domain,MATCH($A53,primary_jama_2024_4183_key,0)),$K53)="protocol_report"))),P53&lt;&gt;"",P53&lt;&gt;"not_applicable")),"CLEAR INACTIVE VALUES",IF(D53="","PENDING",IF(AND(D53&lt;&gt;"agree",LEN(TRIM(E53))=0),"COMMENT NEEDED",IF(F53="yes","CHECKED - see resolution","DRAFT"))))</f>
        <v/>
      </c>
      <c r="H53" s="8" t="inlineStr">
        <is>
          <t>pending</t>
        </is>
      </c>
      <c r="I53" s="11" t="inlineStr"/>
      <c r="J53" s="8" t="inlineStr"/>
      <c r="K53" s="8" t="inlineStr"/>
      <c r="L53" s="8">
        <f>IF(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not_applicable","")</f>
        <v/>
      </c>
      <c r="M53" s="8">
        <f>IF(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not_applicable","")</f>
        <v/>
      </c>
      <c r="N53" s="9">
        <f>IF(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not_applicable","")</f>
        <v/>
      </c>
      <c r="O53" s="8">
        <f>IF(OR(AND(IF($J53="",INDEX(primary_jama_2024_4183_disposition,MATCH($A53,primary_jama_2024_4183_key,0)),$J53)&lt;&gt;"",IF($J53="",INDEX(primary_jama_2024_4183_disposition,MATCH($A53,primary_jama_2024_4183_key,0)),$J53)&lt;&gt;"retain"),NOT(OR(IF($K53="",INDEX(primary_jama_2024_4183_domain,MATCH($A53,primary_jama_2024_4183_key,0)),$K53)="internal_nonstatistical",IF($K53="",INDEX(primary_jama_2024_4183_domain,MATCH($A53,primary_jama_2024_4183_key,0)),$K53)="plan_material"))),"not_applicable","")</f>
        <v/>
      </c>
      <c r="P53" s="9">
        <f>IF(OR(AND(IF($J53="",INDEX(primary_jama_2024_4183_disposition,MATCH($A53,primary_jama_2024_4183_key,0)),$J53)&lt;&gt;"",IF($J53="",INDEX(primary_jama_2024_4183_disposition,MATCH($A53,primary_jama_2024_4183_key,0)),$J53)&lt;&gt;"retain"),NOT(OR(IF($K53="",INDEX(primary_jama_2024_4183_domain,MATCH($A53,primary_jama_2024_4183_key,0)),$K53)="protocol_report"))),"not_applicable","")</f>
        <v/>
      </c>
      <c r="Q53" s="10" t="inlineStr"/>
      <c r="R53" s="10" t="inlineStr"/>
    </row>
    <row r="54" ht="76" customHeight="1">
      <c r="A54" s="2" t="inlineStr">
        <is>
          <t>2024::jama.2024.4183::C002</t>
        </is>
      </c>
      <c r="B54" s="2" t="inlineStr">
        <is>
          <t>jama.2024.4183</t>
        </is>
      </c>
      <c r="C54" s="2" t="inlineStr">
        <is>
          <t>Main baseline sex counts exceed both printed arm denominators</t>
        </is>
      </c>
      <c r="D54" s="8" t="inlineStr"/>
      <c r="E54" s="11" t="inlineStr"/>
      <c r="F54" s="8" t="inlineStr">
        <is>
          <t>no</t>
        </is>
      </c>
      <c r="G54" s="2">
        <f>IF(OR(AND(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L54&lt;&gt;"",L54&lt;&gt;"not_applicable"),AND(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M54&lt;&gt;"",M54&lt;&gt;"not_applicable"),AND(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N54&lt;&gt;"",N54&lt;&gt;"not_applicable"),AND(OR(AND(IF($J54="",INDEX(primary_jama_2024_4183_disposition,MATCH($A54,primary_jama_2024_4183_key,0)),$J54)&lt;&gt;"",IF($J54="",INDEX(primary_jama_2024_4183_disposition,MATCH($A54,primary_jama_2024_4183_key,0)),$J54)&lt;&gt;"retain"),NOT(OR(IF($K54="",INDEX(primary_jama_2024_4183_domain,MATCH($A54,primary_jama_2024_4183_key,0)),$K54)="internal_nonstatistical",IF($K54="",INDEX(primary_jama_2024_4183_domain,MATCH($A54,primary_jama_2024_4183_key,0)),$K54)="plan_material"))),O54&lt;&gt;"",O54&lt;&gt;"not_applicable"),AND(OR(AND(IF($J54="",INDEX(primary_jama_2024_4183_disposition,MATCH($A54,primary_jama_2024_4183_key,0)),$J54)&lt;&gt;"",IF($J54="",INDEX(primary_jama_2024_4183_disposition,MATCH($A54,primary_jama_2024_4183_key,0)),$J54)&lt;&gt;"retain"),NOT(OR(IF($K54="",INDEX(primary_jama_2024_4183_domain,MATCH($A54,primary_jama_2024_4183_key,0)),$K54)="protocol_report"))),P54&lt;&gt;"",P54&lt;&gt;"not_applicable")),"CLEAR INACTIVE VALUES",IF(D54="","PENDING",IF(AND(D54&lt;&gt;"agree",LEN(TRIM(E54))=0),"COMMENT NEEDED",IF(F54="yes","CHECKED - see resolution","DRAFT"))))</f>
        <v/>
      </c>
      <c r="H54" s="8" t="inlineStr">
        <is>
          <t>pending</t>
        </is>
      </c>
      <c r="I54" s="11" t="inlineStr"/>
      <c r="J54" s="8" t="inlineStr"/>
      <c r="K54" s="8" t="inlineStr"/>
      <c r="L54" s="8">
        <f>IF(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not_applicable","")</f>
        <v/>
      </c>
      <c r="M54" s="8">
        <f>IF(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not_applicable","")</f>
        <v/>
      </c>
      <c r="N54" s="9">
        <f>IF(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not_applicable","")</f>
        <v/>
      </c>
      <c r="O54" s="8">
        <f>IF(OR(AND(IF($J54="",INDEX(primary_jama_2024_4183_disposition,MATCH($A54,primary_jama_2024_4183_key,0)),$J54)&lt;&gt;"",IF($J54="",INDEX(primary_jama_2024_4183_disposition,MATCH($A54,primary_jama_2024_4183_key,0)),$J54)&lt;&gt;"retain"),NOT(OR(IF($K54="",INDEX(primary_jama_2024_4183_domain,MATCH($A54,primary_jama_2024_4183_key,0)),$K54)="internal_nonstatistical",IF($K54="",INDEX(primary_jama_2024_4183_domain,MATCH($A54,primary_jama_2024_4183_key,0)),$K54)="plan_material"))),"not_applicable","")</f>
        <v/>
      </c>
      <c r="P54" s="9">
        <f>IF(OR(AND(IF($J54="",INDEX(primary_jama_2024_4183_disposition,MATCH($A54,primary_jama_2024_4183_key,0)),$J54)&lt;&gt;"",IF($J54="",INDEX(primary_jama_2024_4183_disposition,MATCH($A54,primary_jama_2024_4183_key,0)),$J54)&lt;&gt;"retain"),NOT(OR(IF($K54="",INDEX(primary_jama_2024_4183_domain,MATCH($A54,primary_jama_2024_4183_key,0)),$K54)="protocol_report"))),"not_applicable","")</f>
        <v/>
      </c>
      <c r="Q54" s="10" t="inlineStr"/>
      <c r="R54" s="10" t="inlineStr"/>
    </row>
    <row r="55" ht="76" customHeight="1">
      <c r="A55" s="3" t="inlineStr">
        <is>
          <t>2024::jama.2024.4183::C003</t>
        </is>
      </c>
      <c r="B55" s="3" t="inlineStr">
        <is>
          <t>jama.2024.4183</t>
        </is>
      </c>
      <c r="C55" s="3" t="inlineStr">
        <is>
          <t>Displayed randomization total does not equal its two initial branches</t>
        </is>
      </c>
      <c r="D55" s="8" t="inlineStr"/>
      <c r="E55" s="11" t="inlineStr"/>
      <c r="F55" s="8" t="inlineStr">
        <is>
          <t>no</t>
        </is>
      </c>
      <c r="G55" s="3">
        <f>IF(OR(AND(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L55&lt;&gt;"",L55&lt;&gt;"not_applicable"),AND(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M55&lt;&gt;"",M55&lt;&gt;"not_applicable"),AND(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N55&lt;&gt;"",N55&lt;&gt;"not_applicable"),AND(OR(AND(IF($J55="",INDEX(primary_jama_2024_4183_disposition,MATCH($A55,primary_jama_2024_4183_key,0)),$J55)&lt;&gt;"",IF($J55="",INDEX(primary_jama_2024_4183_disposition,MATCH($A55,primary_jama_2024_4183_key,0)),$J55)&lt;&gt;"retain"),NOT(OR(IF($K55="",INDEX(primary_jama_2024_4183_domain,MATCH($A55,primary_jama_2024_4183_key,0)),$K55)="internal_nonstatistical",IF($K55="",INDEX(primary_jama_2024_4183_domain,MATCH($A55,primary_jama_2024_4183_key,0)),$K55)="plan_material"))),O55&lt;&gt;"",O55&lt;&gt;"not_applicable"),AND(OR(AND(IF($J55="",INDEX(primary_jama_2024_4183_disposition,MATCH($A55,primary_jama_2024_4183_key,0)),$J55)&lt;&gt;"",IF($J55="",INDEX(primary_jama_2024_4183_disposition,MATCH($A55,primary_jama_2024_4183_key,0)),$J55)&lt;&gt;"retain"),NOT(OR(IF($K55="",INDEX(primary_jama_2024_4183_domain,MATCH($A55,primary_jama_2024_4183_key,0)),$K55)="protocol_report"))),P55&lt;&gt;"",P55&lt;&gt;"not_applicable")),"CLEAR INACTIVE VALUES",IF(D55="","PENDING",IF(AND(D55&lt;&gt;"agree",LEN(TRIM(E55))=0),"COMMENT NEEDED",IF(F55="yes","CHECKED - see resolution","DRAFT"))))</f>
        <v/>
      </c>
      <c r="H55" s="8" t="inlineStr">
        <is>
          <t>pending</t>
        </is>
      </c>
      <c r="I55" s="11" t="inlineStr"/>
      <c r="J55" s="8" t="inlineStr"/>
      <c r="K55" s="8" t="inlineStr"/>
      <c r="L55" s="8">
        <f>IF(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not_applicable","")</f>
        <v/>
      </c>
      <c r="M55" s="8">
        <f>IF(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not_applicable","")</f>
        <v/>
      </c>
      <c r="N55" s="9">
        <f>IF(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not_applicable","")</f>
        <v/>
      </c>
      <c r="O55" s="8">
        <f>IF(OR(AND(IF($J55="",INDEX(primary_jama_2024_4183_disposition,MATCH($A55,primary_jama_2024_4183_key,0)),$J55)&lt;&gt;"",IF($J55="",INDEX(primary_jama_2024_4183_disposition,MATCH($A55,primary_jama_2024_4183_key,0)),$J55)&lt;&gt;"retain"),NOT(OR(IF($K55="",INDEX(primary_jama_2024_4183_domain,MATCH($A55,primary_jama_2024_4183_key,0)),$K55)="internal_nonstatistical",IF($K55="",INDEX(primary_jama_2024_4183_domain,MATCH($A55,primary_jama_2024_4183_key,0)),$K55)="plan_material"))),"not_applicable","")</f>
        <v/>
      </c>
      <c r="P55" s="9">
        <f>IF(OR(AND(IF($J55="",INDEX(primary_jama_2024_4183_disposition,MATCH($A55,primary_jama_2024_4183_key,0)),$J55)&lt;&gt;"",IF($J55="",INDEX(primary_jama_2024_4183_disposition,MATCH($A55,primary_jama_2024_4183_key,0)),$J55)&lt;&gt;"retain"),NOT(OR(IF($K55="",INDEX(primary_jama_2024_4183_domain,MATCH($A55,primary_jama_2024_4183_key,0)),$K55)="protocol_report"))),"not_applicable","")</f>
        <v/>
      </c>
      <c r="Q55" s="10" t="inlineStr"/>
      <c r="R55" s="10" t="inlineStr"/>
    </row>
    <row r="56" ht="76" customHeight="1">
      <c r="A56" s="2" t="inlineStr">
        <is>
          <t>2024::jama.2024.4183::C004</t>
        </is>
      </c>
      <c r="B56" s="2" t="inlineStr">
        <is>
          <t>jama.2024.4183</t>
        </is>
      </c>
      <c r="C56" s="2" t="inlineStr">
        <is>
          <t>Results reverses attendance status for continuation assignments</t>
        </is>
      </c>
      <c r="D56" s="8" t="inlineStr"/>
      <c r="E56" s="11" t="inlineStr"/>
      <c r="F56" s="8" t="inlineStr">
        <is>
          <t>no</t>
        </is>
      </c>
      <c r="G56" s="2">
        <f>IF(OR(AND(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L56&lt;&gt;"",L56&lt;&gt;"not_applicable"),AND(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M56&lt;&gt;"",M56&lt;&gt;"not_applicable"),AND(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N56&lt;&gt;"",N56&lt;&gt;"not_applicable"),AND(OR(AND(IF($J56="",INDEX(primary_jama_2024_4183_disposition,MATCH($A56,primary_jama_2024_4183_key,0)),$J56)&lt;&gt;"",IF($J56="",INDEX(primary_jama_2024_4183_disposition,MATCH($A56,primary_jama_2024_4183_key,0)),$J56)&lt;&gt;"retain"),NOT(OR(IF($K56="",INDEX(primary_jama_2024_4183_domain,MATCH($A56,primary_jama_2024_4183_key,0)),$K56)="internal_nonstatistical",IF($K56="",INDEX(primary_jama_2024_4183_domain,MATCH($A56,primary_jama_2024_4183_key,0)),$K56)="plan_material"))),O56&lt;&gt;"",O56&lt;&gt;"not_applicable"),AND(OR(AND(IF($J56="",INDEX(primary_jama_2024_4183_disposition,MATCH($A56,primary_jama_2024_4183_key,0)),$J56)&lt;&gt;"",IF($J56="",INDEX(primary_jama_2024_4183_disposition,MATCH($A56,primary_jama_2024_4183_key,0)),$J56)&lt;&gt;"retain"),NOT(OR(IF($K56="",INDEX(primary_jama_2024_4183_domain,MATCH($A56,primary_jama_2024_4183_key,0)),$K56)="protocol_report"))),P56&lt;&gt;"",P56&lt;&gt;"not_applicable")),"CLEAR INACTIVE VALUES",IF(D56="","PENDING",IF(AND(D56&lt;&gt;"agree",LEN(TRIM(E56))=0),"COMMENT NEEDED",IF(F56="yes","CHECKED - see resolution","DRAFT"))))</f>
        <v/>
      </c>
      <c r="H56" s="8" t="inlineStr">
        <is>
          <t>pending</t>
        </is>
      </c>
      <c r="I56" s="11" t="inlineStr"/>
      <c r="J56" s="8" t="inlineStr"/>
      <c r="K56" s="8" t="inlineStr"/>
      <c r="L56" s="8">
        <f>IF(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not_applicable","")</f>
        <v/>
      </c>
      <c r="M56" s="8">
        <f>IF(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not_applicable","")</f>
        <v/>
      </c>
      <c r="N56" s="9">
        <f>IF(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not_applicable","")</f>
        <v/>
      </c>
      <c r="O56" s="8">
        <f>IF(OR(AND(IF($J56="",INDEX(primary_jama_2024_4183_disposition,MATCH($A56,primary_jama_2024_4183_key,0)),$J56)&lt;&gt;"",IF($J56="",INDEX(primary_jama_2024_4183_disposition,MATCH($A56,primary_jama_2024_4183_key,0)),$J56)&lt;&gt;"retain"),NOT(OR(IF($K56="",INDEX(primary_jama_2024_4183_domain,MATCH($A56,primary_jama_2024_4183_key,0)),$K56)="internal_nonstatistical",IF($K56="",INDEX(primary_jama_2024_4183_domain,MATCH($A56,primary_jama_2024_4183_key,0)),$K56)="plan_material"))),"not_applicable","")</f>
        <v/>
      </c>
      <c r="P56" s="9">
        <f>IF(OR(AND(IF($J56="",INDEX(primary_jama_2024_4183_disposition,MATCH($A56,primary_jama_2024_4183_key,0)),$J56)&lt;&gt;"",IF($J56="",INDEX(primary_jama_2024_4183_disposition,MATCH($A56,primary_jama_2024_4183_key,0)),$J56)&lt;&gt;"retain"),NOT(OR(IF($K56="",INDEX(primary_jama_2024_4183_domain,MATCH($A56,primary_jama_2024_4183_key,0)),$K56)="protocol_report"))),"not_applicable","")</f>
        <v/>
      </c>
      <c r="Q56" s="10" t="inlineStr"/>
      <c r="R56" s="10" t="inlineStr"/>
    </row>
    <row r="57" ht="76" customHeight="1">
      <c r="A57" s="3" t="inlineStr">
        <is>
          <t>2024::jama.2024.4183::C005</t>
        </is>
      </c>
      <c r="B57" s="3" t="inlineStr">
        <is>
          <t>jama.2024.4183</t>
        </is>
      </c>
      <c r="C57" s="3" t="inlineStr">
        <is>
          <t>CNRT dose-increase primary CrI differs between abstract and matched results</t>
        </is>
      </c>
      <c r="D57" s="8" t="inlineStr"/>
      <c r="E57" s="11" t="inlineStr"/>
      <c r="F57" s="8" t="inlineStr">
        <is>
          <t>no</t>
        </is>
      </c>
      <c r="G57" s="3">
        <f>IF(OR(AND(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L57&lt;&gt;"",L57&lt;&gt;"not_applicable"),AND(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M57&lt;&gt;"",M57&lt;&gt;"not_applicable"),AND(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N57&lt;&gt;"",N57&lt;&gt;"not_applicable"),AND(OR(AND(IF($J57="",INDEX(primary_jama_2024_4183_disposition,MATCH($A57,primary_jama_2024_4183_key,0)),$J57)&lt;&gt;"",IF($J57="",INDEX(primary_jama_2024_4183_disposition,MATCH($A57,primary_jama_2024_4183_key,0)),$J57)&lt;&gt;"retain"),NOT(OR(IF($K57="",INDEX(primary_jama_2024_4183_domain,MATCH($A57,primary_jama_2024_4183_key,0)),$K57)="internal_nonstatistical",IF($K57="",INDEX(primary_jama_2024_4183_domain,MATCH($A57,primary_jama_2024_4183_key,0)),$K57)="plan_material"))),O57&lt;&gt;"",O57&lt;&gt;"not_applicable"),AND(OR(AND(IF($J57="",INDEX(primary_jama_2024_4183_disposition,MATCH($A57,primary_jama_2024_4183_key,0)),$J57)&lt;&gt;"",IF($J57="",INDEX(primary_jama_2024_4183_disposition,MATCH($A57,primary_jama_2024_4183_key,0)),$J57)&lt;&gt;"retain"),NOT(OR(IF($K57="",INDEX(primary_jama_2024_4183_domain,MATCH($A57,primary_jama_2024_4183_key,0)),$K57)="protocol_report"))),P57&lt;&gt;"",P57&lt;&gt;"not_applicable")),"CLEAR INACTIVE VALUES",IF(D57="","PENDING",IF(AND(D57&lt;&gt;"agree",LEN(TRIM(E57))=0),"COMMENT NEEDED",IF(F57="yes","CHECKED - see resolution","DRAFT"))))</f>
        <v/>
      </c>
      <c r="H57" s="8" t="inlineStr">
        <is>
          <t>pending</t>
        </is>
      </c>
      <c r="I57" s="11" t="inlineStr"/>
      <c r="J57" s="8" t="inlineStr"/>
      <c r="K57" s="8" t="inlineStr"/>
      <c r="L57" s="8">
        <f>IF(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not_applicable","")</f>
        <v/>
      </c>
      <c r="M57" s="8">
        <f>IF(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not_applicable","")</f>
        <v/>
      </c>
      <c r="N57" s="9">
        <f>IF(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not_applicable","")</f>
        <v/>
      </c>
      <c r="O57" s="8">
        <f>IF(OR(AND(IF($J57="",INDEX(primary_jama_2024_4183_disposition,MATCH($A57,primary_jama_2024_4183_key,0)),$J57)&lt;&gt;"",IF($J57="",INDEX(primary_jama_2024_4183_disposition,MATCH($A57,primary_jama_2024_4183_key,0)),$J57)&lt;&gt;"retain"),NOT(OR(IF($K57="",INDEX(primary_jama_2024_4183_domain,MATCH($A57,primary_jama_2024_4183_key,0)),$K57)="internal_nonstatistical",IF($K57="",INDEX(primary_jama_2024_4183_domain,MATCH($A57,primary_jama_2024_4183_key,0)),$K57)="plan_material"))),"not_applicable","")</f>
        <v/>
      </c>
      <c r="P57" s="9">
        <f>IF(OR(AND(IF($J57="",INDEX(primary_jama_2024_4183_disposition,MATCH($A57,primary_jama_2024_4183_key,0)),$J57)&lt;&gt;"",IF($J57="",INDEX(primary_jama_2024_4183_disposition,MATCH($A57,primary_jama_2024_4183_key,0)),$J57)&lt;&gt;"retain"),NOT(OR(IF($K57="",INDEX(primary_jama_2024_4183_domain,MATCH($A57,primary_jama_2024_4183_key,0)),$K57)="protocol_report"))),"not_applicable","")</f>
        <v/>
      </c>
      <c r="Q57" s="10" t="inlineStr"/>
      <c r="R57" s="10" t="inlineStr"/>
    </row>
    <row r="58" ht="76" customHeight="1">
      <c r="A58" s="2" t="inlineStr">
        <is>
          <t>2024::jama.2024.4183::C006</t>
        </is>
      </c>
      <c r="B58" s="2" t="inlineStr">
        <is>
          <t>jama.2024.4183</t>
        </is>
      </c>
      <c r="C58" s="2" t="inlineStr">
        <is>
          <t>CNRT switch primary CrI differs across abstract, Results, and eTable</t>
        </is>
      </c>
      <c r="D58" s="8" t="inlineStr"/>
      <c r="E58" s="11" t="inlineStr"/>
      <c r="F58" s="8" t="inlineStr">
        <is>
          <t>no</t>
        </is>
      </c>
      <c r="G58" s="2">
        <f>IF(OR(AND(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L58&lt;&gt;"",L58&lt;&gt;"not_applicable"),AND(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M58&lt;&gt;"",M58&lt;&gt;"not_applicable"),AND(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N58&lt;&gt;"",N58&lt;&gt;"not_applicable"),AND(OR(AND(IF($J58="",INDEX(primary_jama_2024_4183_disposition,MATCH($A58,primary_jama_2024_4183_key,0)),$J58)&lt;&gt;"",IF($J58="",INDEX(primary_jama_2024_4183_disposition,MATCH($A58,primary_jama_2024_4183_key,0)),$J58)&lt;&gt;"retain"),NOT(OR(IF($K58="",INDEX(primary_jama_2024_4183_domain,MATCH($A58,primary_jama_2024_4183_key,0)),$K58)="internal_nonstatistical",IF($K58="",INDEX(primary_jama_2024_4183_domain,MATCH($A58,primary_jama_2024_4183_key,0)),$K58)="plan_material"))),O58&lt;&gt;"",O58&lt;&gt;"not_applicable"),AND(OR(AND(IF($J58="",INDEX(primary_jama_2024_4183_disposition,MATCH($A58,primary_jama_2024_4183_key,0)),$J58)&lt;&gt;"",IF($J58="",INDEX(primary_jama_2024_4183_disposition,MATCH($A58,primary_jama_2024_4183_key,0)),$J58)&lt;&gt;"retain"),NOT(OR(IF($K58="",INDEX(primary_jama_2024_4183_domain,MATCH($A58,primary_jama_2024_4183_key,0)),$K58)="protocol_report"))),P58&lt;&gt;"",P58&lt;&gt;"not_applicable")),"CLEAR INACTIVE VALUES",IF(D58="","PENDING",IF(AND(D58&lt;&gt;"agree",LEN(TRIM(E58))=0),"COMMENT NEEDED",IF(F58="yes","CHECKED - see resolution","DRAFT"))))</f>
        <v/>
      </c>
      <c r="H58" s="8" t="inlineStr">
        <is>
          <t>pending</t>
        </is>
      </c>
      <c r="I58" s="11" t="inlineStr"/>
      <c r="J58" s="8" t="inlineStr"/>
      <c r="K58" s="8" t="inlineStr"/>
      <c r="L58" s="8">
        <f>IF(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not_applicable","")</f>
        <v/>
      </c>
      <c r="M58" s="8">
        <f>IF(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not_applicable","")</f>
        <v/>
      </c>
      <c r="N58" s="9">
        <f>IF(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not_applicable","")</f>
        <v/>
      </c>
      <c r="O58" s="8">
        <f>IF(OR(AND(IF($J58="",INDEX(primary_jama_2024_4183_disposition,MATCH($A58,primary_jama_2024_4183_key,0)),$J58)&lt;&gt;"",IF($J58="",INDEX(primary_jama_2024_4183_disposition,MATCH($A58,primary_jama_2024_4183_key,0)),$J58)&lt;&gt;"retain"),NOT(OR(IF($K58="",INDEX(primary_jama_2024_4183_domain,MATCH($A58,primary_jama_2024_4183_key,0)),$K58)="internal_nonstatistical",IF($K58="",INDEX(primary_jama_2024_4183_domain,MATCH($A58,primary_jama_2024_4183_key,0)),$K58)="plan_material"))),"not_applicable","")</f>
        <v/>
      </c>
      <c r="P58" s="9">
        <f>IF(OR(AND(IF($J58="",INDEX(primary_jama_2024_4183_disposition,MATCH($A58,primary_jama_2024_4183_key,0)),$J58)&lt;&gt;"",IF($J58="",INDEX(primary_jama_2024_4183_disposition,MATCH($A58,primary_jama_2024_4183_key,0)),$J58)&lt;&gt;"retain"),NOT(OR(IF($K58="",INDEX(primary_jama_2024_4183_domain,MATCH($A58,primary_jama_2024_4183_key,0)),$K58)="protocol_report"))),"not_applicable","")</f>
        <v/>
      </c>
      <c r="Q58" s="10" t="inlineStr"/>
      <c r="R58" s="10" t="inlineStr"/>
    </row>
    <row r="59" ht="76" customHeight="1">
      <c r="A59" s="3" t="inlineStr">
        <is>
          <t>2024::jama.2024.4183::C007</t>
        </is>
      </c>
      <c r="B59" s="3" t="inlineStr">
        <is>
          <t>jama.2024.4183</t>
        </is>
      </c>
      <c r="C59" s="3" t="inlineStr">
        <is>
          <t>Varenicline-to-CNRT switch contrast has inconsistent sign and reference</t>
        </is>
      </c>
      <c r="D59" s="8" t="inlineStr"/>
      <c r="E59" s="11" t="inlineStr"/>
      <c r="F59" s="8" t="inlineStr">
        <is>
          <t>no</t>
        </is>
      </c>
      <c r="G59" s="3">
        <f>IF(OR(AND(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L59&lt;&gt;"",L59&lt;&gt;"not_applicable"),AND(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M59&lt;&gt;"",M59&lt;&gt;"not_applicable"),AND(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N59&lt;&gt;"",N59&lt;&gt;"not_applicable"),AND(OR(AND(IF($J59="",INDEX(primary_jama_2024_4183_disposition,MATCH($A59,primary_jama_2024_4183_key,0)),$J59)&lt;&gt;"",IF($J59="",INDEX(primary_jama_2024_4183_disposition,MATCH($A59,primary_jama_2024_4183_key,0)),$J59)&lt;&gt;"retain"),NOT(OR(IF($K59="",INDEX(primary_jama_2024_4183_domain,MATCH($A59,primary_jama_2024_4183_key,0)),$K59)="internal_nonstatistical",IF($K59="",INDEX(primary_jama_2024_4183_domain,MATCH($A59,primary_jama_2024_4183_key,0)),$K59)="plan_material"))),O59&lt;&gt;"",O59&lt;&gt;"not_applicable"),AND(OR(AND(IF($J59="",INDEX(primary_jama_2024_4183_disposition,MATCH($A59,primary_jama_2024_4183_key,0)),$J59)&lt;&gt;"",IF($J59="",INDEX(primary_jama_2024_4183_disposition,MATCH($A59,primary_jama_2024_4183_key,0)),$J59)&lt;&gt;"retain"),NOT(OR(IF($K59="",INDEX(primary_jama_2024_4183_domain,MATCH($A59,primary_jama_2024_4183_key,0)),$K59)="protocol_report"))),P59&lt;&gt;"",P59&lt;&gt;"not_applicable")),"CLEAR INACTIVE VALUES",IF(D59="","PENDING",IF(AND(D59&lt;&gt;"agree",LEN(TRIM(E59))=0),"COMMENT NEEDED",IF(F59="yes","CHECKED - see resolution","DRAFT"))))</f>
        <v/>
      </c>
      <c r="H59" s="8" t="inlineStr">
        <is>
          <t>pending</t>
        </is>
      </c>
      <c r="I59" s="11" t="inlineStr"/>
      <c r="J59" s="8" t="inlineStr"/>
      <c r="K59" s="8" t="inlineStr"/>
      <c r="L59" s="8">
        <f>IF(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not_applicable","")</f>
        <v/>
      </c>
      <c r="M59" s="8">
        <f>IF(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not_applicable","")</f>
        <v/>
      </c>
      <c r="N59" s="9">
        <f>IF(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not_applicable","")</f>
        <v/>
      </c>
      <c r="O59" s="8">
        <f>IF(OR(AND(IF($J59="",INDEX(primary_jama_2024_4183_disposition,MATCH($A59,primary_jama_2024_4183_key,0)),$J59)&lt;&gt;"",IF($J59="",INDEX(primary_jama_2024_4183_disposition,MATCH($A59,primary_jama_2024_4183_key,0)),$J59)&lt;&gt;"retain"),NOT(OR(IF($K59="",INDEX(primary_jama_2024_4183_domain,MATCH($A59,primary_jama_2024_4183_key,0)),$K59)="internal_nonstatistical",IF($K59="",INDEX(primary_jama_2024_4183_domain,MATCH($A59,primary_jama_2024_4183_key,0)),$K59)="plan_material"))),"not_applicable","")</f>
        <v/>
      </c>
      <c r="P59" s="9">
        <f>IF(OR(AND(IF($J59="",INDEX(primary_jama_2024_4183_disposition,MATCH($A59,primary_jama_2024_4183_key,0)),$J59)&lt;&gt;"",IF($J59="",INDEX(primary_jama_2024_4183_disposition,MATCH($A59,primary_jama_2024_4183_key,0)),$J59)&lt;&gt;"retain"),NOT(OR(IF($K59="",INDEX(primary_jama_2024_4183_domain,MATCH($A59,primary_jama_2024_4183_key,0)),$K59)="protocol_report"))),"not_applicable","")</f>
        <v/>
      </c>
      <c r="Q59" s="10" t="inlineStr"/>
      <c r="R59" s="10" t="inlineStr"/>
    </row>
    <row r="60" ht="76" customHeight="1">
      <c r="A60" s="2" t="inlineStr">
        <is>
          <t>2024::jama.2024.4183::C008</t>
        </is>
      </c>
      <c r="B60" s="2" t="inlineStr">
        <is>
          <t>jama.2024.4183</t>
        </is>
      </c>
      <c r="C60" s="2" t="inlineStr">
        <is>
          <t>Increased-varenicline primary CrI upper endpoint differs</t>
        </is>
      </c>
      <c r="D60" s="8" t="inlineStr"/>
      <c r="E60" s="11" t="inlineStr"/>
      <c r="F60" s="8" t="inlineStr">
        <is>
          <t>no</t>
        </is>
      </c>
      <c r="G60" s="2">
        <f>IF(OR(AND(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L60&lt;&gt;"",L60&lt;&gt;"not_applicable"),AND(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M60&lt;&gt;"",M60&lt;&gt;"not_applicable"),AND(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N60&lt;&gt;"",N60&lt;&gt;"not_applicable"),AND(OR(AND(IF($J60="",INDEX(primary_jama_2024_4183_disposition,MATCH($A60,primary_jama_2024_4183_key,0)),$J60)&lt;&gt;"",IF($J60="",INDEX(primary_jama_2024_4183_disposition,MATCH($A60,primary_jama_2024_4183_key,0)),$J60)&lt;&gt;"retain"),NOT(OR(IF($K60="",INDEX(primary_jama_2024_4183_domain,MATCH($A60,primary_jama_2024_4183_key,0)),$K60)="internal_nonstatistical",IF($K60="",INDEX(primary_jama_2024_4183_domain,MATCH($A60,primary_jama_2024_4183_key,0)),$K60)="plan_material"))),O60&lt;&gt;"",O60&lt;&gt;"not_applicable"),AND(OR(AND(IF($J60="",INDEX(primary_jama_2024_4183_disposition,MATCH($A60,primary_jama_2024_4183_key,0)),$J60)&lt;&gt;"",IF($J60="",INDEX(primary_jama_2024_4183_disposition,MATCH($A60,primary_jama_2024_4183_key,0)),$J60)&lt;&gt;"retain"),NOT(OR(IF($K60="",INDEX(primary_jama_2024_4183_domain,MATCH($A60,primary_jama_2024_4183_key,0)),$K60)="protocol_report"))),P60&lt;&gt;"",P60&lt;&gt;"not_applicable")),"CLEAR INACTIVE VALUES",IF(D60="","PENDING",IF(AND(D60&lt;&gt;"agree",LEN(TRIM(E60))=0),"COMMENT NEEDED",IF(F60="yes","CHECKED - see resolution","DRAFT"))))</f>
        <v/>
      </c>
      <c r="H60" s="8" t="inlineStr">
        <is>
          <t>pending</t>
        </is>
      </c>
      <c r="I60" s="11" t="inlineStr"/>
      <c r="J60" s="8" t="inlineStr"/>
      <c r="K60" s="8" t="inlineStr"/>
      <c r="L60" s="8">
        <f>IF(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not_applicable","")</f>
        <v/>
      </c>
      <c r="M60" s="8">
        <f>IF(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not_applicable","")</f>
        <v/>
      </c>
      <c r="N60" s="9">
        <f>IF(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not_applicable","")</f>
        <v/>
      </c>
      <c r="O60" s="8">
        <f>IF(OR(AND(IF($J60="",INDEX(primary_jama_2024_4183_disposition,MATCH($A60,primary_jama_2024_4183_key,0)),$J60)&lt;&gt;"",IF($J60="",INDEX(primary_jama_2024_4183_disposition,MATCH($A60,primary_jama_2024_4183_key,0)),$J60)&lt;&gt;"retain"),NOT(OR(IF($K60="",INDEX(primary_jama_2024_4183_domain,MATCH($A60,primary_jama_2024_4183_key,0)),$K60)="internal_nonstatistical",IF($K60="",INDEX(primary_jama_2024_4183_domain,MATCH($A60,primary_jama_2024_4183_key,0)),$K60)="plan_material"))),"not_applicable","")</f>
        <v/>
      </c>
      <c r="P60" s="9">
        <f>IF(OR(AND(IF($J60="",INDEX(primary_jama_2024_4183_disposition,MATCH($A60,primary_jama_2024_4183_key,0)),$J60)&lt;&gt;"",IF($J60="",INDEX(primary_jama_2024_4183_disposition,MATCH($A60,primary_jama_2024_4183_key,0)),$J60)&lt;&gt;"retain"),NOT(OR(IF($K60="",INDEX(primary_jama_2024_4183_domain,MATCH($A60,primary_jama_2024_4183_key,0)),$K60)="protocol_report"))),"not_applicable","")</f>
        <v/>
      </c>
      <c r="Q60" s="10" t="inlineStr"/>
      <c r="R60" s="10" t="inlineStr"/>
    </row>
    <row r="61" ht="76" customHeight="1">
      <c r="A61" s="3" t="inlineStr">
        <is>
          <t>2024::jama.2024.4183::C009</t>
        </is>
      </c>
      <c r="B61" s="3" t="inlineStr">
        <is>
          <t>jama.2024.4183</t>
        </is>
      </c>
      <c r="C61" s="3" t="inlineStr">
        <is>
          <t>Phase-1 abstainer primary CrI lower endpoint differs</t>
        </is>
      </c>
      <c r="D61" s="8" t="inlineStr"/>
      <c r="E61" s="11" t="inlineStr"/>
      <c r="F61" s="8" t="inlineStr">
        <is>
          <t>no</t>
        </is>
      </c>
      <c r="G61" s="3">
        <f>IF(OR(AND(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L61&lt;&gt;"",L61&lt;&gt;"not_applicable"),AND(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M61&lt;&gt;"",M61&lt;&gt;"not_applicable"),AND(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N61&lt;&gt;"",N61&lt;&gt;"not_applicable"),AND(OR(AND(IF($J61="",INDEX(primary_jama_2024_4183_disposition,MATCH($A61,primary_jama_2024_4183_key,0)),$J61)&lt;&gt;"",IF($J61="",INDEX(primary_jama_2024_4183_disposition,MATCH($A61,primary_jama_2024_4183_key,0)),$J61)&lt;&gt;"retain"),NOT(OR(IF($K61="",INDEX(primary_jama_2024_4183_domain,MATCH($A61,primary_jama_2024_4183_key,0)),$K61)="internal_nonstatistical",IF($K61="",INDEX(primary_jama_2024_4183_domain,MATCH($A61,primary_jama_2024_4183_key,0)),$K61)="plan_material"))),O61&lt;&gt;"",O61&lt;&gt;"not_applicable"),AND(OR(AND(IF($J61="",INDEX(primary_jama_2024_4183_disposition,MATCH($A61,primary_jama_2024_4183_key,0)),$J61)&lt;&gt;"",IF($J61="",INDEX(primary_jama_2024_4183_disposition,MATCH($A61,primary_jama_2024_4183_key,0)),$J61)&lt;&gt;"retain"),NOT(OR(IF($K61="",INDEX(primary_jama_2024_4183_domain,MATCH($A61,primary_jama_2024_4183_key,0)),$K61)="protocol_report"))),P61&lt;&gt;"",P61&lt;&gt;"not_applicable")),"CLEAR INACTIVE VALUES",IF(D61="","PENDING",IF(AND(D61&lt;&gt;"agree",LEN(TRIM(E61))=0),"COMMENT NEEDED",IF(F61="yes","CHECKED - see resolution","DRAFT"))))</f>
        <v/>
      </c>
      <c r="H61" s="8" t="inlineStr">
        <is>
          <t>pending</t>
        </is>
      </c>
      <c r="I61" s="11" t="inlineStr"/>
      <c r="J61" s="8" t="inlineStr"/>
      <c r="K61" s="8" t="inlineStr"/>
      <c r="L61" s="8">
        <f>IF(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not_applicable","")</f>
        <v/>
      </c>
      <c r="M61" s="8">
        <f>IF(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not_applicable","")</f>
        <v/>
      </c>
      <c r="N61" s="9">
        <f>IF(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not_applicable","")</f>
        <v/>
      </c>
      <c r="O61" s="8">
        <f>IF(OR(AND(IF($J61="",INDEX(primary_jama_2024_4183_disposition,MATCH($A61,primary_jama_2024_4183_key,0)),$J61)&lt;&gt;"",IF($J61="",INDEX(primary_jama_2024_4183_disposition,MATCH($A61,primary_jama_2024_4183_key,0)),$J61)&lt;&gt;"retain"),NOT(OR(IF($K61="",INDEX(primary_jama_2024_4183_domain,MATCH($A61,primary_jama_2024_4183_key,0)),$K61)="internal_nonstatistical",IF($K61="",INDEX(primary_jama_2024_4183_domain,MATCH($A61,primary_jama_2024_4183_key,0)),$K61)="plan_material"))),"not_applicable","")</f>
        <v/>
      </c>
      <c r="P61" s="9">
        <f>IF(OR(AND(IF($J61="",INDEX(primary_jama_2024_4183_disposition,MATCH($A61,primary_jama_2024_4183_key,0)),$J61)&lt;&gt;"",IF($J61="",INDEX(primary_jama_2024_4183_disposition,MATCH($A61,primary_jama_2024_4183_key,0)),$J61)&lt;&gt;"retain"),NOT(OR(IF($K61="",INDEX(primary_jama_2024_4183_domain,MATCH($A61,primary_jama_2024_4183_key,0)),$K61)="protocol_report"))),"not_applicable","")</f>
        <v/>
      </c>
      <c r="Q61" s="10" t="inlineStr"/>
      <c r="R61" s="10" t="inlineStr"/>
    </row>
    <row r="62" ht="76" customHeight="1">
      <c r="A62" s="2" t="inlineStr">
        <is>
          <t>2024::jama.2024.4183::C010</t>
        </is>
      </c>
      <c r="B62" s="2" t="inlineStr">
        <is>
          <t>jama.2024.4183</t>
        </is>
      </c>
      <c r="C62" s="2" t="inlineStr">
        <is>
          <t>Protocol beta parameters do not reproduce the paired varenicline response probability</t>
        </is>
      </c>
      <c r="D62" s="8" t="inlineStr"/>
      <c r="E62" s="11" t="inlineStr"/>
      <c r="F62" s="8" t="inlineStr">
        <is>
          <t>no</t>
        </is>
      </c>
      <c r="G62" s="2">
        <f>IF(OR(AND(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L62&lt;&gt;"",L62&lt;&gt;"not_applicable"),AND(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M62&lt;&gt;"",M62&lt;&gt;"not_applicable"),AND(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N62&lt;&gt;"",N62&lt;&gt;"not_applicable"),AND(OR(AND(IF($J62="",INDEX(primary_jama_2024_4183_disposition,MATCH($A62,primary_jama_2024_4183_key,0)),$J62)&lt;&gt;"",IF($J62="",INDEX(primary_jama_2024_4183_disposition,MATCH($A62,primary_jama_2024_4183_key,0)),$J62)&lt;&gt;"retain"),NOT(OR(IF($K62="",INDEX(primary_jama_2024_4183_domain,MATCH($A62,primary_jama_2024_4183_key,0)),$K62)="internal_nonstatistical",IF($K62="",INDEX(primary_jama_2024_4183_domain,MATCH($A62,primary_jama_2024_4183_key,0)),$K62)="plan_material"))),O62&lt;&gt;"",O62&lt;&gt;"not_applicable"),AND(OR(AND(IF($J62="",INDEX(primary_jama_2024_4183_disposition,MATCH($A62,primary_jama_2024_4183_key,0)),$J62)&lt;&gt;"",IF($J62="",INDEX(primary_jama_2024_4183_disposition,MATCH($A62,primary_jama_2024_4183_key,0)),$J62)&lt;&gt;"retain"),NOT(OR(IF($K62="",INDEX(primary_jama_2024_4183_domain,MATCH($A62,primary_jama_2024_4183_key,0)),$K62)="protocol_report"))),P62&lt;&gt;"",P62&lt;&gt;"not_applicable")),"CLEAR INACTIVE VALUES",IF(D62="","PENDING",IF(AND(D62&lt;&gt;"agree",LEN(TRIM(E62))=0),"COMMENT NEEDED",IF(F62="yes","CHECKED - see resolution","DRAFT"))))</f>
        <v/>
      </c>
      <c r="H62" s="8" t="inlineStr">
        <is>
          <t>pending</t>
        </is>
      </c>
      <c r="I62" s="11" t="inlineStr"/>
      <c r="J62" s="8" t="inlineStr"/>
      <c r="K62" s="8" t="inlineStr"/>
      <c r="L62" s="8">
        <f>IF(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not_applicable","")</f>
        <v/>
      </c>
      <c r="M62" s="8">
        <f>IF(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not_applicable","")</f>
        <v/>
      </c>
      <c r="N62" s="9">
        <f>IF(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not_applicable","")</f>
        <v/>
      </c>
      <c r="O62" s="8">
        <f>IF(OR(AND(IF($J62="",INDEX(primary_jama_2024_4183_disposition,MATCH($A62,primary_jama_2024_4183_key,0)),$J62)&lt;&gt;"",IF($J62="",INDEX(primary_jama_2024_4183_disposition,MATCH($A62,primary_jama_2024_4183_key,0)),$J62)&lt;&gt;"retain"),NOT(OR(IF($K62="",INDEX(primary_jama_2024_4183_domain,MATCH($A62,primary_jama_2024_4183_key,0)),$K62)="internal_nonstatistical",IF($K62="",INDEX(primary_jama_2024_4183_domain,MATCH($A62,primary_jama_2024_4183_key,0)),$K62)="plan_material"))),"not_applicable","")</f>
        <v/>
      </c>
      <c r="P62" s="9">
        <f>IF(OR(AND(IF($J62="",INDEX(primary_jama_2024_4183_disposition,MATCH($A62,primary_jama_2024_4183_key,0)),$J62)&lt;&gt;"",IF($J62="",INDEX(primary_jama_2024_4183_disposition,MATCH($A62,primary_jama_2024_4183_key,0)),$J62)&lt;&gt;"retain"),NOT(OR(IF($K62="",INDEX(primary_jama_2024_4183_domain,MATCH($A62,primary_jama_2024_4183_key,0)),$K62)="protocol_report"))),"not_applicable","")</f>
        <v/>
      </c>
      <c r="Q62" s="10" t="inlineStr"/>
      <c r="R62" s="10" t="inlineStr"/>
    </row>
    <row r="63" ht="76" customHeight="1">
      <c r="A63" s="3" t="inlineStr">
        <is>
          <t>2024::jama.2024.4183::C011</t>
        </is>
      </c>
      <c r="B63" s="3" t="inlineStr">
        <is>
          <t>jama.2024.4183</t>
        </is>
      </c>
      <c r="C63" s="3" t="inlineStr">
        <is>
          <t>Protocol Aim-1 power increases at a stricter nested threshold</t>
        </is>
      </c>
      <c r="D63" s="8" t="inlineStr"/>
      <c r="E63" s="11" t="inlineStr"/>
      <c r="F63" s="8" t="inlineStr">
        <is>
          <t>no</t>
        </is>
      </c>
      <c r="G63" s="3">
        <f>IF(OR(AND(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L63&lt;&gt;"",L63&lt;&gt;"not_applicable"),AND(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M63&lt;&gt;"",M63&lt;&gt;"not_applicable"),AND(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N63&lt;&gt;"",N63&lt;&gt;"not_applicable"),AND(OR(AND(IF($J63="",INDEX(primary_jama_2024_4183_disposition,MATCH($A63,primary_jama_2024_4183_key,0)),$J63)&lt;&gt;"",IF($J63="",INDEX(primary_jama_2024_4183_disposition,MATCH($A63,primary_jama_2024_4183_key,0)),$J63)&lt;&gt;"retain"),NOT(OR(IF($K63="",INDEX(primary_jama_2024_4183_domain,MATCH($A63,primary_jama_2024_4183_key,0)),$K63)="internal_nonstatistical",IF($K63="",INDEX(primary_jama_2024_4183_domain,MATCH($A63,primary_jama_2024_4183_key,0)),$K63)="plan_material"))),O63&lt;&gt;"",O63&lt;&gt;"not_applicable"),AND(OR(AND(IF($J63="",INDEX(primary_jama_2024_4183_disposition,MATCH($A63,primary_jama_2024_4183_key,0)),$J63)&lt;&gt;"",IF($J63="",INDEX(primary_jama_2024_4183_disposition,MATCH($A63,primary_jama_2024_4183_key,0)),$J63)&lt;&gt;"retain"),NOT(OR(IF($K63="",INDEX(primary_jama_2024_4183_domain,MATCH($A63,primary_jama_2024_4183_key,0)),$K63)="protocol_report"))),P63&lt;&gt;"",P63&lt;&gt;"not_applicable")),"CLEAR INACTIVE VALUES",IF(D63="","PENDING",IF(AND(D63&lt;&gt;"agree",LEN(TRIM(E63))=0),"COMMENT NEEDED",IF(F63="yes","CHECKED - see resolution","DRAFT"))))</f>
        <v/>
      </c>
      <c r="H63" s="8" t="inlineStr">
        <is>
          <t>pending</t>
        </is>
      </c>
      <c r="I63" s="11" t="inlineStr"/>
      <c r="J63" s="8" t="inlineStr"/>
      <c r="K63" s="8" t="inlineStr"/>
      <c r="L63" s="8">
        <f>IF(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not_applicable","")</f>
        <v/>
      </c>
      <c r="M63" s="8">
        <f>IF(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not_applicable","")</f>
        <v/>
      </c>
      <c r="N63" s="9">
        <f>IF(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not_applicable","")</f>
        <v/>
      </c>
      <c r="O63" s="8">
        <f>IF(OR(AND(IF($J63="",INDEX(primary_jama_2024_4183_disposition,MATCH($A63,primary_jama_2024_4183_key,0)),$J63)&lt;&gt;"",IF($J63="",INDEX(primary_jama_2024_4183_disposition,MATCH($A63,primary_jama_2024_4183_key,0)),$J63)&lt;&gt;"retain"),NOT(OR(IF($K63="",INDEX(primary_jama_2024_4183_domain,MATCH($A63,primary_jama_2024_4183_key,0)),$K63)="internal_nonstatistical",IF($K63="",INDEX(primary_jama_2024_4183_domain,MATCH($A63,primary_jama_2024_4183_key,0)),$K63)="plan_material"))),"not_applicable","")</f>
        <v/>
      </c>
      <c r="P63" s="9">
        <f>IF(OR(AND(IF($J63="",INDEX(primary_jama_2024_4183_disposition,MATCH($A63,primary_jama_2024_4183_key,0)),$J63)&lt;&gt;"",IF($J63="",INDEX(primary_jama_2024_4183_disposition,MATCH($A63,primary_jama_2024_4183_key,0)),$J63)&lt;&gt;"retain"),NOT(OR(IF($K63="",INDEX(primary_jama_2024_4183_domain,MATCH($A63,primary_jama_2024_4183_key,0)),$K63)="protocol_report"))),"not_applicable","")</f>
        <v/>
      </c>
      <c r="Q63" s="10" t="inlineStr"/>
      <c r="R63" s="10" t="inlineStr"/>
    </row>
    <row r="64" ht="76" customHeight="1">
      <c r="A64" s="2" t="inlineStr">
        <is>
          <t>2024::jama.2024.4183::C012</t>
        </is>
      </c>
      <c r="B64" s="2" t="inlineStr">
        <is>
          <t>jama.2024.4183</t>
        </is>
      </c>
      <c r="C64" s="2" t="inlineStr">
        <is>
          <t>Protocol Table 3 duplicates an Aim-2 comparator label</t>
        </is>
      </c>
      <c r="D64" s="8" t="inlineStr"/>
      <c r="E64" s="11" t="inlineStr"/>
      <c r="F64" s="8" t="inlineStr">
        <is>
          <t>no</t>
        </is>
      </c>
      <c r="G64" s="2">
        <f>IF(OR(AND(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L64&lt;&gt;"",L64&lt;&gt;"not_applicable"),AND(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M64&lt;&gt;"",M64&lt;&gt;"not_applicable"),AND(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N64&lt;&gt;"",N64&lt;&gt;"not_applicable"),AND(OR(AND(IF($J64="",INDEX(primary_jama_2024_4183_disposition,MATCH($A64,primary_jama_2024_4183_key,0)),$J64)&lt;&gt;"",IF($J64="",INDEX(primary_jama_2024_4183_disposition,MATCH($A64,primary_jama_2024_4183_key,0)),$J64)&lt;&gt;"retain"),NOT(OR(IF($K64="",INDEX(primary_jama_2024_4183_domain,MATCH($A64,primary_jama_2024_4183_key,0)),$K64)="internal_nonstatistical",IF($K64="",INDEX(primary_jama_2024_4183_domain,MATCH($A64,primary_jama_2024_4183_key,0)),$K64)="plan_material"))),O64&lt;&gt;"",O64&lt;&gt;"not_applicable"),AND(OR(AND(IF($J64="",INDEX(primary_jama_2024_4183_disposition,MATCH($A64,primary_jama_2024_4183_key,0)),$J64)&lt;&gt;"",IF($J64="",INDEX(primary_jama_2024_4183_disposition,MATCH($A64,primary_jama_2024_4183_key,0)),$J64)&lt;&gt;"retain"),NOT(OR(IF($K64="",INDEX(primary_jama_2024_4183_domain,MATCH($A64,primary_jama_2024_4183_key,0)),$K64)="protocol_report"))),P64&lt;&gt;"",P64&lt;&gt;"not_applicable")),"CLEAR INACTIVE VALUES",IF(D64="","PENDING",IF(AND(D64&lt;&gt;"agree",LEN(TRIM(E64))=0),"COMMENT NEEDED",IF(F64="yes","CHECKED - see resolution","DRAFT"))))</f>
        <v/>
      </c>
      <c r="H64" s="8" t="inlineStr">
        <is>
          <t>pending</t>
        </is>
      </c>
      <c r="I64" s="11" t="inlineStr"/>
      <c r="J64" s="8" t="inlineStr"/>
      <c r="K64" s="8" t="inlineStr"/>
      <c r="L64" s="8">
        <f>IF(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not_applicable","")</f>
        <v/>
      </c>
      <c r="M64" s="8">
        <f>IF(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not_applicable","")</f>
        <v/>
      </c>
      <c r="N64" s="9">
        <f>IF(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not_applicable","")</f>
        <v/>
      </c>
      <c r="O64" s="8">
        <f>IF(OR(AND(IF($J64="",INDEX(primary_jama_2024_4183_disposition,MATCH($A64,primary_jama_2024_4183_key,0)),$J64)&lt;&gt;"",IF($J64="",INDEX(primary_jama_2024_4183_disposition,MATCH($A64,primary_jama_2024_4183_key,0)),$J64)&lt;&gt;"retain"),NOT(OR(IF($K64="",INDEX(primary_jama_2024_4183_domain,MATCH($A64,primary_jama_2024_4183_key,0)),$K64)="internal_nonstatistical",IF($K64="",INDEX(primary_jama_2024_4183_domain,MATCH($A64,primary_jama_2024_4183_key,0)),$K64)="plan_material"))),"not_applicable","")</f>
        <v/>
      </c>
      <c r="P64" s="9">
        <f>IF(OR(AND(IF($J64="",INDEX(primary_jama_2024_4183_disposition,MATCH($A64,primary_jama_2024_4183_key,0)),$J64)&lt;&gt;"",IF($J64="",INDEX(primary_jama_2024_4183_disposition,MATCH($A64,primary_jama_2024_4183_key,0)),$J64)&lt;&gt;"retain"),NOT(OR(IF($K64="",INDEX(primary_jama_2024_4183_domain,MATCH($A64,primary_jama_2024_4183_key,0)),$K64)="protocol_report"))),"not_applicable","")</f>
        <v/>
      </c>
      <c r="Q64" s="10" t="inlineStr"/>
      <c r="R64" s="10" t="inlineStr"/>
    </row>
    <row r="65" ht="76" customHeight="1">
      <c r="A65" s="3" t="inlineStr">
        <is>
          <t>2024::jama.2024.4183::C013</t>
        </is>
      </c>
      <c r="B65" s="3" t="inlineStr">
        <is>
          <t>jama.2024.4183</t>
        </is>
      </c>
      <c r="C65" s="3" t="inlineStr">
        <is>
          <t>ETable 3 reverses count and percentage in one n (%) cell</t>
        </is>
      </c>
      <c r="D65" s="8" t="inlineStr"/>
      <c r="E65" s="11" t="inlineStr"/>
      <c r="F65" s="8" t="inlineStr">
        <is>
          <t>no</t>
        </is>
      </c>
      <c r="G65" s="3">
        <f>IF(OR(AND(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L65&lt;&gt;"",L65&lt;&gt;"not_applicable"),AND(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M65&lt;&gt;"",M65&lt;&gt;"not_applicable"),AND(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N65&lt;&gt;"",N65&lt;&gt;"not_applicable"),AND(OR(AND(IF($J65="",INDEX(primary_jama_2024_4183_disposition,MATCH($A65,primary_jama_2024_4183_key,0)),$J65)&lt;&gt;"",IF($J65="",INDEX(primary_jama_2024_4183_disposition,MATCH($A65,primary_jama_2024_4183_key,0)),$J65)&lt;&gt;"retain"),NOT(OR(IF($K65="",INDEX(primary_jama_2024_4183_domain,MATCH($A65,primary_jama_2024_4183_key,0)),$K65)="internal_nonstatistical",IF($K65="",INDEX(primary_jama_2024_4183_domain,MATCH($A65,primary_jama_2024_4183_key,0)),$K65)="plan_material"))),O65&lt;&gt;"",O65&lt;&gt;"not_applicable"),AND(OR(AND(IF($J65="",INDEX(primary_jama_2024_4183_disposition,MATCH($A65,primary_jama_2024_4183_key,0)),$J65)&lt;&gt;"",IF($J65="",INDEX(primary_jama_2024_4183_disposition,MATCH($A65,primary_jama_2024_4183_key,0)),$J65)&lt;&gt;"retain"),NOT(OR(IF($K65="",INDEX(primary_jama_2024_4183_domain,MATCH($A65,primary_jama_2024_4183_key,0)),$K65)="protocol_report"))),P65&lt;&gt;"",P65&lt;&gt;"not_applicable")),"CLEAR INACTIVE VALUES",IF(D65="","PENDING",IF(AND(D65&lt;&gt;"agree",LEN(TRIM(E65))=0),"COMMENT NEEDED",IF(F65="yes","CHECKED - see resolution","DRAFT"))))</f>
        <v/>
      </c>
      <c r="H65" s="8" t="inlineStr">
        <is>
          <t>pending</t>
        </is>
      </c>
      <c r="I65" s="11" t="inlineStr"/>
      <c r="J65" s="8" t="inlineStr"/>
      <c r="K65" s="8" t="inlineStr"/>
      <c r="L65" s="8">
        <f>IF(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not_applicable","")</f>
        <v/>
      </c>
      <c r="M65" s="8">
        <f>IF(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not_applicable","")</f>
        <v/>
      </c>
      <c r="N65" s="9">
        <f>IF(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not_applicable","")</f>
        <v/>
      </c>
      <c r="O65" s="8">
        <f>IF(OR(AND(IF($J65="",INDEX(primary_jama_2024_4183_disposition,MATCH($A65,primary_jama_2024_4183_key,0)),$J65)&lt;&gt;"",IF($J65="",INDEX(primary_jama_2024_4183_disposition,MATCH($A65,primary_jama_2024_4183_key,0)),$J65)&lt;&gt;"retain"),NOT(OR(IF($K65="",INDEX(primary_jama_2024_4183_domain,MATCH($A65,primary_jama_2024_4183_key,0)),$K65)="internal_nonstatistical",IF($K65="",INDEX(primary_jama_2024_4183_domain,MATCH($A65,primary_jama_2024_4183_key,0)),$K65)="plan_material"))),"not_applicable","")</f>
        <v/>
      </c>
      <c r="P65" s="9">
        <f>IF(OR(AND(IF($J65="",INDEX(primary_jama_2024_4183_disposition,MATCH($A65,primary_jama_2024_4183_key,0)),$J65)&lt;&gt;"",IF($J65="",INDEX(primary_jama_2024_4183_disposition,MATCH($A65,primary_jama_2024_4183_key,0)),$J65)&lt;&gt;"retain"),NOT(OR(IF($K65="",INDEX(primary_jama_2024_4183_domain,MATCH($A65,primary_jama_2024_4183_key,0)),$K65)="protocol_report"))),"not_applicable","")</f>
        <v/>
      </c>
      <c r="Q65" s="10" t="inlineStr"/>
      <c r="R65" s="10" t="inlineStr"/>
    </row>
    <row r="66" ht="76" customHeight="1">
      <c r="A66" s="2" t="inlineStr">
        <is>
          <t>2024::jama.2024.4183::C014</t>
        </is>
      </c>
      <c r="B66" s="2" t="inlineStr">
        <is>
          <t>jama.2024.4183</t>
        </is>
      </c>
      <c r="C66" s="2" t="inlineStr">
        <is>
          <t>EOT+30 CNRT-switch cell estimate and CrI do not reconcile with matched figure as printed</t>
        </is>
      </c>
      <c r="D66" s="8" t="inlineStr"/>
      <c r="E66" s="11" t="inlineStr"/>
      <c r="F66" s="8" t="inlineStr">
        <is>
          <t>no</t>
        </is>
      </c>
      <c r="G66" s="2">
        <f>IF(OR(AND(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L66&lt;&gt;"",L66&lt;&gt;"not_applicable"),AND(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M66&lt;&gt;"",M66&lt;&gt;"not_applicable"),AND(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N66&lt;&gt;"",N66&lt;&gt;"not_applicable"),AND(OR(AND(IF($J66="",INDEX(primary_jama_2024_4183_disposition,MATCH($A66,primary_jama_2024_4183_key,0)),$J66)&lt;&gt;"",IF($J66="",INDEX(primary_jama_2024_4183_disposition,MATCH($A66,primary_jama_2024_4183_key,0)),$J66)&lt;&gt;"retain"),NOT(OR(IF($K66="",INDEX(primary_jama_2024_4183_domain,MATCH($A66,primary_jama_2024_4183_key,0)),$K66)="internal_nonstatistical",IF($K66="",INDEX(primary_jama_2024_4183_domain,MATCH($A66,primary_jama_2024_4183_key,0)),$K66)="plan_material"))),O66&lt;&gt;"",O66&lt;&gt;"not_applicable"),AND(OR(AND(IF($J66="",INDEX(primary_jama_2024_4183_disposition,MATCH($A66,primary_jama_2024_4183_key,0)),$J66)&lt;&gt;"",IF($J66="",INDEX(primary_jama_2024_4183_disposition,MATCH($A66,primary_jama_2024_4183_key,0)),$J66)&lt;&gt;"retain"),NOT(OR(IF($K66="",INDEX(primary_jama_2024_4183_domain,MATCH($A66,primary_jama_2024_4183_key,0)),$K66)="protocol_report"))),P66&lt;&gt;"",P66&lt;&gt;"not_applicable")),"CLEAR INACTIVE VALUES",IF(D66="","PENDING",IF(AND(D66&lt;&gt;"agree",LEN(TRIM(E66))=0),"COMMENT NEEDED",IF(F66="yes","CHECKED - see resolution","DRAFT"))))</f>
        <v/>
      </c>
      <c r="H66" s="8" t="inlineStr">
        <is>
          <t>pending</t>
        </is>
      </c>
      <c r="I66" s="11" t="inlineStr"/>
      <c r="J66" s="8" t="inlineStr"/>
      <c r="K66" s="8" t="inlineStr"/>
      <c r="L66" s="8">
        <f>IF(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not_applicable","")</f>
        <v/>
      </c>
      <c r="M66" s="8">
        <f>IF(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not_applicable","")</f>
        <v/>
      </c>
      <c r="N66" s="9">
        <f>IF(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not_applicable","")</f>
        <v/>
      </c>
      <c r="O66" s="8">
        <f>IF(OR(AND(IF($J66="",INDEX(primary_jama_2024_4183_disposition,MATCH($A66,primary_jama_2024_4183_key,0)),$J66)&lt;&gt;"",IF($J66="",INDEX(primary_jama_2024_4183_disposition,MATCH($A66,primary_jama_2024_4183_key,0)),$J66)&lt;&gt;"retain"),NOT(OR(IF($K66="",INDEX(primary_jama_2024_4183_domain,MATCH($A66,primary_jama_2024_4183_key,0)),$K66)="internal_nonstatistical",IF($K66="",INDEX(primary_jama_2024_4183_domain,MATCH($A66,primary_jama_2024_4183_key,0)),$K66)="plan_material"))),"not_applicable","")</f>
        <v/>
      </c>
      <c r="P66" s="9">
        <f>IF(OR(AND(IF($J66="",INDEX(primary_jama_2024_4183_disposition,MATCH($A66,primary_jama_2024_4183_key,0)),$J66)&lt;&gt;"",IF($J66="",INDEX(primary_jama_2024_4183_disposition,MATCH($A66,primary_jama_2024_4183_key,0)),$J66)&lt;&gt;"retain"),NOT(OR(IF($K66="",INDEX(primary_jama_2024_4183_domain,MATCH($A66,primary_jama_2024_4183_key,0)),$K66)="protocol_report"))),"not_applicable","")</f>
        <v/>
      </c>
      <c r="Q66" s="10" t="inlineStr"/>
      <c r="R66" s="10" t="inlineStr"/>
    </row>
    <row r="67" ht="76" customHeight="1">
      <c r="A67" s="3" t="inlineStr">
        <is>
          <t>2024::jama.2024.4183::C015</t>
        </is>
      </c>
      <c r="B67" s="3" t="inlineStr">
        <is>
          <t>jama.2024.4183</t>
        </is>
      </c>
      <c r="C67" s="3" t="inlineStr">
        <is>
          <t>EOT+30 increased-CNRT cell CrI upper endpoint does not reconcile with matched figure as printed</t>
        </is>
      </c>
      <c r="D67" s="8" t="inlineStr"/>
      <c r="E67" s="11" t="inlineStr"/>
      <c r="F67" s="8" t="inlineStr">
        <is>
          <t>no</t>
        </is>
      </c>
      <c r="G67" s="3">
        <f>IF(OR(AND(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L67&lt;&gt;"",L67&lt;&gt;"not_applicable"),AND(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M67&lt;&gt;"",M67&lt;&gt;"not_applicable"),AND(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N67&lt;&gt;"",N67&lt;&gt;"not_applicable"),AND(OR(AND(IF($J67="",INDEX(primary_jama_2024_4183_disposition,MATCH($A67,primary_jama_2024_4183_key,0)),$J67)&lt;&gt;"",IF($J67="",INDEX(primary_jama_2024_4183_disposition,MATCH($A67,primary_jama_2024_4183_key,0)),$J67)&lt;&gt;"retain"),NOT(OR(IF($K67="",INDEX(primary_jama_2024_4183_domain,MATCH($A67,primary_jama_2024_4183_key,0)),$K67)="internal_nonstatistical",IF($K67="",INDEX(primary_jama_2024_4183_domain,MATCH($A67,primary_jama_2024_4183_key,0)),$K67)="plan_material"))),O67&lt;&gt;"",O67&lt;&gt;"not_applicable"),AND(OR(AND(IF($J67="",INDEX(primary_jama_2024_4183_disposition,MATCH($A67,primary_jama_2024_4183_key,0)),$J67)&lt;&gt;"",IF($J67="",INDEX(primary_jama_2024_4183_disposition,MATCH($A67,primary_jama_2024_4183_key,0)),$J67)&lt;&gt;"retain"),NOT(OR(IF($K67="",INDEX(primary_jama_2024_4183_domain,MATCH($A67,primary_jama_2024_4183_key,0)),$K67)="protocol_report"))),P67&lt;&gt;"",P67&lt;&gt;"not_applicable")),"CLEAR INACTIVE VALUES",IF(D67="","PENDING",IF(AND(D67&lt;&gt;"agree",LEN(TRIM(E67))=0),"COMMENT NEEDED",IF(F67="yes","CHECKED - see resolution","DRAFT"))))</f>
        <v/>
      </c>
      <c r="H67" s="8" t="inlineStr">
        <is>
          <t>pending</t>
        </is>
      </c>
      <c r="I67" s="11" t="inlineStr"/>
      <c r="J67" s="8" t="inlineStr"/>
      <c r="K67" s="8" t="inlineStr"/>
      <c r="L67" s="8">
        <f>IF(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not_applicable","")</f>
        <v/>
      </c>
      <c r="M67" s="8">
        <f>IF(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not_applicable","")</f>
        <v/>
      </c>
      <c r="N67" s="9">
        <f>IF(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not_applicable","")</f>
        <v/>
      </c>
      <c r="O67" s="8">
        <f>IF(OR(AND(IF($J67="",INDEX(primary_jama_2024_4183_disposition,MATCH($A67,primary_jama_2024_4183_key,0)),$J67)&lt;&gt;"",IF($J67="",INDEX(primary_jama_2024_4183_disposition,MATCH($A67,primary_jama_2024_4183_key,0)),$J67)&lt;&gt;"retain"),NOT(OR(IF($K67="",INDEX(primary_jama_2024_4183_domain,MATCH($A67,primary_jama_2024_4183_key,0)),$K67)="internal_nonstatistical",IF($K67="",INDEX(primary_jama_2024_4183_domain,MATCH($A67,primary_jama_2024_4183_key,0)),$K67)="plan_material"))),"not_applicable","")</f>
        <v/>
      </c>
      <c r="P67" s="9">
        <f>IF(OR(AND(IF($J67="",INDEX(primary_jama_2024_4183_disposition,MATCH($A67,primary_jama_2024_4183_key,0)),$J67)&lt;&gt;"",IF($J67="",INDEX(primary_jama_2024_4183_disposition,MATCH($A67,primary_jama_2024_4183_key,0)),$J67)&lt;&gt;"retain"),NOT(OR(IF($K67="",INDEX(primary_jama_2024_4183_domain,MATCH($A67,primary_jama_2024_4183_key,0)),$K67)="protocol_report"))),"not_applicable","")</f>
        <v/>
      </c>
      <c r="Q67" s="10" t="inlineStr"/>
      <c r="R67" s="10" t="inlineStr"/>
    </row>
    <row r="68" ht="76" customHeight="1">
      <c r="A68" s="2" t="inlineStr">
        <is>
          <t>2024::jama.2024.4183::C016</t>
        </is>
      </c>
      <c r="B68" s="2" t="inlineStr">
        <is>
          <t>jama.2024.4183</t>
        </is>
      </c>
      <c r="C68" s="2" t="inlineStr">
        <is>
          <t>EOT+30 CNRT-switch ARD CrI upper endpoint does not reconcile with matched table as printed</t>
        </is>
      </c>
      <c r="D68" s="8" t="inlineStr"/>
      <c r="E68" s="11" t="inlineStr"/>
      <c r="F68" s="8" t="inlineStr">
        <is>
          <t>no</t>
        </is>
      </c>
      <c r="G68" s="2">
        <f>IF(OR(AND(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L68&lt;&gt;"",L68&lt;&gt;"not_applicable"),AND(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M68&lt;&gt;"",M68&lt;&gt;"not_applicable"),AND(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N68&lt;&gt;"",N68&lt;&gt;"not_applicable"),AND(OR(AND(IF($J68="",INDEX(primary_jama_2024_4183_disposition,MATCH($A68,primary_jama_2024_4183_key,0)),$J68)&lt;&gt;"",IF($J68="",INDEX(primary_jama_2024_4183_disposition,MATCH($A68,primary_jama_2024_4183_key,0)),$J68)&lt;&gt;"retain"),NOT(OR(IF($K68="",INDEX(primary_jama_2024_4183_domain,MATCH($A68,primary_jama_2024_4183_key,0)),$K68)="internal_nonstatistical",IF($K68="",INDEX(primary_jama_2024_4183_domain,MATCH($A68,primary_jama_2024_4183_key,0)),$K68)="plan_material"))),O68&lt;&gt;"",O68&lt;&gt;"not_applicable"),AND(OR(AND(IF($J68="",INDEX(primary_jama_2024_4183_disposition,MATCH($A68,primary_jama_2024_4183_key,0)),$J68)&lt;&gt;"",IF($J68="",INDEX(primary_jama_2024_4183_disposition,MATCH($A68,primary_jama_2024_4183_key,0)),$J68)&lt;&gt;"retain"),NOT(OR(IF($K68="",INDEX(primary_jama_2024_4183_domain,MATCH($A68,primary_jama_2024_4183_key,0)),$K68)="protocol_report"))),P68&lt;&gt;"",P68&lt;&gt;"not_applicable")),"CLEAR INACTIVE VALUES",IF(D68="","PENDING",IF(AND(D68&lt;&gt;"agree",LEN(TRIM(E68))=0),"COMMENT NEEDED",IF(F68="yes","CHECKED - see resolution","DRAFT"))))</f>
        <v/>
      </c>
      <c r="H68" s="8" t="inlineStr">
        <is>
          <t>pending</t>
        </is>
      </c>
      <c r="I68" s="11" t="inlineStr"/>
      <c r="J68" s="8" t="inlineStr"/>
      <c r="K68" s="8" t="inlineStr"/>
      <c r="L68" s="8">
        <f>IF(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not_applicable","")</f>
        <v/>
      </c>
      <c r="M68" s="8">
        <f>IF(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not_applicable","")</f>
        <v/>
      </c>
      <c r="N68" s="9">
        <f>IF(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not_applicable","")</f>
        <v/>
      </c>
      <c r="O68" s="8">
        <f>IF(OR(AND(IF($J68="",INDEX(primary_jama_2024_4183_disposition,MATCH($A68,primary_jama_2024_4183_key,0)),$J68)&lt;&gt;"",IF($J68="",INDEX(primary_jama_2024_4183_disposition,MATCH($A68,primary_jama_2024_4183_key,0)),$J68)&lt;&gt;"retain"),NOT(OR(IF($K68="",INDEX(primary_jama_2024_4183_domain,MATCH($A68,primary_jama_2024_4183_key,0)),$K68)="internal_nonstatistical",IF($K68="",INDEX(primary_jama_2024_4183_domain,MATCH($A68,primary_jama_2024_4183_key,0)),$K68)="plan_material"))),"not_applicable","")</f>
        <v/>
      </c>
      <c r="P68" s="9">
        <f>IF(OR(AND(IF($J68="",INDEX(primary_jama_2024_4183_disposition,MATCH($A68,primary_jama_2024_4183_key,0)),$J68)&lt;&gt;"",IF($J68="",INDEX(primary_jama_2024_4183_disposition,MATCH($A68,primary_jama_2024_4183_key,0)),$J68)&lt;&gt;"retain"),NOT(OR(IF($K68="",INDEX(primary_jama_2024_4183_domain,MATCH($A68,primary_jama_2024_4183_key,0)),$K68)="protocol_report"))),"not_applicable","")</f>
        <v/>
      </c>
      <c r="Q68" s="10" t="inlineStr"/>
      <c r="R68" s="10" t="inlineStr"/>
    </row>
    <row r="69" ht="76" customHeight="1">
      <c r="A69" s="3" t="inlineStr">
        <is>
          <t>2024::jama.2024.4183::C017</t>
        </is>
      </c>
      <c r="B69" s="3" t="inlineStr">
        <is>
          <t>jama.2024.4183</t>
        </is>
      </c>
      <c r="C69" s="3" t="inlineStr">
        <is>
          <t>EOT+30 increased-varenicline narrative has repeated intervals that do not reconcile as printed</t>
        </is>
      </c>
      <c r="D69" s="8" t="inlineStr"/>
      <c r="E69" s="11" t="inlineStr"/>
      <c r="F69" s="8" t="inlineStr">
        <is>
          <t>no</t>
        </is>
      </c>
      <c r="G69" s="3">
        <f>IF(OR(AND(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L69&lt;&gt;"",L69&lt;&gt;"not_applicable"),AND(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M69&lt;&gt;"",M69&lt;&gt;"not_applicable"),AND(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N69&lt;&gt;"",N69&lt;&gt;"not_applicable"),AND(OR(AND(IF($J69="",INDEX(primary_jama_2024_4183_disposition,MATCH($A69,primary_jama_2024_4183_key,0)),$J69)&lt;&gt;"",IF($J69="",INDEX(primary_jama_2024_4183_disposition,MATCH($A69,primary_jama_2024_4183_key,0)),$J69)&lt;&gt;"retain"),NOT(OR(IF($K69="",INDEX(primary_jama_2024_4183_domain,MATCH($A69,primary_jama_2024_4183_key,0)),$K69)="internal_nonstatistical",IF($K69="",INDEX(primary_jama_2024_4183_domain,MATCH($A69,primary_jama_2024_4183_key,0)),$K69)="plan_material"))),O69&lt;&gt;"",O69&lt;&gt;"not_applicable"),AND(OR(AND(IF($J69="",INDEX(primary_jama_2024_4183_disposition,MATCH($A69,primary_jama_2024_4183_key,0)),$J69)&lt;&gt;"",IF($J69="",INDEX(primary_jama_2024_4183_disposition,MATCH($A69,primary_jama_2024_4183_key,0)),$J69)&lt;&gt;"retain"),NOT(OR(IF($K69="",INDEX(primary_jama_2024_4183_domain,MATCH($A69,primary_jama_2024_4183_key,0)),$K69)="protocol_report"))),P69&lt;&gt;"",P69&lt;&gt;"not_applicable")),"CLEAR INACTIVE VALUES",IF(D69="","PENDING",IF(AND(D69&lt;&gt;"agree",LEN(TRIM(E69))=0),"COMMENT NEEDED",IF(F69="yes","CHECKED - see resolution","DRAFT"))))</f>
        <v/>
      </c>
      <c r="H69" s="8" t="inlineStr">
        <is>
          <t>pending</t>
        </is>
      </c>
      <c r="I69" s="11" t="inlineStr"/>
      <c r="J69" s="8" t="inlineStr"/>
      <c r="K69" s="8" t="inlineStr"/>
      <c r="L69" s="8">
        <f>IF(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not_applicable","")</f>
        <v/>
      </c>
      <c r="M69" s="8">
        <f>IF(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not_applicable","")</f>
        <v/>
      </c>
      <c r="N69" s="9">
        <f>IF(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not_applicable","")</f>
        <v/>
      </c>
      <c r="O69" s="8">
        <f>IF(OR(AND(IF($J69="",INDEX(primary_jama_2024_4183_disposition,MATCH($A69,primary_jama_2024_4183_key,0)),$J69)&lt;&gt;"",IF($J69="",INDEX(primary_jama_2024_4183_disposition,MATCH($A69,primary_jama_2024_4183_key,0)),$J69)&lt;&gt;"retain"),NOT(OR(IF($K69="",INDEX(primary_jama_2024_4183_domain,MATCH($A69,primary_jama_2024_4183_key,0)),$K69)="internal_nonstatistical",IF($K69="",INDEX(primary_jama_2024_4183_domain,MATCH($A69,primary_jama_2024_4183_key,0)),$K69)="plan_material"))),"not_applicable","")</f>
        <v/>
      </c>
      <c r="P69" s="9">
        <f>IF(OR(AND(IF($J69="",INDEX(primary_jama_2024_4183_disposition,MATCH($A69,primary_jama_2024_4183_key,0)),$J69)&lt;&gt;"",IF($J69="",INDEX(primary_jama_2024_4183_disposition,MATCH($A69,primary_jama_2024_4183_key,0)),$J69)&lt;&gt;"retain"),NOT(OR(IF($K69="",INDEX(primary_jama_2024_4183_domain,MATCH($A69,primary_jama_2024_4183_key,0)),$K69)="protocol_report"))),"not_applicable","")</f>
        <v/>
      </c>
      <c r="Q69" s="10" t="inlineStr"/>
      <c r="R69" s="10" t="inlineStr"/>
    </row>
    <row r="70" ht="76" customHeight="1">
      <c r="A70" s="2" t="inlineStr">
        <is>
          <t>2024::jama.2024.4183::C018</t>
        </is>
      </c>
      <c r="B70" s="2" t="inlineStr">
        <is>
          <t>jama.2024.4183</t>
        </is>
      </c>
      <c r="C70" s="2" t="inlineStr">
        <is>
          <t>EOT+30 abstainer ARD is 1.1% in narrative but 11% in eTable</t>
        </is>
      </c>
      <c r="D70" s="8" t="inlineStr"/>
      <c r="E70" s="11" t="inlineStr"/>
      <c r="F70" s="8" t="inlineStr">
        <is>
          <t>no</t>
        </is>
      </c>
      <c r="G70" s="2">
        <f>IF(OR(AND(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L70&lt;&gt;"",L70&lt;&gt;"not_applicable"),AND(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M70&lt;&gt;"",M70&lt;&gt;"not_applicable"),AND(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N70&lt;&gt;"",N70&lt;&gt;"not_applicable"),AND(OR(AND(IF($J70="",INDEX(primary_jama_2024_4183_disposition,MATCH($A70,primary_jama_2024_4183_key,0)),$J70)&lt;&gt;"",IF($J70="",INDEX(primary_jama_2024_4183_disposition,MATCH($A70,primary_jama_2024_4183_key,0)),$J70)&lt;&gt;"retain"),NOT(OR(IF($K70="",INDEX(primary_jama_2024_4183_domain,MATCH($A70,primary_jama_2024_4183_key,0)),$K70)="internal_nonstatistical",IF($K70="",INDEX(primary_jama_2024_4183_domain,MATCH($A70,primary_jama_2024_4183_key,0)),$K70)="plan_material"))),O70&lt;&gt;"",O70&lt;&gt;"not_applicable"),AND(OR(AND(IF($J70="",INDEX(primary_jama_2024_4183_disposition,MATCH($A70,primary_jama_2024_4183_key,0)),$J70)&lt;&gt;"",IF($J70="",INDEX(primary_jama_2024_4183_disposition,MATCH($A70,primary_jama_2024_4183_key,0)),$J70)&lt;&gt;"retain"),NOT(OR(IF($K70="",INDEX(primary_jama_2024_4183_domain,MATCH($A70,primary_jama_2024_4183_key,0)),$K70)="protocol_report"))),P70&lt;&gt;"",P70&lt;&gt;"not_applicable")),"CLEAR INACTIVE VALUES",IF(D70="","PENDING",IF(AND(D70&lt;&gt;"agree",LEN(TRIM(E70))=0),"COMMENT NEEDED",IF(F70="yes","CHECKED - see resolution","DRAFT"))))</f>
        <v/>
      </c>
      <c r="H70" s="8" t="inlineStr">
        <is>
          <t>pending</t>
        </is>
      </c>
      <c r="I70" s="11" t="inlineStr"/>
      <c r="J70" s="8" t="inlineStr"/>
      <c r="K70" s="8" t="inlineStr"/>
      <c r="L70" s="8">
        <f>IF(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not_applicable","")</f>
        <v/>
      </c>
      <c r="M70" s="8">
        <f>IF(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not_applicable","")</f>
        <v/>
      </c>
      <c r="N70" s="9">
        <f>IF(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not_applicable","")</f>
        <v/>
      </c>
      <c r="O70" s="8">
        <f>IF(OR(AND(IF($J70="",INDEX(primary_jama_2024_4183_disposition,MATCH($A70,primary_jama_2024_4183_key,0)),$J70)&lt;&gt;"",IF($J70="",INDEX(primary_jama_2024_4183_disposition,MATCH($A70,primary_jama_2024_4183_key,0)),$J70)&lt;&gt;"retain"),NOT(OR(IF($K70="",INDEX(primary_jama_2024_4183_domain,MATCH($A70,primary_jama_2024_4183_key,0)),$K70)="internal_nonstatistical",IF($K70="",INDEX(primary_jama_2024_4183_domain,MATCH($A70,primary_jama_2024_4183_key,0)),$K70)="plan_material"))),"not_applicable","")</f>
        <v/>
      </c>
      <c r="P70" s="9">
        <f>IF(OR(AND(IF($J70="",INDEX(primary_jama_2024_4183_disposition,MATCH($A70,primary_jama_2024_4183_key,0)),$J70)&lt;&gt;"",IF($J70="",INDEX(primary_jama_2024_4183_disposition,MATCH($A70,primary_jama_2024_4183_key,0)),$J70)&lt;&gt;"retain"),NOT(OR(IF($K70="",INDEX(primary_jama_2024_4183_domain,MATCH($A70,primary_jama_2024_4183_key,0)),$K70)="protocol_report"))),"not_applicable","")</f>
        <v/>
      </c>
      <c r="Q70" s="10" t="inlineStr"/>
      <c r="R70" s="10" t="inlineStr"/>
    </row>
    <row r="71" ht="76" customHeight="1">
      <c r="A71" s="3" t="inlineStr">
        <is>
          <t>2024::jama.2024.4183::C019</t>
        </is>
      </c>
      <c r="B71" s="3" t="inlineStr">
        <is>
          <t>jama.2024.4183</t>
        </is>
      </c>
      <c r="C71" s="3" t="inlineStr">
        <is>
          <t>Six-month CNRT-switch cross-reference does not directly identify the matched table</t>
        </is>
      </c>
      <c r="D71" s="8" t="inlineStr"/>
      <c r="E71" s="11" t="inlineStr"/>
      <c r="F71" s="8" t="inlineStr">
        <is>
          <t>no</t>
        </is>
      </c>
      <c r="G71" s="3">
        <f>IF(OR(AND(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L71&lt;&gt;"",L71&lt;&gt;"not_applicable"),AND(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M71&lt;&gt;"",M71&lt;&gt;"not_applicable"),AND(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N71&lt;&gt;"",N71&lt;&gt;"not_applicable"),AND(OR(AND(IF($J71="",INDEX(primary_jama_2024_4183_disposition,MATCH($A71,primary_jama_2024_4183_key,0)),$J71)&lt;&gt;"",IF($J71="",INDEX(primary_jama_2024_4183_disposition,MATCH($A71,primary_jama_2024_4183_key,0)),$J71)&lt;&gt;"retain"),NOT(OR(IF($K71="",INDEX(primary_jama_2024_4183_domain,MATCH($A71,primary_jama_2024_4183_key,0)),$K71)="internal_nonstatistical",IF($K71="",INDEX(primary_jama_2024_4183_domain,MATCH($A71,primary_jama_2024_4183_key,0)),$K71)="plan_material"))),O71&lt;&gt;"",O71&lt;&gt;"not_applicable"),AND(OR(AND(IF($J71="",INDEX(primary_jama_2024_4183_disposition,MATCH($A71,primary_jama_2024_4183_key,0)),$J71)&lt;&gt;"",IF($J71="",INDEX(primary_jama_2024_4183_disposition,MATCH($A71,primary_jama_2024_4183_key,0)),$J71)&lt;&gt;"retain"),NOT(OR(IF($K71="",INDEX(primary_jama_2024_4183_domain,MATCH($A71,primary_jama_2024_4183_key,0)),$K71)="protocol_report"))),P71&lt;&gt;"",P71&lt;&gt;"not_applicable")),"CLEAR INACTIVE VALUES",IF(D71="","PENDING",IF(AND(D71&lt;&gt;"agree",LEN(TRIM(E71))=0),"COMMENT NEEDED",IF(F71="yes","CHECKED - see resolution","DRAFT"))))</f>
        <v/>
      </c>
      <c r="H71" s="8" t="inlineStr">
        <is>
          <t>pending</t>
        </is>
      </c>
      <c r="I71" s="11" t="inlineStr"/>
      <c r="J71" s="8" t="inlineStr"/>
      <c r="K71" s="8" t="inlineStr"/>
      <c r="L71" s="8">
        <f>IF(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not_applicable","")</f>
        <v/>
      </c>
      <c r="M71" s="8">
        <f>IF(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not_applicable","")</f>
        <v/>
      </c>
      <c r="N71" s="9">
        <f>IF(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not_applicable","")</f>
        <v/>
      </c>
      <c r="O71" s="8">
        <f>IF(OR(AND(IF($J71="",INDEX(primary_jama_2024_4183_disposition,MATCH($A71,primary_jama_2024_4183_key,0)),$J71)&lt;&gt;"",IF($J71="",INDEX(primary_jama_2024_4183_disposition,MATCH($A71,primary_jama_2024_4183_key,0)),$J71)&lt;&gt;"retain"),NOT(OR(IF($K71="",INDEX(primary_jama_2024_4183_domain,MATCH($A71,primary_jama_2024_4183_key,0)),$K71)="internal_nonstatistical",IF($K71="",INDEX(primary_jama_2024_4183_domain,MATCH($A71,primary_jama_2024_4183_key,0)),$K71)="plan_material"))),"not_applicable","")</f>
        <v/>
      </c>
      <c r="P71" s="9">
        <f>IF(OR(AND(IF($J71="",INDEX(primary_jama_2024_4183_disposition,MATCH($A71,primary_jama_2024_4183_key,0)),$J71)&lt;&gt;"",IF($J71="",INDEX(primary_jama_2024_4183_disposition,MATCH($A71,primary_jama_2024_4183_key,0)),$J71)&lt;&gt;"retain"),NOT(OR(IF($K71="",INDEX(primary_jama_2024_4183_domain,MATCH($A71,primary_jama_2024_4183_key,0)),$K71)="protocol_report"))),"not_applicable","")</f>
        <v/>
      </c>
      <c r="Q71" s="10" t="inlineStr"/>
      <c r="R71" s="10" t="inlineStr"/>
    </row>
    <row r="72" ht="76" customHeight="1">
      <c r="A72" s="2" t="inlineStr">
        <is>
          <t>2024::jama.2024.4183::C020</t>
        </is>
      </c>
      <c r="B72" s="2" t="inlineStr">
        <is>
          <t>jama.2024.4183</t>
        </is>
      </c>
      <c r="C72" s="2" t="inlineStr">
        <is>
          <t>Six-month abstainer narrative interval and direction do not reconcile with matched sources</t>
        </is>
      </c>
      <c r="D72" s="8" t="inlineStr"/>
      <c r="E72" s="11" t="inlineStr"/>
      <c r="F72" s="8" t="inlineStr">
        <is>
          <t>no</t>
        </is>
      </c>
      <c r="G72" s="2">
        <f>IF(OR(AND(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L72&lt;&gt;"",L72&lt;&gt;"not_applicable"),AND(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M72&lt;&gt;"",M72&lt;&gt;"not_applicable"),AND(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N72&lt;&gt;"",N72&lt;&gt;"not_applicable"),AND(OR(AND(IF($J72="",INDEX(primary_jama_2024_4183_disposition,MATCH($A72,primary_jama_2024_4183_key,0)),$J72)&lt;&gt;"",IF($J72="",INDEX(primary_jama_2024_4183_disposition,MATCH($A72,primary_jama_2024_4183_key,0)),$J72)&lt;&gt;"retain"),NOT(OR(IF($K72="",INDEX(primary_jama_2024_4183_domain,MATCH($A72,primary_jama_2024_4183_key,0)),$K72)="internal_nonstatistical",IF($K72="",INDEX(primary_jama_2024_4183_domain,MATCH($A72,primary_jama_2024_4183_key,0)),$K72)="plan_material"))),O72&lt;&gt;"",O72&lt;&gt;"not_applicable"),AND(OR(AND(IF($J72="",INDEX(primary_jama_2024_4183_disposition,MATCH($A72,primary_jama_2024_4183_key,0)),$J72)&lt;&gt;"",IF($J72="",INDEX(primary_jama_2024_4183_disposition,MATCH($A72,primary_jama_2024_4183_key,0)),$J72)&lt;&gt;"retain"),NOT(OR(IF($K72="",INDEX(primary_jama_2024_4183_domain,MATCH($A72,primary_jama_2024_4183_key,0)),$K72)="protocol_report"))),P72&lt;&gt;"",P72&lt;&gt;"not_applicable")),"CLEAR INACTIVE VALUES",IF(D72="","PENDING",IF(AND(D72&lt;&gt;"agree",LEN(TRIM(E72))=0),"COMMENT NEEDED",IF(F72="yes","CHECKED - see resolution","DRAFT"))))</f>
        <v/>
      </c>
      <c r="H72" s="8" t="inlineStr">
        <is>
          <t>pending</t>
        </is>
      </c>
      <c r="I72" s="11" t="inlineStr"/>
      <c r="J72" s="8" t="inlineStr"/>
      <c r="K72" s="8" t="inlineStr"/>
      <c r="L72" s="8">
        <f>IF(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not_applicable","")</f>
        <v/>
      </c>
      <c r="M72" s="8">
        <f>IF(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not_applicable","")</f>
        <v/>
      </c>
      <c r="N72" s="9">
        <f>IF(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not_applicable","")</f>
        <v/>
      </c>
      <c r="O72" s="8">
        <f>IF(OR(AND(IF($J72="",INDEX(primary_jama_2024_4183_disposition,MATCH($A72,primary_jama_2024_4183_key,0)),$J72)&lt;&gt;"",IF($J72="",INDEX(primary_jama_2024_4183_disposition,MATCH($A72,primary_jama_2024_4183_key,0)),$J72)&lt;&gt;"retain"),NOT(OR(IF($K72="",INDEX(primary_jama_2024_4183_domain,MATCH($A72,primary_jama_2024_4183_key,0)),$K72)="internal_nonstatistical",IF($K72="",INDEX(primary_jama_2024_4183_domain,MATCH($A72,primary_jama_2024_4183_key,0)),$K72)="plan_material"))),"not_applicable","")</f>
        <v/>
      </c>
      <c r="P72" s="9">
        <f>IF(OR(AND(IF($J72="",INDEX(primary_jama_2024_4183_disposition,MATCH($A72,primary_jama_2024_4183_key,0)),$J72)&lt;&gt;"",IF($J72="",INDEX(primary_jama_2024_4183_disposition,MATCH($A72,primary_jama_2024_4183_key,0)),$J72)&lt;&gt;"retain"),NOT(OR(IF($K72="",INDEX(primary_jama_2024_4183_domain,MATCH($A72,primary_jama_2024_4183_key,0)),$K72)="protocol_report"))),"not_applicable","")</f>
        <v/>
      </c>
      <c r="Q72" s="10" t="inlineStr"/>
      <c r="R72" s="10" t="inlineStr"/>
    </row>
    <row r="73" ht="76" customHeight="1">
      <c r="A73" s="3" t="inlineStr">
        <is>
          <t>2024::jama.2024.4183::C021</t>
        </is>
      </c>
      <c r="B73" s="3" t="inlineStr">
        <is>
          <t>jama.2024.4183</t>
        </is>
      </c>
      <c r="C73" s="3" t="inlineStr">
        <is>
          <t>Phase-1-abstainer summary cross-reference does not directly identify the matched table</t>
        </is>
      </c>
      <c r="D73" s="8" t="inlineStr"/>
      <c r="E73" s="11" t="inlineStr"/>
      <c r="F73" s="8" t="inlineStr">
        <is>
          <t>no</t>
        </is>
      </c>
      <c r="G73" s="3">
        <f>IF(OR(AND(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L73&lt;&gt;"",L73&lt;&gt;"not_applicable"),AND(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M73&lt;&gt;"",M73&lt;&gt;"not_applicable"),AND(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N73&lt;&gt;"",N73&lt;&gt;"not_applicable"),AND(OR(AND(IF($J73="",INDEX(primary_jama_2024_4183_disposition,MATCH($A73,primary_jama_2024_4183_key,0)),$J73)&lt;&gt;"",IF($J73="",INDEX(primary_jama_2024_4183_disposition,MATCH($A73,primary_jama_2024_4183_key,0)),$J73)&lt;&gt;"retain"),NOT(OR(IF($K73="",INDEX(primary_jama_2024_4183_domain,MATCH($A73,primary_jama_2024_4183_key,0)),$K73)="internal_nonstatistical",IF($K73="",INDEX(primary_jama_2024_4183_domain,MATCH($A73,primary_jama_2024_4183_key,0)),$K73)="plan_material"))),O73&lt;&gt;"",O73&lt;&gt;"not_applicable"),AND(OR(AND(IF($J73="",INDEX(primary_jama_2024_4183_disposition,MATCH($A73,primary_jama_2024_4183_key,0)),$J73)&lt;&gt;"",IF($J73="",INDEX(primary_jama_2024_4183_disposition,MATCH($A73,primary_jama_2024_4183_key,0)),$J73)&lt;&gt;"retain"),NOT(OR(IF($K73="",INDEX(primary_jama_2024_4183_domain,MATCH($A73,primary_jama_2024_4183_key,0)),$K73)="protocol_report"))),P73&lt;&gt;"",P73&lt;&gt;"not_applicable")),"CLEAR INACTIVE VALUES",IF(D73="","PENDING",IF(AND(D73&lt;&gt;"agree",LEN(TRIM(E73))=0),"COMMENT NEEDED",IF(F73="yes","CHECKED - see resolution","DRAFT"))))</f>
        <v/>
      </c>
      <c r="H73" s="8" t="inlineStr">
        <is>
          <t>pending</t>
        </is>
      </c>
      <c r="I73" s="11" t="inlineStr"/>
      <c r="J73" s="8" t="inlineStr"/>
      <c r="K73" s="8" t="inlineStr"/>
      <c r="L73" s="8">
        <f>IF(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not_applicable","")</f>
        <v/>
      </c>
      <c r="M73" s="8">
        <f>IF(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not_applicable","")</f>
        <v/>
      </c>
      <c r="N73" s="9">
        <f>IF(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not_applicable","")</f>
        <v/>
      </c>
      <c r="O73" s="8">
        <f>IF(OR(AND(IF($J73="",INDEX(primary_jama_2024_4183_disposition,MATCH($A73,primary_jama_2024_4183_key,0)),$J73)&lt;&gt;"",IF($J73="",INDEX(primary_jama_2024_4183_disposition,MATCH($A73,primary_jama_2024_4183_key,0)),$J73)&lt;&gt;"retain"),NOT(OR(IF($K73="",INDEX(primary_jama_2024_4183_domain,MATCH($A73,primary_jama_2024_4183_key,0)),$K73)="internal_nonstatistical",IF($K73="",INDEX(primary_jama_2024_4183_domain,MATCH($A73,primary_jama_2024_4183_key,0)),$K73)="plan_material"))),"not_applicable","")</f>
        <v/>
      </c>
      <c r="P73" s="9">
        <f>IF(OR(AND(IF($J73="",INDEX(primary_jama_2024_4183_disposition,MATCH($A73,primary_jama_2024_4183_key,0)),$J73)&lt;&gt;"",IF($J73="",INDEX(primary_jama_2024_4183_disposition,MATCH($A73,primary_jama_2024_4183_key,0)),$J73)&lt;&gt;"retain"),NOT(OR(IF($K73="",INDEX(primary_jama_2024_4183_domain,MATCH($A73,primary_jama_2024_4183_key,0)),$K73)="protocol_report"))),"not_applicable","")</f>
        <v/>
      </c>
      <c r="Q73" s="10" t="inlineStr"/>
      <c r="R73" s="10" t="inlineStr"/>
    </row>
    <row r="74" ht="76" customHeight="1">
      <c r="A74" s="2" t="inlineStr">
        <is>
          <t>2024::jama.2024.4183::C022</t>
        </is>
      </c>
      <c r="B74" s="2" t="inlineStr">
        <is>
          <t>jama.2024.4183</t>
        </is>
      </c>
      <c r="C74" s="2" t="inlineStr">
        <is>
          <t>Six-month VAR-plus-versus-switch cross-reference does not directly identify the matched table</t>
        </is>
      </c>
      <c r="D74" s="8" t="inlineStr"/>
      <c r="E74" s="11" t="inlineStr"/>
      <c r="F74" s="8" t="inlineStr">
        <is>
          <t>no</t>
        </is>
      </c>
      <c r="G74" s="2">
        <f>IF(OR(AND(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L74&lt;&gt;"",L74&lt;&gt;"not_applicable"),AND(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M74&lt;&gt;"",M74&lt;&gt;"not_applicable"),AND(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N74&lt;&gt;"",N74&lt;&gt;"not_applicable"),AND(OR(AND(IF($J74="",INDEX(primary_jama_2024_4183_disposition,MATCH($A74,primary_jama_2024_4183_key,0)),$J74)&lt;&gt;"",IF($J74="",INDEX(primary_jama_2024_4183_disposition,MATCH($A74,primary_jama_2024_4183_key,0)),$J74)&lt;&gt;"retain"),NOT(OR(IF($K74="",INDEX(primary_jama_2024_4183_domain,MATCH($A74,primary_jama_2024_4183_key,0)),$K74)="internal_nonstatistical",IF($K74="",INDEX(primary_jama_2024_4183_domain,MATCH($A74,primary_jama_2024_4183_key,0)),$K74)="plan_material"))),O74&lt;&gt;"",O74&lt;&gt;"not_applicable"),AND(OR(AND(IF($J74="",INDEX(primary_jama_2024_4183_disposition,MATCH($A74,primary_jama_2024_4183_key,0)),$J74)&lt;&gt;"",IF($J74="",INDEX(primary_jama_2024_4183_disposition,MATCH($A74,primary_jama_2024_4183_key,0)),$J74)&lt;&gt;"retain"),NOT(OR(IF($K74="",INDEX(primary_jama_2024_4183_domain,MATCH($A74,primary_jama_2024_4183_key,0)),$K74)="protocol_report"))),P74&lt;&gt;"",P74&lt;&gt;"not_applicable")),"CLEAR INACTIVE VALUES",IF(D74="","PENDING",IF(AND(D74&lt;&gt;"agree",LEN(TRIM(E74))=0),"COMMENT NEEDED",IF(F74="yes","CHECKED - see resolution","DRAFT"))))</f>
        <v/>
      </c>
      <c r="H74" s="8" t="inlineStr">
        <is>
          <t>pending</t>
        </is>
      </c>
      <c r="I74" s="11" t="inlineStr"/>
      <c r="J74" s="8" t="inlineStr"/>
      <c r="K74" s="8" t="inlineStr"/>
      <c r="L74" s="8">
        <f>IF(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not_applicable","")</f>
        <v/>
      </c>
      <c r="M74" s="8">
        <f>IF(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not_applicable","")</f>
        <v/>
      </c>
      <c r="N74" s="9">
        <f>IF(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not_applicable","")</f>
        <v/>
      </c>
      <c r="O74" s="8">
        <f>IF(OR(AND(IF($J74="",INDEX(primary_jama_2024_4183_disposition,MATCH($A74,primary_jama_2024_4183_key,0)),$J74)&lt;&gt;"",IF($J74="",INDEX(primary_jama_2024_4183_disposition,MATCH($A74,primary_jama_2024_4183_key,0)),$J74)&lt;&gt;"retain"),NOT(OR(IF($K74="",INDEX(primary_jama_2024_4183_domain,MATCH($A74,primary_jama_2024_4183_key,0)),$K74)="internal_nonstatistical",IF($K74="",INDEX(primary_jama_2024_4183_domain,MATCH($A74,primary_jama_2024_4183_key,0)),$K74)="plan_material"))),"not_applicable","")</f>
        <v/>
      </c>
      <c r="P74" s="9">
        <f>IF(OR(AND(IF($J74="",INDEX(primary_jama_2024_4183_disposition,MATCH($A74,primary_jama_2024_4183_key,0)),$J74)&lt;&gt;"",IF($J74="",INDEX(primary_jama_2024_4183_disposition,MATCH($A74,primary_jama_2024_4183_key,0)),$J74)&lt;&gt;"retain"),NOT(OR(IF($K74="",INDEX(primary_jama_2024_4183_domain,MATCH($A74,primary_jama_2024_4183_key,0)),$K74)="protocol_report"))),"not_applicable","")</f>
        <v/>
      </c>
      <c r="Q74" s="10" t="inlineStr"/>
      <c r="R74" s="10" t="inlineStr"/>
    </row>
    <row r="75" ht="76" customHeight="1">
      <c r="A75" s="3" t="inlineStr">
        <is>
          <t>2024::jama.2024.4183::C023</t>
        </is>
      </c>
      <c r="B75" s="3" t="inlineStr">
        <is>
          <t>jama.2024.4183</t>
        </is>
      </c>
      <c r="C75" s="3" t="inlineStr">
        <is>
          <t>ETable 3 employment value order differs from declared n (%)</t>
        </is>
      </c>
      <c r="D75" s="8" t="inlineStr"/>
      <c r="E75" s="11" t="inlineStr"/>
      <c r="F75" s="8" t="inlineStr">
        <is>
          <t>no</t>
        </is>
      </c>
      <c r="G75" s="3">
        <f>IF(OR(AND(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L75&lt;&gt;"",L75&lt;&gt;"not_applicable"),AND(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M75&lt;&gt;"",M75&lt;&gt;"not_applicable"),AND(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N75&lt;&gt;"",N75&lt;&gt;"not_applicable"),AND(OR(AND(IF($J75="",INDEX(primary_jama_2024_4183_disposition,MATCH($A75,primary_jama_2024_4183_key,0)),$J75)&lt;&gt;"",IF($J75="",INDEX(primary_jama_2024_4183_disposition,MATCH($A75,primary_jama_2024_4183_key,0)),$J75)&lt;&gt;"retain"),NOT(OR(IF($K75="",INDEX(primary_jama_2024_4183_domain,MATCH($A75,primary_jama_2024_4183_key,0)),$K75)="internal_nonstatistical",IF($K75="",INDEX(primary_jama_2024_4183_domain,MATCH($A75,primary_jama_2024_4183_key,0)),$K75)="plan_material"))),O75&lt;&gt;"",O75&lt;&gt;"not_applicable"),AND(OR(AND(IF($J75="",INDEX(primary_jama_2024_4183_disposition,MATCH($A75,primary_jama_2024_4183_key,0)),$J75)&lt;&gt;"",IF($J75="",INDEX(primary_jama_2024_4183_disposition,MATCH($A75,primary_jama_2024_4183_key,0)),$J75)&lt;&gt;"retain"),NOT(OR(IF($K75="",INDEX(primary_jama_2024_4183_domain,MATCH($A75,primary_jama_2024_4183_key,0)),$K75)="protocol_report"))),P75&lt;&gt;"",P75&lt;&gt;"not_applicable")),"CLEAR INACTIVE VALUES",IF(D75="","PENDING",IF(AND(D75&lt;&gt;"agree",LEN(TRIM(E75))=0),"COMMENT NEEDED",IF(F75="yes","CHECKED - see resolution","DRAFT"))))</f>
        <v/>
      </c>
      <c r="H75" s="8" t="inlineStr">
        <is>
          <t>pending</t>
        </is>
      </c>
      <c r="I75" s="11" t="inlineStr"/>
      <c r="J75" s="8" t="inlineStr"/>
      <c r="K75" s="8" t="inlineStr"/>
      <c r="L75" s="8">
        <f>IF(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not_applicable","")</f>
        <v/>
      </c>
      <c r="M75" s="8">
        <f>IF(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not_applicable","")</f>
        <v/>
      </c>
      <c r="N75" s="9">
        <f>IF(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not_applicable","")</f>
        <v/>
      </c>
      <c r="O75" s="8">
        <f>IF(OR(AND(IF($J75="",INDEX(primary_jama_2024_4183_disposition,MATCH($A75,primary_jama_2024_4183_key,0)),$J75)&lt;&gt;"",IF($J75="",INDEX(primary_jama_2024_4183_disposition,MATCH($A75,primary_jama_2024_4183_key,0)),$J75)&lt;&gt;"retain"),NOT(OR(IF($K75="",INDEX(primary_jama_2024_4183_domain,MATCH($A75,primary_jama_2024_4183_key,0)),$K75)="internal_nonstatistical",IF($K75="",INDEX(primary_jama_2024_4183_domain,MATCH($A75,primary_jama_2024_4183_key,0)),$K75)="plan_material"))),"not_applicable","")</f>
        <v/>
      </c>
      <c r="P75" s="9">
        <f>IF(OR(AND(IF($J75="",INDEX(primary_jama_2024_4183_disposition,MATCH($A75,primary_jama_2024_4183_key,0)),$J75)&lt;&gt;"",IF($J75="",INDEX(primary_jama_2024_4183_disposition,MATCH($A75,primary_jama_2024_4183_key,0)),$J75)&lt;&gt;"retain"),NOT(OR(IF($K75="",INDEX(primary_jama_2024_4183_domain,MATCH($A75,primary_jama_2024_4183_key,0)),$K75)="protocol_report"))),"not_applicable","")</f>
        <v/>
      </c>
      <c r="Q75" s="10" t="inlineStr"/>
      <c r="R75" s="10" t="inlineStr"/>
    </row>
    <row r="76" ht="76" customHeight="1">
      <c r="A76" s="2" t="inlineStr">
        <is>
          <t>2024::jama.2024.4183::C024</t>
        </is>
      </c>
      <c r="B76" s="2" t="inlineStr">
        <is>
          <t>jama.2024.4183</t>
        </is>
      </c>
      <c r="C76" s="2" t="inlineStr">
        <is>
          <t>ETable 3 employment totals do not close to two printed column Ns</t>
        </is>
      </c>
      <c r="D76" s="8" t="inlineStr"/>
      <c r="E76" s="11" t="inlineStr"/>
      <c r="F76" s="8" t="inlineStr">
        <is>
          <t>no</t>
        </is>
      </c>
      <c r="G76" s="2">
        <f>IF(OR(AND(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L76&lt;&gt;"",L76&lt;&gt;"not_applicable"),AND(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M76&lt;&gt;"",M76&lt;&gt;"not_applicable"),AND(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N76&lt;&gt;"",N76&lt;&gt;"not_applicable"),AND(OR(AND(IF($J76="",INDEX(primary_jama_2024_4183_disposition,MATCH($A76,primary_jama_2024_4183_key,0)),$J76)&lt;&gt;"",IF($J76="",INDEX(primary_jama_2024_4183_disposition,MATCH($A76,primary_jama_2024_4183_key,0)),$J76)&lt;&gt;"retain"),NOT(OR(IF($K76="",INDEX(primary_jama_2024_4183_domain,MATCH($A76,primary_jama_2024_4183_key,0)),$K76)="internal_nonstatistical",IF($K76="",INDEX(primary_jama_2024_4183_domain,MATCH($A76,primary_jama_2024_4183_key,0)),$K76)="plan_material"))),O76&lt;&gt;"",O76&lt;&gt;"not_applicable"),AND(OR(AND(IF($J76="",INDEX(primary_jama_2024_4183_disposition,MATCH($A76,primary_jama_2024_4183_key,0)),$J76)&lt;&gt;"",IF($J76="",INDEX(primary_jama_2024_4183_disposition,MATCH($A76,primary_jama_2024_4183_key,0)),$J76)&lt;&gt;"retain"),NOT(OR(IF($K76="",INDEX(primary_jama_2024_4183_domain,MATCH($A76,primary_jama_2024_4183_key,0)),$K76)="protocol_report"))),P76&lt;&gt;"",P76&lt;&gt;"not_applicable")),"CLEAR INACTIVE VALUES",IF(D76="","PENDING",IF(AND(D76&lt;&gt;"agree",LEN(TRIM(E76))=0),"COMMENT NEEDED",IF(F76="yes","CHECKED - see resolution","DRAFT"))))</f>
        <v/>
      </c>
      <c r="H76" s="8" t="inlineStr">
        <is>
          <t>pending</t>
        </is>
      </c>
      <c r="I76" s="11" t="inlineStr"/>
      <c r="J76" s="8" t="inlineStr"/>
      <c r="K76" s="8" t="inlineStr"/>
      <c r="L76" s="8">
        <f>IF(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not_applicable","")</f>
        <v/>
      </c>
      <c r="M76" s="8">
        <f>IF(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not_applicable","")</f>
        <v/>
      </c>
      <c r="N76" s="9">
        <f>IF(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not_applicable","")</f>
        <v/>
      </c>
      <c r="O76" s="8">
        <f>IF(OR(AND(IF($J76="",INDEX(primary_jama_2024_4183_disposition,MATCH($A76,primary_jama_2024_4183_key,0)),$J76)&lt;&gt;"",IF($J76="",INDEX(primary_jama_2024_4183_disposition,MATCH($A76,primary_jama_2024_4183_key,0)),$J76)&lt;&gt;"retain"),NOT(OR(IF($K76="",INDEX(primary_jama_2024_4183_domain,MATCH($A76,primary_jama_2024_4183_key,0)),$K76)="internal_nonstatistical",IF($K76="",INDEX(primary_jama_2024_4183_domain,MATCH($A76,primary_jama_2024_4183_key,0)),$K76)="plan_material"))),"not_applicable","")</f>
        <v/>
      </c>
      <c r="P76" s="9">
        <f>IF(OR(AND(IF($J76="",INDEX(primary_jama_2024_4183_disposition,MATCH($A76,primary_jama_2024_4183_key,0)),$J76)&lt;&gt;"",IF($J76="",INDEX(primary_jama_2024_4183_disposition,MATCH($A76,primary_jama_2024_4183_key,0)),$J76)&lt;&gt;"retain"),NOT(OR(IF($K76="",INDEX(primary_jama_2024_4183_domain,MATCH($A76,primary_jama_2024_4183_key,0)),$K76)="protocol_report"))),"not_applicable","")</f>
        <v/>
      </c>
      <c r="Q76" s="10" t="inlineStr"/>
      <c r="R76" s="10" t="inlineStr"/>
    </row>
    <row r="77" ht="76" customHeight="1">
      <c r="A77" s="3" t="inlineStr">
        <is>
          <t>2024::jama.2024.6063::C001</t>
        </is>
      </c>
      <c r="B77" s="3" t="inlineStr">
        <is>
          <t>jama.2024.6063</t>
        </is>
      </c>
      <c r="C77" s="3" t="inlineStr">
        <is>
          <t>Placebo discontinuation counts differ between Figure 1 and the Results text</t>
        </is>
      </c>
      <c r="D77" s="8" t="inlineStr"/>
      <c r="E77" s="11" t="inlineStr"/>
      <c r="F77" s="8" t="inlineStr">
        <is>
          <t>no</t>
        </is>
      </c>
      <c r="G77" s="3">
        <f>IF(OR(AND(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L77&lt;&gt;"",L77&lt;&gt;"not_applicable"),AND(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M77&lt;&gt;"",M77&lt;&gt;"not_applicable"),AND(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N77&lt;&gt;"",N77&lt;&gt;"not_applicable"),AND(OR(AND(IF($J77="",INDEX(primary_jama_2024_6063_disposition,MATCH($A77,primary_jama_2024_6063_key,0)),$J77)&lt;&gt;"",IF($J77="",INDEX(primary_jama_2024_6063_disposition,MATCH($A77,primary_jama_2024_6063_key,0)),$J77)&lt;&gt;"retain"),NOT(OR(IF($K77="",INDEX(primary_jama_2024_6063_domain,MATCH($A77,primary_jama_2024_6063_key,0)),$K77)="internal_nonstatistical",IF($K77="",INDEX(primary_jama_2024_6063_domain,MATCH($A77,primary_jama_2024_6063_key,0)),$K77)="plan_material"))),O77&lt;&gt;"",O77&lt;&gt;"not_applicable"),AND(OR(AND(IF($J77="",INDEX(primary_jama_2024_6063_disposition,MATCH($A77,primary_jama_2024_6063_key,0)),$J77)&lt;&gt;"",IF($J77="",INDEX(primary_jama_2024_6063_disposition,MATCH($A77,primary_jama_2024_6063_key,0)),$J77)&lt;&gt;"retain"),NOT(OR(IF($K77="",INDEX(primary_jama_2024_6063_domain,MATCH($A77,primary_jama_2024_6063_key,0)),$K77)="protocol_report"))),P77&lt;&gt;"",P77&lt;&gt;"not_applicable")),"CLEAR INACTIVE VALUES",IF(D77="","PENDING",IF(AND(D77&lt;&gt;"agree",LEN(TRIM(E77))=0),"COMMENT NEEDED",IF(F77="yes","CHECKED - see resolution","DRAFT"))))</f>
        <v/>
      </c>
      <c r="H77" s="8" t="inlineStr">
        <is>
          <t>pending</t>
        </is>
      </c>
      <c r="I77" s="11" t="inlineStr"/>
      <c r="J77" s="8" t="inlineStr"/>
      <c r="K77" s="8" t="inlineStr"/>
      <c r="L77" s="8">
        <f>IF(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not_applicable","")</f>
        <v/>
      </c>
      <c r="M77" s="8">
        <f>IF(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not_applicable","")</f>
        <v/>
      </c>
      <c r="N77" s="9">
        <f>IF(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not_applicable","")</f>
        <v/>
      </c>
      <c r="O77" s="8">
        <f>IF(OR(AND(IF($J77="",INDEX(primary_jama_2024_6063_disposition,MATCH($A77,primary_jama_2024_6063_key,0)),$J77)&lt;&gt;"",IF($J77="",INDEX(primary_jama_2024_6063_disposition,MATCH($A77,primary_jama_2024_6063_key,0)),$J77)&lt;&gt;"retain"),NOT(OR(IF($K77="",INDEX(primary_jama_2024_6063_domain,MATCH($A77,primary_jama_2024_6063_key,0)),$K77)="internal_nonstatistical",IF($K77="",INDEX(primary_jama_2024_6063_domain,MATCH($A77,primary_jama_2024_6063_key,0)),$K77)="plan_material"))),"not_applicable","")</f>
        <v/>
      </c>
      <c r="P77" s="9">
        <f>IF(OR(AND(IF($J77="",INDEX(primary_jama_2024_6063_disposition,MATCH($A77,primary_jama_2024_6063_key,0)),$J77)&lt;&gt;"",IF($J77="",INDEX(primary_jama_2024_6063_disposition,MATCH($A77,primary_jama_2024_6063_key,0)),$J77)&lt;&gt;"retain"),NOT(OR(IF($K77="",INDEX(primary_jama_2024_6063_domain,MATCH($A77,primary_jama_2024_6063_key,0)),$K77)="protocol_report"))),"not_applicable","")</f>
        <v/>
      </c>
      <c r="Q77" s="10" t="inlineStr"/>
      <c r="R77" s="10" t="inlineStr"/>
    </row>
    <row r="78" ht="76" customHeight="1">
      <c r="A78" s="2" t="inlineStr">
        <is>
          <t>2024::jama.2024.6063::C002</t>
        </is>
      </c>
      <c r="B78" s="2" t="inlineStr">
        <is>
          <t>jama.2024.6063</t>
        </is>
      </c>
      <c r="C78" s="2" t="inlineStr">
        <is>
          <t>eTable 2 names 167 and 165 for the overall adherence population</t>
        </is>
      </c>
      <c r="D78" s="8" t="inlineStr"/>
      <c r="E78" s="11" t="inlineStr"/>
      <c r="F78" s="8" t="inlineStr">
        <is>
          <t>no</t>
        </is>
      </c>
      <c r="G78" s="2">
        <f>IF(OR(AND(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L78&lt;&gt;"",L78&lt;&gt;"not_applicable"),AND(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M78&lt;&gt;"",M78&lt;&gt;"not_applicable"),AND(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N78&lt;&gt;"",N78&lt;&gt;"not_applicable"),AND(OR(AND(IF($J78="",INDEX(primary_jama_2024_6063_disposition,MATCH($A78,primary_jama_2024_6063_key,0)),$J78)&lt;&gt;"",IF($J78="",INDEX(primary_jama_2024_6063_disposition,MATCH($A78,primary_jama_2024_6063_key,0)),$J78)&lt;&gt;"retain"),NOT(OR(IF($K78="",INDEX(primary_jama_2024_6063_domain,MATCH($A78,primary_jama_2024_6063_key,0)),$K78)="internal_nonstatistical",IF($K78="",INDEX(primary_jama_2024_6063_domain,MATCH($A78,primary_jama_2024_6063_key,0)),$K78)="plan_material"))),O78&lt;&gt;"",O78&lt;&gt;"not_applicable"),AND(OR(AND(IF($J78="",INDEX(primary_jama_2024_6063_disposition,MATCH($A78,primary_jama_2024_6063_key,0)),$J78)&lt;&gt;"",IF($J78="",INDEX(primary_jama_2024_6063_disposition,MATCH($A78,primary_jama_2024_6063_key,0)),$J78)&lt;&gt;"retain"),NOT(OR(IF($K78="",INDEX(primary_jama_2024_6063_domain,MATCH($A78,primary_jama_2024_6063_key,0)),$K78)="protocol_report"))),P78&lt;&gt;"",P78&lt;&gt;"not_applicable")),"CLEAR INACTIVE VALUES",IF(D78="","PENDING",IF(AND(D78&lt;&gt;"agree",LEN(TRIM(E78))=0),"COMMENT NEEDED",IF(F78="yes","CHECKED - see resolution","DRAFT"))))</f>
        <v/>
      </c>
      <c r="H78" s="8" t="inlineStr">
        <is>
          <t>pending</t>
        </is>
      </c>
      <c r="I78" s="11" t="inlineStr"/>
      <c r="J78" s="8" t="inlineStr"/>
      <c r="K78" s="8" t="inlineStr"/>
      <c r="L78" s="8">
        <f>IF(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not_applicable","")</f>
        <v/>
      </c>
      <c r="M78" s="8">
        <f>IF(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not_applicable","")</f>
        <v/>
      </c>
      <c r="N78" s="9">
        <f>IF(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not_applicable","")</f>
        <v/>
      </c>
      <c r="O78" s="8">
        <f>IF(OR(AND(IF($J78="",INDEX(primary_jama_2024_6063_disposition,MATCH($A78,primary_jama_2024_6063_key,0)),$J78)&lt;&gt;"",IF($J78="",INDEX(primary_jama_2024_6063_disposition,MATCH($A78,primary_jama_2024_6063_key,0)),$J78)&lt;&gt;"retain"),NOT(OR(IF($K78="",INDEX(primary_jama_2024_6063_domain,MATCH($A78,primary_jama_2024_6063_key,0)),$K78)="internal_nonstatistical",IF($K78="",INDEX(primary_jama_2024_6063_domain,MATCH($A78,primary_jama_2024_6063_key,0)),$K78)="plan_material"))),"not_applicable","")</f>
        <v/>
      </c>
      <c r="P78" s="9">
        <f>IF(OR(AND(IF($J78="",INDEX(primary_jama_2024_6063_disposition,MATCH($A78,primary_jama_2024_6063_key,0)),$J78)&lt;&gt;"",IF($J78="",INDEX(primary_jama_2024_6063_disposition,MATCH($A78,primary_jama_2024_6063_key,0)),$J78)&lt;&gt;"retain"),NOT(OR(IF($K78="",INDEX(primary_jama_2024_6063_domain,MATCH($A78,primary_jama_2024_6063_key,0)),$K78)="protocol_report"))),"not_applicable","")</f>
        <v/>
      </c>
      <c r="Q78" s="10" t="inlineStr"/>
      <c r="R78" s="10" t="inlineStr"/>
    </row>
    <row r="79" ht="76" customHeight="1">
      <c r="A79" s="3" t="inlineStr">
        <is>
          <t>2024::jama.2024.6063::C003</t>
        </is>
      </c>
      <c r="B79" s="3" t="inlineStr">
        <is>
          <t>jama.2024.6063</t>
        </is>
      </c>
      <c r="C79" s="3" t="inlineStr">
        <is>
          <t>eTable 5 krill “Smaller by 1 unit” percentage conflicts with 10 of 107</t>
        </is>
      </c>
      <c r="D79" s="8" t="inlineStr"/>
      <c r="E79" s="11" t="inlineStr"/>
      <c r="F79" s="8" t="inlineStr">
        <is>
          <t>no</t>
        </is>
      </c>
      <c r="G79" s="3">
        <f>IF(OR(AND(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L79&lt;&gt;"",L79&lt;&gt;"not_applicable"),AND(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M79&lt;&gt;"",M79&lt;&gt;"not_applicable"),AND(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N79&lt;&gt;"",N79&lt;&gt;"not_applicable"),AND(OR(AND(IF($J79="",INDEX(primary_jama_2024_6063_disposition,MATCH($A79,primary_jama_2024_6063_key,0)),$J79)&lt;&gt;"",IF($J79="",INDEX(primary_jama_2024_6063_disposition,MATCH($A79,primary_jama_2024_6063_key,0)),$J79)&lt;&gt;"retain"),NOT(OR(IF($K79="",INDEX(primary_jama_2024_6063_domain,MATCH($A79,primary_jama_2024_6063_key,0)),$K79)="internal_nonstatistical",IF($K79="",INDEX(primary_jama_2024_6063_domain,MATCH($A79,primary_jama_2024_6063_key,0)),$K79)="plan_material"))),O79&lt;&gt;"",O79&lt;&gt;"not_applicable"),AND(OR(AND(IF($J79="",INDEX(primary_jama_2024_6063_disposition,MATCH($A79,primary_jama_2024_6063_key,0)),$J79)&lt;&gt;"",IF($J79="",INDEX(primary_jama_2024_6063_disposition,MATCH($A79,primary_jama_2024_6063_key,0)),$J79)&lt;&gt;"retain"),NOT(OR(IF($K79="",INDEX(primary_jama_2024_6063_domain,MATCH($A79,primary_jama_2024_6063_key,0)),$K79)="protocol_report"))),P79&lt;&gt;"",P79&lt;&gt;"not_applicable")),"CLEAR INACTIVE VALUES",IF(D79="","PENDING",IF(AND(D79&lt;&gt;"agree",LEN(TRIM(E79))=0),"COMMENT NEEDED",IF(F79="yes","CHECKED - see resolution","DRAFT"))))</f>
        <v/>
      </c>
      <c r="H79" s="8" t="inlineStr">
        <is>
          <t>pending</t>
        </is>
      </c>
      <c r="I79" s="11" t="inlineStr"/>
      <c r="J79" s="8" t="inlineStr"/>
      <c r="K79" s="8" t="inlineStr"/>
      <c r="L79" s="8">
        <f>IF(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not_applicable","")</f>
        <v/>
      </c>
      <c r="M79" s="8">
        <f>IF(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not_applicable","")</f>
        <v/>
      </c>
      <c r="N79" s="9">
        <f>IF(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not_applicable","")</f>
        <v/>
      </c>
      <c r="O79" s="8">
        <f>IF(OR(AND(IF($J79="",INDEX(primary_jama_2024_6063_disposition,MATCH($A79,primary_jama_2024_6063_key,0)),$J79)&lt;&gt;"",IF($J79="",INDEX(primary_jama_2024_6063_disposition,MATCH($A79,primary_jama_2024_6063_key,0)),$J79)&lt;&gt;"retain"),NOT(OR(IF($K79="",INDEX(primary_jama_2024_6063_domain,MATCH($A79,primary_jama_2024_6063_key,0)),$K79)="internal_nonstatistical",IF($K79="",INDEX(primary_jama_2024_6063_domain,MATCH($A79,primary_jama_2024_6063_key,0)),$K79)="plan_material"))),"not_applicable","")</f>
        <v/>
      </c>
      <c r="P79" s="9">
        <f>IF(OR(AND(IF($J79="",INDEX(primary_jama_2024_6063_disposition,MATCH($A79,primary_jama_2024_6063_key,0)),$J79)&lt;&gt;"",IF($J79="",INDEX(primary_jama_2024_6063_disposition,MATCH($A79,primary_jama_2024_6063_key,0)),$J79)&lt;&gt;"retain"),NOT(OR(IF($K79="",INDEX(primary_jama_2024_6063_domain,MATCH($A79,primary_jama_2024_6063_key,0)),$K79)="protocol_report"))),"not_applicable","")</f>
        <v/>
      </c>
      <c r="Q79" s="10" t="inlineStr"/>
      <c r="R79" s="10" t="inlineStr"/>
    </row>
    <row r="80" ht="76" customHeight="1">
      <c r="A80" s="2" t="inlineStr">
        <is>
          <t>2024::jama.2024.6063::C004</t>
        </is>
      </c>
      <c r="B80" s="2" t="inlineStr">
        <is>
          <t>jama.2024.6063</t>
        </is>
      </c>
      <c r="C80" s="2" t="inlineStr">
        <is>
          <t>eTable 5 krill “No change” percentage conflicts with 80 of 107</t>
        </is>
      </c>
      <c r="D80" s="8" t="inlineStr"/>
      <c r="E80" s="11" t="inlineStr"/>
      <c r="F80" s="8" t="inlineStr">
        <is>
          <t>no</t>
        </is>
      </c>
      <c r="G80" s="2">
        <f>IF(OR(AND(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L80&lt;&gt;"",L80&lt;&gt;"not_applicable"),AND(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M80&lt;&gt;"",M80&lt;&gt;"not_applicable"),AND(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N80&lt;&gt;"",N80&lt;&gt;"not_applicable"),AND(OR(AND(IF($J80="",INDEX(primary_jama_2024_6063_disposition,MATCH($A80,primary_jama_2024_6063_key,0)),$J80)&lt;&gt;"",IF($J80="",INDEX(primary_jama_2024_6063_disposition,MATCH($A80,primary_jama_2024_6063_key,0)),$J80)&lt;&gt;"retain"),NOT(OR(IF($K80="",INDEX(primary_jama_2024_6063_domain,MATCH($A80,primary_jama_2024_6063_key,0)),$K80)="internal_nonstatistical",IF($K80="",INDEX(primary_jama_2024_6063_domain,MATCH($A80,primary_jama_2024_6063_key,0)),$K80)="plan_material"))),O80&lt;&gt;"",O80&lt;&gt;"not_applicable"),AND(OR(AND(IF($J80="",INDEX(primary_jama_2024_6063_disposition,MATCH($A80,primary_jama_2024_6063_key,0)),$J80)&lt;&gt;"",IF($J80="",INDEX(primary_jama_2024_6063_disposition,MATCH($A80,primary_jama_2024_6063_key,0)),$J80)&lt;&gt;"retain"),NOT(OR(IF($K80="",INDEX(primary_jama_2024_6063_domain,MATCH($A80,primary_jama_2024_6063_key,0)),$K80)="protocol_report"))),P80&lt;&gt;"",P80&lt;&gt;"not_applicable")),"CLEAR INACTIVE VALUES",IF(D80="","PENDING",IF(AND(D80&lt;&gt;"agree",LEN(TRIM(E80))=0),"COMMENT NEEDED",IF(F80="yes","CHECKED - see resolution","DRAFT"))))</f>
        <v/>
      </c>
      <c r="H80" s="8" t="inlineStr">
        <is>
          <t>pending</t>
        </is>
      </c>
      <c r="I80" s="11" t="inlineStr"/>
      <c r="J80" s="8" t="inlineStr"/>
      <c r="K80" s="8" t="inlineStr"/>
      <c r="L80" s="8">
        <f>IF(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not_applicable","")</f>
        <v/>
      </c>
      <c r="M80" s="8">
        <f>IF(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not_applicable","")</f>
        <v/>
      </c>
      <c r="N80" s="9">
        <f>IF(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not_applicable","")</f>
        <v/>
      </c>
      <c r="O80" s="8">
        <f>IF(OR(AND(IF($J80="",INDEX(primary_jama_2024_6063_disposition,MATCH($A80,primary_jama_2024_6063_key,0)),$J80)&lt;&gt;"",IF($J80="",INDEX(primary_jama_2024_6063_disposition,MATCH($A80,primary_jama_2024_6063_key,0)),$J80)&lt;&gt;"retain"),NOT(OR(IF($K80="",INDEX(primary_jama_2024_6063_domain,MATCH($A80,primary_jama_2024_6063_key,0)),$K80)="internal_nonstatistical",IF($K80="",INDEX(primary_jama_2024_6063_domain,MATCH($A80,primary_jama_2024_6063_key,0)),$K80)="plan_material"))),"not_applicable","")</f>
        <v/>
      </c>
      <c r="P80" s="9">
        <f>IF(OR(AND(IF($J80="",INDEX(primary_jama_2024_6063_disposition,MATCH($A80,primary_jama_2024_6063_key,0)),$J80)&lt;&gt;"",IF($J80="",INDEX(primary_jama_2024_6063_disposition,MATCH($A80,primary_jama_2024_6063_key,0)),$J80)&lt;&gt;"retain"),NOT(OR(IF($K80="",INDEX(primary_jama_2024_6063_domain,MATCH($A80,primary_jama_2024_6063_key,0)),$K80)="protocol_report"))),"not_applicable","")</f>
        <v/>
      </c>
      <c r="Q80" s="10" t="inlineStr"/>
      <c r="R80" s="10" t="inlineStr"/>
    </row>
    <row r="81" ht="76" customHeight="1">
      <c r="A81" s="3" t="inlineStr">
        <is>
          <t>2024::jama.2024.6063::C005</t>
        </is>
      </c>
      <c r="B81" s="3" t="inlineStr">
        <is>
          <t>jama.2024.6063</t>
        </is>
      </c>
      <c r="C81" s="3" t="inlineStr">
        <is>
          <t>eTable 5 krill “Larger by 1 unit” percentage conflicts with 12 of 107</t>
        </is>
      </c>
      <c r="D81" s="8" t="inlineStr"/>
      <c r="E81" s="11" t="inlineStr"/>
      <c r="F81" s="8" t="inlineStr">
        <is>
          <t>no</t>
        </is>
      </c>
      <c r="G81" s="3">
        <f>IF(OR(AND(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L81&lt;&gt;"",L81&lt;&gt;"not_applicable"),AND(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M81&lt;&gt;"",M81&lt;&gt;"not_applicable"),AND(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N81&lt;&gt;"",N81&lt;&gt;"not_applicable"),AND(OR(AND(IF($J81="",INDEX(primary_jama_2024_6063_disposition,MATCH($A81,primary_jama_2024_6063_key,0)),$J81)&lt;&gt;"",IF($J81="",INDEX(primary_jama_2024_6063_disposition,MATCH($A81,primary_jama_2024_6063_key,0)),$J81)&lt;&gt;"retain"),NOT(OR(IF($K81="",INDEX(primary_jama_2024_6063_domain,MATCH($A81,primary_jama_2024_6063_key,0)),$K81)="internal_nonstatistical",IF($K81="",INDEX(primary_jama_2024_6063_domain,MATCH($A81,primary_jama_2024_6063_key,0)),$K81)="plan_material"))),O81&lt;&gt;"",O81&lt;&gt;"not_applicable"),AND(OR(AND(IF($J81="",INDEX(primary_jama_2024_6063_disposition,MATCH($A81,primary_jama_2024_6063_key,0)),$J81)&lt;&gt;"",IF($J81="",INDEX(primary_jama_2024_6063_disposition,MATCH($A81,primary_jama_2024_6063_key,0)),$J81)&lt;&gt;"retain"),NOT(OR(IF($K81="",INDEX(primary_jama_2024_6063_domain,MATCH($A81,primary_jama_2024_6063_key,0)),$K81)="protocol_report"))),P81&lt;&gt;"",P81&lt;&gt;"not_applicable")),"CLEAR INACTIVE VALUES",IF(D81="","PENDING",IF(AND(D81&lt;&gt;"agree",LEN(TRIM(E81))=0),"COMMENT NEEDED",IF(F81="yes","CHECKED - see resolution","DRAFT"))))</f>
        <v/>
      </c>
      <c r="H81" s="8" t="inlineStr">
        <is>
          <t>pending</t>
        </is>
      </c>
      <c r="I81" s="11" t="inlineStr"/>
      <c r="J81" s="8" t="inlineStr"/>
      <c r="K81" s="8" t="inlineStr"/>
      <c r="L81" s="8">
        <f>IF(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not_applicable","")</f>
        <v/>
      </c>
      <c r="M81" s="8">
        <f>IF(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not_applicable","")</f>
        <v/>
      </c>
      <c r="N81" s="9">
        <f>IF(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not_applicable","")</f>
        <v/>
      </c>
      <c r="O81" s="8">
        <f>IF(OR(AND(IF($J81="",INDEX(primary_jama_2024_6063_disposition,MATCH($A81,primary_jama_2024_6063_key,0)),$J81)&lt;&gt;"",IF($J81="",INDEX(primary_jama_2024_6063_disposition,MATCH($A81,primary_jama_2024_6063_key,0)),$J81)&lt;&gt;"retain"),NOT(OR(IF($K81="",INDEX(primary_jama_2024_6063_domain,MATCH($A81,primary_jama_2024_6063_key,0)),$K81)="internal_nonstatistical",IF($K81="",INDEX(primary_jama_2024_6063_domain,MATCH($A81,primary_jama_2024_6063_key,0)),$K81)="plan_material"))),"not_applicable","")</f>
        <v/>
      </c>
      <c r="P81" s="9">
        <f>IF(OR(AND(IF($J81="",INDEX(primary_jama_2024_6063_disposition,MATCH($A81,primary_jama_2024_6063_key,0)),$J81)&lt;&gt;"",IF($J81="",INDEX(primary_jama_2024_6063_disposition,MATCH($A81,primary_jama_2024_6063_key,0)),$J81)&lt;&gt;"retain"),NOT(OR(IF($K81="",INDEX(primary_jama_2024_6063_domain,MATCH($A81,primary_jama_2024_6063_key,0)),$K81)="protocol_report"))),"not_applicable","")</f>
        <v/>
      </c>
      <c r="Q81" s="10" t="inlineStr"/>
      <c r="R81" s="10" t="inlineStr"/>
    </row>
    <row r="82" ht="76" customHeight="1">
      <c r="A82" s="2" t="inlineStr">
        <is>
          <t>2024::jama.2024.6063::C006</t>
        </is>
      </c>
      <c r="B82" s="2" t="inlineStr">
        <is>
          <t>jama.2024.6063</t>
        </is>
      </c>
      <c r="C82" s="2" t="inlineStr">
        <is>
          <t>eTable 5 placebo “Smaller by 2 units” percentage conflicts with 2 of 109</t>
        </is>
      </c>
      <c r="D82" s="8" t="inlineStr"/>
      <c r="E82" s="11" t="inlineStr"/>
      <c r="F82" s="8" t="inlineStr">
        <is>
          <t>no</t>
        </is>
      </c>
      <c r="G82" s="2">
        <f>IF(OR(AND(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L82&lt;&gt;"",L82&lt;&gt;"not_applicable"),AND(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M82&lt;&gt;"",M82&lt;&gt;"not_applicable"),AND(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N82&lt;&gt;"",N82&lt;&gt;"not_applicable"),AND(OR(AND(IF($J82="",INDEX(primary_jama_2024_6063_disposition,MATCH($A82,primary_jama_2024_6063_key,0)),$J82)&lt;&gt;"",IF($J82="",INDEX(primary_jama_2024_6063_disposition,MATCH($A82,primary_jama_2024_6063_key,0)),$J82)&lt;&gt;"retain"),NOT(OR(IF($K82="",INDEX(primary_jama_2024_6063_domain,MATCH($A82,primary_jama_2024_6063_key,0)),$K82)="internal_nonstatistical",IF($K82="",INDEX(primary_jama_2024_6063_domain,MATCH($A82,primary_jama_2024_6063_key,0)),$K82)="plan_material"))),O82&lt;&gt;"",O82&lt;&gt;"not_applicable"),AND(OR(AND(IF($J82="",INDEX(primary_jama_2024_6063_disposition,MATCH($A82,primary_jama_2024_6063_key,0)),$J82)&lt;&gt;"",IF($J82="",INDEX(primary_jama_2024_6063_disposition,MATCH($A82,primary_jama_2024_6063_key,0)),$J82)&lt;&gt;"retain"),NOT(OR(IF($K82="",INDEX(primary_jama_2024_6063_domain,MATCH($A82,primary_jama_2024_6063_key,0)),$K82)="protocol_report"))),P82&lt;&gt;"",P82&lt;&gt;"not_applicable")),"CLEAR INACTIVE VALUES",IF(D82="","PENDING",IF(AND(D82&lt;&gt;"agree",LEN(TRIM(E82))=0),"COMMENT NEEDED",IF(F82="yes","CHECKED - see resolution","DRAFT"))))</f>
        <v/>
      </c>
      <c r="H82" s="8" t="inlineStr">
        <is>
          <t>pending</t>
        </is>
      </c>
      <c r="I82" s="11" t="inlineStr"/>
      <c r="J82" s="8" t="inlineStr"/>
      <c r="K82" s="8" t="inlineStr"/>
      <c r="L82" s="8">
        <f>IF(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not_applicable","")</f>
        <v/>
      </c>
      <c r="M82" s="8">
        <f>IF(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not_applicable","")</f>
        <v/>
      </c>
      <c r="N82" s="9">
        <f>IF(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not_applicable","")</f>
        <v/>
      </c>
      <c r="O82" s="8">
        <f>IF(OR(AND(IF($J82="",INDEX(primary_jama_2024_6063_disposition,MATCH($A82,primary_jama_2024_6063_key,0)),$J82)&lt;&gt;"",IF($J82="",INDEX(primary_jama_2024_6063_disposition,MATCH($A82,primary_jama_2024_6063_key,0)),$J82)&lt;&gt;"retain"),NOT(OR(IF($K82="",INDEX(primary_jama_2024_6063_domain,MATCH($A82,primary_jama_2024_6063_key,0)),$K82)="internal_nonstatistical",IF($K82="",INDEX(primary_jama_2024_6063_domain,MATCH($A82,primary_jama_2024_6063_key,0)),$K82)="plan_material"))),"not_applicable","")</f>
        <v/>
      </c>
      <c r="P82" s="9">
        <f>IF(OR(AND(IF($J82="",INDEX(primary_jama_2024_6063_disposition,MATCH($A82,primary_jama_2024_6063_key,0)),$J82)&lt;&gt;"",IF($J82="",INDEX(primary_jama_2024_6063_disposition,MATCH($A82,primary_jama_2024_6063_key,0)),$J82)&lt;&gt;"retain"),NOT(OR(IF($K82="",INDEX(primary_jama_2024_6063_domain,MATCH($A82,primary_jama_2024_6063_key,0)),$K82)="protocol_report"))),"not_applicable","")</f>
        <v/>
      </c>
      <c r="Q82" s="10" t="inlineStr"/>
      <c r="R82" s="10" t="inlineStr"/>
    </row>
    <row r="83" ht="76" customHeight="1">
      <c r="A83" s="3" t="inlineStr">
        <is>
          <t>2024::jama.2024.6063::C007</t>
        </is>
      </c>
      <c r="B83" s="3" t="inlineStr">
        <is>
          <t>jama.2024.6063</t>
        </is>
      </c>
      <c r="C83" s="3" t="inlineStr">
        <is>
          <t>eTable 5 placebo “Smaller by 1 unit” percentage conflicts with 16 of 109</t>
        </is>
      </c>
      <c r="D83" s="8" t="inlineStr"/>
      <c r="E83" s="11" t="inlineStr"/>
      <c r="F83" s="8" t="inlineStr">
        <is>
          <t>no</t>
        </is>
      </c>
      <c r="G83" s="3">
        <f>IF(OR(AND(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L83&lt;&gt;"",L83&lt;&gt;"not_applicable"),AND(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M83&lt;&gt;"",M83&lt;&gt;"not_applicable"),AND(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N83&lt;&gt;"",N83&lt;&gt;"not_applicable"),AND(OR(AND(IF($J83="",INDEX(primary_jama_2024_6063_disposition,MATCH($A83,primary_jama_2024_6063_key,0)),$J83)&lt;&gt;"",IF($J83="",INDEX(primary_jama_2024_6063_disposition,MATCH($A83,primary_jama_2024_6063_key,0)),$J83)&lt;&gt;"retain"),NOT(OR(IF($K83="",INDEX(primary_jama_2024_6063_domain,MATCH($A83,primary_jama_2024_6063_key,0)),$K83)="internal_nonstatistical",IF($K83="",INDEX(primary_jama_2024_6063_domain,MATCH($A83,primary_jama_2024_6063_key,0)),$K83)="plan_material"))),O83&lt;&gt;"",O83&lt;&gt;"not_applicable"),AND(OR(AND(IF($J83="",INDEX(primary_jama_2024_6063_disposition,MATCH($A83,primary_jama_2024_6063_key,0)),$J83)&lt;&gt;"",IF($J83="",INDEX(primary_jama_2024_6063_disposition,MATCH($A83,primary_jama_2024_6063_key,0)),$J83)&lt;&gt;"retain"),NOT(OR(IF($K83="",INDEX(primary_jama_2024_6063_domain,MATCH($A83,primary_jama_2024_6063_key,0)),$K83)="protocol_report"))),P83&lt;&gt;"",P83&lt;&gt;"not_applicable")),"CLEAR INACTIVE VALUES",IF(D83="","PENDING",IF(AND(D83&lt;&gt;"agree",LEN(TRIM(E83))=0),"COMMENT NEEDED",IF(F83="yes","CHECKED - see resolution","DRAFT"))))</f>
        <v/>
      </c>
      <c r="H83" s="8" t="inlineStr">
        <is>
          <t>pending</t>
        </is>
      </c>
      <c r="I83" s="11" t="inlineStr"/>
      <c r="J83" s="8" t="inlineStr"/>
      <c r="K83" s="8" t="inlineStr"/>
      <c r="L83" s="8">
        <f>IF(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not_applicable","")</f>
        <v/>
      </c>
      <c r="M83" s="8">
        <f>IF(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not_applicable","")</f>
        <v/>
      </c>
      <c r="N83" s="9">
        <f>IF(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not_applicable","")</f>
        <v/>
      </c>
      <c r="O83" s="8">
        <f>IF(OR(AND(IF($J83="",INDEX(primary_jama_2024_6063_disposition,MATCH($A83,primary_jama_2024_6063_key,0)),$J83)&lt;&gt;"",IF($J83="",INDEX(primary_jama_2024_6063_disposition,MATCH($A83,primary_jama_2024_6063_key,0)),$J83)&lt;&gt;"retain"),NOT(OR(IF($K83="",INDEX(primary_jama_2024_6063_domain,MATCH($A83,primary_jama_2024_6063_key,0)),$K83)="internal_nonstatistical",IF($K83="",INDEX(primary_jama_2024_6063_domain,MATCH($A83,primary_jama_2024_6063_key,0)),$K83)="plan_material"))),"not_applicable","")</f>
        <v/>
      </c>
      <c r="P83" s="9">
        <f>IF(OR(AND(IF($J83="",INDEX(primary_jama_2024_6063_disposition,MATCH($A83,primary_jama_2024_6063_key,0)),$J83)&lt;&gt;"",IF($J83="",INDEX(primary_jama_2024_6063_disposition,MATCH($A83,primary_jama_2024_6063_key,0)),$J83)&lt;&gt;"retain"),NOT(OR(IF($K83="",INDEX(primary_jama_2024_6063_domain,MATCH($A83,primary_jama_2024_6063_key,0)),$K83)="protocol_report"))),"not_applicable","")</f>
        <v/>
      </c>
      <c r="Q83" s="10" t="inlineStr"/>
      <c r="R83" s="10" t="inlineStr"/>
    </row>
    <row r="84" ht="76" customHeight="1">
      <c r="A84" s="2" t="inlineStr">
        <is>
          <t>2024::jama.2024.6063::C008</t>
        </is>
      </c>
      <c r="B84" s="2" t="inlineStr">
        <is>
          <t>jama.2024.6063</t>
        </is>
      </c>
      <c r="C84" s="2" t="inlineStr">
        <is>
          <t>eTable 5 placebo “No change” percentage conflicts with 75 of 109</t>
        </is>
      </c>
      <c r="D84" s="8" t="inlineStr"/>
      <c r="E84" s="11" t="inlineStr"/>
      <c r="F84" s="8" t="inlineStr">
        <is>
          <t>no</t>
        </is>
      </c>
      <c r="G84" s="2">
        <f>IF(OR(AND(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L84&lt;&gt;"",L84&lt;&gt;"not_applicable"),AND(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M84&lt;&gt;"",M84&lt;&gt;"not_applicable"),AND(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N84&lt;&gt;"",N84&lt;&gt;"not_applicable"),AND(OR(AND(IF($J84="",INDEX(primary_jama_2024_6063_disposition,MATCH($A84,primary_jama_2024_6063_key,0)),$J84)&lt;&gt;"",IF($J84="",INDEX(primary_jama_2024_6063_disposition,MATCH($A84,primary_jama_2024_6063_key,0)),$J84)&lt;&gt;"retain"),NOT(OR(IF($K84="",INDEX(primary_jama_2024_6063_domain,MATCH($A84,primary_jama_2024_6063_key,0)),$K84)="internal_nonstatistical",IF($K84="",INDEX(primary_jama_2024_6063_domain,MATCH($A84,primary_jama_2024_6063_key,0)),$K84)="plan_material"))),O84&lt;&gt;"",O84&lt;&gt;"not_applicable"),AND(OR(AND(IF($J84="",INDEX(primary_jama_2024_6063_disposition,MATCH($A84,primary_jama_2024_6063_key,0)),$J84)&lt;&gt;"",IF($J84="",INDEX(primary_jama_2024_6063_disposition,MATCH($A84,primary_jama_2024_6063_key,0)),$J84)&lt;&gt;"retain"),NOT(OR(IF($K84="",INDEX(primary_jama_2024_6063_domain,MATCH($A84,primary_jama_2024_6063_key,0)),$K84)="protocol_report"))),P84&lt;&gt;"",P84&lt;&gt;"not_applicable")),"CLEAR INACTIVE VALUES",IF(D84="","PENDING",IF(AND(D84&lt;&gt;"agree",LEN(TRIM(E84))=0),"COMMENT NEEDED",IF(F84="yes","CHECKED - see resolution","DRAFT"))))</f>
        <v/>
      </c>
      <c r="H84" s="8" t="inlineStr">
        <is>
          <t>pending</t>
        </is>
      </c>
      <c r="I84" s="11" t="inlineStr"/>
      <c r="J84" s="8" t="inlineStr"/>
      <c r="K84" s="8" t="inlineStr"/>
      <c r="L84" s="8">
        <f>IF(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not_applicable","")</f>
        <v/>
      </c>
      <c r="M84" s="8">
        <f>IF(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not_applicable","")</f>
        <v/>
      </c>
      <c r="N84" s="9">
        <f>IF(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not_applicable","")</f>
        <v/>
      </c>
      <c r="O84" s="8">
        <f>IF(OR(AND(IF($J84="",INDEX(primary_jama_2024_6063_disposition,MATCH($A84,primary_jama_2024_6063_key,0)),$J84)&lt;&gt;"",IF($J84="",INDEX(primary_jama_2024_6063_disposition,MATCH($A84,primary_jama_2024_6063_key,0)),$J84)&lt;&gt;"retain"),NOT(OR(IF($K84="",INDEX(primary_jama_2024_6063_domain,MATCH($A84,primary_jama_2024_6063_key,0)),$K84)="internal_nonstatistical",IF($K84="",INDEX(primary_jama_2024_6063_domain,MATCH($A84,primary_jama_2024_6063_key,0)),$K84)="plan_material"))),"not_applicable","")</f>
        <v/>
      </c>
      <c r="P84" s="9">
        <f>IF(OR(AND(IF($J84="",INDEX(primary_jama_2024_6063_disposition,MATCH($A84,primary_jama_2024_6063_key,0)),$J84)&lt;&gt;"",IF($J84="",INDEX(primary_jama_2024_6063_disposition,MATCH($A84,primary_jama_2024_6063_key,0)),$J84)&lt;&gt;"retain"),NOT(OR(IF($K84="",INDEX(primary_jama_2024_6063_domain,MATCH($A84,primary_jama_2024_6063_key,0)),$K84)="protocol_report"))),"not_applicable","")</f>
        <v/>
      </c>
      <c r="Q84" s="10" t="inlineStr"/>
      <c r="R84" s="10" t="inlineStr"/>
    </row>
    <row r="85" ht="76" customHeight="1">
      <c r="A85" s="3" t="inlineStr">
        <is>
          <t>2024::jama.2024.6063::C009</t>
        </is>
      </c>
      <c r="B85" s="3" t="inlineStr">
        <is>
          <t>jama.2024.6063</t>
        </is>
      </c>
      <c r="C85" s="3" t="inlineStr">
        <is>
          <t>eTable 4 repeats week-4 function changes in the weight-bearing-pain row</t>
        </is>
      </c>
      <c r="D85" s="8" t="inlineStr"/>
      <c r="E85" s="11" t="inlineStr"/>
      <c r="F85" s="8" t="inlineStr">
        <is>
          <t>no</t>
        </is>
      </c>
      <c r="G85" s="3">
        <f>IF(OR(AND(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L85&lt;&gt;"",L85&lt;&gt;"not_applicable"),AND(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M85&lt;&gt;"",M85&lt;&gt;"not_applicable"),AND(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N85&lt;&gt;"",N85&lt;&gt;"not_applicable"),AND(OR(AND(IF($J85="",INDEX(primary_jama_2024_6063_disposition,MATCH($A85,primary_jama_2024_6063_key,0)),$J85)&lt;&gt;"",IF($J85="",INDEX(primary_jama_2024_6063_disposition,MATCH($A85,primary_jama_2024_6063_key,0)),$J85)&lt;&gt;"retain"),NOT(OR(IF($K85="",INDEX(primary_jama_2024_6063_domain,MATCH($A85,primary_jama_2024_6063_key,0)),$K85)="internal_nonstatistical",IF($K85="",INDEX(primary_jama_2024_6063_domain,MATCH($A85,primary_jama_2024_6063_key,0)),$K85)="plan_material"))),O85&lt;&gt;"",O85&lt;&gt;"not_applicable"),AND(OR(AND(IF($J85="",INDEX(primary_jama_2024_6063_disposition,MATCH($A85,primary_jama_2024_6063_key,0)),$J85)&lt;&gt;"",IF($J85="",INDEX(primary_jama_2024_6063_disposition,MATCH($A85,primary_jama_2024_6063_key,0)),$J85)&lt;&gt;"retain"),NOT(OR(IF($K85="",INDEX(primary_jama_2024_6063_domain,MATCH($A85,primary_jama_2024_6063_key,0)),$K85)="protocol_report"))),P85&lt;&gt;"",P85&lt;&gt;"not_applicable")),"CLEAR INACTIVE VALUES",IF(D85="","PENDING",IF(AND(D85&lt;&gt;"agree",LEN(TRIM(E85))=0),"COMMENT NEEDED",IF(F85="yes","CHECKED - see resolution","DRAFT"))))</f>
        <v/>
      </c>
      <c r="H85" s="8" t="inlineStr">
        <is>
          <t>pending</t>
        </is>
      </c>
      <c r="I85" s="11" t="inlineStr"/>
      <c r="J85" s="8" t="inlineStr"/>
      <c r="K85" s="8" t="inlineStr"/>
      <c r="L85" s="8">
        <f>IF(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not_applicable","")</f>
        <v/>
      </c>
      <c r="M85" s="8">
        <f>IF(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not_applicable","")</f>
        <v/>
      </c>
      <c r="N85" s="9">
        <f>IF(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not_applicable","")</f>
        <v/>
      </c>
      <c r="O85" s="8">
        <f>IF(OR(AND(IF($J85="",INDEX(primary_jama_2024_6063_disposition,MATCH($A85,primary_jama_2024_6063_key,0)),$J85)&lt;&gt;"",IF($J85="",INDEX(primary_jama_2024_6063_disposition,MATCH($A85,primary_jama_2024_6063_key,0)),$J85)&lt;&gt;"retain"),NOT(OR(IF($K85="",INDEX(primary_jama_2024_6063_domain,MATCH($A85,primary_jama_2024_6063_key,0)),$K85)="internal_nonstatistical",IF($K85="",INDEX(primary_jama_2024_6063_domain,MATCH($A85,primary_jama_2024_6063_key,0)),$K85)="plan_material"))),"not_applicable","")</f>
        <v/>
      </c>
      <c r="P85" s="9">
        <f>IF(OR(AND(IF($J85="",INDEX(primary_jama_2024_6063_disposition,MATCH($A85,primary_jama_2024_6063_key,0)),$J85)&lt;&gt;"",IF($J85="",INDEX(primary_jama_2024_6063_disposition,MATCH($A85,primary_jama_2024_6063_key,0)),$J85)&lt;&gt;"retain"),NOT(OR(IF($K85="",INDEX(primary_jama_2024_6063_domain,MATCH($A85,primary_jama_2024_6063_key,0)),$K85)="protocol_report"))),"not_applicable","")</f>
        <v/>
      </c>
      <c r="Q85" s="10" t="inlineStr"/>
      <c r="R85" s="10" t="inlineStr"/>
    </row>
    <row r="86" ht="76" customHeight="1">
      <c r="A86" s="2" t="inlineStr">
        <is>
          <t>2024::jama.2024.6063::C010</t>
        </is>
      </c>
      <c r="B86" s="2" t="inlineStr">
        <is>
          <t>jama.2024.6063</t>
        </is>
      </c>
      <c r="C86" s="2" t="inlineStr">
        <is>
          <t>eTable 4 repeats week-4 back-pain results in week-12 lower-leg strength</t>
        </is>
      </c>
      <c r="D86" s="8" t="inlineStr"/>
      <c r="E86" s="11" t="inlineStr"/>
      <c r="F86" s="8" t="inlineStr">
        <is>
          <t>no</t>
        </is>
      </c>
      <c r="G86" s="2">
        <f>IF(OR(AND(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L86&lt;&gt;"",L86&lt;&gt;"not_applicable"),AND(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M86&lt;&gt;"",M86&lt;&gt;"not_applicable"),AND(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N86&lt;&gt;"",N86&lt;&gt;"not_applicable"),AND(OR(AND(IF($J86="",INDEX(primary_jama_2024_6063_disposition,MATCH($A86,primary_jama_2024_6063_key,0)),$J86)&lt;&gt;"",IF($J86="",INDEX(primary_jama_2024_6063_disposition,MATCH($A86,primary_jama_2024_6063_key,0)),$J86)&lt;&gt;"retain"),NOT(OR(IF($K86="",INDEX(primary_jama_2024_6063_domain,MATCH($A86,primary_jama_2024_6063_key,0)),$K86)="internal_nonstatistical",IF($K86="",INDEX(primary_jama_2024_6063_domain,MATCH($A86,primary_jama_2024_6063_key,0)),$K86)="plan_material"))),O86&lt;&gt;"",O86&lt;&gt;"not_applicable"),AND(OR(AND(IF($J86="",INDEX(primary_jama_2024_6063_disposition,MATCH($A86,primary_jama_2024_6063_key,0)),$J86)&lt;&gt;"",IF($J86="",INDEX(primary_jama_2024_6063_disposition,MATCH($A86,primary_jama_2024_6063_key,0)),$J86)&lt;&gt;"retain"),NOT(OR(IF($K86="",INDEX(primary_jama_2024_6063_domain,MATCH($A86,primary_jama_2024_6063_key,0)),$K86)="protocol_report"))),P86&lt;&gt;"",P86&lt;&gt;"not_applicable")),"CLEAR INACTIVE VALUES",IF(D86="","PENDING",IF(AND(D86&lt;&gt;"agree",LEN(TRIM(E86))=0),"COMMENT NEEDED",IF(F86="yes","CHECKED - see resolution","DRAFT"))))</f>
        <v/>
      </c>
      <c r="H86" s="8" t="inlineStr">
        <is>
          <t>pending</t>
        </is>
      </c>
      <c r="I86" s="11" t="inlineStr"/>
      <c r="J86" s="8" t="inlineStr"/>
      <c r="K86" s="8" t="inlineStr"/>
      <c r="L86" s="8">
        <f>IF(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not_applicable","")</f>
        <v/>
      </c>
      <c r="M86" s="8">
        <f>IF(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not_applicable","")</f>
        <v/>
      </c>
      <c r="N86" s="9">
        <f>IF(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not_applicable","")</f>
        <v/>
      </c>
      <c r="O86" s="8">
        <f>IF(OR(AND(IF($J86="",INDEX(primary_jama_2024_6063_disposition,MATCH($A86,primary_jama_2024_6063_key,0)),$J86)&lt;&gt;"",IF($J86="",INDEX(primary_jama_2024_6063_disposition,MATCH($A86,primary_jama_2024_6063_key,0)),$J86)&lt;&gt;"retain"),NOT(OR(IF($K86="",INDEX(primary_jama_2024_6063_domain,MATCH($A86,primary_jama_2024_6063_key,0)),$K86)="internal_nonstatistical",IF($K86="",INDEX(primary_jama_2024_6063_domain,MATCH($A86,primary_jama_2024_6063_key,0)),$K86)="plan_material"))),"not_applicable","")</f>
        <v/>
      </c>
      <c r="P86" s="9">
        <f>IF(OR(AND(IF($J86="",INDEX(primary_jama_2024_6063_disposition,MATCH($A86,primary_jama_2024_6063_key,0)),$J86)&lt;&gt;"",IF($J86="",INDEX(primary_jama_2024_6063_disposition,MATCH($A86,primary_jama_2024_6063_key,0)),$J86)&lt;&gt;"retain"),NOT(OR(IF($K86="",INDEX(primary_jama_2024_6063_domain,MATCH($A86,primary_jama_2024_6063_key,0)),$K86)="protocol_report"))),"not_applicable","")</f>
        <v/>
      </c>
      <c r="Q86" s="10" t="inlineStr"/>
      <c r="R86" s="10" t="inlineStr"/>
    </row>
    <row r="87" ht="76" customHeight="1">
      <c r="A87" s="3" t="inlineStr">
        <is>
          <t>2024::jama.2024.6063::C011</t>
        </is>
      </c>
      <c r="B87" s="3" t="inlineStr">
        <is>
          <t>jama.2024.6063</t>
        </is>
      </c>
      <c r="C87" s="3" t="inlineStr">
        <is>
          <t>eTable 4 repeats the week-12 hsCRP result in fasting glucose</t>
        </is>
      </c>
      <c r="D87" s="8" t="inlineStr"/>
      <c r="E87" s="11" t="inlineStr"/>
      <c r="F87" s="8" t="inlineStr">
        <is>
          <t>no</t>
        </is>
      </c>
      <c r="G87" s="3">
        <f>IF(OR(AND(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L87&lt;&gt;"",L87&lt;&gt;"not_applicable"),AND(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M87&lt;&gt;"",M87&lt;&gt;"not_applicable"),AND(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N87&lt;&gt;"",N87&lt;&gt;"not_applicable"),AND(OR(AND(IF($J87="",INDEX(primary_jama_2024_6063_disposition,MATCH($A87,primary_jama_2024_6063_key,0)),$J87)&lt;&gt;"",IF($J87="",INDEX(primary_jama_2024_6063_disposition,MATCH($A87,primary_jama_2024_6063_key,0)),$J87)&lt;&gt;"retain"),NOT(OR(IF($K87="",INDEX(primary_jama_2024_6063_domain,MATCH($A87,primary_jama_2024_6063_key,0)),$K87)="internal_nonstatistical",IF($K87="",INDEX(primary_jama_2024_6063_domain,MATCH($A87,primary_jama_2024_6063_key,0)),$K87)="plan_material"))),O87&lt;&gt;"",O87&lt;&gt;"not_applicable"),AND(OR(AND(IF($J87="",INDEX(primary_jama_2024_6063_disposition,MATCH($A87,primary_jama_2024_6063_key,0)),$J87)&lt;&gt;"",IF($J87="",INDEX(primary_jama_2024_6063_disposition,MATCH($A87,primary_jama_2024_6063_key,0)),$J87)&lt;&gt;"retain"),NOT(OR(IF($K87="",INDEX(primary_jama_2024_6063_domain,MATCH($A87,primary_jama_2024_6063_key,0)),$K87)="protocol_report"))),P87&lt;&gt;"",P87&lt;&gt;"not_applicable")),"CLEAR INACTIVE VALUES",IF(D87="","PENDING",IF(AND(D87&lt;&gt;"agree",LEN(TRIM(E87))=0),"COMMENT NEEDED",IF(F87="yes","CHECKED - see resolution","DRAFT"))))</f>
        <v/>
      </c>
      <c r="H87" s="8" t="inlineStr">
        <is>
          <t>pending</t>
        </is>
      </c>
      <c r="I87" s="11" t="inlineStr"/>
      <c r="J87" s="8" t="inlineStr"/>
      <c r="K87" s="8" t="inlineStr"/>
      <c r="L87" s="8">
        <f>IF(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not_applicable","")</f>
        <v/>
      </c>
      <c r="M87" s="8">
        <f>IF(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not_applicable","")</f>
        <v/>
      </c>
      <c r="N87" s="9">
        <f>IF(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not_applicable","")</f>
        <v/>
      </c>
      <c r="O87" s="8">
        <f>IF(OR(AND(IF($J87="",INDEX(primary_jama_2024_6063_disposition,MATCH($A87,primary_jama_2024_6063_key,0)),$J87)&lt;&gt;"",IF($J87="",INDEX(primary_jama_2024_6063_disposition,MATCH($A87,primary_jama_2024_6063_key,0)),$J87)&lt;&gt;"retain"),NOT(OR(IF($K87="",INDEX(primary_jama_2024_6063_domain,MATCH($A87,primary_jama_2024_6063_key,0)),$K87)="internal_nonstatistical",IF($K87="",INDEX(primary_jama_2024_6063_domain,MATCH($A87,primary_jama_2024_6063_key,0)),$K87)="plan_material"))),"not_applicable","")</f>
        <v/>
      </c>
      <c r="P87" s="9">
        <f>IF(OR(AND(IF($J87="",INDEX(primary_jama_2024_6063_disposition,MATCH($A87,primary_jama_2024_6063_key,0)),$J87)&lt;&gt;"",IF($J87="",INDEX(primary_jama_2024_6063_disposition,MATCH($A87,primary_jama_2024_6063_key,0)),$J87)&lt;&gt;"retain"),NOT(OR(IF($K87="",INDEX(primary_jama_2024_6063_domain,MATCH($A87,primary_jama_2024_6063_key,0)),$K87)="protocol_report"))),"not_applicable","")</f>
        <v/>
      </c>
      <c r="Q87" s="10" t="inlineStr"/>
      <c r="R87" s="10" t="inlineStr"/>
    </row>
    <row r="88" ht="76" customHeight="1">
      <c r="A88" s="2" t="inlineStr">
        <is>
          <t>2024::jama.2024.6063::C012</t>
        </is>
      </c>
      <c r="B88" s="2" t="inlineStr">
        <is>
          <t>jama.2024.6063</t>
        </is>
      </c>
      <c r="C88" s="2" t="inlineStr">
        <is>
          <t>Key Points and other matched primary-result displays use opposite signs</t>
        </is>
      </c>
      <c r="D88" s="8" t="inlineStr"/>
      <c r="E88" s="11" t="inlineStr"/>
      <c r="F88" s="8" t="inlineStr">
        <is>
          <t>no</t>
        </is>
      </c>
      <c r="G88" s="2">
        <f>IF(OR(AND(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L88&lt;&gt;"",L88&lt;&gt;"not_applicable"),AND(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M88&lt;&gt;"",M88&lt;&gt;"not_applicable"),AND(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N88&lt;&gt;"",N88&lt;&gt;"not_applicable"),AND(OR(AND(IF($J88="",INDEX(primary_jama_2024_6063_disposition,MATCH($A88,primary_jama_2024_6063_key,0)),$J88)&lt;&gt;"",IF($J88="",INDEX(primary_jama_2024_6063_disposition,MATCH($A88,primary_jama_2024_6063_key,0)),$J88)&lt;&gt;"retain"),NOT(OR(IF($K88="",INDEX(primary_jama_2024_6063_domain,MATCH($A88,primary_jama_2024_6063_key,0)),$K88)="internal_nonstatistical",IF($K88="",INDEX(primary_jama_2024_6063_domain,MATCH($A88,primary_jama_2024_6063_key,0)),$K88)="plan_material"))),O88&lt;&gt;"",O88&lt;&gt;"not_applicable"),AND(OR(AND(IF($J88="",INDEX(primary_jama_2024_6063_disposition,MATCH($A88,primary_jama_2024_6063_key,0)),$J88)&lt;&gt;"",IF($J88="",INDEX(primary_jama_2024_6063_disposition,MATCH($A88,primary_jama_2024_6063_key,0)),$J88)&lt;&gt;"retain"),NOT(OR(IF($K88="",INDEX(primary_jama_2024_6063_domain,MATCH($A88,primary_jama_2024_6063_key,0)),$K88)="protocol_report"))),P88&lt;&gt;"",P88&lt;&gt;"not_applicable")),"CLEAR INACTIVE VALUES",IF(D88="","PENDING",IF(AND(D88&lt;&gt;"agree",LEN(TRIM(E88))=0),"COMMENT NEEDED",IF(F88="yes","CHECKED - see resolution","DRAFT"))))</f>
        <v/>
      </c>
      <c r="H88" s="8" t="inlineStr">
        <is>
          <t>pending</t>
        </is>
      </c>
      <c r="I88" s="11" t="inlineStr"/>
      <c r="J88" s="8" t="inlineStr"/>
      <c r="K88" s="8" t="inlineStr"/>
      <c r="L88" s="8">
        <f>IF(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not_applicable","")</f>
        <v/>
      </c>
      <c r="M88" s="8">
        <f>IF(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not_applicable","")</f>
        <v/>
      </c>
      <c r="N88" s="9">
        <f>IF(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not_applicable","")</f>
        <v/>
      </c>
      <c r="O88" s="8">
        <f>IF(OR(AND(IF($J88="",INDEX(primary_jama_2024_6063_disposition,MATCH($A88,primary_jama_2024_6063_key,0)),$J88)&lt;&gt;"",IF($J88="",INDEX(primary_jama_2024_6063_disposition,MATCH($A88,primary_jama_2024_6063_key,0)),$J88)&lt;&gt;"retain"),NOT(OR(IF($K88="",INDEX(primary_jama_2024_6063_domain,MATCH($A88,primary_jama_2024_6063_key,0)),$K88)="internal_nonstatistical",IF($K88="",INDEX(primary_jama_2024_6063_domain,MATCH($A88,primary_jama_2024_6063_key,0)),$K88)="plan_material"))),"not_applicable","")</f>
        <v/>
      </c>
      <c r="P88" s="9">
        <f>IF(OR(AND(IF($J88="",INDEX(primary_jama_2024_6063_disposition,MATCH($A88,primary_jama_2024_6063_key,0)),$J88)&lt;&gt;"",IF($J88="",INDEX(primary_jama_2024_6063_disposition,MATCH($A88,primary_jama_2024_6063_key,0)),$J88)&lt;&gt;"retain"),NOT(OR(IF($K88="",INDEX(primary_jama_2024_6063_domain,MATCH($A88,primary_jama_2024_6063_key,0)),$K88)="protocol_report"))),"not_applicable","")</f>
        <v/>
      </c>
      <c r="Q88" s="10" t="inlineStr"/>
      <c r="R88" s="10" t="inlineStr"/>
    </row>
    <row r="89" ht="76" customHeight="1">
      <c r="A89" s="3" t="inlineStr">
        <is>
          <t>2024::jama.2024.6063::C013</t>
        </is>
      </c>
      <c r="B89" s="3" t="inlineStr">
        <is>
          <t>jama.2024.6063</t>
        </is>
      </c>
      <c r="C89" s="3" t="inlineStr">
        <is>
          <t>Placebo extremity-pain event count is 6 in Table 3 and 5 elsewhere</t>
        </is>
      </c>
      <c r="D89" s="8" t="inlineStr"/>
      <c r="E89" s="11" t="inlineStr"/>
      <c r="F89" s="8" t="inlineStr">
        <is>
          <t>no</t>
        </is>
      </c>
      <c r="G89" s="3">
        <f>IF(OR(AND(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L89&lt;&gt;"",L89&lt;&gt;"not_applicable"),AND(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M89&lt;&gt;"",M89&lt;&gt;"not_applicable"),AND(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N89&lt;&gt;"",N89&lt;&gt;"not_applicable"),AND(OR(AND(IF($J89="",INDEX(primary_jama_2024_6063_disposition,MATCH($A89,primary_jama_2024_6063_key,0)),$J89)&lt;&gt;"",IF($J89="",INDEX(primary_jama_2024_6063_disposition,MATCH($A89,primary_jama_2024_6063_key,0)),$J89)&lt;&gt;"retain"),NOT(OR(IF($K89="",INDEX(primary_jama_2024_6063_domain,MATCH($A89,primary_jama_2024_6063_key,0)),$K89)="internal_nonstatistical",IF($K89="",INDEX(primary_jama_2024_6063_domain,MATCH($A89,primary_jama_2024_6063_key,0)),$K89)="plan_material"))),O89&lt;&gt;"",O89&lt;&gt;"not_applicable"),AND(OR(AND(IF($J89="",INDEX(primary_jama_2024_6063_disposition,MATCH($A89,primary_jama_2024_6063_key,0)),$J89)&lt;&gt;"",IF($J89="",INDEX(primary_jama_2024_6063_disposition,MATCH($A89,primary_jama_2024_6063_key,0)),$J89)&lt;&gt;"retain"),NOT(OR(IF($K89="",INDEX(primary_jama_2024_6063_domain,MATCH($A89,primary_jama_2024_6063_key,0)),$K89)="protocol_report"))),P89&lt;&gt;"",P89&lt;&gt;"not_applicable")),"CLEAR INACTIVE VALUES",IF(D89="","PENDING",IF(AND(D89&lt;&gt;"agree",LEN(TRIM(E89))=0),"COMMENT NEEDED",IF(F89="yes","CHECKED - see resolution","DRAFT"))))</f>
        <v/>
      </c>
      <c r="H89" s="8" t="inlineStr">
        <is>
          <t>pending</t>
        </is>
      </c>
      <c r="I89" s="11" t="inlineStr"/>
      <c r="J89" s="8" t="inlineStr"/>
      <c r="K89" s="8" t="inlineStr"/>
      <c r="L89" s="8">
        <f>IF(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not_applicable","")</f>
        <v/>
      </c>
      <c r="M89" s="8">
        <f>IF(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not_applicable","")</f>
        <v/>
      </c>
      <c r="N89" s="9">
        <f>IF(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not_applicable","")</f>
        <v/>
      </c>
      <c r="O89" s="8">
        <f>IF(OR(AND(IF($J89="",INDEX(primary_jama_2024_6063_disposition,MATCH($A89,primary_jama_2024_6063_key,0)),$J89)&lt;&gt;"",IF($J89="",INDEX(primary_jama_2024_6063_disposition,MATCH($A89,primary_jama_2024_6063_key,0)),$J89)&lt;&gt;"retain"),NOT(OR(IF($K89="",INDEX(primary_jama_2024_6063_domain,MATCH($A89,primary_jama_2024_6063_key,0)),$K89)="internal_nonstatistical",IF($K89="",INDEX(primary_jama_2024_6063_domain,MATCH($A89,primary_jama_2024_6063_key,0)),$K89)="plan_material"))),"not_applicable","")</f>
        <v/>
      </c>
      <c r="P89" s="9">
        <f>IF(OR(AND(IF($J89="",INDEX(primary_jama_2024_6063_disposition,MATCH($A89,primary_jama_2024_6063_key,0)),$J89)&lt;&gt;"",IF($J89="",INDEX(primary_jama_2024_6063_disposition,MATCH($A89,primary_jama_2024_6063_key,0)),$J89)&lt;&gt;"retain"),NOT(OR(IF($K89="",INDEX(primary_jama_2024_6063_domain,MATCH($A89,primary_jama_2024_6063_key,0)),$K89)="protocol_report"))),"not_applicable","")</f>
        <v/>
      </c>
      <c r="Q89" s="10" t="inlineStr"/>
      <c r="R89" s="10" t="inlineStr"/>
    </row>
    <row r="90" ht="76" customHeight="1">
      <c r="A90" s="2" t="inlineStr">
        <is>
          <t>2024::jama.2024.6063::C014</t>
        </is>
      </c>
      <c r="B90" s="2" t="inlineStr">
        <is>
          <t>jama.2024.6063</t>
        </is>
      </c>
      <c r="C90" s="2" t="inlineStr">
        <is>
          <t>Table 3 regular-adverse-event footnote points to eTable 4 instead of eTable 7</t>
        </is>
      </c>
      <c r="D90" s="8" t="inlineStr"/>
      <c r="E90" s="11" t="inlineStr"/>
      <c r="F90" s="8" t="inlineStr">
        <is>
          <t>no</t>
        </is>
      </c>
      <c r="G90" s="2">
        <f>IF(OR(AND(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L90&lt;&gt;"",L90&lt;&gt;"not_applicable"),AND(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M90&lt;&gt;"",M90&lt;&gt;"not_applicable"),AND(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N90&lt;&gt;"",N90&lt;&gt;"not_applicable"),AND(OR(AND(IF($J90="",INDEX(primary_jama_2024_6063_disposition,MATCH($A90,primary_jama_2024_6063_key,0)),$J90)&lt;&gt;"",IF($J90="",INDEX(primary_jama_2024_6063_disposition,MATCH($A90,primary_jama_2024_6063_key,0)),$J90)&lt;&gt;"retain"),NOT(OR(IF($K90="",INDEX(primary_jama_2024_6063_domain,MATCH($A90,primary_jama_2024_6063_key,0)),$K90)="internal_nonstatistical",IF($K90="",INDEX(primary_jama_2024_6063_domain,MATCH($A90,primary_jama_2024_6063_key,0)),$K90)="plan_material"))),O90&lt;&gt;"",O90&lt;&gt;"not_applicable"),AND(OR(AND(IF($J90="",INDEX(primary_jama_2024_6063_disposition,MATCH($A90,primary_jama_2024_6063_key,0)),$J90)&lt;&gt;"",IF($J90="",INDEX(primary_jama_2024_6063_disposition,MATCH($A90,primary_jama_2024_6063_key,0)),$J90)&lt;&gt;"retain"),NOT(OR(IF($K90="",INDEX(primary_jama_2024_6063_domain,MATCH($A90,primary_jama_2024_6063_key,0)),$K90)="protocol_report"))),P90&lt;&gt;"",P90&lt;&gt;"not_applicable")),"CLEAR INACTIVE VALUES",IF(D90="","PENDING",IF(AND(D90&lt;&gt;"agree",LEN(TRIM(E90))=0),"COMMENT NEEDED",IF(F90="yes","CHECKED - see resolution","DRAFT"))))</f>
        <v/>
      </c>
      <c r="H90" s="8" t="inlineStr">
        <is>
          <t>pending</t>
        </is>
      </c>
      <c r="I90" s="11" t="inlineStr"/>
      <c r="J90" s="8" t="inlineStr"/>
      <c r="K90" s="8" t="inlineStr"/>
      <c r="L90" s="8">
        <f>IF(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not_applicable","")</f>
        <v/>
      </c>
      <c r="M90" s="8">
        <f>IF(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not_applicable","")</f>
        <v/>
      </c>
      <c r="N90" s="9">
        <f>IF(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not_applicable","")</f>
        <v/>
      </c>
      <c r="O90" s="8">
        <f>IF(OR(AND(IF($J90="",INDEX(primary_jama_2024_6063_disposition,MATCH($A90,primary_jama_2024_6063_key,0)),$J90)&lt;&gt;"",IF($J90="",INDEX(primary_jama_2024_6063_disposition,MATCH($A90,primary_jama_2024_6063_key,0)),$J90)&lt;&gt;"retain"),NOT(OR(IF($K90="",INDEX(primary_jama_2024_6063_domain,MATCH($A90,primary_jama_2024_6063_key,0)),$K90)="internal_nonstatistical",IF($K90="",INDEX(primary_jama_2024_6063_domain,MATCH($A90,primary_jama_2024_6063_key,0)),$K90)="plan_material"))),"not_applicable","")</f>
        <v/>
      </c>
      <c r="P90" s="9">
        <f>IF(OR(AND(IF($J90="",INDEX(primary_jama_2024_6063_disposition,MATCH($A90,primary_jama_2024_6063_key,0)),$J90)&lt;&gt;"",IF($J90="",INDEX(primary_jama_2024_6063_disposition,MATCH($A90,primary_jama_2024_6063_key,0)),$J90)&lt;&gt;"retain"),NOT(OR(IF($K90="",INDEX(primary_jama_2024_6063_domain,MATCH($A90,primary_jama_2024_6063_key,0)),$K90)="protocol_report"))),"not_applicable","")</f>
        <v/>
      </c>
      <c r="Q90" s="10" t="inlineStr"/>
      <c r="R90" s="10" t="inlineStr"/>
    </row>
    <row r="91" ht="76" customHeight="1">
      <c r="A91" s="3" t="inlineStr">
        <is>
          <t>2024::jama.2024.6063::C015</t>
        </is>
      </c>
      <c r="B91" s="3" t="inlineStr">
        <is>
          <t>jama.2024.6063</t>
        </is>
      </c>
      <c r="C91" s="3" t="inlineStr">
        <is>
          <t>Table 3 serious-adverse-event footnote points to eTables 5 and 6 instead of eTable 8</t>
        </is>
      </c>
      <c r="D91" s="8" t="inlineStr"/>
      <c r="E91" s="11" t="inlineStr"/>
      <c r="F91" s="8" t="inlineStr">
        <is>
          <t>no</t>
        </is>
      </c>
      <c r="G91" s="3">
        <f>IF(OR(AND(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L91&lt;&gt;"",L91&lt;&gt;"not_applicable"),AND(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M91&lt;&gt;"",M91&lt;&gt;"not_applicable"),AND(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N91&lt;&gt;"",N91&lt;&gt;"not_applicable"),AND(OR(AND(IF($J91="",INDEX(primary_jama_2024_6063_disposition,MATCH($A91,primary_jama_2024_6063_key,0)),$J91)&lt;&gt;"",IF($J91="",INDEX(primary_jama_2024_6063_disposition,MATCH($A91,primary_jama_2024_6063_key,0)),$J91)&lt;&gt;"retain"),NOT(OR(IF($K91="",INDEX(primary_jama_2024_6063_domain,MATCH($A91,primary_jama_2024_6063_key,0)),$K91)="internal_nonstatistical",IF($K91="",INDEX(primary_jama_2024_6063_domain,MATCH($A91,primary_jama_2024_6063_key,0)),$K91)="plan_material"))),O91&lt;&gt;"",O91&lt;&gt;"not_applicable"),AND(OR(AND(IF($J91="",INDEX(primary_jama_2024_6063_disposition,MATCH($A91,primary_jama_2024_6063_key,0)),$J91)&lt;&gt;"",IF($J91="",INDEX(primary_jama_2024_6063_disposition,MATCH($A91,primary_jama_2024_6063_key,0)),$J91)&lt;&gt;"retain"),NOT(OR(IF($K91="",INDEX(primary_jama_2024_6063_domain,MATCH($A91,primary_jama_2024_6063_key,0)),$K91)="protocol_report"))),P91&lt;&gt;"",P91&lt;&gt;"not_applicable")),"CLEAR INACTIVE VALUES",IF(D91="","PENDING",IF(AND(D91&lt;&gt;"agree",LEN(TRIM(E91))=0),"COMMENT NEEDED",IF(F91="yes","CHECKED - see resolution","DRAFT"))))</f>
        <v/>
      </c>
      <c r="H91" s="8" t="inlineStr">
        <is>
          <t>pending</t>
        </is>
      </c>
      <c r="I91" s="11" t="inlineStr"/>
      <c r="J91" s="8" t="inlineStr"/>
      <c r="K91" s="8" t="inlineStr"/>
      <c r="L91" s="8">
        <f>IF(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not_applicable","")</f>
        <v/>
      </c>
      <c r="M91" s="8">
        <f>IF(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not_applicable","")</f>
        <v/>
      </c>
      <c r="N91" s="9">
        <f>IF(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not_applicable","")</f>
        <v/>
      </c>
      <c r="O91" s="8">
        <f>IF(OR(AND(IF($J91="",INDEX(primary_jama_2024_6063_disposition,MATCH($A91,primary_jama_2024_6063_key,0)),$J91)&lt;&gt;"",IF($J91="",INDEX(primary_jama_2024_6063_disposition,MATCH($A91,primary_jama_2024_6063_key,0)),$J91)&lt;&gt;"retain"),NOT(OR(IF($K91="",INDEX(primary_jama_2024_6063_domain,MATCH($A91,primary_jama_2024_6063_key,0)),$K91)="internal_nonstatistical",IF($K91="",INDEX(primary_jama_2024_6063_domain,MATCH($A91,primary_jama_2024_6063_key,0)),$K91)="plan_material"))),"not_applicable","")</f>
        <v/>
      </c>
      <c r="P91" s="9">
        <f>IF(OR(AND(IF($J91="",INDEX(primary_jama_2024_6063_disposition,MATCH($A91,primary_jama_2024_6063_key,0)),$J91)&lt;&gt;"",IF($J91="",INDEX(primary_jama_2024_6063_disposition,MATCH($A91,primary_jama_2024_6063_key,0)),$J91)&lt;&gt;"retain"),NOT(OR(IF($K91="",INDEX(primary_jama_2024_6063_domain,MATCH($A91,primary_jama_2024_6063_key,0)),$K91)="protocol_report"))),"not_applicable","")</f>
        <v/>
      </c>
      <c r="Q91" s="10" t="inlineStr"/>
      <c r="R91" s="10" t="inlineStr"/>
    </row>
    <row r="92" ht="76" customHeight="1">
      <c r="A92" s="2" t="inlineStr">
        <is>
          <t>2024::jama.2024.6063::C016</t>
        </is>
      </c>
      <c r="B92" s="2" t="inlineStr">
        <is>
          <t>jama.2024.6063</t>
        </is>
      </c>
      <c r="C92" s="2" t="inlineStr">
        <is>
          <t>Main-text 95% adherence does not reproduce the cited eTable 2 overall result</t>
        </is>
      </c>
      <c r="D92" s="8" t="inlineStr"/>
      <c r="E92" s="11" t="inlineStr"/>
      <c r="F92" s="8" t="inlineStr">
        <is>
          <t>no</t>
        </is>
      </c>
      <c r="G92" s="2">
        <f>IF(OR(AND(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L92&lt;&gt;"",L92&lt;&gt;"not_applicable"),AND(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M92&lt;&gt;"",M92&lt;&gt;"not_applicable"),AND(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N92&lt;&gt;"",N92&lt;&gt;"not_applicable"),AND(OR(AND(IF($J92="",INDEX(primary_jama_2024_6063_disposition,MATCH($A92,primary_jama_2024_6063_key,0)),$J92)&lt;&gt;"",IF($J92="",INDEX(primary_jama_2024_6063_disposition,MATCH($A92,primary_jama_2024_6063_key,0)),$J92)&lt;&gt;"retain"),NOT(OR(IF($K92="",INDEX(primary_jama_2024_6063_domain,MATCH($A92,primary_jama_2024_6063_key,0)),$K92)="internal_nonstatistical",IF($K92="",INDEX(primary_jama_2024_6063_domain,MATCH($A92,primary_jama_2024_6063_key,0)),$K92)="plan_material"))),O92&lt;&gt;"",O92&lt;&gt;"not_applicable"),AND(OR(AND(IF($J92="",INDEX(primary_jama_2024_6063_disposition,MATCH($A92,primary_jama_2024_6063_key,0)),$J92)&lt;&gt;"",IF($J92="",INDEX(primary_jama_2024_6063_disposition,MATCH($A92,primary_jama_2024_6063_key,0)),$J92)&lt;&gt;"retain"),NOT(OR(IF($K92="",INDEX(primary_jama_2024_6063_domain,MATCH($A92,primary_jama_2024_6063_key,0)),$K92)="protocol_report"))),P92&lt;&gt;"",P92&lt;&gt;"not_applicable")),"CLEAR INACTIVE VALUES",IF(D92="","PENDING",IF(AND(D92&lt;&gt;"agree",LEN(TRIM(E92))=0),"COMMENT NEEDED",IF(F92="yes","CHECKED - see resolution","DRAFT"))))</f>
        <v/>
      </c>
      <c r="H92" s="8" t="inlineStr">
        <is>
          <t>pending</t>
        </is>
      </c>
      <c r="I92" s="11" t="inlineStr"/>
      <c r="J92" s="8" t="inlineStr"/>
      <c r="K92" s="8" t="inlineStr"/>
      <c r="L92" s="8">
        <f>IF(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not_applicable","")</f>
        <v/>
      </c>
      <c r="M92" s="8">
        <f>IF(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not_applicable","")</f>
        <v/>
      </c>
      <c r="N92" s="9">
        <f>IF(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not_applicable","")</f>
        <v/>
      </c>
      <c r="O92" s="8">
        <f>IF(OR(AND(IF($J92="",INDEX(primary_jama_2024_6063_disposition,MATCH($A92,primary_jama_2024_6063_key,0)),$J92)&lt;&gt;"",IF($J92="",INDEX(primary_jama_2024_6063_disposition,MATCH($A92,primary_jama_2024_6063_key,0)),$J92)&lt;&gt;"retain"),NOT(OR(IF($K92="",INDEX(primary_jama_2024_6063_domain,MATCH($A92,primary_jama_2024_6063_key,0)),$K92)="internal_nonstatistical",IF($K92="",INDEX(primary_jama_2024_6063_domain,MATCH($A92,primary_jama_2024_6063_key,0)),$K92)="plan_material"))),"not_applicable","")</f>
        <v/>
      </c>
      <c r="P92" s="9">
        <f>IF(OR(AND(IF($J92="",INDEX(primary_jama_2024_6063_disposition,MATCH($A92,primary_jama_2024_6063_key,0)),$J92)&lt;&gt;"",IF($J92="",INDEX(primary_jama_2024_6063_disposition,MATCH($A92,primary_jama_2024_6063_key,0)),$J92)&lt;&gt;"retain"),NOT(OR(IF($K92="",INDEX(primary_jama_2024_6063_domain,MATCH($A92,primary_jama_2024_6063_key,0)),$K92)="protocol_report"))),"not_applicable","")</f>
        <v/>
      </c>
      <c r="Q92" s="10" t="inlineStr"/>
      <c r="R92" s="10" t="inlineStr"/>
    </row>
  </sheetData>
  <sheetProtection selectLockedCells="0" selectUnlockedCells="0" sheet="1" objects="0" insertRows="1" insertHyperlinks="1" autoFilter="0" scenarios="0" formatColumns="1" deleteColumns="1" insertColumns="1" pivotTables="1" deleteRows="1" formatCells="1" formatRows="1" sort="1"/>
  <autoFilter ref="A1:R92"/>
  <conditionalFormatting sqref="L2">
    <cfRule type="expression" priority="1" dxfId="0" stopIfTrue="1">
      <formula>AND(OR(AND(IF($J2="",INDEX(primary_jama_2024_0318_disposition,MATCH($A2,primary_jama_2024_0318_key,0)),$J2)&lt;&gt;"",IF($J2="",INDEX(primary_jama_2024_0318_disposition,MATCH($A2,primary_jama_2024_0318_key,0)),$J2)&lt;&gt;"retain"),NOT(OR(IF($K2="",INDEX(primary_jama_2024_0318_domain,MATCH($A2,primary_jama_2024_0318_key,0)),$K2)="statistical_results"))),L2&lt;&gt;"",L2&lt;&gt;"not_applicable")</formula>
    </cfRule>
    <cfRule type="expression" priority="2" dxfId="1">
      <formula>OR(AND(IF($J2="",INDEX(primary_jama_2024_0318_disposition,MATCH($A2,primary_jama_2024_0318_key,0)),$J2)&lt;&gt;"",IF($J2="",INDEX(primary_jama_2024_0318_disposition,MATCH($A2,primary_jama_2024_0318_key,0)),$J2)&lt;&gt;"retain"),NOT(OR(IF($K2="",INDEX(primary_jama_2024_0318_domain,MATCH($A2,primary_jama_2024_0318_key,0)),$K2)="statistical_results")))</formula>
    </cfRule>
  </conditionalFormatting>
  <conditionalFormatting sqref="L3">
    <cfRule type="expression" priority="3" dxfId="0" stopIfTrue="1">
      <formula>AND(OR(AND(IF($J3="",INDEX(primary_jama_2024_0318_disposition,MATCH($A3,primary_jama_2024_0318_key,0)),$J3)&lt;&gt;"",IF($J3="",INDEX(primary_jama_2024_0318_disposition,MATCH($A3,primary_jama_2024_0318_key,0)),$J3)&lt;&gt;"retain"),NOT(OR(IF($K3="",INDEX(primary_jama_2024_0318_domain,MATCH($A3,primary_jama_2024_0318_key,0)),$K3)="statistical_results"))),L3&lt;&gt;"",L3&lt;&gt;"not_applicable")</formula>
    </cfRule>
    <cfRule type="expression" priority="4" dxfId="1">
      <formula>OR(AND(IF($J3="",INDEX(primary_jama_2024_0318_disposition,MATCH($A3,primary_jama_2024_0318_key,0)),$J3)&lt;&gt;"",IF($J3="",INDEX(primary_jama_2024_0318_disposition,MATCH($A3,primary_jama_2024_0318_key,0)),$J3)&lt;&gt;"retain"),NOT(OR(IF($K3="",INDEX(primary_jama_2024_0318_domain,MATCH($A3,primary_jama_2024_0318_key,0)),$K3)="statistical_results")))</formula>
    </cfRule>
  </conditionalFormatting>
  <conditionalFormatting sqref="L4">
    <cfRule type="expression" priority="5" dxfId="0" stopIfTrue="1">
      <formula>AND(OR(AND(IF($J4="",INDEX(primary_jama_2024_0318_disposition,MATCH($A4,primary_jama_2024_0318_key,0)),$J4)&lt;&gt;"",IF($J4="",INDEX(primary_jama_2024_0318_disposition,MATCH($A4,primary_jama_2024_0318_key,0)),$J4)&lt;&gt;"retain"),NOT(OR(IF($K4="",INDEX(primary_jama_2024_0318_domain,MATCH($A4,primary_jama_2024_0318_key,0)),$K4)="statistical_results"))),L4&lt;&gt;"",L4&lt;&gt;"not_applicable")</formula>
    </cfRule>
    <cfRule type="expression" priority="6" dxfId="1">
      <formula>OR(AND(IF($J4="",INDEX(primary_jama_2024_0318_disposition,MATCH($A4,primary_jama_2024_0318_key,0)),$J4)&lt;&gt;"",IF($J4="",INDEX(primary_jama_2024_0318_disposition,MATCH($A4,primary_jama_2024_0318_key,0)),$J4)&lt;&gt;"retain"),NOT(OR(IF($K4="",INDEX(primary_jama_2024_0318_domain,MATCH($A4,primary_jama_2024_0318_key,0)),$K4)="statistical_results")))</formula>
    </cfRule>
  </conditionalFormatting>
  <conditionalFormatting sqref="L5">
    <cfRule type="expression" priority="7" dxfId="0" stopIfTrue="1">
      <formula>AND(OR(AND(IF($J5="",INDEX(primary_jama_2024_0318_disposition,MATCH($A5,primary_jama_2024_0318_key,0)),$J5)&lt;&gt;"",IF($J5="",INDEX(primary_jama_2024_0318_disposition,MATCH($A5,primary_jama_2024_0318_key,0)),$J5)&lt;&gt;"retain"),NOT(OR(IF($K5="",INDEX(primary_jama_2024_0318_domain,MATCH($A5,primary_jama_2024_0318_key,0)),$K5)="statistical_results"))),L5&lt;&gt;"",L5&lt;&gt;"not_applicable")</formula>
    </cfRule>
    <cfRule type="expression" priority="8" dxfId="1">
      <formula>OR(AND(IF($J5="",INDEX(primary_jama_2024_0318_disposition,MATCH($A5,primary_jama_2024_0318_key,0)),$J5)&lt;&gt;"",IF($J5="",INDEX(primary_jama_2024_0318_disposition,MATCH($A5,primary_jama_2024_0318_key,0)),$J5)&lt;&gt;"retain"),NOT(OR(IF($K5="",INDEX(primary_jama_2024_0318_domain,MATCH($A5,primary_jama_2024_0318_key,0)),$K5)="statistical_results")))</formula>
    </cfRule>
  </conditionalFormatting>
  <conditionalFormatting sqref="L6">
    <cfRule type="expression" priority="9" dxfId="0" stopIfTrue="1">
      <formula>AND(OR(AND(IF($J6="",INDEX(primary_jama_2024_0318_disposition,MATCH($A6,primary_jama_2024_0318_key,0)),$J6)&lt;&gt;"",IF($J6="",INDEX(primary_jama_2024_0318_disposition,MATCH($A6,primary_jama_2024_0318_key,0)),$J6)&lt;&gt;"retain"),NOT(OR(IF($K6="",INDEX(primary_jama_2024_0318_domain,MATCH($A6,primary_jama_2024_0318_key,0)),$K6)="statistical_results"))),L6&lt;&gt;"",L6&lt;&gt;"not_applicable")</formula>
    </cfRule>
    <cfRule type="expression" priority="10" dxfId="1">
      <formula>OR(AND(IF($J6="",INDEX(primary_jama_2024_0318_disposition,MATCH($A6,primary_jama_2024_0318_key,0)),$J6)&lt;&gt;"",IF($J6="",INDEX(primary_jama_2024_0318_disposition,MATCH($A6,primary_jama_2024_0318_key,0)),$J6)&lt;&gt;"retain"),NOT(OR(IF($K6="",INDEX(primary_jama_2024_0318_domain,MATCH($A6,primary_jama_2024_0318_key,0)),$K6)="statistical_results")))</formula>
    </cfRule>
  </conditionalFormatting>
  <conditionalFormatting sqref="L7">
    <cfRule type="expression" priority="11" dxfId="0" stopIfTrue="1">
      <formula>AND(OR(AND(IF($J7="",INDEX(primary_jama_2024_0318_disposition,MATCH($A7,primary_jama_2024_0318_key,0)),$J7)&lt;&gt;"",IF($J7="",INDEX(primary_jama_2024_0318_disposition,MATCH($A7,primary_jama_2024_0318_key,0)),$J7)&lt;&gt;"retain"),NOT(OR(IF($K7="",INDEX(primary_jama_2024_0318_domain,MATCH($A7,primary_jama_2024_0318_key,0)),$K7)="statistical_results"))),L7&lt;&gt;"",L7&lt;&gt;"not_applicable")</formula>
    </cfRule>
    <cfRule type="expression" priority="12" dxfId="1">
      <formula>OR(AND(IF($J7="",INDEX(primary_jama_2024_0318_disposition,MATCH($A7,primary_jama_2024_0318_key,0)),$J7)&lt;&gt;"",IF($J7="",INDEX(primary_jama_2024_0318_disposition,MATCH($A7,primary_jama_2024_0318_key,0)),$J7)&lt;&gt;"retain"),NOT(OR(IF($K7="",INDEX(primary_jama_2024_0318_domain,MATCH($A7,primary_jama_2024_0318_key,0)),$K7)="statistical_results")))</formula>
    </cfRule>
  </conditionalFormatting>
  <conditionalFormatting sqref="L8">
    <cfRule type="expression" priority="13" dxfId="0" stopIfTrue="1">
      <formula>AND(OR(AND(IF($J8="",INDEX(primary_jama_2024_0572_disposition,MATCH($A8,primary_jama_2024_0572_key,0)),$J8)&lt;&gt;"",IF($J8="",INDEX(primary_jama_2024_0572_disposition,MATCH($A8,primary_jama_2024_0572_key,0)),$J8)&lt;&gt;"retain"),NOT(OR(IF($K8="",INDEX(primary_jama_2024_0572_domain,MATCH($A8,primary_jama_2024_0572_key,0)),$K8)="statistical_results"))),L8&lt;&gt;"",L8&lt;&gt;"not_applicable")</formula>
    </cfRule>
    <cfRule type="expression" priority="14" dxfId="1">
      <formula>OR(AND(IF($J8="",INDEX(primary_jama_2024_0572_disposition,MATCH($A8,primary_jama_2024_0572_key,0)),$J8)&lt;&gt;"",IF($J8="",INDEX(primary_jama_2024_0572_disposition,MATCH($A8,primary_jama_2024_0572_key,0)),$J8)&lt;&gt;"retain"),NOT(OR(IF($K8="",INDEX(primary_jama_2024_0572_domain,MATCH($A8,primary_jama_2024_0572_key,0)),$K8)="statistical_results")))</formula>
    </cfRule>
  </conditionalFormatting>
  <conditionalFormatting sqref="L9">
    <cfRule type="expression" priority="15" dxfId="0" stopIfTrue="1">
      <formula>AND(OR(AND(IF($J9="",INDEX(primary_jama_2024_0572_disposition,MATCH($A9,primary_jama_2024_0572_key,0)),$J9)&lt;&gt;"",IF($J9="",INDEX(primary_jama_2024_0572_disposition,MATCH($A9,primary_jama_2024_0572_key,0)),$J9)&lt;&gt;"retain"),NOT(OR(IF($K9="",INDEX(primary_jama_2024_0572_domain,MATCH($A9,primary_jama_2024_0572_key,0)),$K9)="statistical_results"))),L9&lt;&gt;"",L9&lt;&gt;"not_applicable")</formula>
    </cfRule>
    <cfRule type="expression" priority="16" dxfId="1">
      <formula>OR(AND(IF($J9="",INDEX(primary_jama_2024_0572_disposition,MATCH($A9,primary_jama_2024_0572_key,0)),$J9)&lt;&gt;"",IF($J9="",INDEX(primary_jama_2024_0572_disposition,MATCH($A9,primary_jama_2024_0572_key,0)),$J9)&lt;&gt;"retain"),NOT(OR(IF($K9="",INDEX(primary_jama_2024_0572_domain,MATCH($A9,primary_jama_2024_0572_key,0)),$K9)="statistical_results")))</formula>
    </cfRule>
  </conditionalFormatting>
  <conditionalFormatting sqref="L10">
    <cfRule type="expression" priority="17" dxfId="0" stopIfTrue="1">
      <formula>AND(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L10&lt;&gt;"",L10&lt;&gt;"not_applicable")</formula>
    </cfRule>
    <cfRule type="expression" priority="18" dxfId="1">
      <formula>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formula>
    </cfRule>
  </conditionalFormatting>
  <conditionalFormatting sqref="L11">
    <cfRule type="expression" priority="19" dxfId="0" stopIfTrue="1">
      <formula>AND(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L11&lt;&gt;"",L11&lt;&gt;"not_applicable")</formula>
    </cfRule>
    <cfRule type="expression" priority="20" dxfId="1">
      <formula>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formula>
    </cfRule>
  </conditionalFormatting>
  <conditionalFormatting sqref="L12">
    <cfRule type="expression" priority="21" dxfId="0" stopIfTrue="1">
      <formula>AND(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L12&lt;&gt;"",L12&lt;&gt;"not_applicable")</formula>
    </cfRule>
    <cfRule type="expression" priority="22" dxfId="1">
      <formula>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formula>
    </cfRule>
  </conditionalFormatting>
  <conditionalFormatting sqref="L13">
    <cfRule type="expression" priority="23" dxfId="0" stopIfTrue="1">
      <formula>AND(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L13&lt;&gt;"",L13&lt;&gt;"not_applicable")</formula>
    </cfRule>
    <cfRule type="expression" priority="24" dxfId="1">
      <formula>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formula>
    </cfRule>
  </conditionalFormatting>
  <conditionalFormatting sqref="L14">
    <cfRule type="expression" priority="25" dxfId="0" stopIfTrue="1">
      <formula>AND(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L14&lt;&gt;"",L14&lt;&gt;"not_applicable")</formula>
    </cfRule>
    <cfRule type="expression" priority="26" dxfId="1">
      <formula>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formula>
    </cfRule>
  </conditionalFormatting>
  <conditionalFormatting sqref="L15">
    <cfRule type="expression" priority="27" dxfId="0" stopIfTrue="1">
      <formula>AND(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L15&lt;&gt;"",L15&lt;&gt;"not_applicable")</formula>
    </cfRule>
    <cfRule type="expression" priority="28" dxfId="1">
      <formula>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formula>
    </cfRule>
  </conditionalFormatting>
  <conditionalFormatting sqref="L16">
    <cfRule type="expression" priority="29" dxfId="0" stopIfTrue="1">
      <formula>AND(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L16&lt;&gt;"",L16&lt;&gt;"not_applicable")</formula>
    </cfRule>
    <cfRule type="expression" priority="30" dxfId="1">
      <formula>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formula>
    </cfRule>
  </conditionalFormatting>
  <conditionalFormatting sqref="L17">
    <cfRule type="expression" priority="31" dxfId="0" stopIfTrue="1">
      <formula>AND(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L17&lt;&gt;"",L17&lt;&gt;"not_applicable")</formula>
    </cfRule>
    <cfRule type="expression" priority="32" dxfId="1">
      <formula>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formula>
    </cfRule>
  </conditionalFormatting>
  <conditionalFormatting sqref="L18">
    <cfRule type="expression" priority="33" dxfId="0" stopIfTrue="1">
      <formula>AND(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L18&lt;&gt;"",L18&lt;&gt;"not_applicable")</formula>
    </cfRule>
    <cfRule type="expression" priority="34" dxfId="1">
      <formula>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formula>
    </cfRule>
  </conditionalFormatting>
  <conditionalFormatting sqref="L19">
    <cfRule type="expression" priority="35" dxfId="0" stopIfTrue="1">
      <formula>AND(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L19&lt;&gt;"",L19&lt;&gt;"not_applicable")</formula>
    </cfRule>
    <cfRule type="expression" priority="36" dxfId="1">
      <formula>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formula>
    </cfRule>
  </conditionalFormatting>
  <conditionalFormatting sqref="L20">
    <cfRule type="expression" priority="37" dxfId="0" stopIfTrue="1">
      <formula>AND(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L20&lt;&gt;"",L20&lt;&gt;"not_applicable")</formula>
    </cfRule>
    <cfRule type="expression" priority="38" dxfId="1">
      <formula>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formula>
    </cfRule>
  </conditionalFormatting>
  <conditionalFormatting sqref="L21">
    <cfRule type="expression" priority="39" dxfId="0" stopIfTrue="1">
      <formula>AND(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L21&lt;&gt;"",L21&lt;&gt;"not_applicable")</formula>
    </cfRule>
    <cfRule type="expression" priority="40" dxfId="1">
      <formula>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formula>
    </cfRule>
  </conditionalFormatting>
  <conditionalFormatting sqref="L22">
    <cfRule type="expression" priority="41" dxfId="0" stopIfTrue="1">
      <formula>AND(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L22&lt;&gt;"",L22&lt;&gt;"not_applicable")</formula>
    </cfRule>
    <cfRule type="expression" priority="42" dxfId="1">
      <formula>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formula>
    </cfRule>
  </conditionalFormatting>
  <conditionalFormatting sqref="L23">
    <cfRule type="expression" priority="43" dxfId="0" stopIfTrue="1">
      <formula>AND(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L23&lt;&gt;"",L23&lt;&gt;"not_applicable")</formula>
    </cfRule>
    <cfRule type="expression" priority="44" dxfId="1">
      <formula>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formula>
    </cfRule>
  </conditionalFormatting>
  <conditionalFormatting sqref="L24">
    <cfRule type="expression" priority="45" dxfId="0" stopIfTrue="1">
      <formula>AND(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L24&lt;&gt;"",L24&lt;&gt;"not_applicable")</formula>
    </cfRule>
    <cfRule type="expression" priority="46" dxfId="1">
      <formula>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formula>
    </cfRule>
  </conditionalFormatting>
  <conditionalFormatting sqref="L25">
    <cfRule type="expression" priority="47" dxfId="0" stopIfTrue="1">
      <formula>AND(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L25&lt;&gt;"",L25&lt;&gt;"not_applicable")</formula>
    </cfRule>
    <cfRule type="expression" priority="48" dxfId="1">
      <formula>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formula>
    </cfRule>
  </conditionalFormatting>
  <conditionalFormatting sqref="L26">
    <cfRule type="expression" priority="49" dxfId="0" stopIfTrue="1">
      <formula>AND(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L26&lt;&gt;"",L26&lt;&gt;"not_applicable")</formula>
    </cfRule>
    <cfRule type="expression" priority="50" dxfId="1">
      <formula>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formula>
    </cfRule>
  </conditionalFormatting>
  <conditionalFormatting sqref="L27">
    <cfRule type="expression" priority="51" dxfId="0" stopIfTrue="1">
      <formula>AND(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L27&lt;&gt;"",L27&lt;&gt;"not_applicable")</formula>
    </cfRule>
    <cfRule type="expression" priority="52" dxfId="1">
      <formula>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formula>
    </cfRule>
  </conditionalFormatting>
  <conditionalFormatting sqref="L28">
    <cfRule type="expression" priority="53" dxfId="0" stopIfTrue="1">
      <formula>AND(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L28&lt;&gt;"",L28&lt;&gt;"not_applicable")</formula>
    </cfRule>
    <cfRule type="expression" priority="54" dxfId="1">
      <formula>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formula>
    </cfRule>
  </conditionalFormatting>
  <conditionalFormatting sqref="L29">
    <cfRule type="expression" priority="55" dxfId="0" stopIfTrue="1">
      <formula>AND(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L29&lt;&gt;"",L29&lt;&gt;"not_applicable")</formula>
    </cfRule>
    <cfRule type="expression" priority="56" dxfId="1">
      <formula>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formula>
    </cfRule>
  </conditionalFormatting>
  <conditionalFormatting sqref="L30">
    <cfRule type="expression" priority="57" dxfId="0" stopIfTrue="1">
      <formula>AND(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L30&lt;&gt;"",L30&lt;&gt;"not_applicable")</formula>
    </cfRule>
    <cfRule type="expression" priority="58" dxfId="1">
      <formula>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formula>
    </cfRule>
  </conditionalFormatting>
  <conditionalFormatting sqref="L31">
    <cfRule type="expression" priority="59" dxfId="0" stopIfTrue="1">
      <formula>AND(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L31&lt;&gt;"",L31&lt;&gt;"not_applicable")</formula>
    </cfRule>
    <cfRule type="expression" priority="60" dxfId="1">
      <formula>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formula>
    </cfRule>
  </conditionalFormatting>
  <conditionalFormatting sqref="L32">
    <cfRule type="expression" priority="61" dxfId="0" stopIfTrue="1">
      <formula>AND(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L32&lt;&gt;"",L32&lt;&gt;"not_applicable")</formula>
    </cfRule>
    <cfRule type="expression" priority="62" dxfId="1">
      <formula>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formula>
    </cfRule>
  </conditionalFormatting>
  <conditionalFormatting sqref="L33">
    <cfRule type="expression" priority="63" dxfId="0" stopIfTrue="1">
      <formula>AND(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L33&lt;&gt;"",L33&lt;&gt;"not_applicable")</formula>
    </cfRule>
    <cfRule type="expression" priority="64" dxfId="1">
      <formula>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formula>
    </cfRule>
  </conditionalFormatting>
  <conditionalFormatting sqref="L34">
    <cfRule type="expression" priority="65" dxfId="0" stopIfTrue="1">
      <formula>AND(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L34&lt;&gt;"",L34&lt;&gt;"not_applicable")</formula>
    </cfRule>
    <cfRule type="expression" priority="66" dxfId="1">
      <formula>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formula>
    </cfRule>
  </conditionalFormatting>
  <conditionalFormatting sqref="L35">
    <cfRule type="expression" priority="67" dxfId="0" stopIfTrue="1">
      <formula>AND(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L35&lt;&gt;"",L35&lt;&gt;"not_applicable")</formula>
    </cfRule>
    <cfRule type="expression" priority="68" dxfId="1">
      <formula>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formula>
    </cfRule>
  </conditionalFormatting>
  <conditionalFormatting sqref="L36">
    <cfRule type="expression" priority="69" dxfId="0" stopIfTrue="1">
      <formula>AND(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L36&lt;&gt;"",L36&lt;&gt;"not_applicable")</formula>
    </cfRule>
    <cfRule type="expression" priority="70" dxfId="1">
      <formula>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formula>
    </cfRule>
  </conditionalFormatting>
  <conditionalFormatting sqref="L37">
    <cfRule type="expression" priority="71" dxfId="0" stopIfTrue="1">
      <formula>AND(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L37&lt;&gt;"",L37&lt;&gt;"not_applicable")</formula>
    </cfRule>
    <cfRule type="expression" priority="72" dxfId="1">
      <formula>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formula>
    </cfRule>
  </conditionalFormatting>
  <conditionalFormatting sqref="L38">
    <cfRule type="expression" priority="73" dxfId="0" stopIfTrue="1">
      <formula>AND(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L38&lt;&gt;"",L38&lt;&gt;"not_applicable")</formula>
    </cfRule>
    <cfRule type="expression" priority="74" dxfId="1">
      <formula>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formula>
    </cfRule>
  </conditionalFormatting>
  <conditionalFormatting sqref="L39">
    <cfRule type="expression" priority="75" dxfId="0" stopIfTrue="1">
      <formula>AND(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L39&lt;&gt;"",L39&lt;&gt;"not_applicable")</formula>
    </cfRule>
    <cfRule type="expression" priority="76" dxfId="1">
      <formula>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formula>
    </cfRule>
  </conditionalFormatting>
  <conditionalFormatting sqref="L40">
    <cfRule type="expression" priority="77" dxfId="0" stopIfTrue="1">
      <formula>AND(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L40&lt;&gt;"",L40&lt;&gt;"not_applicable")</formula>
    </cfRule>
    <cfRule type="expression" priority="78" dxfId="1">
      <formula>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formula>
    </cfRule>
  </conditionalFormatting>
  <conditionalFormatting sqref="L41">
    <cfRule type="expression" priority="79" dxfId="0" stopIfTrue="1">
      <formula>AND(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L41&lt;&gt;"",L41&lt;&gt;"not_applicable")</formula>
    </cfRule>
    <cfRule type="expression" priority="80" dxfId="1">
      <formula>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formula>
    </cfRule>
  </conditionalFormatting>
  <conditionalFormatting sqref="L42">
    <cfRule type="expression" priority="81" dxfId="0" stopIfTrue="1">
      <formula>AND(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L42&lt;&gt;"",L42&lt;&gt;"not_applicable")</formula>
    </cfRule>
    <cfRule type="expression" priority="82" dxfId="1">
      <formula>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formula>
    </cfRule>
  </conditionalFormatting>
  <conditionalFormatting sqref="L43">
    <cfRule type="expression" priority="83" dxfId="0" stopIfTrue="1">
      <formula>AND(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L43&lt;&gt;"",L43&lt;&gt;"not_applicable")</formula>
    </cfRule>
    <cfRule type="expression" priority="84" dxfId="1">
      <formula>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formula>
    </cfRule>
  </conditionalFormatting>
  <conditionalFormatting sqref="L44">
    <cfRule type="expression" priority="85" dxfId="0" stopIfTrue="1">
      <formula>AND(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L44&lt;&gt;"",L44&lt;&gt;"not_applicable")</formula>
    </cfRule>
    <cfRule type="expression" priority="86" dxfId="1">
      <formula>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formula>
    </cfRule>
  </conditionalFormatting>
  <conditionalFormatting sqref="L45">
    <cfRule type="expression" priority="87" dxfId="0" stopIfTrue="1">
      <formula>AND(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L45&lt;&gt;"",L45&lt;&gt;"not_applicable")</formula>
    </cfRule>
    <cfRule type="expression" priority="88" dxfId="1">
      <formula>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formula>
    </cfRule>
  </conditionalFormatting>
  <conditionalFormatting sqref="L46">
    <cfRule type="expression" priority="89" dxfId="0" stopIfTrue="1">
      <formula>AND(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L46&lt;&gt;"",L46&lt;&gt;"not_applicable")</formula>
    </cfRule>
    <cfRule type="expression" priority="90" dxfId="1">
      <formula>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formula>
    </cfRule>
  </conditionalFormatting>
  <conditionalFormatting sqref="L47">
    <cfRule type="expression" priority="91" dxfId="0" stopIfTrue="1">
      <formula>AND(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L47&lt;&gt;"",L47&lt;&gt;"not_applicable")</formula>
    </cfRule>
    <cfRule type="expression" priority="92" dxfId="1">
      <formula>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formula>
    </cfRule>
  </conditionalFormatting>
  <conditionalFormatting sqref="L48">
    <cfRule type="expression" priority="93" dxfId="0" stopIfTrue="1">
      <formula>AND(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L48&lt;&gt;"",L48&lt;&gt;"not_applicable")</formula>
    </cfRule>
    <cfRule type="expression" priority="94" dxfId="1">
      <formula>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formula>
    </cfRule>
  </conditionalFormatting>
  <conditionalFormatting sqref="L49">
    <cfRule type="expression" priority="95" dxfId="0" stopIfTrue="1">
      <formula>AND(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L49&lt;&gt;"",L49&lt;&gt;"not_applicable")</formula>
    </cfRule>
    <cfRule type="expression" priority="96" dxfId="1">
      <formula>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formula>
    </cfRule>
  </conditionalFormatting>
  <conditionalFormatting sqref="L50">
    <cfRule type="expression" priority="97" dxfId="0" stopIfTrue="1">
      <formula>AND(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L50&lt;&gt;"",L50&lt;&gt;"not_applicable")</formula>
    </cfRule>
    <cfRule type="expression" priority="98" dxfId="1">
      <formula>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formula>
    </cfRule>
  </conditionalFormatting>
  <conditionalFormatting sqref="L51">
    <cfRule type="expression" priority="99" dxfId="0" stopIfTrue="1">
      <formula>AND(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L51&lt;&gt;"",L51&lt;&gt;"not_applicable")</formula>
    </cfRule>
    <cfRule type="expression" priority="100" dxfId="1">
      <formula>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formula>
    </cfRule>
  </conditionalFormatting>
  <conditionalFormatting sqref="L52">
    <cfRule type="expression" priority="101" dxfId="0" stopIfTrue="1">
      <formula>AND(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L52&lt;&gt;"",L52&lt;&gt;"not_applicable")</formula>
    </cfRule>
    <cfRule type="expression" priority="102" dxfId="1">
      <formula>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formula>
    </cfRule>
  </conditionalFormatting>
  <conditionalFormatting sqref="L53">
    <cfRule type="expression" priority="103" dxfId="0" stopIfTrue="1">
      <formula>AND(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L53&lt;&gt;"",L53&lt;&gt;"not_applicable")</formula>
    </cfRule>
    <cfRule type="expression" priority="104" dxfId="1">
      <formula>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formula>
    </cfRule>
  </conditionalFormatting>
  <conditionalFormatting sqref="L54">
    <cfRule type="expression" priority="105" dxfId="0" stopIfTrue="1">
      <formula>AND(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L54&lt;&gt;"",L54&lt;&gt;"not_applicable")</formula>
    </cfRule>
    <cfRule type="expression" priority="106" dxfId="1">
      <formula>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formula>
    </cfRule>
  </conditionalFormatting>
  <conditionalFormatting sqref="L55">
    <cfRule type="expression" priority="107" dxfId="0" stopIfTrue="1">
      <formula>AND(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L55&lt;&gt;"",L55&lt;&gt;"not_applicable")</formula>
    </cfRule>
    <cfRule type="expression" priority="108" dxfId="1">
      <formula>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formula>
    </cfRule>
  </conditionalFormatting>
  <conditionalFormatting sqref="L56">
    <cfRule type="expression" priority="109" dxfId="0" stopIfTrue="1">
      <formula>AND(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L56&lt;&gt;"",L56&lt;&gt;"not_applicable")</formula>
    </cfRule>
    <cfRule type="expression" priority="110" dxfId="1">
      <formula>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formula>
    </cfRule>
  </conditionalFormatting>
  <conditionalFormatting sqref="L57">
    <cfRule type="expression" priority="111" dxfId="0" stopIfTrue="1">
      <formula>AND(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L57&lt;&gt;"",L57&lt;&gt;"not_applicable")</formula>
    </cfRule>
    <cfRule type="expression" priority="112" dxfId="1">
      <formula>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formula>
    </cfRule>
  </conditionalFormatting>
  <conditionalFormatting sqref="L58">
    <cfRule type="expression" priority="113" dxfId="0" stopIfTrue="1">
      <formula>AND(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L58&lt;&gt;"",L58&lt;&gt;"not_applicable")</formula>
    </cfRule>
    <cfRule type="expression" priority="114" dxfId="1">
      <formula>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formula>
    </cfRule>
  </conditionalFormatting>
  <conditionalFormatting sqref="L59">
    <cfRule type="expression" priority="115" dxfId="0" stopIfTrue="1">
      <formula>AND(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L59&lt;&gt;"",L59&lt;&gt;"not_applicable")</formula>
    </cfRule>
    <cfRule type="expression" priority="116" dxfId="1">
      <formula>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formula>
    </cfRule>
  </conditionalFormatting>
  <conditionalFormatting sqref="L60">
    <cfRule type="expression" priority="117" dxfId="0" stopIfTrue="1">
      <formula>AND(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L60&lt;&gt;"",L60&lt;&gt;"not_applicable")</formula>
    </cfRule>
    <cfRule type="expression" priority="118" dxfId="1">
      <formula>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formula>
    </cfRule>
  </conditionalFormatting>
  <conditionalFormatting sqref="L61">
    <cfRule type="expression" priority="119" dxfId="0" stopIfTrue="1">
      <formula>AND(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L61&lt;&gt;"",L61&lt;&gt;"not_applicable")</formula>
    </cfRule>
    <cfRule type="expression" priority="120" dxfId="1">
      <formula>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formula>
    </cfRule>
  </conditionalFormatting>
  <conditionalFormatting sqref="L62">
    <cfRule type="expression" priority="121" dxfId="0" stopIfTrue="1">
      <formula>AND(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L62&lt;&gt;"",L62&lt;&gt;"not_applicable")</formula>
    </cfRule>
    <cfRule type="expression" priority="122" dxfId="1">
      <formula>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formula>
    </cfRule>
  </conditionalFormatting>
  <conditionalFormatting sqref="L63">
    <cfRule type="expression" priority="123" dxfId="0" stopIfTrue="1">
      <formula>AND(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L63&lt;&gt;"",L63&lt;&gt;"not_applicable")</formula>
    </cfRule>
    <cfRule type="expression" priority="124" dxfId="1">
      <formula>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formula>
    </cfRule>
  </conditionalFormatting>
  <conditionalFormatting sqref="L64">
    <cfRule type="expression" priority="125" dxfId="0" stopIfTrue="1">
      <formula>AND(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L64&lt;&gt;"",L64&lt;&gt;"not_applicable")</formula>
    </cfRule>
    <cfRule type="expression" priority="126" dxfId="1">
      <formula>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formula>
    </cfRule>
  </conditionalFormatting>
  <conditionalFormatting sqref="L65">
    <cfRule type="expression" priority="127" dxfId="0" stopIfTrue="1">
      <formula>AND(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L65&lt;&gt;"",L65&lt;&gt;"not_applicable")</formula>
    </cfRule>
    <cfRule type="expression" priority="128" dxfId="1">
      <formula>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formula>
    </cfRule>
  </conditionalFormatting>
  <conditionalFormatting sqref="L66">
    <cfRule type="expression" priority="129" dxfId="0" stopIfTrue="1">
      <formula>AND(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L66&lt;&gt;"",L66&lt;&gt;"not_applicable")</formula>
    </cfRule>
    <cfRule type="expression" priority="130" dxfId="1">
      <formula>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formula>
    </cfRule>
  </conditionalFormatting>
  <conditionalFormatting sqref="L67">
    <cfRule type="expression" priority="131" dxfId="0" stopIfTrue="1">
      <formula>AND(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L67&lt;&gt;"",L67&lt;&gt;"not_applicable")</formula>
    </cfRule>
    <cfRule type="expression" priority="132" dxfId="1">
      <formula>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formula>
    </cfRule>
  </conditionalFormatting>
  <conditionalFormatting sqref="L68">
    <cfRule type="expression" priority="133" dxfId="0" stopIfTrue="1">
      <formula>AND(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L68&lt;&gt;"",L68&lt;&gt;"not_applicable")</formula>
    </cfRule>
    <cfRule type="expression" priority="134" dxfId="1">
      <formula>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formula>
    </cfRule>
  </conditionalFormatting>
  <conditionalFormatting sqref="L69">
    <cfRule type="expression" priority="135" dxfId="0" stopIfTrue="1">
      <formula>AND(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L69&lt;&gt;"",L69&lt;&gt;"not_applicable")</formula>
    </cfRule>
    <cfRule type="expression" priority="136" dxfId="1">
      <formula>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formula>
    </cfRule>
  </conditionalFormatting>
  <conditionalFormatting sqref="L70">
    <cfRule type="expression" priority="137" dxfId="0" stopIfTrue="1">
      <formula>AND(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L70&lt;&gt;"",L70&lt;&gt;"not_applicable")</formula>
    </cfRule>
    <cfRule type="expression" priority="138" dxfId="1">
      <formula>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formula>
    </cfRule>
  </conditionalFormatting>
  <conditionalFormatting sqref="L71">
    <cfRule type="expression" priority="139" dxfId="0" stopIfTrue="1">
      <formula>AND(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L71&lt;&gt;"",L71&lt;&gt;"not_applicable")</formula>
    </cfRule>
    <cfRule type="expression" priority="140" dxfId="1">
      <formula>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formula>
    </cfRule>
  </conditionalFormatting>
  <conditionalFormatting sqref="L72">
    <cfRule type="expression" priority="141" dxfId="0" stopIfTrue="1">
      <formula>AND(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L72&lt;&gt;"",L72&lt;&gt;"not_applicable")</formula>
    </cfRule>
    <cfRule type="expression" priority="142" dxfId="1">
      <formula>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formula>
    </cfRule>
  </conditionalFormatting>
  <conditionalFormatting sqref="L73">
    <cfRule type="expression" priority="143" dxfId="0" stopIfTrue="1">
      <formula>AND(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L73&lt;&gt;"",L73&lt;&gt;"not_applicable")</formula>
    </cfRule>
    <cfRule type="expression" priority="144" dxfId="1">
      <formula>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formula>
    </cfRule>
  </conditionalFormatting>
  <conditionalFormatting sqref="L74">
    <cfRule type="expression" priority="145" dxfId="0" stopIfTrue="1">
      <formula>AND(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L74&lt;&gt;"",L74&lt;&gt;"not_applicable")</formula>
    </cfRule>
    <cfRule type="expression" priority="146" dxfId="1">
      <formula>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formula>
    </cfRule>
  </conditionalFormatting>
  <conditionalFormatting sqref="L75">
    <cfRule type="expression" priority="147" dxfId="0" stopIfTrue="1">
      <formula>AND(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L75&lt;&gt;"",L75&lt;&gt;"not_applicable")</formula>
    </cfRule>
    <cfRule type="expression" priority="148" dxfId="1">
      <formula>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formula>
    </cfRule>
  </conditionalFormatting>
  <conditionalFormatting sqref="L76">
    <cfRule type="expression" priority="149" dxfId="0" stopIfTrue="1">
      <formula>AND(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L76&lt;&gt;"",L76&lt;&gt;"not_applicable")</formula>
    </cfRule>
    <cfRule type="expression" priority="150" dxfId="1">
      <formula>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formula>
    </cfRule>
  </conditionalFormatting>
  <conditionalFormatting sqref="L77">
    <cfRule type="expression" priority="151" dxfId="0" stopIfTrue="1">
      <formula>AND(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L77&lt;&gt;"",L77&lt;&gt;"not_applicable")</formula>
    </cfRule>
    <cfRule type="expression" priority="152" dxfId="1">
      <formula>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formula>
    </cfRule>
  </conditionalFormatting>
  <conditionalFormatting sqref="L78">
    <cfRule type="expression" priority="153" dxfId="0" stopIfTrue="1">
      <formula>AND(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L78&lt;&gt;"",L78&lt;&gt;"not_applicable")</formula>
    </cfRule>
    <cfRule type="expression" priority="154" dxfId="1">
      <formula>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formula>
    </cfRule>
  </conditionalFormatting>
  <conditionalFormatting sqref="L79">
    <cfRule type="expression" priority="155" dxfId="0" stopIfTrue="1">
      <formula>AND(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L79&lt;&gt;"",L79&lt;&gt;"not_applicable")</formula>
    </cfRule>
    <cfRule type="expression" priority="156" dxfId="1">
      <formula>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formula>
    </cfRule>
  </conditionalFormatting>
  <conditionalFormatting sqref="L80">
    <cfRule type="expression" priority="157" dxfId="0" stopIfTrue="1">
      <formula>AND(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L80&lt;&gt;"",L80&lt;&gt;"not_applicable")</formula>
    </cfRule>
    <cfRule type="expression" priority="158" dxfId="1">
      <formula>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formula>
    </cfRule>
  </conditionalFormatting>
  <conditionalFormatting sqref="L81">
    <cfRule type="expression" priority="159" dxfId="0" stopIfTrue="1">
      <formula>AND(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L81&lt;&gt;"",L81&lt;&gt;"not_applicable")</formula>
    </cfRule>
    <cfRule type="expression" priority="160" dxfId="1">
      <formula>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formula>
    </cfRule>
  </conditionalFormatting>
  <conditionalFormatting sqref="L82">
    <cfRule type="expression" priority="161" dxfId="0" stopIfTrue="1">
      <formula>AND(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L82&lt;&gt;"",L82&lt;&gt;"not_applicable")</formula>
    </cfRule>
    <cfRule type="expression" priority="162" dxfId="1">
      <formula>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formula>
    </cfRule>
  </conditionalFormatting>
  <conditionalFormatting sqref="L83">
    <cfRule type="expression" priority="163" dxfId="0" stopIfTrue="1">
      <formula>AND(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L83&lt;&gt;"",L83&lt;&gt;"not_applicable")</formula>
    </cfRule>
    <cfRule type="expression" priority="164" dxfId="1">
      <formula>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formula>
    </cfRule>
  </conditionalFormatting>
  <conditionalFormatting sqref="L84">
    <cfRule type="expression" priority="165" dxfId="0" stopIfTrue="1">
      <formula>AND(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L84&lt;&gt;"",L84&lt;&gt;"not_applicable")</formula>
    </cfRule>
    <cfRule type="expression" priority="166" dxfId="1">
      <formula>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formula>
    </cfRule>
  </conditionalFormatting>
  <conditionalFormatting sqref="L85">
    <cfRule type="expression" priority="167" dxfId="0" stopIfTrue="1">
      <formula>AND(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L85&lt;&gt;"",L85&lt;&gt;"not_applicable")</formula>
    </cfRule>
    <cfRule type="expression" priority="168" dxfId="1">
      <formula>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formula>
    </cfRule>
  </conditionalFormatting>
  <conditionalFormatting sqref="L86">
    <cfRule type="expression" priority="169" dxfId="0" stopIfTrue="1">
      <formula>AND(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L86&lt;&gt;"",L86&lt;&gt;"not_applicable")</formula>
    </cfRule>
    <cfRule type="expression" priority="170" dxfId="1">
      <formula>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formula>
    </cfRule>
  </conditionalFormatting>
  <conditionalFormatting sqref="L87">
    <cfRule type="expression" priority="171" dxfId="0" stopIfTrue="1">
      <formula>AND(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L87&lt;&gt;"",L87&lt;&gt;"not_applicable")</formula>
    </cfRule>
    <cfRule type="expression" priority="172" dxfId="1">
      <formula>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formula>
    </cfRule>
  </conditionalFormatting>
  <conditionalFormatting sqref="L88">
    <cfRule type="expression" priority="173" dxfId="0" stopIfTrue="1">
      <formula>AND(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L88&lt;&gt;"",L88&lt;&gt;"not_applicable")</formula>
    </cfRule>
    <cfRule type="expression" priority="174" dxfId="1">
      <formula>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formula>
    </cfRule>
  </conditionalFormatting>
  <conditionalFormatting sqref="L89">
    <cfRule type="expression" priority="175" dxfId="0" stopIfTrue="1">
      <formula>AND(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L89&lt;&gt;"",L89&lt;&gt;"not_applicable")</formula>
    </cfRule>
    <cfRule type="expression" priority="176" dxfId="1">
      <formula>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formula>
    </cfRule>
  </conditionalFormatting>
  <conditionalFormatting sqref="L90">
    <cfRule type="expression" priority="177" dxfId="0" stopIfTrue="1">
      <formula>AND(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L90&lt;&gt;"",L90&lt;&gt;"not_applicable")</formula>
    </cfRule>
    <cfRule type="expression" priority="178" dxfId="1">
      <formula>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formula>
    </cfRule>
  </conditionalFormatting>
  <conditionalFormatting sqref="L91">
    <cfRule type="expression" priority="179" dxfId="0" stopIfTrue="1">
      <formula>AND(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L91&lt;&gt;"",L91&lt;&gt;"not_applicable")</formula>
    </cfRule>
    <cfRule type="expression" priority="180" dxfId="1">
      <formula>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formula>
    </cfRule>
  </conditionalFormatting>
  <conditionalFormatting sqref="L92">
    <cfRule type="expression" priority="181" dxfId="0" stopIfTrue="1">
      <formula>AND(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L92&lt;&gt;"",L92&lt;&gt;"not_applicable")</formula>
    </cfRule>
    <cfRule type="expression" priority="182" dxfId="1">
      <formula>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formula>
    </cfRule>
  </conditionalFormatting>
  <conditionalFormatting sqref="M2">
    <cfRule type="expression" priority="183" dxfId="0" stopIfTrue="1">
      <formula>AND(OR(AND(IF($J2="",INDEX(primary_jama_2024_0318_disposition,MATCH($A2,primary_jama_2024_0318_key,0)),$J2)&lt;&gt;"",IF($J2="",INDEX(primary_jama_2024_0318_disposition,MATCH($A2,primary_jama_2024_0318_key,0)),$J2)&lt;&gt;"retain"),NOT(OR(IF($K2="",INDEX(primary_jama_2024_0318_domain,MATCH($A2,primary_jama_2024_0318_key,0)),$K2)="statistical_results"))),M2&lt;&gt;"",M2&lt;&gt;"not_applicable")</formula>
    </cfRule>
    <cfRule type="expression" priority="184" dxfId="1">
      <formula>OR(AND(IF($J2="",INDEX(primary_jama_2024_0318_disposition,MATCH($A2,primary_jama_2024_0318_key,0)),$J2)&lt;&gt;"",IF($J2="",INDEX(primary_jama_2024_0318_disposition,MATCH($A2,primary_jama_2024_0318_key,0)),$J2)&lt;&gt;"retain"),NOT(OR(IF($K2="",INDEX(primary_jama_2024_0318_domain,MATCH($A2,primary_jama_2024_0318_key,0)),$K2)="statistical_results")))</formula>
    </cfRule>
  </conditionalFormatting>
  <conditionalFormatting sqref="M3">
    <cfRule type="expression" priority="185" dxfId="0" stopIfTrue="1">
      <formula>AND(OR(AND(IF($J3="",INDEX(primary_jama_2024_0318_disposition,MATCH($A3,primary_jama_2024_0318_key,0)),$J3)&lt;&gt;"",IF($J3="",INDEX(primary_jama_2024_0318_disposition,MATCH($A3,primary_jama_2024_0318_key,0)),$J3)&lt;&gt;"retain"),NOT(OR(IF($K3="",INDEX(primary_jama_2024_0318_domain,MATCH($A3,primary_jama_2024_0318_key,0)),$K3)="statistical_results"))),M3&lt;&gt;"",M3&lt;&gt;"not_applicable")</formula>
    </cfRule>
    <cfRule type="expression" priority="186" dxfId="1">
      <formula>OR(AND(IF($J3="",INDEX(primary_jama_2024_0318_disposition,MATCH($A3,primary_jama_2024_0318_key,0)),$J3)&lt;&gt;"",IF($J3="",INDEX(primary_jama_2024_0318_disposition,MATCH($A3,primary_jama_2024_0318_key,0)),$J3)&lt;&gt;"retain"),NOT(OR(IF($K3="",INDEX(primary_jama_2024_0318_domain,MATCH($A3,primary_jama_2024_0318_key,0)),$K3)="statistical_results")))</formula>
    </cfRule>
  </conditionalFormatting>
  <conditionalFormatting sqref="M4">
    <cfRule type="expression" priority="187" dxfId="0" stopIfTrue="1">
      <formula>AND(OR(AND(IF($J4="",INDEX(primary_jama_2024_0318_disposition,MATCH($A4,primary_jama_2024_0318_key,0)),$J4)&lt;&gt;"",IF($J4="",INDEX(primary_jama_2024_0318_disposition,MATCH($A4,primary_jama_2024_0318_key,0)),$J4)&lt;&gt;"retain"),NOT(OR(IF($K4="",INDEX(primary_jama_2024_0318_domain,MATCH($A4,primary_jama_2024_0318_key,0)),$K4)="statistical_results"))),M4&lt;&gt;"",M4&lt;&gt;"not_applicable")</formula>
    </cfRule>
    <cfRule type="expression" priority="188" dxfId="1">
      <formula>OR(AND(IF($J4="",INDEX(primary_jama_2024_0318_disposition,MATCH($A4,primary_jama_2024_0318_key,0)),$J4)&lt;&gt;"",IF($J4="",INDEX(primary_jama_2024_0318_disposition,MATCH($A4,primary_jama_2024_0318_key,0)),$J4)&lt;&gt;"retain"),NOT(OR(IF($K4="",INDEX(primary_jama_2024_0318_domain,MATCH($A4,primary_jama_2024_0318_key,0)),$K4)="statistical_results")))</formula>
    </cfRule>
  </conditionalFormatting>
  <conditionalFormatting sqref="M5">
    <cfRule type="expression" priority="189" dxfId="0" stopIfTrue="1">
      <formula>AND(OR(AND(IF($J5="",INDEX(primary_jama_2024_0318_disposition,MATCH($A5,primary_jama_2024_0318_key,0)),$J5)&lt;&gt;"",IF($J5="",INDEX(primary_jama_2024_0318_disposition,MATCH($A5,primary_jama_2024_0318_key,0)),$J5)&lt;&gt;"retain"),NOT(OR(IF($K5="",INDEX(primary_jama_2024_0318_domain,MATCH($A5,primary_jama_2024_0318_key,0)),$K5)="statistical_results"))),M5&lt;&gt;"",M5&lt;&gt;"not_applicable")</formula>
    </cfRule>
    <cfRule type="expression" priority="190" dxfId="1">
      <formula>OR(AND(IF($J5="",INDEX(primary_jama_2024_0318_disposition,MATCH($A5,primary_jama_2024_0318_key,0)),$J5)&lt;&gt;"",IF($J5="",INDEX(primary_jama_2024_0318_disposition,MATCH($A5,primary_jama_2024_0318_key,0)),$J5)&lt;&gt;"retain"),NOT(OR(IF($K5="",INDEX(primary_jama_2024_0318_domain,MATCH($A5,primary_jama_2024_0318_key,0)),$K5)="statistical_results")))</formula>
    </cfRule>
  </conditionalFormatting>
  <conditionalFormatting sqref="M6">
    <cfRule type="expression" priority="191" dxfId="0" stopIfTrue="1">
      <formula>AND(OR(AND(IF($J6="",INDEX(primary_jama_2024_0318_disposition,MATCH($A6,primary_jama_2024_0318_key,0)),$J6)&lt;&gt;"",IF($J6="",INDEX(primary_jama_2024_0318_disposition,MATCH($A6,primary_jama_2024_0318_key,0)),$J6)&lt;&gt;"retain"),NOT(OR(IF($K6="",INDEX(primary_jama_2024_0318_domain,MATCH($A6,primary_jama_2024_0318_key,0)),$K6)="statistical_results"))),M6&lt;&gt;"",M6&lt;&gt;"not_applicable")</formula>
    </cfRule>
    <cfRule type="expression" priority="192" dxfId="1">
      <formula>OR(AND(IF($J6="",INDEX(primary_jama_2024_0318_disposition,MATCH($A6,primary_jama_2024_0318_key,0)),$J6)&lt;&gt;"",IF($J6="",INDEX(primary_jama_2024_0318_disposition,MATCH($A6,primary_jama_2024_0318_key,0)),$J6)&lt;&gt;"retain"),NOT(OR(IF($K6="",INDEX(primary_jama_2024_0318_domain,MATCH($A6,primary_jama_2024_0318_key,0)),$K6)="statistical_results")))</formula>
    </cfRule>
  </conditionalFormatting>
  <conditionalFormatting sqref="M7">
    <cfRule type="expression" priority="193" dxfId="0" stopIfTrue="1">
      <formula>AND(OR(AND(IF($J7="",INDEX(primary_jama_2024_0318_disposition,MATCH($A7,primary_jama_2024_0318_key,0)),$J7)&lt;&gt;"",IF($J7="",INDEX(primary_jama_2024_0318_disposition,MATCH($A7,primary_jama_2024_0318_key,0)),$J7)&lt;&gt;"retain"),NOT(OR(IF($K7="",INDEX(primary_jama_2024_0318_domain,MATCH($A7,primary_jama_2024_0318_key,0)),$K7)="statistical_results"))),M7&lt;&gt;"",M7&lt;&gt;"not_applicable")</formula>
    </cfRule>
    <cfRule type="expression" priority="194" dxfId="1">
      <formula>OR(AND(IF($J7="",INDEX(primary_jama_2024_0318_disposition,MATCH($A7,primary_jama_2024_0318_key,0)),$J7)&lt;&gt;"",IF($J7="",INDEX(primary_jama_2024_0318_disposition,MATCH($A7,primary_jama_2024_0318_key,0)),$J7)&lt;&gt;"retain"),NOT(OR(IF($K7="",INDEX(primary_jama_2024_0318_domain,MATCH($A7,primary_jama_2024_0318_key,0)),$K7)="statistical_results")))</formula>
    </cfRule>
  </conditionalFormatting>
  <conditionalFormatting sqref="M8">
    <cfRule type="expression" priority="195" dxfId="0" stopIfTrue="1">
      <formula>AND(OR(AND(IF($J8="",INDEX(primary_jama_2024_0572_disposition,MATCH($A8,primary_jama_2024_0572_key,0)),$J8)&lt;&gt;"",IF($J8="",INDEX(primary_jama_2024_0572_disposition,MATCH($A8,primary_jama_2024_0572_key,0)),$J8)&lt;&gt;"retain"),NOT(OR(IF($K8="",INDEX(primary_jama_2024_0572_domain,MATCH($A8,primary_jama_2024_0572_key,0)),$K8)="statistical_results"))),M8&lt;&gt;"",M8&lt;&gt;"not_applicable")</formula>
    </cfRule>
    <cfRule type="expression" priority="196" dxfId="1">
      <formula>OR(AND(IF($J8="",INDEX(primary_jama_2024_0572_disposition,MATCH($A8,primary_jama_2024_0572_key,0)),$J8)&lt;&gt;"",IF($J8="",INDEX(primary_jama_2024_0572_disposition,MATCH($A8,primary_jama_2024_0572_key,0)),$J8)&lt;&gt;"retain"),NOT(OR(IF($K8="",INDEX(primary_jama_2024_0572_domain,MATCH($A8,primary_jama_2024_0572_key,0)),$K8)="statistical_results")))</formula>
    </cfRule>
  </conditionalFormatting>
  <conditionalFormatting sqref="M9">
    <cfRule type="expression" priority="197" dxfId="0" stopIfTrue="1">
      <formula>AND(OR(AND(IF($J9="",INDEX(primary_jama_2024_0572_disposition,MATCH($A9,primary_jama_2024_0572_key,0)),$J9)&lt;&gt;"",IF($J9="",INDEX(primary_jama_2024_0572_disposition,MATCH($A9,primary_jama_2024_0572_key,0)),$J9)&lt;&gt;"retain"),NOT(OR(IF($K9="",INDEX(primary_jama_2024_0572_domain,MATCH($A9,primary_jama_2024_0572_key,0)),$K9)="statistical_results"))),M9&lt;&gt;"",M9&lt;&gt;"not_applicable")</formula>
    </cfRule>
    <cfRule type="expression" priority="198" dxfId="1">
      <formula>OR(AND(IF($J9="",INDEX(primary_jama_2024_0572_disposition,MATCH($A9,primary_jama_2024_0572_key,0)),$J9)&lt;&gt;"",IF($J9="",INDEX(primary_jama_2024_0572_disposition,MATCH($A9,primary_jama_2024_0572_key,0)),$J9)&lt;&gt;"retain"),NOT(OR(IF($K9="",INDEX(primary_jama_2024_0572_domain,MATCH($A9,primary_jama_2024_0572_key,0)),$K9)="statistical_results")))</formula>
    </cfRule>
  </conditionalFormatting>
  <conditionalFormatting sqref="M10">
    <cfRule type="expression" priority="199" dxfId="0" stopIfTrue="1">
      <formula>AND(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M10&lt;&gt;"",M10&lt;&gt;"not_applicable")</formula>
    </cfRule>
    <cfRule type="expression" priority="200" dxfId="1">
      <formula>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formula>
    </cfRule>
  </conditionalFormatting>
  <conditionalFormatting sqref="M11">
    <cfRule type="expression" priority="201" dxfId="0" stopIfTrue="1">
      <formula>AND(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M11&lt;&gt;"",M11&lt;&gt;"not_applicable")</formula>
    </cfRule>
    <cfRule type="expression" priority="202" dxfId="1">
      <formula>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formula>
    </cfRule>
  </conditionalFormatting>
  <conditionalFormatting sqref="M12">
    <cfRule type="expression" priority="203" dxfId="0" stopIfTrue="1">
      <formula>AND(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M12&lt;&gt;"",M12&lt;&gt;"not_applicable")</formula>
    </cfRule>
    <cfRule type="expression" priority="204" dxfId="1">
      <formula>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formula>
    </cfRule>
  </conditionalFormatting>
  <conditionalFormatting sqref="M13">
    <cfRule type="expression" priority="205" dxfId="0" stopIfTrue="1">
      <formula>AND(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M13&lt;&gt;"",M13&lt;&gt;"not_applicable")</formula>
    </cfRule>
    <cfRule type="expression" priority="206" dxfId="1">
      <formula>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formula>
    </cfRule>
  </conditionalFormatting>
  <conditionalFormatting sqref="M14">
    <cfRule type="expression" priority="207" dxfId="0" stopIfTrue="1">
      <formula>AND(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M14&lt;&gt;"",M14&lt;&gt;"not_applicable")</formula>
    </cfRule>
    <cfRule type="expression" priority="208" dxfId="1">
      <formula>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formula>
    </cfRule>
  </conditionalFormatting>
  <conditionalFormatting sqref="M15">
    <cfRule type="expression" priority="209" dxfId="0" stopIfTrue="1">
      <formula>AND(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M15&lt;&gt;"",M15&lt;&gt;"not_applicable")</formula>
    </cfRule>
    <cfRule type="expression" priority="210" dxfId="1">
      <formula>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formula>
    </cfRule>
  </conditionalFormatting>
  <conditionalFormatting sqref="M16">
    <cfRule type="expression" priority="211" dxfId="0" stopIfTrue="1">
      <formula>AND(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M16&lt;&gt;"",M16&lt;&gt;"not_applicable")</formula>
    </cfRule>
    <cfRule type="expression" priority="212" dxfId="1">
      <formula>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formula>
    </cfRule>
  </conditionalFormatting>
  <conditionalFormatting sqref="M17">
    <cfRule type="expression" priority="213" dxfId="0" stopIfTrue="1">
      <formula>AND(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M17&lt;&gt;"",M17&lt;&gt;"not_applicable")</formula>
    </cfRule>
    <cfRule type="expression" priority="214" dxfId="1">
      <formula>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formula>
    </cfRule>
  </conditionalFormatting>
  <conditionalFormatting sqref="M18">
    <cfRule type="expression" priority="215" dxfId="0" stopIfTrue="1">
      <formula>AND(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M18&lt;&gt;"",M18&lt;&gt;"not_applicable")</formula>
    </cfRule>
    <cfRule type="expression" priority="216" dxfId="1">
      <formula>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formula>
    </cfRule>
  </conditionalFormatting>
  <conditionalFormatting sqref="M19">
    <cfRule type="expression" priority="217" dxfId="0" stopIfTrue="1">
      <formula>AND(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M19&lt;&gt;"",M19&lt;&gt;"not_applicable")</formula>
    </cfRule>
    <cfRule type="expression" priority="218" dxfId="1">
      <formula>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formula>
    </cfRule>
  </conditionalFormatting>
  <conditionalFormatting sqref="M20">
    <cfRule type="expression" priority="219" dxfId="0" stopIfTrue="1">
      <formula>AND(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M20&lt;&gt;"",M20&lt;&gt;"not_applicable")</formula>
    </cfRule>
    <cfRule type="expression" priority="220" dxfId="1">
      <formula>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formula>
    </cfRule>
  </conditionalFormatting>
  <conditionalFormatting sqref="M21">
    <cfRule type="expression" priority="221" dxfId="0" stopIfTrue="1">
      <formula>AND(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M21&lt;&gt;"",M21&lt;&gt;"not_applicable")</formula>
    </cfRule>
    <cfRule type="expression" priority="222" dxfId="1">
      <formula>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formula>
    </cfRule>
  </conditionalFormatting>
  <conditionalFormatting sqref="M22">
    <cfRule type="expression" priority="223" dxfId="0" stopIfTrue="1">
      <formula>AND(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M22&lt;&gt;"",M22&lt;&gt;"not_applicable")</formula>
    </cfRule>
    <cfRule type="expression" priority="224" dxfId="1">
      <formula>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formula>
    </cfRule>
  </conditionalFormatting>
  <conditionalFormatting sqref="M23">
    <cfRule type="expression" priority="225" dxfId="0" stopIfTrue="1">
      <formula>AND(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M23&lt;&gt;"",M23&lt;&gt;"not_applicable")</formula>
    </cfRule>
    <cfRule type="expression" priority="226" dxfId="1">
      <formula>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formula>
    </cfRule>
  </conditionalFormatting>
  <conditionalFormatting sqref="M24">
    <cfRule type="expression" priority="227" dxfId="0" stopIfTrue="1">
      <formula>AND(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M24&lt;&gt;"",M24&lt;&gt;"not_applicable")</formula>
    </cfRule>
    <cfRule type="expression" priority="228" dxfId="1">
      <formula>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formula>
    </cfRule>
  </conditionalFormatting>
  <conditionalFormatting sqref="M25">
    <cfRule type="expression" priority="229" dxfId="0" stopIfTrue="1">
      <formula>AND(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M25&lt;&gt;"",M25&lt;&gt;"not_applicable")</formula>
    </cfRule>
    <cfRule type="expression" priority="230" dxfId="1">
      <formula>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formula>
    </cfRule>
  </conditionalFormatting>
  <conditionalFormatting sqref="M26">
    <cfRule type="expression" priority="231" dxfId="0" stopIfTrue="1">
      <formula>AND(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M26&lt;&gt;"",M26&lt;&gt;"not_applicable")</formula>
    </cfRule>
    <cfRule type="expression" priority="232" dxfId="1">
      <formula>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formula>
    </cfRule>
  </conditionalFormatting>
  <conditionalFormatting sqref="M27">
    <cfRule type="expression" priority="233" dxfId="0" stopIfTrue="1">
      <formula>AND(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M27&lt;&gt;"",M27&lt;&gt;"not_applicable")</formula>
    </cfRule>
    <cfRule type="expression" priority="234" dxfId="1">
      <formula>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formula>
    </cfRule>
  </conditionalFormatting>
  <conditionalFormatting sqref="M28">
    <cfRule type="expression" priority="235" dxfId="0" stopIfTrue="1">
      <formula>AND(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M28&lt;&gt;"",M28&lt;&gt;"not_applicable")</formula>
    </cfRule>
    <cfRule type="expression" priority="236" dxfId="1">
      <formula>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formula>
    </cfRule>
  </conditionalFormatting>
  <conditionalFormatting sqref="M29">
    <cfRule type="expression" priority="237" dxfId="0" stopIfTrue="1">
      <formula>AND(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M29&lt;&gt;"",M29&lt;&gt;"not_applicable")</formula>
    </cfRule>
    <cfRule type="expression" priority="238" dxfId="1">
      <formula>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formula>
    </cfRule>
  </conditionalFormatting>
  <conditionalFormatting sqref="M30">
    <cfRule type="expression" priority="239" dxfId="0" stopIfTrue="1">
      <formula>AND(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M30&lt;&gt;"",M30&lt;&gt;"not_applicable")</formula>
    </cfRule>
    <cfRule type="expression" priority="240" dxfId="1">
      <formula>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formula>
    </cfRule>
  </conditionalFormatting>
  <conditionalFormatting sqref="M31">
    <cfRule type="expression" priority="241" dxfId="0" stopIfTrue="1">
      <formula>AND(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M31&lt;&gt;"",M31&lt;&gt;"not_applicable")</formula>
    </cfRule>
    <cfRule type="expression" priority="242" dxfId="1">
      <formula>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formula>
    </cfRule>
  </conditionalFormatting>
  <conditionalFormatting sqref="M32">
    <cfRule type="expression" priority="243" dxfId="0" stopIfTrue="1">
      <formula>AND(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M32&lt;&gt;"",M32&lt;&gt;"not_applicable")</formula>
    </cfRule>
    <cfRule type="expression" priority="244" dxfId="1">
      <formula>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formula>
    </cfRule>
  </conditionalFormatting>
  <conditionalFormatting sqref="M33">
    <cfRule type="expression" priority="245" dxfId="0" stopIfTrue="1">
      <formula>AND(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M33&lt;&gt;"",M33&lt;&gt;"not_applicable")</formula>
    </cfRule>
    <cfRule type="expression" priority="246" dxfId="1">
      <formula>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formula>
    </cfRule>
  </conditionalFormatting>
  <conditionalFormatting sqref="M34">
    <cfRule type="expression" priority="247" dxfId="0" stopIfTrue="1">
      <formula>AND(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M34&lt;&gt;"",M34&lt;&gt;"not_applicable")</formula>
    </cfRule>
    <cfRule type="expression" priority="248" dxfId="1">
      <formula>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formula>
    </cfRule>
  </conditionalFormatting>
  <conditionalFormatting sqref="M35">
    <cfRule type="expression" priority="249" dxfId="0" stopIfTrue="1">
      <formula>AND(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M35&lt;&gt;"",M35&lt;&gt;"not_applicable")</formula>
    </cfRule>
    <cfRule type="expression" priority="250" dxfId="1">
      <formula>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formula>
    </cfRule>
  </conditionalFormatting>
  <conditionalFormatting sqref="M36">
    <cfRule type="expression" priority="251" dxfId="0" stopIfTrue="1">
      <formula>AND(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M36&lt;&gt;"",M36&lt;&gt;"not_applicable")</formula>
    </cfRule>
    <cfRule type="expression" priority="252" dxfId="1">
      <formula>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formula>
    </cfRule>
  </conditionalFormatting>
  <conditionalFormatting sqref="M37">
    <cfRule type="expression" priority="253" dxfId="0" stopIfTrue="1">
      <formula>AND(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M37&lt;&gt;"",M37&lt;&gt;"not_applicable")</formula>
    </cfRule>
    <cfRule type="expression" priority="254" dxfId="1">
      <formula>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formula>
    </cfRule>
  </conditionalFormatting>
  <conditionalFormatting sqref="M38">
    <cfRule type="expression" priority="255" dxfId="0" stopIfTrue="1">
      <formula>AND(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M38&lt;&gt;"",M38&lt;&gt;"not_applicable")</formula>
    </cfRule>
    <cfRule type="expression" priority="256" dxfId="1">
      <formula>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formula>
    </cfRule>
  </conditionalFormatting>
  <conditionalFormatting sqref="M39">
    <cfRule type="expression" priority="257" dxfId="0" stopIfTrue="1">
      <formula>AND(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M39&lt;&gt;"",M39&lt;&gt;"not_applicable")</formula>
    </cfRule>
    <cfRule type="expression" priority="258" dxfId="1">
      <formula>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formula>
    </cfRule>
  </conditionalFormatting>
  <conditionalFormatting sqref="M40">
    <cfRule type="expression" priority="259" dxfId="0" stopIfTrue="1">
      <formula>AND(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M40&lt;&gt;"",M40&lt;&gt;"not_applicable")</formula>
    </cfRule>
    <cfRule type="expression" priority="260" dxfId="1">
      <formula>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formula>
    </cfRule>
  </conditionalFormatting>
  <conditionalFormatting sqref="M41">
    <cfRule type="expression" priority="261" dxfId="0" stopIfTrue="1">
      <formula>AND(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M41&lt;&gt;"",M41&lt;&gt;"not_applicable")</formula>
    </cfRule>
    <cfRule type="expression" priority="262" dxfId="1">
      <formula>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formula>
    </cfRule>
  </conditionalFormatting>
  <conditionalFormatting sqref="M42">
    <cfRule type="expression" priority="263" dxfId="0" stopIfTrue="1">
      <formula>AND(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M42&lt;&gt;"",M42&lt;&gt;"not_applicable")</formula>
    </cfRule>
    <cfRule type="expression" priority="264" dxfId="1">
      <formula>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formula>
    </cfRule>
  </conditionalFormatting>
  <conditionalFormatting sqref="M43">
    <cfRule type="expression" priority="265" dxfId="0" stopIfTrue="1">
      <formula>AND(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M43&lt;&gt;"",M43&lt;&gt;"not_applicable")</formula>
    </cfRule>
    <cfRule type="expression" priority="266" dxfId="1">
      <formula>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formula>
    </cfRule>
  </conditionalFormatting>
  <conditionalFormatting sqref="M44">
    <cfRule type="expression" priority="267" dxfId="0" stopIfTrue="1">
      <formula>AND(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M44&lt;&gt;"",M44&lt;&gt;"not_applicable")</formula>
    </cfRule>
    <cfRule type="expression" priority="268" dxfId="1">
      <formula>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formula>
    </cfRule>
  </conditionalFormatting>
  <conditionalFormatting sqref="M45">
    <cfRule type="expression" priority="269" dxfId="0" stopIfTrue="1">
      <formula>AND(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M45&lt;&gt;"",M45&lt;&gt;"not_applicable")</formula>
    </cfRule>
    <cfRule type="expression" priority="270" dxfId="1">
      <formula>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formula>
    </cfRule>
  </conditionalFormatting>
  <conditionalFormatting sqref="M46">
    <cfRule type="expression" priority="271" dxfId="0" stopIfTrue="1">
      <formula>AND(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M46&lt;&gt;"",M46&lt;&gt;"not_applicable")</formula>
    </cfRule>
    <cfRule type="expression" priority="272" dxfId="1">
      <formula>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formula>
    </cfRule>
  </conditionalFormatting>
  <conditionalFormatting sqref="M47">
    <cfRule type="expression" priority="273" dxfId="0" stopIfTrue="1">
      <formula>AND(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M47&lt;&gt;"",M47&lt;&gt;"not_applicable")</formula>
    </cfRule>
    <cfRule type="expression" priority="274" dxfId="1">
      <formula>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formula>
    </cfRule>
  </conditionalFormatting>
  <conditionalFormatting sqref="M48">
    <cfRule type="expression" priority="275" dxfId="0" stopIfTrue="1">
      <formula>AND(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M48&lt;&gt;"",M48&lt;&gt;"not_applicable")</formula>
    </cfRule>
    <cfRule type="expression" priority="276" dxfId="1">
      <formula>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formula>
    </cfRule>
  </conditionalFormatting>
  <conditionalFormatting sqref="M49">
    <cfRule type="expression" priority="277" dxfId="0" stopIfTrue="1">
      <formula>AND(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M49&lt;&gt;"",M49&lt;&gt;"not_applicable")</formula>
    </cfRule>
    <cfRule type="expression" priority="278" dxfId="1">
      <formula>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formula>
    </cfRule>
  </conditionalFormatting>
  <conditionalFormatting sqref="M50">
    <cfRule type="expression" priority="279" dxfId="0" stopIfTrue="1">
      <formula>AND(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M50&lt;&gt;"",M50&lt;&gt;"not_applicable")</formula>
    </cfRule>
    <cfRule type="expression" priority="280" dxfId="1">
      <formula>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formula>
    </cfRule>
  </conditionalFormatting>
  <conditionalFormatting sqref="M51">
    <cfRule type="expression" priority="281" dxfId="0" stopIfTrue="1">
      <formula>AND(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M51&lt;&gt;"",M51&lt;&gt;"not_applicable")</formula>
    </cfRule>
    <cfRule type="expression" priority="282" dxfId="1">
      <formula>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formula>
    </cfRule>
  </conditionalFormatting>
  <conditionalFormatting sqref="M52">
    <cfRule type="expression" priority="283" dxfId="0" stopIfTrue="1">
      <formula>AND(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M52&lt;&gt;"",M52&lt;&gt;"not_applicable")</formula>
    </cfRule>
    <cfRule type="expression" priority="284" dxfId="1">
      <formula>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formula>
    </cfRule>
  </conditionalFormatting>
  <conditionalFormatting sqref="M53">
    <cfRule type="expression" priority="285" dxfId="0" stopIfTrue="1">
      <formula>AND(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M53&lt;&gt;"",M53&lt;&gt;"not_applicable")</formula>
    </cfRule>
    <cfRule type="expression" priority="286" dxfId="1">
      <formula>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formula>
    </cfRule>
  </conditionalFormatting>
  <conditionalFormatting sqref="M54">
    <cfRule type="expression" priority="287" dxfId="0" stopIfTrue="1">
      <formula>AND(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M54&lt;&gt;"",M54&lt;&gt;"not_applicable")</formula>
    </cfRule>
    <cfRule type="expression" priority="288" dxfId="1">
      <formula>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formula>
    </cfRule>
  </conditionalFormatting>
  <conditionalFormatting sqref="M55">
    <cfRule type="expression" priority="289" dxfId="0" stopIfTrue="1">
      <formula>AND(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M55&lt;&gt;"",M55&lt;&gt;"not_applicable")</formula>
    </cfRule>
    <cfRule type="expression" priority="290" dxfId="1">
      <formula>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formula>
    </cfRule>
  </conditionalFormatting>
  <conditionalFormatting sqref="M56">
    <cfRule type="expression" priority="291" dxfId="0" stopIfTrue="1">
      <formula>AND(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M56&lt;&gt;"",M56&lt;&gt;"not_applicable")</formula>
    </cfRule>
    <cfRule type="expression" priority="292" dxfId="1">
      <formula>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formula>
    </cfRule>
  </conditionalFormatting>
  <conditionalFormatting sqref="M57">
    <cfRule type="expression" priority="293" dxfId="0" stopIfTrue="1">
      <formula>AND(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M57&lt;&gt;"",M57&lt;&gt;"not_applicable")</formula>
    </cfRule>
    <cfRule type="expression" priority="294" dxfId="1">
      <formula>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formula>
    </cfRule>
  </conditionalFormatting>
  <conditionalFormatting sqref="M58">
    <cfRule type="expression" priority="295" dxfId="0" stopIfTrue="1">
      <formula>AND(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M58&lt;&gt;"",M58&lt;&gt;"not_applicable")</formula>
    </cfRule>
    <cfRule type="expression" priority="296" dxfId="1">
      <formula>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formula>
    </cfRule>
  </conditionalFormatting>
  <conditionalFormatting sqref="M59">
    <cfRule type="expression" priority="297" dxfId="0" stopIfTrue="1">
      <formula>AND(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M59&lt;&gt;"",M59&lt;&gt;"not_applicable")</formula>
    </cfRule>
    <cfRule type="expression" priority="298" dxfId="1">
      <formula>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formula>
    </cfRule>
  </conditionalFormatting>
  <conditionalFormatting sqref="M60">
    <cfRule type="expression" priority="299" dxfId="0" stopIfTrue="1">
      <formula>AND(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M60&lt;&gt;"",M60&lt;&gt;"not_applicable")</formula>
    </cfRule>
    <cfRule type="expression" priority="300" dxfId="1">
      <formula>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formula>
    </cfRule>
  </conditionalFormatting>
  <conditionalFormatting sqref="M61">
    <cfRule type="expression" priority="301" dxfId="0" stopIfTrue="1">
      <formula>AND(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M61&lt;&gt;"",M61&lt;&gt;"not_applicable")</formula>
    </cfRule>
    <cfRule type="expression" priority="302" dxfId="1">
      <formula>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formula>
    </cfRule>
  </conditionalFormatting>
  <conditionalFormatting sqref="M62">
    <cfRule type="expression" priority="303" dxfId="0" stopIfTrue="1">
      <formula>AND(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M62&lt;&gt;"",M62&lt;&gt;"not_applicable")</formula>
    </cfRule>
    <cfRule type="expression" priority="304" dxfId="1">
      <formula>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formula>
    </cfRule>
  </conditionalFormatting>
  <conditionalFormatting sqref="M63">
    <cfRule type="expression" priority="305" dxfId="0" stopIfTrue="1">
      <formula>AND(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M63&lt;&gt;"",M63&lt;&gt;"not_applicable")</formula>
    </cfRule>
    <cfRule type="expression" priority="306" dxfId="1">
      <formula>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formula>
    </cfRule>
  </conditionalFormatting>
  <conditionalFormatting sqref="M64">
    <cfRule type="expression" priority="307" dxfId="0" stopIfTrue="1">
      <formula>AND(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M64&lt;&gt;"",M64&lt;&gt;"not_applicable")</formula>
    </cfRule>
    <cfRule type="expression" priority="308" dxfId="1">
      <formula>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formula>
    </cfRule>
  </conditionalFormatting>
  <conditionalFormatting sqref="M65">
    <cfRule type="expression" priority="309" dxfId="0" stopIfTrue="1">
      <formula>AND(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M65&lt;&gt;"",M65&lt;&gt;"not_applicable")</formula>
    </cfRule>
    <cfRule type="expression" priority="310" dxfId="1">
      <formula>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formula>
    </cfRule>
  </conditionalFormatting>
  <conditionalFormatting sqref="M66">
    <cfRule type="expression" priority="311" dxfId="0" stopIfTrue="1">
      <formula>AND(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M66&lt;&gt;"",M66&lt;&gt;"not_applicable")</formula>
    </cfRule>
    <cfRule type="expression" priority="312" dxfId="1">
      <formula>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formula>
    </cfRule>
  </conditionalFormatting>
  <conditionalFormatting sqref="M67">
    <cfRule type="expression" priority="313" dxfId="0" stopIfTrue="1">
      <formula>AND(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M67&lt;&gt;"",M67&lt;&gt;"not_applicable")</formula>
    </cfRule>
    <cfRule type="expression" priority="314" dxfId="1">
      <formula>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formula>
    </cfRule>
  </conditionalFormatting>
  <conditionalFormatting sqref="M68">
    <cfRule type="expression" priority="315" dxfId="0" stopIfTrue="1">
      <formula>AND(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M68&lt;&gt;"",M68&lt;&gt;"not_applicable")</formula>
    </cfRule>
    <cfRule type="expression" priority="316" dxfId="1">
      <formula>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formula>
    </cfRule>
  </conditionalFormatting>
  <conditionalFormatting sqref="M69">
    <cfRule type="expression" priority="317" dxfId="0" stopIfTrue="1">
      <formula>AND(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M69&lt;&gt;"",M69&lt;&gt;"not_applicable")</formula>
    </cfRule>
    <cfRule type="expression" priority="318" dxfId="1">
      <formula>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formula>
    </cfRule>
  </conditionalFormatting>
  <conditionalFormatting sqref="M70">
    <cfRule type="expression" priority="319" dxfId="0" stopIfTrue="1">
      <formula>AND(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M70&lt;&gt;"",M70&lt;&gt;"not_applicable")</formula>
    </cfRule>
    <cfRule type="expression" priority="320" dxfId="1">
      <formula>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formula>
    </cfRule>
  </conditionalFormatting>
  <conditionalFormatting sqref="M71">
    <cfRule type="expression" priority="321" dxfId="0" stopIfTrue="1">
      <formula>AND(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M71&lt;&gt;"",M71&lt;&gt;"not_applicable")</formula>
    </cfRule>
    <cfRule type="expression" priority="322" dxfId="1">
      <formula>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formula>
    </cfRule>
  </conditionalFormatting>
  <conditionalFormatting sqref="M72">
    <cfRule type="expression" priority="323" dxfId="0" stopIfTrue="1">
      <formula>AND(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M72&lt;&gt;"",M72&lt;&gt;"not_applicable")</formula>
    </cfRule>
    <cfRule type="expression" priority="324" dxfId="1">
      <formula>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formula>
    </cfRule>
  </conditionalFormatting>
  <conditionalFormatting sqref="M73">
    <cfRule type="expression" priority="325" dxfId="0" stopIfTrue="1">
      <formula>AND(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M73&lt;&gt;"",M73&lt;&gt;"not_applicable")</formula>
    </cfRule>
    <cfRule type="expression" priority="326" dxfId="1">
      <formula>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formula>
    </cfRule>
  </conditionalFormatting>
  <conditionalFormatting sqref="M74">
    <cfRule type="expression" priority="327" dxfId="0" stopIfTrue="1">
      <formula>AND(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M74&lt;&gt;"",M74&lt;&gt;"not_applicable")</formula>
    </cfRule>
    <cfRule type="expression" priority="328" dxfId="1">
      <formula>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formula>
    </cfRule>
  </conditionalFormatting>
  <conditionalFormatting sqref="M75">
    <cfRule type="expression" priority="329" dxfId="0" stopIfTrue="1">
      <formula>AND(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M75&lt;&gt;"",M75&lt;&gt;"not_applicable")</formula>
    </cfRule>
    <cfRule type="expression" priority="330" dxfId="1">
      <formula>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formula>
    </cfRule>
  </conditionalFormatting>
  <conditionalFormatting sqref="M76">
    <cfRule type="expression" priority="331" dxfId="0" stopIfTrue="1">
      <formula>AND(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M76&lt;&gt;"",M76&lt;&gt;"not_applicable")</formula>
    </cfRule>
    <cfRule type="expression" priority="332" dxfId="1">
      <formula>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formula>
    </cfRule>
  </conditionalFormatting>
  <conditionalFormatting sqref="M77">
    <cfRule type="expression" priority="333" dxfId="0" stopIfTrue="1">
      <formula>AND(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M77&lt;&gt;"",M77&lt;&gt;"not_applicable")</formula>
    </cfRule>
    <cfRule type="expression" priority="334" dxfId="1">
      <formula>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formula>
    </cfRule>
  </conditionalFormatting>
  <conditionalFormatting sqref="M78">
    <cfRule type="expression" priority="335" dxfId="0" stopIfTrue="1">
      <formula>AND(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M78&lt;&gt;"",M78&lt;&gt;"not_applicable")</formula>
    </cfRule>
    <cfRule type="expression" priority="336" dxfId="1">
      <formula>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formula>
    </cfRule>
  </conditionalFormatting>
  <conditionalFormatting sqref="M79">
    <cfRule type="expression" priority="337" dxfId="0" stopIfTrue="1">
      <formula>AND(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M79&lt;&gt;"",M79&lt;&gt;"not_applicable")</formula>
    </cfRule>
    <cfRule type="expression" priority="338" dxfId="1">
      <formula>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formula>
    </cfRule>
  </conditionalFormatting>
  <conditionalFormatting sqref="M80">
    <cfRule type="expression" priority="339" dxfId="0" stopIfTrue="1">
      <formula>AND(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M80&lt;&gt;"",M80&lt;&gt;"not_applicable")</formula>
    </cfRule>
    <cfRule type="expression" priority="340" dxfId="1">
      <formula>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formula>
    </cfRule>
  </conditionalFormatting>
  <conditionalFormatting sqref="M81">
    <cfRule type="expression" priority="341" dxfId="0" stopIfTrue="1">
      <formula>AND(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M81&lt;&gt;"",M81&lt;&gt;"not_applicable")</formula>
    </cfRule>
    <cfRule type="expression" priority="342" dxfId="1">
      <formula>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formula>
    </cfRule>
  </conditionalFormatting>
  <conditionalFormatting sqref="M82">
    <cfRule type="expression" priority="343" dxfId="0" stopIfTrue="1">
      <formula>AND(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M82&lt;&gt;"",M82&lt;&gt;"not_applicable")</formula>
    </cfRule>
    <cfRule type="expression" priority="344" dxfId="1">
      <formula>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formula>
    </cfRule>
  </conditionalFormatting>
  <conditionalFormatting sqref="M83">
    <cfRule type="expression" priority="345" dxfId="0" stopIfTrue="1">
      <formula>AND(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M83&lt;&gt;"",M83&lt;&gt;"not_applicable")</formula>
    </cfRule>
    <cfRule type="expression" priority="346" dxfId="1">
      <formula>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formula>
    </cfRule>
  </conditionalFormatting>
  <conditionalFormatting sqref="M84">
    <cfRule type="expression" priority="347" dxfId="0" stopIfTrue="1">
      <formula>AND(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M84&lt;&gt;"",M84&lt;&gt;"not_applicable")</formula>
    </cfRule>
    <cfRule type="expression" priority="348" dxfId="1">
      <formula>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formula>
    </cfRule>
  </conditionalFormatting>
  <conditionalFormatting sqref="M85">
    <cfRule type="expression" priority="349" dxfId="0" stopIfTrue="1">
      <formula>AND(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M85&lt;&gt;"",M85&lt;&gt;"not_applicable")</formula>
    </cfRule>
    <cfRule type="expression" priority="350" dxfId="1">
      <formula>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formula>
    </cfRule>
  </conditionalFormatting>
  <conditionalFormatting sqref="M86">
    <cfRule type="expression" priority="351" dxfId="0" stopIfTrue="1">
      <formula>AND(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M86&lt;&gt;"",M86&lt;&gt;"not_applicable")</formula>
    </cfRule>
    <cfRule type="expression" priority="352" dxfId="1">
      <formula>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formula>
    </cfRule>
  </conditionalFormatting>
  <conditionalFormatting sqref="M87">
    <cfRule type="expression" priority="353" dxfId="0" stopIfTrue="1">
      <formula>AND(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M87&lt;&gt;"",M87&lt;&gt;"not_applicable")</formula>
    </cfRule>
    <cfRule type="expression" priority="354" dxfId="1">
      <formula>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formula>
    </cfRule>
  </conditionalFormatting>
  <conditionalFormatting sqref="M88">
    <cfRule type="expression" priority="355" dxfId="0" stopIfTrue="1">
      <formula>AND(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M88&lt;&gt;"",M88&lt;&gt;"not_applicable")</formula>
    </cfRule>
    <cfRule type="expression" priority="356" dxfId="1">
      <formula>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formula>
    </cfRule>
  </conditionalFormatting>
  <conditionalFormatting sqref="M89">
    <cfRule type="expression" priority="357" dxfId="0" stopIfTrue="1">
      <formula>AND(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M89&lt;&gt;"",M89&lt;&gt;"not_applicable")</formula>
    </cfRule>
    <cfRule type="expression" priority="358" dxfId="1">
      <formula>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formula>
    </cfRule>
  </conditionalFormatting>
  <conditionalFormatting sqref="M90">
    <cfRule type="expression" priority="359" dxfId="0" stopIfTrue="1">
      <formula>AND(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M90&lt;&gt;"",M90&lt;&gt;"not_applicable")</formula>
    </cfRule>
    <cfRule type="expression" priority="360" dxfId="1">
      <formula>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formula>
    </cfRule>
  </conditionalFormatting>
  <conditionalFormatting sqref="M91">
    <cfRule type="expression" priority="361" dxfId="0" stopIfTrue="1">
      <formula>AND(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M91&lt;&gt;"",M91&lt;&gt;"not_applicable")</formula>
    </cfRule>
    <cfRule type="expression" priority="362" dxfId="1">
      <formula>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formula>
    </cfRule>
  </conditionalFormatting>
  <conditionalFormatting sqref="M92">
    <cfRule type="expression" priority="363" dxfId="0" stopIfTrue="1">
      <formula>AND(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M92&lt;&gt;"",M92&lt;&gt;"not_applicable")</formula>
    </cfRule>
    <cfRule type="expression" priority="364" dxfId="1">
      <formula>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formula>
    </cfRule>
  </conditionalFormatting>
  <conditionalFormatting sqref="N2">
    <cfRule type="expression" priority="365" dxfId="0" stopIfTrue="1">
      <formula>AND(OR(AND(IF($J2="",INDEX(primary_jama_2024_0318_disposition,MATCH($A2,primary_jama_2024_0318_key,0)),$J2)&lt;&gt;"",IF($J2="",INDEX(primary_jama_2024_0318_disposition,MATCH($A2,primary_jama_2024_0318_key,0)),$J2)&lt;&gt;"retain"),NOT(OR(IF($K2="",INDEX(primary_jama_2024_0318_domain,MATCH($A2,primary_jama_2024_0318_key,0)),$K2)="statistical_results"))),N2&lt;&gt;"",N2&lt;&gt;"not_applicable")</formula>
    </cfRule>
    <cfRule type="expression" priority="366" dxfId="1">
      <formula>OR(AND(IF($J2="",INDEX(primary_jama_2024_0318_disposition,MATCH($A2,primary_jama_2024_0318_key,0)),$J2)&lt;&gt;"",IF($J2="",INDEX(primary_jama_2024_0318_disposition,MATCH($A2,primary_jama_2024_0318_key,0)),$J2)&lt;&gt;"retain"),NOT(OR(IF($K2="",INDEX(primary_jama_2024_0318_domain,MATCH($A2,primary_jama_2024_0318_key,0)),$K2)="statistical_results")))</formula>
    </cfRule>
  </conditionalFormatting>
  <conditionalFormatting sqref="N3">
    <cfRule type="expression" priority="367" dxfId="0" stopIfTrue="1">
      <formula>AND(OR(AND(IF($J3="",INDEX(primary_jama_2024_0318_disposition,MATCH($A3,primary_jama_2024_0318_key,0)),$J3)&lt;&gt;"",IF($J3="",INDEX(primary_jama_2024_0318_disposition,MATCH($A3,primary_jama_2024_0318_key,0)),$J3)&lt;&gt;"retain"),NOT(OR(IF($K3="",INDEX(primary_jama_2024_0318_domain,MATCH($A3,primary_jama_2024_0318_key,0)),$K3)="statistical_results"))),N3&lt;&gt;"",N3&lt;&gt;"not_applicable")</formula>
    </cfRule>
    <cfRule type="expression" priority="368" dxfId="1">
      <formula>OR(AND(IF($J3="",INDEX(primary_jama_2024_0318_disposition,MATCH($A3,primary_jama_2024_0318_key,0)),$J3)&lt;&gt;"",IF($J3="",INDEX(primary_jama_2024_0318_disposition,MATCH($A3,primary_jama_2024_0318_key,0)),$J3)&lt;&gt;"retain"),NOT(OR(IF($K3="",INDEX(primary_jama_2024_0318_domain,MATCH($A3,primary_jama_2024_0318_key,0)),$K3)="statistical_results")))</formula>
    </cfRule>
  </conditionalFormatting>
  <conditionalFormatting sqref="N4">
    <cfRule type="expression" priority="369" dxfId="0" stopIfTrue="1">
      <formula>AND(OR(AND(IF($J4="",INDEX(primary_jama_2024_0318_disposition,MATCH($A4,primary_jama_2024_0318_key,0)),$J4)&lt;&gt;"",IF($J4="",INDEX(primary_jama_2024_0318_disposition,MATCH($A4,primary_jama_2024_0318_key,0)),$J4)&lt;&gt;"retain"),NOT(OR(IF($K4="",INDEX(primary_jama_2024_0318_domain,MATCH($A4,primary_jama_2024_0318_key,0)),$K4)="statistical_results"))),N4&lt;&gt;"",N4&lt;&gt;"not_applicable")</formula>
    </cfRule>
    <cfRule type="expression" priority="370" dxfId="1">
      <formula>OR(AND(IF($J4="",INDEX(primary_jama_2024_0318_disposition,MATCH($A4,primary_jama_2024_0318_key,0)),$J4)&lt;&gt;"",IF($J4="",INDEX(primary_jama_2024_0318_disposition,MATCH($A4,primary_jama_2024_0318_key,0)),$J4)&lt;&gt;"retain"),NOT(OR(IF($K4="",INDEX(primary_jama_2024_0318_domain,MATCH($A4,primary_jama_2024_0318_key,0)),$K4)="statistical_results")))</formula>
    </cfRule>
  </conditionalFormatting>
  <conditionalFormatting sqref="N5">
    <cfRule type="expression" priority="371" dxfId="0" stopIfTrue="1">
      <formula>AND(OR(AND(IF($J5="",INDEX(primary_jama_2024_0318_disposition,MATCH($A5,primary_jama_2024_0318_key,0)),$J5)&lt;&gt;"",IF($J5="",INDEX(primary_jama_2024_0318_disposition,MATCH($A5,primary_jama_2024_0318_key,0)),$J5)&lt;&gt;"retain"),NOT(OR(IF($K5="",INDEX(primary_jama_2024_0318_domain,MATCH($A5,primary_jama_2024_0318_key,0)),$K5)="statistical_results"))),N5&lt;&gt;"",N5&lt;&gt;"not_applicable")</formula>
    </cfRule>
    <cfRule type="expression" priority="372" dxfId="1">
      <formula>OR(AND(IF($J5="",INDEX(primary_jama_2024_0318_disposition,MATCH($A5,primary_jama_2024_0318_key,0)),$J5)&lt;&gt;"",IF($J5="",INDEX(primary_jama_2024_0318_disposition,MATCH($A5,primary_jama_2024_0318_key,0)),$J5)&lt;&gt;"retain"),NOT(OR(IF($K5="",INDEX(primary_jama_2024_0318_domain,MATCH($A5,primary_jama_2024_0318_key,0)),$K5)="statistical_results")))</formula>
    </cfRule>
  </conditionalFormatting>
  <conditionalFormatting sqref="N6">
    <cfRule type="expression" priority="373" dxfId="0" stopIfTrue="1">
      <formula>AND(OR(AND(IF($J6="",INDEX(primary_jama_2024_0318_disposition,MATCH($A6,primary_jama_2024_0318_key,0)),$J6)&lt;&gt;"",IF($J6="",INDEX(primary_jama_2024_0318_disposition,MATCH($A6,primary_jama_2024_0318_key,0)),$J6)&lt;&gt;"retain"),NOT(OR(IF($K6="",INDEX(primary_jama_2024_0318_domain,MATCH($A6,primary_jama_2024_0318_key,0)),$K6)="statistical_results"))),N6&lt;&gt;"",N6&lt;&gt;"not_applicable")</formula>
    </cfRule>
    <cfRule type="expression" priority="374" dxfId="1">
      <formula>OR(AND(IF($J6="",INDEX(primary_jama_2024_0318_disposition,MATCH($A6,primary_jama_2024_0318_key,0)),$J6)&lt;&gt;"",IF($J6="",INDEX(primary_jama_2024_0318_disposition,MATCH($A6,primary_jama_2024_0318_key,0)),$J6)&lt;&gt;"retain"),NOT(OR(IF($K6="",INDEX(primary_jama_2024_0318_domain,MATCH($A6,primary_jama_2024_0318_key,0)),$K6)="statistical_results")))</formula>
    </cfRule>
  </conditionalFormatting>
  <conditionalFormatting sqref="N7">
    <cfRule type="expression" priority="375" dxfId="0" stopIfTrue="1">
      <formula>AND(OR(AND(IF($J7="",INDEX(primary_jama_2024_0318_disposition,MATCH($A7,primary_jama_2024_0318_key,0)),$J7)&lt;&gt;"",IF($J7="",INDEX(primary_jama_2024_0318_disposition,MATCH($A7,primary_jama_2024_0318_key,0)),$J7)&lt;&gt;"retain"),NOT(OR(IF($K7="",INDEX(primary_jama_2024_0318_domain,MATCH($A7,primary_jama_2024_0318_key,0)),$K7)="statistical_results"))),N7&lt;&gt;"",N7&lt;&gt;"not_applicable")</formula>
    </cfRule>
    <cfRule type="expression" priority="376" dxfId="1">
      <formula>OR(AND(IF($J7="",INDEX(primary_jama_2024_0318_disposition,MATCH($A7,primary_jama_2024_0318_key,0)),$J7)&lt;&gt;"",IF($J7="",INDEX(primary_jama_2024_0318_disposition,MATCH($A7,primary_jama_2024_0318_key,0)),$J7)&lt;&gt;"retain"),NOT(OR(IF($K7="",INDEX(primary_jama_2024_0318_domain,MATCH($A7,primary_jama_2024_0318_key,0)),$K7)="statistical_results")))</formula>
    </cfRule>
  </conditionalFormatting>
  <conditionalFormatting sqref="N8">
    <cfRule type="expression" priority="377" dxfId="0" stopIfTrue="1">
      <formula>AND(OR(AND(IF($J8="",INDEX(primary_jama_2024_0572_disposition,MATCH($A8,primary_jama_2024_0572_key,0)),$J8)&lt;&gt;"",IF($J8="",INDEX(primary_jama_2024_0572_disposition,MATCH($A8,primary_jama_2024_0572_key,0)),$J8)&lt;&gt;"retain"),NOT(OR(IF($K8="",INDEX(primary_jama_2024_0572_domain,MATCH($A8,primary_jama_2024_0572_key,0)),$K8)="statistical_results"))),N8&lt;&gt;"",N8&lt;&gt;"not_applicable")</formula>
    </cfRule>
    <cfRule type="expression" priority="378" dxfId="1">
      <formula>OR(AND(IF($J8="",INDEX(primary_jama_2024_0572_disposition,MATCH($A8,primary_jama_2024_0572_key,0)),$J8)&lt;&gt;"",IF($J8="",INDEX(primary_jama_2024_0572_disposition,MATCH($A8,primary_jama_2024_0572_key,0)),$J8)&lt;&gt;"retain"),NOT(OR(IF($K8="",INDEX(primary_jama_2024_0572_domain,MATCH($A8,primary_jama_2024_0572_key,0)),$K8)="statistical_results")))</formula>
    </cfRule>
  </conditionalFormatting>
  <conditionalFormatting sqref="N9">
    <cfRule type="expression" priority="379" dxfId="0" stopIfTrue="1">
      <formula>AND(OR(AND(IF($J9="",INDEX(primary_jama_2024_0572_disposition,MATCH($A9,primary_jama_2024_0572_key,0)),$J9)&lt;&gt;"",IF($J9="",INDEX(primary_jama_2024_0572_disposition,MATCH($A9,primary_jama_2024_0572_key,0)),$J9)&lt;&gt;"retain"),NOT(OR(IF($K9="",INDEX(primary_jama_2024_0572_domain,MATCH($A9,primary_jama_2024_0572_key,0)),$K9)="statistical_results"))),N9&lt;&gt;"",N9&lt;&gt;"not_applicable")</formula>
    </cfRule>
    <cfRule type="expression" priority="380" dxfId="1">
      <formula>OR(AND(IF($J9="",INDEX(primary_jama_2024_0572_disposition,MATCH($A9,primary_jama_2024_0572_key,0)),$J9)&lt;&gt;"",IF($J9="",INDEX(primary_jama_2024_0572_disposition,MATCH($A9,primary_jama_2024_0572_key,0)),$J9)&lt;&gt;"retain"),NOT(OR(IF($K9="",INDEX(primary_jama_2024_0572_domain,MATCH($A9,primary_jama_2024_0572_key,0)),$K9)="statistical_results")))</formula>
    </cfRule>
  </conditionalFormatting>
  <conditionalFormatting sqref="N10">
    <cfRule type="expression" priority="381" dxfId="0" stopIfTrue="1">
      <formula>AND(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N10&lt;&gt;"",N10&lt;&gt;"not_applicable")</formula>
    </cfRule>
    <cfRule type="expression" priority="382" dxfId="1">
      <formula>OR(AND(IF($J10="",INDEX(primary_jama_2024_11057_disposition,MATCH($A10,primary_jama_2024_11057_key,0)),$J10)&lt;&gt;"",IF($J10="",INDEX(primary_jama_2024_11057_disposition,MATCH($A10,primary_jama_2024_11057_key,0)),$J10)&lt;&gt;"retain"),NOT(OR(IF($K10="",INDEX(primary_jama_2024_11057_domain,MATCH($A10,primary_jama_2024_11057_key,0)),$K10)="statistical_results")))</formula>
    </cfRule>
  </conditionalFormatting>
  <conditionalFormatting sqref="N11">
    <cfRule type="expression" priority="383" dxfId="0" stopIfTrue="1">
      <formula>AND(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N11&lt;&gt;"",N11&lt;&gt;"not_applicable")</formula>
    </cfRule>
    <cfRule type="expression" priority="384" dxfId="1">
      <formula>OR(AND(IF($J11="",INDEX(primary_jama_2024_11057_disposition,MATCH($A11,primary_jama_2024_11057_key,0)),$J11)&lt;&gt;"",IF($J11="",INDEX(primary_jama_2024_11057_disposition,MATCH($A11,primary_jama_2024_11057_key,0)),$J11)&lt;&gt;"retain"),NOT(OR(IF($K11="",INDEX(primary_jama_2024_11057_domain,MATCH($A11,primary_jama_2024_11057_key,0)),$K11)="statistical_results")))</formula>
    </cfRule>
  </conditionalFormatting>
  <conditionalFormatting sqref="N12">
    <cfRule type="expression" priority="385" dxfId="0" stopIfTrue="1">
      <formula>AND(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N12&lt;&gt;"",N12&lt;&gt;"not_applicable")</formula>
    </cfRule>
    <cfRule type="expression" priority="386" dxfId="1">
      <formula>OR(AND(IF($J12="",INDEX(primary_jama_2024_11057_disposition,MATCH($A12,primary_jama_2024_11057_key,0)),$J12)&lt;&gt;"",IF($J12="",INDEX(primary_jama_2024_11057_disposition,MATCH($A12,primary_jama_2024_11057_key,0)),$J12)&lt;&gt;"retain"),NOT(OR(IF($K12="",INDEX(primary_jama_2024_11057_domain,MATCH($A12,primary_jama_2024_11057_key,0)),$K12)="statistical_results")))</formula>
    </cfRule>
  </conditionalFormatting>
  <conditionalFormatting sqref="N13">
    <cfRule type="expression" priority="387" dxfId="0" stopIfTrue="1">
      <formula>AND(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N13&lt;&gt;"",N13&lt;&gt;"not_applicable")</formula>
    </cfRule>
    <cfRule type="expression" priority="388" dxfId="1">
      <formula>OR(AND(IF($J13="",INDEX(primary_jama_2024_12829_disposition,MATCH($A13,primary_jama_2024_12829_key,0)),$J13)&lt;&gt;"",IF($J13="",INDEX(primary_jama_2024_12829_disposition,MATCH($A13,primary_jama_2024_12829_key,0)),$J13)&lt;&gt;"retain"),NOT(OR(IF($K13="",INDEX(primary_jama_2024_12829_domain,MATCH($A13,primary_jama_2024_12829_key,0)),$K13)="statistical_results")))</formula>
    </cfRule>
  </conditionalFormatting>
  <conditionalFormatting sqref="N14">
    <cfRule type="expression" priority="389" dxfId="0" stopIfTrue="1">
      <formula>AND(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N14&lt;&gt;"",N14&lt;&gt;"not_applicable")</formula>
    </cfRule>
    <cfRule type="expression" priority="390" dxfId="1">
      <formula>OR(AND(IF($J14="",INDEX(primary_jama_2024_12829_disposition,MATCH($A14,primary_jama_2024_12829_key,0)),$J14)&lt;&gt;"",IF($J14="",INDEX(primary_jama_2024_12829_disposition,MATCH($A14,primary_jama_2024_12829_key,0)),$J14)&lt;&gt;"retain"),NOT(OR(IF($K14="",INDEX(primary_jama_2024_12829_domain,MATCH($A14,primary_jama_2024_12829_key,0)),$K14)="statistical_results")))</formula>
    </cfRule>
  </conditionalFormatting>
  <conditionalFormatting sqref="N15">
    <cfRule type="expression" priority="391" dxfId="0" stopIfTrue="1">
      <formula>AND(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N15&lt;&gt;"",N15&lt;&gt;"not_applicable")</formula>
    </cfRule>
    <cfRule type="expression" priority="392" dxfId="1">
      <formula>OR(AND(IF($J15="",INDEX(primary_jama_2024_12829_disposition,MATCH($A15,primary_jama_2024_12829_key,0)),$J15)&lt;&gt;"",IF($J15="",INDEX(primary_jama_2024_12829_disposition,MATCH($A15,primary_jama_2024_12829_key,0)),$J15)&lt;&gt;"retain"),NOT(OR(IF($K15="",INDEX(primary_jama_2024_12829_domain,MATCH($A15,primary_jama_2024_12829_key,0)),$K15)="statistical_results")))</formula>
    </cfRule>
  </conditionalFormatting>
  <conditionalFormatting sqref="N16">
    <cfRule type="expression" priority="393" dxfId="0" stopIfTrue="1">
      <formula>AND(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N16&lt;&gt;"",N16&lt;&gt;"not_applicable")</formula>
    </cfRule>
    <cfRule type="expression" priority="394" dxfId="1">
      <formula>OR(AND(IF($J16="",INDEX(primary_jama_2024_12829_disposition,MATCH($A16,primary_jama_2024_12829_key,0)),$J16)&lt;&gt;"",IF($J16="",INDEX(primary_jama_2024_12829_disposition,MATCH($A16,primary_jama_2024_12829_key,0)),$J16)&lt;&gt;"retain"),NOT(OR(IF($K16="",INDEX(primary_jama_2024_12829_domain,MATCH($A16,primary_jama_2024_12829_key,0)),$K16)="statistical_results")))</formula>
    </cfRule>
  </conditionalFormatting>
  <conditionalFormatting sqref="N17">
    <cfRule type="expression" priority="395" dxfId="0" stopIfTrue="1">
      <formula>AND(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N17&lt;&gt;"",N17&lt;&gt;"not_applicable")</formula>
    </cfRule>
    <cfRule type="expression" priority="396" dxfId="1">
      <formula>OR(AND(IF($J17="",INDEX(primary_jama_2024_12829_disposition,MATCH($A17,primary_jama_2024_12829_key,0)),$J17)&lt;&gt;"",IF($J17="",INDEX(primary_jama_2024_12829_disposition,MATCH($A17,primary_jama_2024_12829_key,0)),$J17)&lt;&gt;"retain"),NOT(OR(IF($K17="",INDEX(primary_jama_2024_12829_domain,MATCH($A17,primary_jama_2024_12829_key,0)),$K17)="statistical_results")))</formula>
    </cfRule>
  </conditionalFormatting>
  <conditionalFormatting sqref="N18">
    <cfRule type="expression" priority="397" dxfId="0" stopIfTrue="1">
      <formula>AND(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N18&lt;&gt;"",N18&lt;&gt;"not_applicable")</formula>
    </cfRule>
    <cfRule type="expression" priority="398" dxfId="1">
      <formula>OR(AND(IF($J18="",INDEX(primary_jama_2024_12829_disposition,MATCH($A18,primary_jama_2024_12829_key,0)),$J18)&lt;&gt;"",IF($J18="",INDEX(primary_jama_2024_12829_disposition,MATCH($A18,primary_jama_2024_12829_key,0)),$J18)&lt;&gt;"retain"),NOT(OR(IF($K18="",INDEX(primary_jama_2024_12829_domain,MATCH($A18,primary_jama_2024_12829_key,0)),$K18)="statistical_results")))</formula>
    </cfRule>
  </conditionalFormatting>
  <conditionalFormatting sqref="N19">
    <cfRule type="expression" priority="399" dxfId="0" stopIfTrue="1">
      <formula>AND(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N19&lt;&gt;"",N19&lt;&gt;"not_applicable")</formula>
    </cfRule>
    <cfRule type="expression" priority="400" dxfId="1">
      <formula>OR(AND(IF($J19="",INDEX(primary_jama_2024_12829_disposition,MATCH($A19,primary_jama_2024_12829_key,0)),$J19)&lt;&gt;"",IF($J19="",INDEX(primary_jama_2024_12829_disposition,MATCH($A19,primary_jama_2024_12829_key,0)),$J19)&lt;&gt;"retain"),NOT(OR(IF($K19="",INDEX(primary_jama_2024_12829_domain,MATCH($A19,primary_jama_2024_12829_key,0)),$K19)="statistical_results")))</formula>
    </cfRule>
  </conditionalFormatting>
  <conditionalFormatting sqref="N20">
    <cfRule type="expression" priority="401" dxfId="0" stopIfTrue="1">
      <formula>AND(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N20&lt;&gt;"",N20&lt;&gt;"not_applicable")</formula>
    </cfRule>
    <cfRule type="expression" priority="402" dxfId="1">
      <formula>OR(AND(IF($J20="",INDEX(primary_jama_2024_12829_disposition,MATCH($A20,primary_jama_2024_12829_key,0)),$J20)&lt;&gt;"",IF($J20="",INDEX(primary_jama_2024_12829_disposition,MATCH($A20,primary_jama_2024_12829_key,0)),$J20)&lt;&gt;"retain"),NOT(OR(IF($K20="",INDEX(primary_jama_2024_12829_domain,MATCH($A20,primary_jama_2024_12829_key,0)),$K20)="statistical_results")))</formula>
    </cfRule>
  </conditionalFormatting>
  <conditionalFormatting sqref="N21">
    <cfRule type="expression" priority="403" dxfId="0" stopIfTrue="1">
      <formula>AND(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N21&lt;&gt;"",N21&lt;&gt;"not_applicable")</formula>
    </cfRule>
    <cfRule type="expression" priority="404" dxfId="1">
      <formula>OR(AND(IF($J21="",INDEX(primary_jama_2024_12829_disposition,MATCH($A21,primary_jama_2024_12829_key,0)),$J21)&lt;&gt;"",IF($J21="",INDEX(primary_jama_2024_12829_disposition,MATCH($A21,primary_jama_2024_12829_key,0)),$J21)&lt;&gt;"retain"),NOT(OR(IF($K21="",INDEX(primary_jama_2024_12829_domain,MATCH($A21,primary_jama_2024_12829_key,0)),$K21)="statistical_results")))</formula>
    </cfRule>
  </conditionalFormatting>
  <conditionalFormatting sqref="N22">
    <cfRule type="expression" priority="405" dxfId="0" stopIfTrue="1">
      <formula>AND(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N22&lt;&gt;"",N22&lt;&gt;"not_applicable")</formula>
    </cfRule>
    <cfRule type="expression" priority="406" dxfId="1">
      <formula>OR(AND(IF($J22="",INDEX(primary_jama_2024_12829_disposition,MATCH($A22,primary_jama_2024_12829_key,0)),$J22)&lt;&gt;"",IF($J22="",INDEX(primary_jama_2024_12829_disposition,MATCH($A22,primary_jama_2024_12829_key,0)),$J22)&lt;&gt;"retain"),NOT(OR(IF($K22="",INDEX(primary_jama_2024_12829_domain,MATCH($A22,primary_jama_2024_12829_key,0)),$K22)="statistical_results")))</formula>
    </cfRule>
  </conditionalFormatting>
  <conditionalFormatting sqref="N23">
    <cfRule type="expression" priority="407" dxfId="0" stopIfTrue="1">
      <formula>AND(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N23&lt;&gt;"",N23&lt;&gt;"not_applicable")</formula>
    </cfRule>
    <cfRule type="expression" priority="408" dxfId="1">
      <formula>OR(AND(IF($J23="",INDEX(primary_jama_2024_12829_disposition,MATCH($A23,primary_jama_2024_12829_key,0)),$J23)&lt;&gt;"",IF($J23="",INDEX(primary_jama_2024_12829_disposition,MATCH($A23,primary_jama_2024_12829_key,0)),$J23)&lt;&gt;"retain"),NOT(OR(IF($K23="",INDEX(primary_jama_2024_12829_domain,MATCH($A23,primary_jama_2024_12829_key,0)),$K23)="statistical_results")))</formula>
    </cfRule>
  </conditionalFormatting>
  <conditionalFormatting sqref="N24">
    <cfRule type="expression" priority="409" dxfId="0" stopIfTrue="1">
      <formula>AND(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N24&lt;&gt;"",N24&lt;&gt;"not_applicable")</formula>
    </cfRule>
    <cfRule type="expression" priority="410" dxfId="1">
      <formula>OR(AND(IF($J24="",INDEX(primary_jama_2024_12829_disposition,MATCH($A24,primary_jama_2024_12829_key,0)),$J24)&lt;&gt;"",IF($J24="",INDEX(primary_jama_2024_12829_disposition,MATCH($A24,primary_jama_2024_12829_key,0)),$J24)&lt;&gt;"retain"),NOT(OR(IF($K24="",INDEX(primary_jama_2024_12829_domain,MATCH($A24,primary_jama_2024_12829_key,0)),$K24)="statistical_results")))</formula>
    </cfRule>
  </conditionalFormatting>
  <conditionalFormatting sqref="N25">
    <cfRule type="expression" priority="411" dxfId="0" stopIfTrue="1">
      <formula>AND(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N25&lt;&gt;"",N25&lt;&gt;"not_applicable")</formula>
    </cfRule>
    <cfRule type="expression" priority="412" dxfId="1">
      <formula>OR(AND(IF($J25="",INDEX(primary_jama_2024_12829_disposition,MATCH($A25,primary_jama_2024_12829_key,0)),$J25)&lt;&gt;"",IF($J25="",INDEX(primary_jama_2024_12829_disposition,MATCH($A25,primary_jama_2024_12829_key,0)),$J25)&lt;&gt;"retain"),NOT(OR(IF($K25="",INDEX(primary_jama_2024_12829_domain,MATCH($A25,primary_jama_2024_12829_key,0)),$K25)="statistical_results")))</formula>
    </cfRule>
  </conditionalFormatting>
  <conditionalFormatting sqref="N26">
    <cfRule type="expression" priority="413" dxfId="0" stopIfTrue="1">
      <formula>AND(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N26&lt;&gt;"",N26&lt;&gt;"not_applicable")</formula>
    </cfRule>
    <cfRule type="expression" priority="414" dxfId="1">
      <formula>OR(AND(IF($J26="",INDEX(primary_jama_2024_12829_disposition,MATCH($A26,primary_jama_2024_12829_key,0)),$J26)&lt;&gt;"",IF($J26="",INDEX(primary_jama_2024_12829_disposition,MATCH($A26,primary_jama_2024_12829_key,0)),$J26)&lt;&gt;"retain"),NOT(OR(IF($K26="",INDEX(primary_jama_2024_12829_domain,MATCH($A26,primary_jama_2024_12829_key,0)),$K26)="statistical_results")))</formula>
    </cfRule>
  </conditionalFormatting>
  <conditionalFormatting sqref="N27">
    <cfRule type="expression" priority="415" dxfId="0" stopIfTrue="1">
      <formula>AND(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N27&lt;&gt;"",N27&lt;&gt;"not_applicable")</formula>
    </cfRule>
    <cfRule type="expression" priority="416" dxfId="1">
      <formula>OR(AND(IF($J27="",INDEX(primary_jama_2024_12829_disposition,MATCH($A27,primary_jama_2024_12829_key,0)),$J27)&lt;&gt;"",IF($J27="",INDEX(primary_jama_2024_12829_disposition,MATCH($A27,primary_jama_2024_12829_key,0)),$J27)&lt;&gt;"retain"),NOT(OR(IF($K27="",INDEX(primary_jama_2024_12829_domain,MATCH($A27,primary_jama_2024_12829_key,0)),$K27)="statistical_results")))</formula>
    </cfRule>
  </conditionalFormatting>
  <conditionalFormatting sqref="N28">
    <cfRule type="expression" priority="417" dxfId="0" stopIfTrue="1">
      <formula>AND(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N28&lt;&gt;"",N28&lt;&gt;"not_applicable")</formula>
    </cfRule>
    <cfRule type="expression" priority="418" dxfId="1">
      <formula>OR(AND(IF($J28="",INDEX(primary_jama_2024_12829_disposition,MATCH($A28,primary_jama_2024_12829_key,0)),$J28)&lt;&gt;"",IF($J28="",INDEX(primary_jama_2024_12829_disposition,MATCH($A28,primary_jama_2024_12829_key,0)),$J28)&lt;&gt;"retain"),NOT(OR(IF($K28="",INDEX(primary_jama_2024_12829_domain,MATCH($A28,primary_jama_2024_12829_key,0)),$K28)="statistical_results")))</formula>
    </cfRule>
  </conditionalFormatting>
  <conditionalFormatting sqref="N29">
    <cfRule type="expression" priority="419" dxfId="0" stopIfTrue="1">
      <formula>AND(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N29&lt;&gt;"",N29&lt;&gt;"not_applicable")</formula>
    </cfRule>
    <cfRule type="expression" priority="420" dxfId="1">
      <formula>OR(AND(IF($J29="",INDEX(primary_jama_2024_12829_disposition,MATCH($A29,primary_jama_2024_12829_key,0)),$J29)&lt;&gt;"",IF($J29="",INDEX(primary_jama_2024_12829_disposition,MATCH($A29,primary_jama_2024_12829_key,0)),$J29)&lt;&gt;"retain"),NOT(OR(IF($K29="",INDEX(primary_jama_2024_12829_domain,MATCH($A29,primary_jama_2024_12829_key,0)),$K29)="statistical_results")))</formula>
    </cfRule>
  </conditionalFormatting>
  <conditionalFormatting sqref="N30">
    <cfRule type="expression" priority="421" dxfId="0" stopIfTrue="1">
      <formula>AND(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N30&lt;&gt;"",N30&lt;&gt;"not_applicable")</formula>
    </cfRule>
    <cfRule type="expression" priority="422" dxfId="1">
      <formula>OR(AND(IF($J30="",INDEX(primary_jama_2024_19585_disposition,MATCH($A30,primary_jama_2024_19585_key,0)),$J30)&lt;&gt;"",IF($J30="",INDEX(primary_jama_2024_19585_disposition,MATCH($A30,primary_jama_2024_19585_key,0)),$J30)&lt;&gt;"retain"),NOT(OR(IF($K30="",INDEX(primary_jama_2024_19585_domain,MATCH($A30,primary_jama_2024_19585_key,0)),$K30)="statistical_results")))</formula>
    </cfRule>
  </conditionalFormatting>
  <conditionalFormatting sqref="N31">
    <cfRule type="expression" priority="423" dxfId="0" stopIfTrue="1">
      <formula>AND(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N31&lt;&gt;"",N31&lt;&gt;"not_applicable")</formula>
    </cfRule>
    <cfRule type="expression" priority="424" dxfId="1">
      <formula>OR(AND(IF($J31="",INDEX(primary_jama_2024_19585_disposition,MATCH($A31,primary_jama_2024_19585_key,0)),$J31)&lt;&gt;"",IF($J31="",INDEX(primary_jama_2024_19585_disposition,MATCH($A31,primary_jama_2024_19585_key,0)),$J31)&lt;&gt;"retain"),NOT(OR(IF($K31="",INDEX(primary_jama_2024_19585_domain,MATCH($A31,primary_jama_2024_19585_key,0)),$K31)="statistical_results")))</formula>
    </cfRule>
  </conditionalFormatting>
  <conditionalFormatting sqref="N32">
    <cfRule type="expression" priority="425" dxfId="0" stopIfTrue="1">
      <formula>AND(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N32&lt;&gt;"",N32&lt;&gt;"not_applicable")</formula>
    </cfRule>
    <cfRule type="expression" priority="426" dxfId="1">
      <formula>OR(AND(IF($J32="",INDEX(primary_jama_2024_19585_disposition,MATCH($A32,primary_jama_2024_19585_key,0)),$J32)&lt;&gt;"",IF($J32="",INDEX(primary_jama_2024_19585_disposition,MATCH($A32,primary_jama_2024_19585_key,0)),$J32)&lt;&gt;"retain"),NOT(OR(IF($K32="",INDEX(primary_jama_2024_19585_domain,MATCH($A32,primary_jama_2024_19585_key,0)),$K32)="statistical_results")))</formula>
    </cfRule>
  </conditionalFormatting>
  <conditionalFormatting sqref="N33">
    <cfRule type="expression" priority="427" dxfId="0" stopIfTrue="1">
      <formula>AND(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N33&lt;&gt;"",N33&lt;&gt;"not_applicable")</formula>
    </cfRule>
    <cfRule type="expression" priority="428" dxfId="1">
      <formula>OR(AND(IF($J33="",INDEX(primary_jama_2024_2302_disposition,MATCH($A33,primary_jama_2024_2302_key,0)),$J33)&lt;&gt;"",IF($J33="",INDEX(primary_jama_2024_2302_disposition,MATCH($A33,primary_jama_2024_2302_key,0)),$J33)&lt;&gt;"retain"),NOT(OR(IF($K33="",INDEX(primary_jama_2024_2302_domain,MATCH($A33,primary_jama_2024_2302_key,0)),$K33)="statistical_results")))</formula>
    </cfRule>
  </conditionalFormatting>
  <conditionalFormatting sqref="N34">
    <cfRule type="expression" priority="429" dxfId="0" stopIfTrue="1">
      <formula>AND(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N34&lt;&gt;"",N34&lt;&gt;"not_applicable")</formula>
    </cfRule>
    <cfRule type="expression" priority="430" dxfId="1">
      <formula>OR(AND(IF($J34="",INDEX(primary_jama_2024_2302_disposition,MATCH($A34,primary_jama_2024_2302_key,0)),$J34)&lt;&gt;"",IF($J34="",INDEX(primary_jama_2024_2302_disposition,MATCH($A34,primary_jama_2024_2302_key,0)),$J34)&lt;&gt;"retain"),NOT(OR(IF($K34="",INDEX(primary_jama_2024_2302_domain,MATCH($A34,primary_jama_2024_2302_key,0)),$K34)="statistical_results")))</formula>
    </cfRule>
  </conditionalFormatting>
  <conditionalFormatting sqref="N35">
    <cfRule type="expression" priority="431" dxfId="0" stopIfTrue="1">
      <formula>AND(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N35&lt;&gt;"",N35&lt;&gt;"not_applicable")</formula>
    </cfRule>
    <cfRule type="expression" priority="432" dxfId="1">
      <formula>OR(AND(IF($J35="",INDEX(primary_jama_2024_2302_disposition,MATCH($A35,primary_jama_2024_2302_key,0)),$J35)&lt;&gt;"",IF($J35="",INDEX(primary_jama_2024_2302_disposition,MATCH($A35,primary_jama_2024_2302_key,0)),$J35)&lt;&gt;"retain"),NOT(OR(IF($K35="",INDEX(primary_jama_2024_2302_domain,MATCH($A35,primary_jama_2024_2302_key,0)),$K35)="statistical_results")))</formula>
    </cfRule>
  </conditionalFormatting>
  <conditionalFormatting sqref="N36">
    <cfRule type="expression" priority="433" dxfId="0" stopIfTrue="1">
      <formula>AND(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N36&lt;&gt;"",N36&lt;&gt;"not_applicable")</formula>
    </cfRule>
    <cfRule type="expression" priority="434" dxfId="1">
      <formula>OR(AND(IF($J36="",INDEX(primary_jama_2024_2302_disposition,MATCH($A36,primary_jama_2024_2302_key,0)),$J36)&lt;&gt;"",IF($J36="",INDEX(primary_jama_2024_2302_disposition,MATCH($A36,primary_jama_2024_2302_key,0)),$J36)&lt;&gt;"retain"),NOT(OR(IF($K36="",INDEX(primary_jama_2024_2302_domain,MATCH($A36,primary_jama_2024_2302_key,0)),$K36)="statistical_results")))</formula>
    </cfRule>
  </conditionalFormatting>
  <conditionalFormatting sqref="N37">
    <cfRule type="expression" priority="435" dxfId="0" stopIfTrue="1">
      <formula>AND(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N37&lt;&gt;"",N37&lt;&gt;"not_applicable")</formula>
    </cfRule>
    <cfRule type="expression" priority="436" dxfId="1">
      <formula>OR(AND(IF($J37="",INDEX(primary_jama_2024_2302_disposition,MATCH($A37,primary_jama_2024_2302_key,0)),$J37)&lt;&gt;"",IF($J37="",INDEX(primary_jama_2024_2302_disposition,MATCH($A37,primary_jama_2024_2302_key,0)),$J37)&lt;&gt;"retain"),NOT(OR(IF($K37="",INDEX(primary_jama_2024_2302_domain,MATCH($A37,primary_jama_2024_2302_key,0)),$K37)="statistical_results")))</formula>
    </cfRule>
  </conditionalFormatting>
  <conditionalFormatting sqref="N38">
    <cfRule type="expression" priority="437" dxfId="0" stopIfTrue="1">
      <formula>AND(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N38&lt;&gt;"",N38&lt;&gt;"not_applicable")</formula>
    </cfRule>
    <cfRule type="expression" priority="438" dxfId="1">
      <formula>OR(AND(IF($J38="",INDEX(primary_jama_2024_23898_disposition,MATCH($A38,primary_jama_2024_23898_key,0)),$J38)&lt;&gt;"",IF($J38="",INDEX(primary_jama_2024_23898_disposition,MATCH($A38,primary_jama_2024_23898_key,0)),$J38)&lt;&gt;"retain"),NOT(OR(IF($K38="",INDEX(primary_jama_2024_23898_domain,MATCH($A38,primary_jama_2024_23898_key,0)),$K38)="statistical_results")))</formula>
    </cfRule>
  </conditionalFormatting>
  <conditionalFormatting sqref="N39">
    <cfRule type="expression" priority="439" dxfId="0" stopIfTrue="1">
      <formula>AND(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N39&lt;&gt;"",N39&lt;&gt;"not_applicable")</formula>
    </cfRule>
    <cfRule type="expression" priority="440" dxfId="1">
      <formula>OR(AND(IF($J39="",INDEX(primary_jama_2024_23898_disposition,MATCH($A39,primary_jama_2024_23898_key,0)),$J39)&lt;&gt;"",IF($J39="",INDEX(primary_jama_2024_23898_disposition,MATCH($A39,primary_jama_2024_23898_key,0)),$J39)&lt;&gt;"retain"),NOT(OR(IF($K39="",INDEX(primary_jama_2024_23898_domain,MATCH($A39,primary_jama_2024_23898_key,0)),$K39)="statistical_results")))</formula>
    </cfRule>
  </conditionalFormatting>
  <conditionalFormatting sqref="N40">
    <cfRule type="expression" priority="441" dxfId="0" stopIfTrue="1">
      <formula>AND(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N40&lt;&gt;"",N40&lt;&gt;"not_applicable")</formula>
    </cfRule>
    <cfRule type="expression" priority="442" dxfId="1">
      <formula>OR(AND(IF($J40="",INDEX(primary_jama_2024_23898_disposition,MATCH($A40,primary_jama_2024_23898_key,0)),$J40)&lt;&gt;"",IF($J40="",INDEX(primary_jama_2024_23898_disposition,MATCH($A40,primary_jama_2024_23898_key,0)),$J40)&lt;&gt;"retain"),NOT(OR(IF($K40="",INDEX(primary_jama_2024_23898_domain,MATCH($A40,primary_jama_2024_23898_key,0)),$K40)="statistical_results")))</formula>
    </cfRule>
  </conditionalFormatting>
  <conditionalFormatting sqref="N41">
    <cfRule type="expression" priority="443" dxfId="0" stopIfTrue="1">
      <formula>AND(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N41&lt;&gt;"",N41&lt;&gt;"not_applicable")</formula>
    </cfRule>
    <cfRule type="expression" priority="444" dxfId="1">
      <formula>OR(AND(IF($J41="",INDEX(primary_jama_2024_23898_disposition,MATCH($A41,primary_jama_2024_23898_key,0)),$J41)&lt;&gt;"",IF($J41="",INDEX(primary_jama_2024_23898_disposition,MATCH($A41,primary_jama_2024_23898_key,0)),$J41)&lt;&gt;"retain"),NOT(OR(IF($K41="",INDEX(primary_jama_2024_23898_domain,MATCH($A41,primary_jama_2024_23898_key,0)),$K41)="statistical_results")))</formula>
    </cfRule>
  </conditionalFormatting>
  <conditionalFormatting sqref="N42">
    <cfRule type="expression" priority="445" dxfId="0" stopIfTrue="1">
      <formula>AND(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N42&lt;&gt;"",N42&lt;&gt;"not_applicable")</formula>
    </cfRule>
    <cfRule type="expression" priority="446" dxfId="1">
      <formula>OR(AND(IF($J42="",INDEX(primary_jama_2024_23898_disposition,MATCH($A42,primary_jama_2024_23898_key,0)),$J42)&lt;&gt;"",IF($J42="",INDEX(primary_jama_2024_23898_disposition,MATCH($A42,primary_jama_2024_23898_key,0)),$J42)&lt;&gt;"retain"),NOT(OR(IF($K42="",INDEX(primary_jama_2024_23898_domain,MATCH($A42,primary_jama_2024_23898_key,0)),$K42)="statistical_results")))</formula>
    </cfRule>
  </conditionalFormatting>
  <conditionalFormatting sqref="N43">
    <cfRule type="expression" priority="447" dxfId="0" stopIfTrue="1">
      <formula>AND(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N43&lt;&gt;"",N43&lt;&gt;"not_applicable")</formula>
    </cfRule>
    <cfRule type="expression" priority="448" dxfId="1">
      <formula>OR(AND(IF($J43="",INDEX(primary_jama_2024_23898_disposition,MATCH($A43,primary_jama_2024_23898_key,0)),$J43)&lt;&gt;"",IF($J43="",INDEX(primary_jama_2024_23898_disposition,MATCH($A43,primary_jama_2024_23898_key,0)),$J43)&lt;&gt;"retain"),NOT(OR(IF($K43="",INDEX(primary_jama_2024_23898_domain,MATCH($A43,primary_jama_2024_23898_key,0)),$K43)="statistical_results")))</formula>
    </cfRule>
  </conditionalFormatting>
  <conditionalFormatting sqref="N44">
    <cfRule type="expression" priority="449" dxfId="0" stopIfTrue="1">
      <formula>AND(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N44&lt;&gt;"",N44&lt;&gt;"not_applicable")</formula>
    </cfRule>
    <cfRule type="expression" priority="450" dxfId="1">
      <formula>OR(AND(IF($J44="",INDEX(primary_jama_2024_23898_disposition,MATCH($A44,primary_jama_2024_23898_key,0)),$J44)&lt;&gt;"",IF($J44="",INDEX(primary_jama_2024_23898_disposition,MATCH($A44,primary_jama_2024_23898_key,0)),$J44)&lt;&gt;"retain"),NOT(OR(IF($K44="",INDEX(primary_jama_2024_23898_domain,MATCH($A44,primary_jama_2024_23898_key,0)),$K44)="statistical_results")))</formula>
    </cfRule>
  </conditionalFormatting>
  <conditionalFormatting sqref="N45">
    <cfRule type="expression" priority="451" dxfId="0" stopIfTrue="1">
      <formula>AND(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N45&lt;&gt;"",N45&lt;&gt;"not_applicable")</formula>
    </cfRule>
    <cfRule type="expression" priority="452" dxfId="1">
      <formula>OR(AND(IF($J45="",INDEX(primary_jama_2024_25786_disposition,MATCH($A45,primary_jama_2024_25786_key,0)),$J45)&lt;&gt;"",IF($J45="",INDEX(primary_jama_2024_25786_disposition,MATCH($A45,primary_jama_2024_25786_key,0)),$J45)&lt;&gt;"retain"),NOT(OR(IF($K45="",INDEX(primary_jama_2024_25786_domain,MATCH($A45,primary_jama_2024_25786_key,0)),$K45)="statistical_results")))</formula>
    </cfRule>
  </conditionalFormatting>
  <conditionalFormatting sqref="N46">
    <cfRule type="expression" priority="453" dxfId="0" stopIfTrue="1">
      <formula>AND(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N46&lt;&gt;"",N46&lt;&gt;"not_applicable")</formula>
    </cfRule>
    <cfRule type="expression" priority="454" dxfId="1">
      <formula>OR(AND(IF($J46="",INDEX(primary_jama_2024_25786_disposition,MATCH($A46,primary_jama_2024_25786_key,0)),$J46)&lt;&gt;"",IF($J46="",INDEX(primary_jama_2024_25786_disposition,MATCH($A46,primary_jama_2024_25786_key,0)),$J46)&lt;&gt;"retain"),NOT(OR(IF($K46="",INDEX(primary_jama_2024_25786_domain,MATCH($A46,primary_jama_2024_25786_key,0)),$K46)="statistical_results")))</formula>
    </cfRule>
  </conditionalFormatting>
  <conditionalFormatting sqref="N47">
    <cfRule type="expression" priority="455" dxfId="0" stopIfTrue="1">
      <formula>AND(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N47&lt;&gt;"",N47&lt;&gt;"not_applicable")</formula>
    </cfRule>
    <cfRule type="expression" priority="456" dxfId="1">
      <formula>OR(AND(IF($J47="",INDEX(primary_jama_2024_25786_disposition,MATCH($A47,primary_jama_2024_25786_key,0)),$J47)&lt;&gt;"",IF($J47="",INDEX(primary_jama_2024_25786_disposition,MATCH($A47,primary_jama_2024_25786_key,0)),$J47)&lt;&gt;"retain"),NOT(OR(IF($K47="",INDEX(primary_jama_2024_25786_domain,MATCH($A47,primary_jama_2024_25786_key,0)),$K47)="statistical_results")))</formula>
    </cfRule>
  </conditionalFormatting>
  <conditionalFormatting sqref="N48">
    <cfRule type="expression" priority="457" dxfId="0" stopIfTrue="1">
      <formula>AND(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N48&lt;&gt;"",N48&lt;&gt;"not_applicable")</formula>
    </cfRule>
    <cfRule type="expression" priority="458" dxfId="1">
      <formula>OR(AND(IF($J48="",INDEX(primary_jama_2024_25786_disposition,MATCH($A48,primary_jama_2024_25786_key,0)),$J48)&lt;&gt;"",IF($J48="",INDEX(primary_jama_2024_25786_disposition,MATCH($A48,primary_jama_2024_25786_key,0)),$J48)&lt;&gt;"retain"),NOT(OR(IF($K48="",INDEX(primary_jama_2024_25786_domain,MATCH($A48,primary_jama_2024_25786_key,0)),$K48)="statistical_results")))</formula>
    </cfRule>
  </conditionalFormatting>
  <conditionalFormatting sqref="N49">
    <cfRule type="expression" priority="459" dxfId="0" stopIfTrue="1">
      <formula>AND(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N49&lt;&gt;"",N49&lt;&gt;"not_applicable")</formula>
    </cfRule>
    <cfRule type="expression" priority="460" dxfId="1">
      <formula>OR(AND(IF($J49="",INDEX(primary_jama_2024_25786_disposition,MATCH($A49,primary_jama_2024_25786_key,0)),$J49)&lt;&gt;"",IF($J49="",INDEX(primary_jama_2024_25786_disposition,MATCH($A49,primary_jama_2024_25786_key,0)),$J49)&lt;&gt;"retain"),NOT(OR(IF($K49="",INDEX(primary_jama_2024_25786_domain,MATCH($A49,primary_jama_2024_25786_key,0)),$K49)="statistical_results")))</formula>
    </cfRule>
  </conditionalFormatting>
  <conditionalFormatting sqref="N50">
    <cfRule type="expression" priority="461" dxfId="0" stopIfTrue="1">
      <formula>AND(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N50&lt;&gt;"",N50&lt;&gt;"not_applicable")</formula>
    </cfRule>
    <cfRule type="expression" priority="462" dxfId="1">
      <formula>OR(AND(IF($J50="",INDEX(primary_jama_2024_25786_disposition,MATCH($A50,primary_jama_2024_25786_key,0)),$J50)&lt;&gt;"",IF($J50="",INDEX(primary_jama_2024_25786_disposition,MATCH($A50,primary_jama_2024_25786_key,0)),$J50)&lt;&gt;"retain"),NOT(OR(IF($K50="",INDEX(primary_jama_2024_25786_domain,MATCH($A50,primary_jama_2024_25786_key,0)),$K50)="statistical_results")))</formula>
    </cfRule>
  </conditionalFormatting>
  <conditionalFormatting sqref="N51">
    <cfRule type="expression" priority="463" dxfId="0" stopIfTrue="1">
      <formula>AND(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N51&lt;&gt;"",N51&lt;&gt;"not_applicable")</formula>
    </cfRule>
    <cfRule type="expression" priority="464" dxfId="1">
      <formula>OR(AND(IF($J51="",INDEX(primary_jama_2024_25786_disposition,MATCH($A51,primary_jama_2024_25786_key,0)),$J51)&lt;&gt;"",IF($J51="",INDEX(primary_jama_2024_25786_disposition,MATCH($A51,primary_jama_2024_25786_key,0)),$J51)&lt;&gt;"retain"),NOT(OR(IF($K51="",INDEX(primary_jama_2024_25786_domain,MATCH($A51,primary_jama_2024_25786_key,0)),$K51)="statistical_results")))</formula>
    </cfRule>
  </conditionalFormatting>
  <conditionalFormatting sqref="N52">
    <cfRule type="expression" priority="465" dxfId="0" stopIfTrue="1">
      <formula>AND(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N52&lt;&gt;"",N52&lt;&gt;"not_applicable")</formula>
    </cfRule>
    <cfRule type="expression" priority="466" dxfId="1">
      <formula>OR(AND(IF($J52="",INDEX(primary_jama_2024_25786_disposition,MATCH($A52,primary_jama_2024_25786_key,0)),$J52)&lt;&gt;"",IF($J52="",INDEX(primary_jama_2024_25786_disposition,MATCH($A52,primary_jama_2024_25786_key,0)),$J52)&lt;&gt;"retain"),NOT(OR(IF($K52="",INDEX(primary_jama_2024_25786_domain,MATCH($A52,primary_jama_2024_25786_key,0)),$K52)="statistical_results")))</formula>
    </cfRule>
  </conditionalFormatting>
  <conditionalFormatting sqref="N53">
    <cfRule type="expression" priority="467" dxfId="0" stopIfTrue="1">
      <formula>AND(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N53&lt;&gt;"",N53&lt;&gt;"not_applicable")</formula>
    </cfRule>
    <cfRule type="expression" priority="468" dxfId="1">
      <formula>OR(AND(IF($J53="",INDEX(primary_jama_2024_4183_disposition,MATCH($A53,primary_jama_2024_4183_key,0)),$J53)&lt;&gt;"",IF($J53="",INDEX(primary_jama_2024_4183_disposition,MATCH($A53,primary_jama_2024_4183_key,0)),$J53)&lt;&gt;"retain"),NOT(OR(IF($K53="",INDEX(primary_jama_2024_4183_domain,MATCH($A53,primary_jama_2024_4183_key,0)),$K53)="statistical_results")))</formula>
    </cfRule>
  </conditionalFormatting>
  <conditionalFormatting sqref="N54">
    <cfRule type="expression" priority="469" dxfId="0" stopIfTrue="1">
      <formula>AND(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N54&lt;&gt;"",N54&lt;&gt;"not_applicable")</formula>
    </cfRule>
    <cfRule type="expression" priority="470" dxfId="1">
      <formula>OR(AND(IF($J54="",INDEX(primary_jama_2024_4183_disposition,MATCH($A54,primary_jama_2024_4183_key,0)),$J54)&lt;&gt;"",IF($J54="",INDEX(primary_jama_2024_4183_disposition,MATCH($A54,primary_jama_2024_4183_key,0)),$J54)&lt;&gt;"retain"),NOT(OR(IF($K54="",INDEX(primary_jama_2024_4183_domain,MATCH($A54,primary_jama_2024_4183_key,0)),$K54)="statistical_results")))</formula>
    </cfRule>
  </conditionalFormatting>
  <conditionalFormatting sqref="N55">
    <cfRule type="expression" priority="471" dxfId="0" stopIfTrue="1">
      <formula>AND(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N55&lt;&gt;"",N55&lt;&gt;"not_applicable")</formula>
    </cfRule>
    <cfRule type="expression" priority="472" dxfId="1">
      <formula>OR(AND(IF($J55="",INDEX(primary_jama_2024_4183_disposition,MATCH($A55,primary_jama_2024_4183_key,0)),$J55)&lt;&gt;"",IF($J55="",INDEX(primary_jama_2024_4183_disposition,MATCH($A55,primary_jama_2024_4183_key,0)),$J55)&lt;&gt;"retain"),NOT(OR(IF($K55="",INDEX(primary_jama_2024_4183_domain,MATCH($A55,primary_jama_2024_4183_key,0)),$K55)="statistical_results")))</formula>
    </cfRule>
  </conditionalFormatting>
  <conditionalFormatting sqref="N56">
    <cfRule type="expression" priority="473" dxfId="0" stopIfTrue="1">
      <formula>AND(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N56&lt;&gt;"",N56&lt;&gt;"not_applicable")</formula>
    </cfRule>
    <cfRule type="expression" priority="474" dxfId="1">
      <formula>OR(AND(IF($J56="",INDEX(primary_jama_2024_4183_disposition,MATCH($A56,primary_jama_2024_4183_key,0)),$J56)&lt;&gt;"",IF($J56="",INDEX(primary_jama_2024_4183_disposition,MATCH($A56,primary_jama_2024_4183_key,0)),$J56)&lt;&gt;"retain"),NOT(OR(IF($K56="",INDEX(primary_jama_2024_4183_domain,MATCH($A56,primary_jama_2024_4183_key,0)),$K56)="statistical_results")))</formula>
    </cfRule>
  </conditionalFormatting>
  <conditionalFormatting sqref="N57">
    <cfRule type="expression" priority="475" dxfId="0" stopIfTrue="1">
      <formula>AND(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N57&lt;&gt;"",N57&lt;&gt;"not_applicable")</formula>
    </cfRule>
    <cfRule type="expression" priority="476" dxfId="1">
      <formula>OR(AND(IF($J57="",INDEX(primary_jama_2024_4183_disposition,MATCH($A57,primary_jama_2024_4183_key,0)),$J57)&lt;&gt;"",IF($J57="",INDEX(primary_jama_2024_4183_disposition,MATCH($A57,primary_jama_2024_4183_key,0)),$J57)&lt;&gt;"retain"),NOT(OR(IF($K57="",INDEX(primary_jama_2024_4183_domain,MATCH($A57,primary_jama_2024_4183_key,0)),$K57)="statistical_results")))</formula>
    </cfRule>
  </conditionalFormatting>
  <conditionalFormatting sqref="N58">
    <cfRule type="expression" priority="477" dxfId="0" stopIfTrue="1">
      <formula>AND(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N58&lt;&gt;"",N58&lt;&gt;"not_applicable")</formula>
    </cfRule>
    <cfRule type="expression" priority="478" dxfId="1">
      <formula>OR(AND(IF($J58="",INDEX(primary_jama_2024_4183_disposition,MATCH($A58,primary_jama_2024_4183_key,0)),$J58)&lt;&gt;"",IF($J58="",INDEX(primary_jama_2024_4183_disposition,MATCH($A58,primary_jama_2024_4183_key,0)),$J58)&lt;&gt;"retain"),NOT(OR(IF($K58="",INDEX(primary_jama_2024_4183_domain,MATCH($A58,primary_jama_2024_4183_key,0)),$K58)="statistical_results")))</formula>
    </cfRule>
  </conditionalFormatting>
  <conditionalFormatting sqref="N59">
    <cfRule type="expression" priority="479" dxfId="0" stopIfTrue="1">
      <formula>AND(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N59&lt;&gt;"",N59&lt;&gt;"not_applicable")</formula>
    </cfRule>
    <cfRule type="expression" priority="480" dxfId="1">
      <formula>OR(AND(IF($J59="",INDEX(primary_jama_2024_4183_disposition,MATCH($A59,primary_jama_2024_4183_key,0)),$J59)&lt;&gt;"",IF($J59="",INDEX(primary_jama_2024_4183_disposition,MATCH($A59,primary_jama_2024_4183_key,0)),$J59)&lt;&gt;"retain"),NOT(OR(IF($K59="",INDEX(primary_jama_2024_4183_domain,MATCH($A59,primary_jama_2024_4183_key,0)),$K59)="statistical_results")))</formula>
    </cfRule>
  </conditionalFormatting>
  <conditionalFormatting sqref="N60">
    <cfRule type="expression" priority="481" dxfId="0" stopIfTrue="1">
      <formula>AND(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N60&lt;&gt;"",N60&lt;&gt;"not_applicable")</formula>
    </cfRule>
    <cfRule type="expression" priority="482" dxfId="1">
      <formula>OR(AND(IF($J60="",INDEX(primary_jama_2024_4183_disposition,MATCH($A60,primary_jama_2024_4183_key,0)),$J60)&lt;&gt;"",IF($J60="",INDEX(primary_jama_2024_4183_disposition,MATCH($A60,primary_jama_2024_4183_key,0)),$J60)&lt;&gt;"retain"),NOT(OR(IF($K60="",INDEX(primary_jama_2024_4183_domain,MATCH($A60,primary_jama_2024_4183_key,0)),$K60)="statistical_results")))</formula>
    </cfRule>
  </conditionalFormatting>
  <conditionalFormatting sqref="N61">
    <cfRule type="expression" priority="483" dxfId="0" stopIfTrue="1">
      <formula>AND(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N61&lt;&gt;"",N61&lt;&gt;"not_applicable")</formula>
    </cfRule>
    <cfRule type="expression" priority="484" dxfId="1">
      <formula>OR(AND(IF($J61="",INDEX(primary_jama_2024_4183_disposition,MATCH($A61,primary_jama_2024_4183_key,0)),$J61)&lt;&gt;"",IF($J61="",INDEX(primary_jama_2024_4183_disposition,MATCH($A61,primary_jama_2024_4183_key,0)),$J61)&lt;&gt;"retain"),NOT(OR(IF($K61="",INDEX(primary_jama_2024_4183_domain,MATCH($A61,primary_jama_2024_4183_key,0)),$K61)="statistical_results")))</formula>
    </cfRule>
  </conditionalFormatting>
  <conditionalFormatting sqref="N62">
    <cfRule type="expression" priority="485" dxfId="0" stopIfTrue="1">
      <formula>AND(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N62&lt;&gt;"",N62&lt;&gt;"not_applicable")</formula>
    </cfRule>
    <cfRule type="expression" priority="486" dxfId="1">
      <formula>OR(AND(IF($J62="",INDEX(primary_jama_2024_4183_disposition,MATCH($A62,primary_jama_2024_4183_key,0)),$J62)&lt;&gt;"",IF($J62="",INDEX(primary_jama_2024_4183_disposition,MATCH($A62,primary_jama_2024_4183_key,0)),$J62)&lt;&gt;"retain"),NOT(OR(IF($K62="",INDEX(primary_jama_2024_4183_domain,MATCH($A62,primary_jama_2024_4183_key,0)),$K62)="statistical_results")))</formula>
    </cfRule>
  </conditionalFormatting>
  <conditionalFormatting sqref="N63">
    <cfRule type="expression" priority="487" dxfId="0" stopIfTrue="1">
      <formula>AND(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N63&lt;&gt;"",N63&lt;&gt;"not_applicable")</formula>
    </cfRule>
    <cfRule type="expression" priority="488" dxfId="1">
      <formula>OR(AND(IF($J63="",INDEX(primary_jama_2024_4183_disposition,MATCH($A63,primary_jama_2024_4183_key,0)),$J63)&lt;&gt;"",IF($J63="",INDEX(primary_jama_2024_4183_disposition,MATCH($A63,primary_jama_2024_4183_key,0)),$J63)&lt;&gt;"retain"),NOT(OR(IF($K63="",INDEX(primary_jama_2024_4183_domain,MATCH($A63,primary_jama_2024_4183_key,0)),$K63)="statistical_results")))</formula>
    </cfRule>
  </conditionalFormatting>
  <conditionalFormatting sqref="N64">
    <cfRule type="expression" priority="489" dxfId="0" stopIfTrue="1">
      <formula>AND(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N64&lt;&gt;"",N64&lt;&gt;"not_applicable")</formula>
    </cfRule>
    <cfRule type="expression" priority="490" dxfId="1">
      <formula>OR(AND(IF($J64="",INDEX(primary_jama_2024_4183_disposition,MATCH($A64,primary_jama_2024_4183_key,0)),$J64)&lt;&gt;"",IF($J64="",INDEX(primary_jama_2024_4183_disposition,MATCH($A64,primary_jama_2024_4183_key,0)),$J64)&lt;&gt;"retain"),NOT(OR(IF($K64="",INDEX(primary_jama_2024_4183_domain,MATCH($A64,primary_jama_2024_4183_key,0)),$K64)="statistical_results")))</formula>
    </cfRule>
  </conditionalFormatting>
  <conditionalFormatting sqref="N65">
    <cfRule type="expression" priority="491" dxfId="0" stopIfTrue="1">
      <formula>AND(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N65&lt;&gt;"",N65&lt;&gt;"not_applicable")</formula>
    </cfRule>
    <cfRule type="expression" priority="492" dxfId="1">
      <formula>OR(AND(IF($J65="",INDEX(primary_jama_2024_4183_disposition,MATCH($A65,primary_jama_2024_4183_key,0)),$J65)&lt;&gt;"",IF($J65="",INDEX(primary_jama_2024_4183_disposition,MATCH($A65,primary_jama_2024_4183_key,0)),$J65)&lt;&gt;"retain"),NOT(OR(IF($K65="",INDEX(primary_jama_2024_4183_domain,MATCH($A65,primary_jama_2024_4183_key,0)),$K65)="statistical_results")))</formula>
    </cfRule>
  </conditionalFormatting>
  <conditionalFormatting sqref="N66">
    <cfRule type="expression" priority="493" dxfId="0" stopIfTrue="1">
      <formula>AND(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N66&lt;&gt;"",N66&lt;&gt;"not_applicable")</formula>
    </cfRule>
    <cfRule type="expression" priority="494" dxfId="1">
      <formula>OR(AND(IF($J66="",INDEX(primary_jama_2024_4183_disposition,MATCH($A66,primary_jama_2024_4183_key,0)),$J66)&lt;&gt;"",IF($J66="",INDEX(primary_jama_2024_4183_disposition,MATCH($A66,primary_jama_2024_4183_key,0)),$J66)&lt;&gt;"retain"),NOT(OR(IF($K66="",INDEX(primary_jama_2024_4183_domain,MATCH($A66,primary_jama_2024_4183_key,0)),$K66)="statistical_results")))</formula>
    </cfRule>
  </conditionalFormatting>
  <conditionalFormatting sqref="N67">
    <cfRule type="expression" priority="495" dxfId="0" stopIfTrue="1">
      <formula>AND(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N67&lt;&gt;"",N67&lt;&gt;"not_applicable")</formula>
    </cfRule>
    <cfRule type="expression" priority="496" dxfId="1">
      <formula>OR(AND(IF($J67="",INDEX(primary_jama_2024_4183_disposition,MATCH($A67,primary_jama_2024_4183_key,0)),$J67)&lt;&gt;"",IF($J67="",INDEX(primary_jama_2024_4183_disposition,MATCH($A67,primary_jama_2024_4183_key,0)),$J67)&lt;&gt;"retain"),NOT(OR(IF($K67="",INDEX(primary_jama_2024_4183_domain,MATCH($A67,primary_jama_2024_4183_key,0)),$K67)="statistical_results")))</formula>
    </cfRule>
  </conditionalFormatting>
  <conditionalFormatting sqref="N68">
    <cfRule type="expression" priority="497" dxfId="0" stopIfTrue="1">
      <formula>AND(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N68&lt;&gt;"",N68&lt;&gt;"not_applicable")</formula>
    </cfRule>
    <cfRule type="expression" priority="498" dxfId="1">
      <formula>OR(AND(IF($J68="",INDEX(primary_jama_2024_4183_disposition,MATCH($A68,primary_jama_2024_4183_key,0)),$J68)&lt;&gt;"",IF($J68="",INDEX(primary_jama_2024_4183_disposition,MATCH($A68,primary_jama_2024_4183_key,0)),$J68)&lt;&gt;"retain"),NOT(OR(IF($K68="",INDEX(primary_jama_2024_4183_domain,MATCH($A68,primary_jama_2024_4183_key,0)),$K68)="statistical_results")))</formula>
    </cfRule>
  </conditionalFormatting>
  <conditionalFormatting sqref="N69">
    <cfRule type="expression" priority="499" dxfId="0" stopIfTrue="1">
      <formula>AND(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N69&lt;&gt;"",N69&lt;&gt;"not_applicable")</formula>
    </cfRule>
    <cfRule type="expression" priority="500" dxfId="1">
      <formula>OR(AND(IF($J69="",INDEX(primary_jama_2024_4183_disposition,MATCH($A69,primary_jama_2024_4183_key,0)),$J69)&lt;&gt;"",IF($J69="",INDEX(primary_jama_2024_4183_disposition,MATCH($A69,primary_jama_2024_4183_key,0)),$J69)&lt;&gt;"retain"),NOT(OR(IF($K69="",INDEX(primary_jama_2024_4183_domain,MATCH($A69,primary_jama_2024_4183_key,0)),$K69)="statistical_results")))</formula>
    </cfRule>
  </conditionalFormatting>
  <conditionalFormatting sqref="N70">
    <cfRule type="expression" priority="501" dxfId="0" stopIfTrue="1">
      <formula>AND(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N70&lt;&gt;"",N70&lt;&gt;"not_applicable")</formula>
    </cfRule>
    <cfRule type="expression" priority="502" dxfId="1">
      <formula>OR(AND(IF($J70="",INDEX(primary_jama_2024_4183_disposition,MATCH($A70,primary_jama_2024_4183_key,0)),$J70)&lt;&gt;"",IF($J70="",INDEX(primary_jama_2024_4183_disposition,MATCH($A70,primary_jama_2024_4183_key,0)),$J70)&lt;&gt;"retain"),NOT(OR(IF($K70="",INDEX(primary_jama_2024_4183_domain,MATCH($A70,primary_jama_2024_4183_key,0)),$K70)="statistical_results")))</formula>
    </cfRule>
  </conditionalFormatting>
  <conditionalFormatting sqref="N71">
    <cfRule type="expression" priority="503" dxfId="0" stopIfTrue="1">
      <formula>AND(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N71&lt;&gt;"",N71&lt;&gt;"not_applicable")</formula>
    </cfRule>
    <cfRule type="expression" priority="504" dxfId="1">
      <formula>OR(AND(IF($J71="",INDEX(primary_jama_2024_4183_disposition,MATCH($A71,primary_jama_2024_4183_key,0)),$J71)&lt;&gt;"",IF($J71="",INDEX(primary_jama_2024_4183_disposition,MATCH($A71,primary_jama_2024_4183_key,0)),$J71)&lt;&gt;"retain"),NOT(OR(IF($K71="",INDEX(primary_jama_2024_4183_domain,MATCH($A71,primary_jama_2024_4183_key,0)),$K71)="statistical_results")))</formula>
    </cfRule>
  </conditionalFormatting>
  <conditionalFormatting sqref="N72">
    <cfRule type="expression" priority="505" dxfId="0" stopIfTrue="1">
      <formula>AND(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N72&lt;&gt;"",N72&lt;&gt;"not_applicable")</formula>
    </cfRule>
    <cfRule type="expression" priority="506" dxfId="1">
      <formula>OR(AND(IF($J72="",INDEX(primary_jama_2024_4183_disposition,MATCH($A72,primary_jama_2024_4183_key,0)),$J72)&lt;&gt;"",IF($J72="",INDEX(primary_jama_2024_4183_disposition,MATCH($A72,primary_jama_2024_4183_key,0)),$J72)&lt;&gt;"retain"),NOT(OR(IF($K72="",INDEX(primary_jama_2024_4183_domain,MATCH($A72,primary_jama_2024_4183_key,0)),$K72)="statistical_results")))</formula>
    </cfRule>
  </conditionalFormatting>
  <conditionalFormatting sqref="N73">
    <cfRule type="expression" priority="507" dxfId="0" stopIfTrue="1">
      <formula>AND(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N73&lt;&gt;"",N73&lt;&gt;"not_applicable")</formula>
    </cfRule>
    <cfRule type="expression" priority="508" dxfId="1">
      <formula>OR(AND(IF($J73="",INDEX(primary_jama_2024_4183_disposition,MATCH($A73,primary_jama_2024_4183_key,0)),$J73)&lt;&gt;"",IF($J73="",INDEX(primary_jama_2024_4183_disposition,MATCH($A73,primary_jama_2024_4183_key,0)),$J73)&lt;&gt;"retain"),NOT(OR(IF($K73="",INDEX(primary_jama_2024_4183_domain,MATCH($A73,primary_jama_2024_4183_key,0)),$K73)="statistical_results")))</formula>
    </cfRule>
  </conditionalFormatting>
  <conditionalFormatting sqref="N74">
    <cfRule type="expression" priority="509" dxfId="0" stopIfTrue="1">
      <formula>AND(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N74&lt;&gt;"",N74&lt;&gt;"not_applicable")</formula>
    </cfRule>
    <cfRule type="expression" priority="510" dxfId="1">
      <formula>OR(AND(IF($J74="",INDEX(primary_jama_2024_4183_disposition,MATCH($A74,primary_jama_2024_4183_key,0)),$J74)&lt;&gt;"",IF($J74="",INDEX(primary_jama_2024_4183_disposition,MATCH($A74,primary_jama_2024_4183_key,0)),$J74)&lt;&gt;"retain"),NOT(OR(IF($K74="",INDEX(primary_jama_2024_4183_domain,MATCH($A74,primary_jama_2024_4183_key,0)),$K74)="statistical_results")))</formula>
    </cfRule>
  </conditionalFormatting>
  <conditionalFormatting sqref="N75">
    <cfRule type="expression" priority="511" dxfId="0" stopIfTrue="1">
      <formula>AND(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N75&lt;&gt;"",N75&lt;&gt;"not_applicable")</formula>
    </cfRule>
    <cfRule type="expression" priority="512" dxfId="1">
      <formula>OR(AND(IF($J75="",INDEX(primary_jama_2024_4183_disposition,MATCH($A75,primary_jama_2024_4183_key,0)),$J75)&lt;&gt;"",IF($J75="",INDEX(primary_jama_2024_4183_disposition,MATCH($A75,primary_jama_2024_4183_key,0)),$J75)&lt;&gt;"retain"),NOT(OR(IF($K75="",INDEX(primary_jama_2024_4183_domain,MATCH($A75,primary_jama_2024_4183_key,0)),$K75)="statistical_results")))</formula>
    </cfRule>
  </conditionalFormatting>
  <conditionalFormatting sqref="N76">
    <cfRule type="expression" priority="513" dxfId="0" stopIfTrue="1">
      <formula>AND(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N76&lt;&gt;"",N76&lt;&gt;"not_applicable")</formula>
    </cfRule>
    <cfRule type="expression" priority="514" dxfId="1">
      <formula>OR(AND(IF($J76="",INDEX(primary_jama_2024_4183_disposition,MATCH($A76,primary_jama_2024_4183_key,0)),$J76)&lt;&gt;"",IF($J76="",INDEX(primary_jama_2024_4183_disposition,MATCH($A76,primary_jama_2024_4183_key,0)),$J76)&lt;&gt;"retain"),NOT(OR(IF($K76="",INDEX(primary_jama_2024_4183_domain,MATCH($A76,primary_jama_2024_4183_key,0)),$K76)="statistical_results")))</formula>
    </cfRule>
  </conditionalFormatting>
  <conditionalFormatting sqref="N77">
    <cfRule type="expression" priority="515" dxfId="0" stopIfTrue="1">
      <formula>AND(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N77&lt;&gt;"",N77&lt;&gt;"not_applicable")</formula>
    </cfRule>
    <cfRule type="expression" priority="516" dxfId="1">
      <formula>OR(AND(IF($J77="",INDEX(primary_jama_2024_6063_disposition,MATCH($A77,primary_jama_2024_6063_key,0)),$J77)&lt;&gt;"",IF($J77="",INDEX(primary_jama_2024_6063_disposition,MATCH($A77,primary_jama_2024_6063_key,0)),$J77)&lt;&gt;"retain"),NOT(OR(IF($K77="",INDEX(primary_jama_2024_6063_domain,MATCH($A77,primary_jama_2024_6063_key,0)),$K77)="statistical_results")))</formula>
    </cfRule>
  </conditionalFormatting>
  <conditionalFormatting sqref="N78">
    <cfRule type="expression" priority="517" dxfId="0" stopIfTrue="1">
      <formula>AND(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N78&lt;&gt;"",N78&lt;&gt;"not_applicable")</formula>
    </cfRule>
    <cfRule type="expression" priority="518" dxfId="1">
      <formula>OR(AND(IF($J78="",INDEX(primary_jama_2024_6063_disposition,MATCH($A78,primary_jama_2024_6063_key,0)),$J78)&lt;&gt;"",IF($J78="",INDEX(primary_jama_2024_6063_disposition,MATCH($A78,primary_jama_2024_6063_key,0)),$J78)&lt;&gt;"retain"),NOT(OR(IF($K78="",INDEX(primary_jama_2024_6063_domain,MATCH($A78,primary_jama_2024_6063_key,0)),$K78)="statistical_results")))</formula>
    </cfRule>
  </conditionalFormatting>
  <conditionalFormatting sqref="N79">
    <cfRule type="expression" priority="519" dxfId="0" stopIfTrue="1">
      <formula>AND(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N79&lt;&gt;"",N79&lt;&gt;"not_applicable")</formula>
    </cfRule>
    <cfRule type="expression" priority="520" dxfId="1">
      <formula>OR(AND(IF($J79="",INDEX(primary_jama_2024_6063_disposition,MATCH($A79,primary_jama_2024_6063_key,0)),$J79)&lt;&gt;"",IF($J79="",INDEX(primary_jama_2024_6063_disposition,MATCH($A79,primary_jama_2024_6063_key,0)),$J79)&lt;&gt;"retain"),NOT(OR(IF($K79="",INDEX(primary_jama_2024_6063_domain,MATCH($A79,primary_jama_2024_6063_key,0)),$K79)="statistical_results")))</formula>
    </cfRule>
  </conditionalFormatting>
  <conditionalFormatting sqref="N80">
    <cfRule type="expression" priority="521" dxfId="0" stopIfTrue="1">
      <formula>AND(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N80&lt;&gt;"",N80&lt;&gt;"not_applicable")</formula>
    </cfRule>
    <cfRule type="expression" priority="522" dxfId="1">
      <formula>OR(AND(IF($J80="",INDEX(primary_jama_2024_6063_disposition,MATCH($A80,primary_jama_2024_6063_key,0)),$J80)&lt;&gt;"",IF($J80="",INDEX(primary_jama_2024_6063_disposition,MATCH($A80,primary_jama_2024_6063_key,0)),$J80)&lt;&gt;"retain"),NOT(OR(IF($K80="",INDEX(primary_jama_2024_6063_domain,MATCH($A80,primary_jama_2024_6063_key,0)),$K80)="statistical_results")))</formula>
    </cfRule>
  </conditionalFormatting>
  <conditionalFormatting sqref="N81">
    <cfRule type="expression" priority="523" dxfId="0" stopIfTrue="1">
      <formula>AND(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N81&lt;&gt;"",N81&lt;&gt;"not_applicable")</formula>
    </cfRule>
    <cfRule type="expression" priority="524" dxfId="1">
      <formula>OR(AND(IF($J81="",INDEX(primary_jama_2024_6063_disposition,MATCH($A81,primary_jama_2024_6063_key,0)),$J81)&lt;&gt;"",IF($J81="",INDEX(primary_jama_2024_6063_disposition,MATCH($A81,primary_jama_2024_6063_key,0)),$J81)&lt;&gt;"retain"),NOT(OR(IF($K81="",INDEX(primary_jama_2024_6063_domain,MATCH($A81,primary_jama_2024_6063_key,0)),$K81)="statistical_results")))</formula>
    </cfRule>
  </conditionalFormatting>
  <conditionalFormatting sqref="N82">
    <cfRule type="expression" priority="525" dxfId="0" stopIfTrue="1">
      <formula>AND(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N82&lt;&gt;"",N82&lt;&gt;"not_applicable")</formula>
    </cfRule>
    <cfRule type="expression" priority="526" dxfId="1">
      <formula>OR(AND(IF($J82="",INDEX(primary_jama_2024_6063_disposition,MATCH($A82,primary_jama_2024_6063_key,0)),$J82)&lt;&gt;"",IF($J82="",INDEX(primary_jama_2024_6063_disposition,MATCH($A82,primary_jama_2024_6063_key,0)),$J82)&lt;&gt;"retain"),NOT(OR(IF($K82="",INDEX(primary_jama_2024_6063_domain,MATCH($A82,primary_jama_2024_6063_key,0)),$K82)="statistical_results")))</formula>
    </cfRule>
  </conditionalFormatting>
  <conditionalFormatting sqref="N83">
    <cfRule type="expression" priority="527" dxfId="0" stopIfTrue="1">
      <formula>AND(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N83&lt;&gt;"",N83&lt;&gt;"not_applicable")</formula>
    </cfRule>
    <cfRule type="expression" priority="528" dxfId="1">
      <formula>OR(AND(IF($J83="",INDEX(primary_jama_2024_6063_disposition,MATCH($A83,primary_jama_2024_6063_key,0)),$J83)&lt;&gt;"",IF($J83="",INDEX(primary_jama_2024_6063_disposition,MATCH($A83,primary_jama_2024_6063_key,0)),$J83)&lt;&gt;"retain"),NOT(OR(IF($K83="",INDEX(primary_jama_2024_6063_domain,MATCH($A83,primary_jama_2024_6063_key,0)),$K83)="statistical_results")))</formula>
    </cfRule>
  </conditionalFormatting>
  <conditionalFormatting sqref="N84">
    <cfRule type="expression" priority="529" dxfId="0" stopIfTrue="1">
      <formula>AND(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N84&lt;&gt;"",N84&lt;&gt;"not_applicable")</formula>
    </cfRule>
    <cfRule type="expression" priority="530" dxfId="1">
      <formula>OR(AND(IF($J84="",INDEX(primary_jama_2024_6063_disposition,MATCH($A84,primary_jama_2024_6063_key,0)),$J84)&lt;&gt;"",IF($J84="",INDEX(primary_jama_2024_6063_disposition,MATCH($A84,primary_jama_2024_6063_key,0)),$J84)&lt;&gt;"retain"),NOT(OR(IF($K84="",INDEX(primary_jama_2024_6063_domain,MATCH($A84,primary_jama_2024_6063_key,0)),$K84)="statistical_results")))</formula>
    </cfRule>
  </conditionalFormatting>
  <conditionalFormatting sqref="N85">
    <cfRule type="expression" priority="531" dxfId="0" stopIfTrue="1">
      <formula>AND(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N85&lt;&gt;"",N85&lt;&gt;"not_applicable")</formula>
    </cfRule>
    <cfRule type="expression" priority="532" dxfId="1">
      <formula>OR(AND(IF($J85="",INDEX(primary_jama_2024_6063_disposition,MATCH($A85,primary_jama_2024_6063_key,0)),$J85)&lt;&gt;"",IF($J85="",INDEX(primary_jama_2024_6063_disposition,MATCH($A85,primary_jama_2024_6063_key,0)),$J85)&lt;&gt;"retain"),NOT(OR(IF($K85="",INDEX(primary_jama_2024_6063_domain,MATCH($A85,primary_jama_2024_6063_key,0)),$K85)="statistical_results")))</formula>
    </cfRule>
  </conditionalFormatting>
  <conditionalFormatting sqref="N86">
    <cfRule type="expression" priority="533" dxfId="0" stopIfTrue="1">
      <formula>AND(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N86&lt;&gt;"",N86&lt;&gt;"not_applicable")</formula>
    </cfRule>
    <cfRule type="expression" priority="534" dxfId="1">
      <formula>OR(AND(IF($J86="",INDEX(primary_jama_2024_6063_disposition,MATCH($A86,primary_jama_2024_6063_key,0)),$J86)&lt;&gt;"",IF($J86="",INDEX(primary_jama_2024_6063_disposition,MATCH($A86,primary_jama_2024_6063_key,0)),$J86)&lt;&gt;"retain"),NOT(OR(IF($K86="",INDEX(primary_jama_2024_6063_domain,MATCH($A86,primary_jama_2024_6063_key,0)),$K86)="statistical_results")))</formula>
    </cfRule>
  </conditionalFormatting>
  <conditionalFormatting sqref="N87">
    <cfRule type="expression" priority="535" dxfId="0" stopIfTrue="1">
      <formula>AND(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N87&lt;&gt;"",N87&lt;&gt;"not_applicable")</formula>
    </cfRule>
    <cfRule type="expression" priority="536" dxfId="1">
      <formula>OR(AND(IF($J87="",INDEX(primary_jama_2024_6063_disposition,MATCH($A87,primary_jama_2024_6063_key,0)),$J87)&lt;&gt;"",IF($J87="",INDEX(primary_jama_2024_6063_disposition,MATCH($A87,primary_jama_2024_6063_key,0)),$J87)&lt;&gt;"retain"),NOT(OR(IF($K87="",INDEX(primary_jama_2024_6063_domain,MATCH($A87,primary_jama_2024_6063_key,0)),$K87)="statistical_results")))</formula>
    </cfRule>
  </conditionalFormatting>
  <conditionalFormatting sqref="N88">
    <cfRule type="expression" priority="537" dxfId="0" stopIfTrue="1">
      <formula>AND(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N88&lt;&gt;"",N88&lt;&gt;"not_applicable")</formula>
    </cfRule>
    <cfRule type="expression" priority="538" dxfId="1">
      <formula>OR(AND(IF($J88="",INDEX(primary_jama_2024_6063_disposition,MATCH($A88,primary_jama_2024_6063_key,0)),$J88)&lt;&gt;"",IF($J88="",INDEX(primary_jama_2024_6063_disposition,MATCH($A88,primary_jama_2024_6063_key,0)),$J88)&lt;&gt;"retain"),NOT(OR(IF($K88="",INDEX(primary_jama_2024_6063_domain,MATCH($A88,primary_jama_2024_6063_key,0)),$K88)="statistical_results")))</formula>
    </cfRule>
  </conditionalFormatting>
  <conditionalFormatting sqref="N89">
    <cfRule type="expression" priority="539" dxfId="0" stopIfTrue="1">
      <formula>AND(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N89&lt;&gt;"",N89&lt;&gt;"not_applicable")</formula>
    </cfRule>
    <cfRule type="expression" priority="540" dxfId="1">
      <formula>OR(AND(IF($J89="",INDEX(primary_jama_2024_6063_disposition,MATCH($A89,primary_jama_2024_6063_key,0)),$J89)&lt;&gt;"",IF($J89="",INDEX(primary_jama_2024_6063_disposition,MATCH($A89,primary_jama_2024_6063_key,0)),$J89)&lt;&gt;"retain"),NOT(OR(IF($K89="",INDEX(primary_jama_2024_6063_domain,MATCH($A89,primary_jama_2024_6063_key,0)),$K89)="statistical_results")))</formula>
    </cfRule>
  </conditionalFormatting>
  <conditionalFormatting sqref="N90">
    <cfRule type="expression" priority="541" dxfId="0" stopIfTrue="1">
      <formula>AND(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N90&lt;&gt;"",N90&lt;&gt;"not_applicable")</formula>
    </cfRule>
    <cfRule type="expression" priority="542" dxfId="1">
      <formula>OR(AND(IF($J90="",INDEX(primary_jama_2024_6063_disposition,MATCH($A90,primary_jama_2024_6063_key,0)),$J90)&lt;&gt;"",IF($J90="",INDEX(primary_jama_2024_6063_disposition,MATCH($A90,primary_jama_2024_6063_key,0)),$J90)&lt;&gt;"retain"),NOT(OR(IF($K90="",INDEX(primary_jama_2024_6063_domain,MATCH($A90,primary_jama_2024_6063_key,0)),$K90)="statistical_results")))</formula>
    </cfRule>
  </conditionalFormatting>
  <conditionalFormatting sqref="N91">
    <cfRule type="expression" priority="543" dxfId="0" stopIfTrue="1">
      <formula>AND(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N91&lt;&gt;"",N91&lt;&gt;"not_applicable")</formula>
    </cfRule>
    <cfRule type="expression" priority="544" dxfId="1">
      <formula>OR(AND(IF($J91="",INDEX(primary_jama_2024_6063_disposition,MATCH($A91,primary_jama_2024_6063_key,0)),$J91)&lt;&gt;"",IF($J91="",INDEX(primary_jama_2024_6063_disposition,MATCH($A91,primary_jama_2024_6063_key,0)),$J91)&lt;&gt;"retain"),NOT(OR(IF($K91="",INDEX(primary_jama_2024_6063_domain,MATCH($A91,primary_jama_2024_6063_key,0)),$K91)="statistical_results")))</formula>
    </cfRule>
  </conditionalFormatting>
  <conditionalFormatting sqref="N92">
    <cfRule type="expression" priority="545" dxfId="0" stopIfTrue="1">
      <formula>AND(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N92&lt;&gt;"",N92&lt;&gt;"not_applicable")</formula>
    </cfRule>
    <cfRule type="expression" priority="546" dxfId="1">
      <formula>OR(AND(IF($J92="",INDEX(primary_jama_2024_6063_disposition,MATCH($A92,primary_jama_2024_6063_key,0)),$J92)&lt;&gt;"",IF($J92="",INDEX(primary_jama_2024_6063_disposition,MATCH($A92,primary_jama_2024_6063_key,0)),$J92)&lt;&gt;"retain"),NOT(OR(IF($K92="",INDEX(primary_jama_2024_6063_domain,MATCH($A92,primary_jama_2024_6063_key,0)),$K92)="statistical_results")))</formula>
    </cfRule>
  </conditionalFormatting>
  <conditionalFormatting sqref="O2">
    <cfRule type="expression" priority="547" dxfId="0" stopIfTrue="1">
      <formula>AND(OR(AND(IF($J2="",INDEX(primary_jama_2024_0318_disposition,MATCH($A2,primary_jama_2024_0318_key,0)),$J2)&lt;&gt;"",IF($J2="",INDEX(primary_jama_2024_0318_disposition,MATCH($A2,primary_jama_2024_0318_key,0)),$J2)&lt;&gt;"retain"),NOT(OR(IF($K2="",INDEX(primary_jama_2024_0318_domain,MATCH($A2,primary_jama_2024_0318_key,0)),$K2)="internal_nonstatistical",IF($K2="",INDEX(primary_jama_2024_0318_domain,MATCH($A2,primary_jama_2024_0318_key,0)),$K2)="plan_material"))),O2&lt;&gt;"",O2&lt;&gt;"not_applicable")</formula>
    </cfRule>
    <cfRule type="expression" priority="548" dxfId="1">
      <formula>OR(AND(IF($J2="",INDEX(primary_jama_2024_0318_disposition,MATCH($A2,primary_jama_2024_0318_key,0)),$J2)&lt;&gt;"",IF($J2="",INDEX(primary_jama_2024_0318_disposition,MATCH($A2,primary_jama_2024_0318_key,0)),$J2)&lt;&gt;"retain"),NOT(OR(IF($K2="",INDEX(primary_jama_2024_0318_domain,MATCH($A2,primary_jama_2024_0318_key,0)),$K2)="internal_nonstatistical",IF($K2="",INDEX(primary_jama_2024_0318_domain,MATCH($A2,primary_jama_2024_0318_key,0)),$K2)="plan_material")))</formula>
    </cfRule>
  </conditionalFormatting>
  <conditionalFormatting sqref="O3">
    <cfRule type="expression" priority="549" dxfId="0" stopIfTrue="1">
      <formula>AND(OR(AND(IF($J3="",INDEX(primary_jama_2024_0318_disposition,MATCH($A3,primary_jama_2024_0318_key,0)),$J3)&lt;&gt;"",IF($J3="",INDEX(primary_jama_2024_0318_disposition,MATCH($A3,primary_jama_2024_0318_key,0)),$J3)&lt;&gt;"retain"),NOT(OR(IF($K3="",INDEX(primary_jama_2024_0318_domain,MATCH($A3,primary_jama_2024_0318_key,0)),$K3)="internal_nonstatistical",IF($K3="",INDEX(primary_jama_2024_0318_domain,MATCH($A3,primary_jama_2024_0318_key,0)),$K3)="plan_material"))),O3&lt;&gt;"",O3&lt;&gt;"not_applicable")</formula>
    </cfRule>
    <cfRule type="expression" priority="550" dxfId="1">
      <formula>OR(AND(IF($J3="",INDEX(primary_jama_2024_0318_disposition,MATCH($A3,primary_jama_2024_0318_key,0)),$J3)&lt;&gt;"",IF($J3="",INDEX(primary_jama_2024_0318_disposition,MATCH($A3,primary_jama_2024_0318_key,0)),$J3)&lt;&gt;"retain"),NOT(OR(IF($K3="",INDEX(primary_jama_2024_0318_domain,MATCH($A3,primary_jama_2024_0318_key,0)),$K3)="internal_nonstatistical",IF($K3="",INDEX(primary_jama_2024_0318_domain,MATCH($A3,primary_jama_2024_0318_key,0)),$K3)="plan_material")))</formula>
    </cfRule>
  </conditionalFormatting>
  <conditionalFormatting sqref="O4">
    <cfRule type="expression" priority="551" dxfId="0" stopIfTrue="1">
      <formula>AND(OR(AND(IF($J4="",INDEX(primary_jama_2024_0318_disposition,MATCH($A4,primary_jama_2024_0318_key,0)),$J4)&lt;&gt;"",IF($J4="",INDEX(primary_jama_2024_0318_disposition,MATCH($A4,primary_jama_2024_0318_key,0)),$J4)&lt;&gt;"retain"),NOT(OR(IF($K4="",INDEX(primary_jama_2024_0318_domain,MATCH($A4,primary_jama_2024_0318_key,0)),$K4)="internal_nonstatistical",IF($K4="",INDEX(primary_jama_2024_0318_domain,MATCH($A4,primary_jama_2024_0318_key,0)),$K4)="plan_material"))),O4&lt;&gt;"",O4&lt;&gt;"not_applicable")</formula>
    </cfRule>
    <cfRule type="expression" priority="552" dxfId="1">
      <formula>OR(AND(IF($J4="",INDEX(primary_jama_2024_0318_disposition,MATCH($A4,primary_jama_2024_0318_key,0)),$J4)&lt;&gt;"",IF($J4="",INDEX(primary_jama_2024_0318_disposition,MATCH($A4,primary_jama_2024_0318_key,0)),$J4)&lt;&gt;"retain"),NOT(OR(IF($K4="",INDEX(primary_jama_2024_0318_domain,MATCH($A4,primary_jama_2024_0318_key,0)),$K4)="internal_nonstatistical",IF($K4="",INDEX(primary_jama_2024_0318_domain,MATCH($A4,primary_jama_2024_0318_key,0)),$K4)="plan_material")))</formula>
    </cfRule>
  </conditionalFormatting>
  <conditionalFormatting sqref="O5">
    <cfRule type="expression" priority="553" dxfId="0" stopIfTrue="1">
      <formula>AND(OR(AND(IF($J5="",INDEX(primary_jama_2024_0318_disposition,MATCH($A5,primary_jama_2024_0318_key,0)),$J5)&lt;&gt;"",IF($J5="",INDEX(primary_jama_2024_0318_disposition,MATCH($A5,primary_jama_2024_0318_key,0)),$J5)&lt;&gt;"retain"),NOT(OR(IF($K5="",INDEX(primary_jama_2024_0318_domain,MATCH($A5,primary_jama_2024_0318_key,0)),$K5)="internal_nonstatistical",IF($K5="",INDEX(primary_jama_2024_0318_domain,MATCH($A5,primary_jama_2024_0318_key,0)),$K5)="plan_material"))),O5&lt;&gt;"",O5&lt;&gt;"not_applicable")</formula>
    </cfRule>
    <cfRule type="expression" priority="554" dxfId="1">
      <formula>OR(AND(IF($J5="",INDEX(primary_jama_2024_0318_disposition,MATCH($A5,primary_jama_2024_0318_key,0)),$J5)&lt;&gt;"",IF($J5="",INDEX(primary_jama_2024_0318_disposition,MATCH($A5,primary_jama_2024_0318_key,0)),$J5)&lt;&gt;"retain"),NOT(OR(IF($K5="",INDEX(primary_jama_2024_0318_domain,MATCH($A5,primary_jama_2024_0318_key,0)),$K5)="internal_nonstatistical",IF($K5="",INDEX(primary_jama_2024_0318_domain,MATCH($A5,primary_jama_2024_0318_key,0)),$K5)="plan_material")))</formula>
    </cfRule>
  </conditionalFormatting>
  <conditionalFormatting sqref="O6">
    <cfRule type="expression" priority="555" dxfId="0" stopIfTrue="1">
      <formula>AND(OR(AND(IF($J6="",INDEX(primary_jama_2024_0318_disposition,MATCH($A6,primary_jama_2024_0318_key,0)),$J6)&lt;&gt;"",IF($J6="",INDEX(primary_jama_2024_0318_disposition,MATCH($A6,primary_jama_2024_0318_key,0)),$J6)&lt;&gt;"retain"),NOT(OR(IF($K6="",INDEX(primary_jama_2024_0318_domain,MATCH($A6,primary_jama_2024_0318_key,0)),$K6)="internal_nonstatistical",IF($K6="",INDEX(primary_jama_2024_0318_domain,MATCH($A6,primary_jama_2024_0318_key,0)),$K6)="plan_material"))),O6&lt;&gt;"",O6&lt;&gt;"not_applicable")</formula>
    </cfRule>
    <cfRule type="expression" priority="556" dxfId="1">
      <formula>OR(AND(IF($J6="",INDEX(primary_jama_2024_0318_disposition,MATCH($A6,primary_jama_2024_0318_key,0)),$J6)&lt;&gt;"",IF($J6="",INDEX(primary_jama_2024_0318_disposition,MATCH($A6,primary_jama_2024_0318_key,0)),$J6)&lt;&gt;"retain"),NOT(OR(IF($K6="",INDEX(primary_jama_2024_0318_domain,MATCH($A6,primary_jama_2024_0318_key,0)),$K6)="internal_nonstatistical",IF($K6="",INDEX(primary_jama_2024_0318_domain,MATCH($A6,primary_jama_2024_0318_key,0)),$K6)="plan_material")))</formula>
    </cfRule>
  </conditionalFormatting>
  <conditionalFormatting sqref="O7">
    <cfRule type="expression" priority="557" dxfId="0" stopIfTrue="1">
      <formula>AND(OR(AND(IF($J7="",INDEX(primary_jama_2024_0318_disposition,MATCH($A7,primary_jama_2024_0318_key,0)),$J7)&lt;&gt;"",IF($J7="",INDEX(primary_jama_2024_0318_disposition,MATCH($A7,primary_jama_2024_0318_key,0)),$J7)&lt;&gt;"retain"),NOT(OR(IF($K7="",INDEX(primary_jama_2024_0318_domain,MATCH($A7,primary_jama_2024_0318_key,0)),$K7)="internal_nonstatistical",IF($K7="",INDEX(primary_jama_2024_0318_domain,MATCH($A7,primary_jama_2024_0318_key,0)),$K7)="plan_material"))),O7&lt;&gt;"",O7&lt;&gt;"not_applicable")</formula>
    </cfRule>
    <cfRule type="expression" priority="558" dxfId="1">
      <formula>OR(AND(IF($J7="",INDEX(primary_jama_2024_0318_disposition,MATCH($A7,primary_jama_2024_0318_key,0)),$J7)&lt;&gt;"",IF($J7="",INDEX(primary_jama_2024_0318_disposition,MATCH($A7,primary_jama_2024_0318_key,0)),$J7)&lt;&gt;"retain"),NOT(OR(IF($K7="",INDEX(primary_jama_2024_0318_domain,MATCH($A7,primary_jama_2024_0318_key,0)),$K7)="internal_nonstatistical",IF($K7="",INDEX(primary_jama_2024_0318_domain,MATCH($A7,primary_jama_2024_0318_key,0)),$K7)="plan_material")))</formula>
    </cfRule>
  </conditionalFormatting>
  <conditionalFormatting sqref="O8">
    <cfRule type="expression" priority="559" dxfId="0" stopIfTrue="1">
      <formula>AND(OR(AND(IF($J8="",INDEX(primary_jama_2024_0572_disposition,MATCH($A8,primary_jama_2024_0572_key,0)),$J8)&lt;&gt;"",IF($J8="",INDEX(primary_jama_2024_0572_disposition,MATCH($A8,primary_jama_2024_0572_key,0)),$J8)&lt;&gt;"retain"),NOT(OR(IF($K8="",INDEX(primary_jama_2024_0572_domain,MATCH($A8,primary_jama_2024_0572_key,0)),$K8)="internal_nonstatistical",IF($K8="",INDEX(primary_jama_2024_0572_domain,MATCH($A8,primary_jama_2024_0572_key,0)),$K8)="plan_material"))),O8&lt;&gt;"",O8&lt;&gt;"not_applicable")</formula>
    </cfRule>
    <cfRule type="expression" priority="560" dxfId="1">
      <formula>OR(AND(IF($J8="",INDEX(primary_jama_2024_0572_disposition,MATCH($A8,primary_jama_2024_0572_key,0)),$J8)&lt;&gt;"",IF($J8="",INDEX(primary_jama_2024_0572_disposition,MATCH($A8,primary_jama_2024_0572_key,0)),$J8)&lt;&gt;"retain"),NOT(OR(IF($K8="",INDEX(primary_jama_2024_0572_domain,MATCH($A8,primary_jama_2024_0572_key,0)),$K8)="internal_nonstatistical",IF($K8="",INDEX(primary_jama_2024_0572_domain,MATCH($A8,primary_jama_2024_0572_key,0)),$K8)="plan_material")))</formula>
    </cfRule>
  </conditionalFormatting>
  <conditionalFormatting sqref="O9">
    <cfRule type="expression" priority="561" dxfId="0" stopIfTrue="1">
      <formula>AND(OR(AND(IF($J9="",INDEX(primary_jama_2024_0572_disposition,MATCH($A9,primary_jama_2024_0572_key,0)),$J9)&lt;&gt;"",IF($J9="",INDEX(primary_jama_2024_0572_disposition,MATCH($A9,primary_jama_2024_0572_key,0)),$J9)&lt;&gt;"retain"),NOT(OR(IF($K9="",INDEX(primary_jama_2024_0572_domain,MATCH($A9,primary_jama_2024_0572_key,0)),$K9)="internal_nonstatistical",IF($K9="",INDEX(primary_jama_2024_0572_domain,MATCH($A9,primary_jama_2024_0572_key,0)),$K9)="plan_material"))),O9&lt;&gt;"",O9&lt;&gt;"not_applicable")</formula>
    </cfRule>
    <cfRule type="expression" priority="562" dxfId="1">
      <formula>OR(AND(IF($J9="",INDEX(primary_jama_2024_0572_disposition,MATCH($A9,primary_jama_2024_0572_key,0)),$J9)&lt;&gt;"",IF($J9="",INDEX(primary_jama_2024_0572_disposition,MATCH($A9,primary_jama_2024_0572_key,0)),$J9)&lt;&gt;"retain"),NOT(OR(IF($K9="",INDEX(primary_jama_2024_0572_domain,MATCH($A9,primary_jama_2024_0572_key,0)),$K9)="internal_nonstatistical",IF($K9="",INDEX(primary_jama_2024_0572_domain,MATCH($A9,primary_jama_2024_0572_key,0)),$K9)="plan_material")))</formula>
    </cfRule>
  </conditionalFormatting>
  <conditionalFormatting sqref="O10">
    <cfRule type="expression" priority="563" dxfId="0" stopIfTrue="1">
      <formula>AND(OR(AND(IF($J10="",INDEX(primary_jama_2024_11057_disposition,MATCH($A10,primary_jama_2024_11057_key,0)),$J10)&lt;&gt;"",IF($J10="",INDEX(primary_jama_2024_11057_disposition,MATCH($A10,primary_jama_2024_11057_key,0)),$J10)&lt;&gt;"retain"),NOT(OR(IF($K10="",INDEX(primary_jama_2024_11057_domain,MATCH($A10,primary_jama_2024_11057_key,0)),$K10)="internal_nonstatistical",IF($K10="",INDEX(primary_jama_2024_11057_domain,MATCH($A10,primary_jama_2024_11057_key,0)),$K10)="plan_material"))),O10&lt;&gt;"",O10&lt;&gt;"not_applicable")</formula>
    </cfRule>
    <cfRule type="expression" priority="564" dxfId="1">
      <formula>OR(AND(IF($J10="",INDEX(primary_jama_2024_11057_disposition,MATCH($A10,primary_jama_2024_11057_key,0)),$J10)&lt;&gt;"",IF($J10="",INDEX(primary_jama_2024_11057_disposition,MATCH($A10,primary_jama_2024_11057_key,0)),$J10)&lt;&gt;"retain"),NOT(OR(IF($K10="",INDEX(primary_jama_2024_11057_domain,MATCH($A10,primary_jama_2024_11057_key,0)),$K10)="internal_nonstatistical",IF($K10="",INDEX(primary_jama_2024_11057_domain,MATCH($A10,primary_jama_2024_11057_key,0)),$K10)="plan_material")))</formula>
    </cfRule>
  </conditionalFormatting>
  <conditionalFormatting sqref="O11">
    <cfRule type="expression" priority="565" dxfId="0" stopIfTrue="1">
      <formula>AND(OR(AND(IF($J11="",INDEX(primary_jama_2024_11057_disposition,MATCH($A11,primary_jama_2024_11057_key,0)),$J11)&lt;&gt;"",IF($J11="",INDEX(primary_jama_2024_11057_disposition,MATCH($A11,primary_jama_2024_11057_key,0)),$J11)&lt;&gt;"retain"),NOT(OR(IF($K11="",INDEX(primary_jama_2024_11057_domain,MATCH($A11,primary_jama_2024_11057_key,0)),$K11)="internal_nonstatistical",IF($K11="",INDEX(primary_jama_2024_11057_domain,MATCH($A11,primary_jama_2024_11057_key,0)),$K11)="plan_material"))),O11&lt;&gt;"",O11&lt;&gt;"not_applicable")</formula>
    </cfRule>
    <cfRule type="expression" priority="566" dxfId="1">
      <formula>OR(AND(IF($J11="",INDEX(primary_jama_2024_11057_disposition,MATCH($A11,primary_jama_2024_11057_key,0)),$J11)&lt;&gt;"",IF($J11="",INDEX(primary_jama_2024_11057_disposition,MATCH($A11,primary_jama_2024_11057_key,0)),$J11)&lt;&gt;"retain"),NOT(OR(IF($K11="",INDEX(primary_jama_2024_11057_domain,MATCH($A11,primary_jama_2024_11057_key,0)),$K11)="internal_nonstatistical",IF($K11="",INDEX(primary_jama_2024_11057_domain,MATCH($A11,primary_jama_2024_11057_key,0)),$K11)="plan_material")))</formula>
    </cfRule>
  </conditionalFormatting>
  <conditionalFormatting sqref="O12">
    <cfRule type="expression" priority="567" dxfId="0" stopIfTrue="1">
      <formula>AND(OR(AND(IF($J12="",INDEX(primary_jama_2024_11057_disposition,MATCH($A12,primary_jama_2024_11057_key,0)),$J12)&lt;&gt;"",IF($J12="",INDEX(primary_jama_2024_11057_disposition,MATCH($A12,primary_jama_2024_11057_key,0)),$J12)&lt;&gt;"retain"),NOT(OR(IF($K12="",INDEX(primary_jama_2024_11057_domain,MATCH($A12,primary_jama_2024_11057_key,0)),$K12)="internal_nonstatistical",IF($K12="",INDEX(primary_jama_2024_11057_domain,MATCH($A12,primary_jama_2024_11057_key,0)),$K12)="plan_material"))),O12&lt;&gt;"",O12&lt;&gt;"not_applicable")</formula>
    </cfRule>
    <cfRule type="expression" priority="568" dxfId="1">
      <formula>OR(AND(IF($J12="",INDEX(primary_jama_2024_11057_disposition,MATCH($A12,primary_jama_2024_11057_key,0)),$J12)&lt;&gt;"",IF($J12="",INDEX(primary_jama_2024_11057_disposition,MATCH($A12,primary_jama_2024_11057_key,0)),$J12)&lt;&gt;"retain"),NOT(OR(IF($K12="",INDEX(primary_jama_2024_11057_domain,MATCH($A12,primary_jama_2024_11057_key,0)),$K12)="internal_nonstatistical",IF($K12="",INDEX(primary_jama_2024_11057_domain,MATCH($A12,primary_jama_2024_11057_key,0)),$K12)="plan_material")))</formula>
    </cfRule>
  </conditionalFormatting>
  <conditionalFormatting sqref="O13">
    <cfRule type="expression" priority="569" dxfId="0" stopIfTrue="1">
      <formula>AND(OR(AND(IF($J13="",INDEX(primary_jama_2024_12829_disposition,MATCH($A13,primary_jama_2024_12829_key,0)),$J13)&lt;&gt;"",IF($J13="",INDEX(primary_jama_2024_12829_disposition,MATCH($A13,primary_jama_2024_12829_key,0)),$J13)&lt;&gt;"retain"),NOT(OR(IF($K13="",INDEX(primary_jama_2024_12829_domain,MATCH($A13,primary_jama_2024_12829_key,0)),$K13)="internal_nonstatistical",IF($K13="",INDEX(primary_jama_2024_12829_domain,MATCH($A13,primary_jama_2024_12829_key,0)),$K13)="plan_material"))),O13&lt;&gt;"",O13&lt;&gt;"not_applicable")</formula>
    </cfRule>
    <cfRule type="expression" priority="570" dxfId="1">
      <formula>OR(AND(IF($J13="",INDEX(primary_jama_2024_12829_disposition,MATCH($A13,primary_jama_2024_12829_key,0)),$J13)&lt;&gt;"",IF($J13="",INDEX(primary_jama_2024_12829_disposition,MATCH($A13,primary_jama_2024_12829_key,0)),$J13)&lt;&gt;"retain"),NOT(OR(IF($K13="",INDEX(primary_jama_2024_12829_domain,MATCH($A13,primary_jama_2024_12829_key,0)),$K13)="internal_nonstatistical",IF($K13="",INDEX(primary_jama_2024_12829_domain,MATCH($A13,primary_jama_2024_12829_key,0)),$K13)="plan_material")))</formula>
    </cfRule>
  </conditionalFormatting>
  <conditionalFormatting sqref="O14">
    <cfRule type="expression" priority="571" dxfId="0" stopIfTrue="1">
      <formula>AND(OR(AND(IF($J14="",INDEX(primary_jama_2024_12829_disposition,MATCH($A14,primary_jama_2024_12829_key,0)),$J14)&lt;&gt;"",IF($J14="",INDEX(primary_jama_2024_12829_disposition,MATCH($A14,primary_jama_2024_12829_key,0)),$J14)&lt;&gt;"retain"),NOT(OR(IF($K14="",INDEX(primary_jama_2024_12829_domain,MATCH($A14,primary_jama_2024_12829_key,0)),$K14)="internal_nonstatistical",IF($K14="",INDEX(primary_jama_2024_12829_domain,MATCH($A14,primary_jama_2024_12829_key,0)),$K14)="plan_material"))),O14&lt;&gt;"",O14&lt;&gt;"not_applicable")</formula>
    </cfRule>
    <cfRule type="expression" priority="572" dxfId="1">
      <formula>OR(AND(IF($J14="",INDEX(primary_jama_2024_12829_disposition,MATCH($A14,primary_jama_2024_12829_key,0)),$J14)&lt;&gt;"",IF($J14="",INDEX(primary_jama_2024_12829_disposition,MATCH($A14,primary_jama_2024_12829_key,0)),$J14)&lt;&gt;"retain"),NOT(OR(IF($K14="",INDEX(primary_jama_2024_12829_domain,MATCH($A14,primary_jama_2024_12829_key,0)),$K14)="internal_nonstatistical",IF($K14="",INDEX(primary_jama_2024_12829_domain,MATCH($A14,primary_jama_2024_12829_key,0)),$K14)="plan_material")))</formula>
    </cfRule>
  </conditionalFormatting>
  <conditionalFormatting sqref="O15">
    <cfRule type="expression" priority="573" dxfId="0" stopIfTrue="1">
      <formula>AND(OR(AND(IF($J15="",INDEX(primary_jama_2024_12829_disposition,MATCH($A15,primary_jama_2024_12829_key,0)),$J15)&lt;&gt;"",IF($J15="",INDEX(primary_jama_2024_12829_disposition,MATCH($A15,primary_jama_2024_12829_key,0)),$J15)&lt;&gt;"retain"),NOT(OR(IF($K15="",INDEX(primary_jama_2024_12829_domain,MATCH($A15,primary_jama_2024_12829_key,0)),$K15)="internal_nonstatistical",IF($K15="",INDEX(primary_jama_2024_12829_domain,MATCH($A15,primary_jama_2024_12829_key,0)),$K15)="plan_material"))),O15&lt;&gt;"",O15&lt;&gt;"not_applicable")</formula>
    </cfRule>
    <cfRule type="expression" priority="574" dxfId="1">
      <formula>OR(AND(IF($J15="",INDEX(primary_jama_2024_12829_disposition,MATCH($A15,primary_jama_2024_12829_key,0)),$J15)&lt;&gt;"",IF($J15="",INDEX(primary_jama_2024_12829_disposition,MATCH($A15,primary_jama_2024_12829_key,0)),$J15)&lt;&gt;"retain"),NOT(OR(IF($K15="",INDEX(primary_jama_2024_12829_domain,MATCH($A15,primary_jama_2024_12829_key,0)),$K15)="internal_nonstatistical",IF($K15="",INDEX(primary_jama_2024_12829_domain,MATCH($A15,primary_jama_2024_12829_key,0)),$K15)="plan_material")))</formula>
    </cfRule>
  </conditionalFormatting>
  <conditionalFormatting sqref="O16">
    <cfRule type="expression" priority="575" dxfId="0" stopIfTrue="1">
      <formula>AND(OR(AND(IF($J16="",INDEX(primary_jama_2024_12829_disposition,MATCH($A16,primary_jama_2024_12829_key,0)),$J16)&lt;&gt;"",IF($J16="",INDEX(primary_jama_2024_12829_disposition,MATCH($A16,primary_jama_2024_12829_key,0)),$J16)&lt;&gt;"retain"),NOT(OR(IF($K16="",INDEX(primary_jama_2024_12829_domain,MATCH($A16,primary_jama_2024_12829_key,0)),$K16)="internal_nonstatistical",IF($K16="",INDEX(primary_jama_2024_12829_domain,MATCH($A16,primary_jama_2024_12829_key,0)),$K16)="plan_material"))),O16&lt;&gt;"",O16&lt;&gt;"not_applicable")</formula>
    </cfRule>
    <cfRule type="expression" priority="576" dxfId="1">
      <formula>OR(AND(IF($J16="",INDEX(primary_jama_2024_12829_disposition,MATCH($A16,primary_jama_2024_12829_key,0)),$J16)&lt;&gt;"",IF($J16="",INDEX(primary_jama_2024_12829_disposition,MATCH($A16,primary_jama_2024_12829_key,0)),$J16)&lt;&gt;"retain"),NOT(OR(IF($K16="",INDEX(primary_jama_2024_12829_domain,MATCH($A16,primary_jama_2024_12829_key,0)),$K16)="internal_nonstatistical",IF($K16="",INDEX(primary_jama_2024_12829_domain,MATCH($A16,primary_jama_2024_12829_key,0)),$K16)="plan_material")))</formula>
    </cfRule>
  </conditionalFormatting>
  <conditionalFormatting sqref="O17">
    <cfRule type="expression" priority="577" dxfId="0" stopIfTrue="1">
      <formula>AND(OR(AND(IF($J17="",INDEX(primary_jama_2024_12829_disposition,MATCH($A17,primary_jama_2024_12829_key,0)),$J17)&lt;&gt;"",IF($J17="",INDEX(primary_jama_2024_12829_disposition,MATCH($A17,primary_jama_2024_12829_key,0)),$J17)&lt;&gt;"retain"),NOT(OR(IF($K17="",INDEX(primary_jama_2024_12829_domain,MATCH($A17,primary_jama_2024_12829_key,0)),$K17)="internal_nonstatistical",IF($K17="",INDEX(primary_jama_2024_12829_domain,MATCH($A17,primary_jama_2024_12829_key,0)),$K17)="plan_material"))),O17&lt;&gt;"",O17&lt;&gt;"not_applicable")</formula>
    </cfRule>
    <cfRule type="expression" priority="578" dxfId="1">
      <formula>OR(AND(IF($J17="",INDEX(primary_jama_2024_12829_disposition,MATCH($A17,primary_jama_2024_12829_key,0)),$J17)&lt;&gt;"",IF($J17="",INDEX(primary_jama_2024_12829_disposition,MATCH($A17,primary_jama_2024_12829_key,0)),$J17)&lt;&gt;"retain"),NOT(OR(IF($K17="",INDEX(primary_jama_2024_12829_domain,MATCH($A17,primary_jama_2024_12829_key,0)),$K17)="internal_nonstatistical",IF($K17="",INDEX(primary_jama_2024_12829_domain,MATCH($A17,primary_jama_2024_12829_key,0)),$K17)="plan_material")))</formula>
    </cfRule>
  </conditionalFormatting>
  <conditionalFormatting sqref="O18">
    <cfRule type="expression" priority="579" dxfId="0" stopIfTrue="1">
      <formula>AND(OR(AND(IF($J18="",INDEX(primary_jama_2024_12829_disposition,MATCH($A18,primary_jama_2024_12829_key,0)),$J18)&lt;&gt;"",IF($J18="",INDEX(primary_jama_2024_12829_disposition,MATCH($A18,primary_jama_2024_12829_key,0)),$J18)&lt;&gt;"retain"),NOT(OR(IF($K18="",INDEX(primary_jama_2024_12829_domain,MATCH($A18,primary_jama_2024_12829_key,0)),$K18)="internal_nonstatistical",IF($K18="",INDEX(primary_jama_2024_12829_domain,MATCH($A18,primary_jama_2024_12829_key,0)),$K18)="plan_material"))),O18&lt;&gt;"",O18&lt;&gt;"not_applicable")</formula>
    </cfRule>
    <cfRule type="expression" priority="580" dxfId="1">
      <formula>OR(AND(IF($J18="",INDEX(primary_jama_2024_12829_disposition,MATCH($A18,primary_jama_2024_12829_key,0)),$J18)&lt;&gt;"",IF($J18="",INDEX(primary_jama_2024_12829_disposition,MATCH($A18,primary_jama_2024_12829_key,0)),$J18)&lt;&gt;"retain"),NOT(OR(IF($K18="",INDEX(primary_jama_2024_12829_domain,MATCH($A18,primary_jama_2024_12829_key,0)),$K18)="internal_nonstatistical",IF($K18="",INDEX(primary_jama_2024_12829_domain,MATCH($A18,primary_jama_2024_12829_key,0)),$K18)="plan_material")))</formula>
    </cfRule>
  </conditionalFormatting>
  <conditionalFormatting sqref="O19">
    <cfRule type="expression" priority="581" dxfId="0" stopIfTrue="1">
      <formula>AND(OR(AND(IF($J19="",INDEX(primary_jama_2024_12829_disposition,MATCH($A19,primary_jama_2024_12829_key,0)),$J19)&lt;&gt;"",IF($J19="",INDEX(primary_jama_2024_12829_disposition,MATCH($A19,primary_jama_2024_12829_key,0)),$J19)&lt;&gt;"retain"),NOT(OR(IF($K19="",INDEX(primary_jama_2024_12829_domain,MATCH($A19,primary_jama_2024_12829_key,0)),$K19)="internal_nonstatistical",IF($K19="",INDEX(primary_jama_2024_12829_domain,MATCH($A19,primary_jama_2024_12829_key,0)),$K19)="plan_material"))),O19&lt;&gt;"",O19&lt;&gt;"not_applicable")</formula>
    </cfRule>
    <cfRule type="expression" priority="582" dxfId="1">
      <formula>OR(AND(IF($J19="",INDEX(primary_jama_2024_12829_disposition,MATCH($A19,primary_jama_2024_12829_key,0)),$J19)&lt;&gt;"",IF($J19="",INDEX(primary_jama_2024_12829_disposition,MATCH($A19,primary_jama_2024_12829_key,0)),$J19)&lt;&gt;"retain"),NOT(OR(IF($K19="",INDEX(primary_jama_2024_12829_domain,MATCH($A19,primary_jama_2024_12829_key,0)),$K19)="internal_nonstatistical",IF($K19="",INDEX(primary_jama_2024_12829_domain,MATCH($A19,primary_jama_2024_12829_key,0)),$K19)="plan_material")))</formula>
    </cfRule>
  </conditionalFormatting>
  <conditionalFormatting sqref="O20">
    <cfRule type="expression" priority="583" dxfId="0" stopIfTrue="1">
      <formula>AND(OR(AND(IF($J20="",INDEX(primary_jama_2024_12829_disposition,MATCH($A20,primary_jama_2024_12829_key,0)),$J20)&lt;&gt;"",IF($J20="",INDEX(primary_jama_2024_12829_disposition,MATCH($A20,primary_jama_2024_12829_key,0)),$J20)&lt;&gt;"retain"),NOT(OR(IF($K20="",INDEX(primary_jama_2024_12829_domain,MATCH($A20,primary_jama_2024_12829_key,0)),$K20)="internal_nonstatistical",IF($K20="",INDEX(primary_jama_2024_12829_domain,MATCH($A20,primary_jama_2024_12829_key,0)),$K20)="plan_material"))),O20&lt;&gt;"",O20&lt;&gt;"not_applicable")</formula>
    </cfRule>
    <cfRule type="expression" priority="584" dxfId="1">
      <formula>OR(AND(IF($J20="",INDEX(primary_jama_2024_12829_disposition,MATCH($A20,primary_jama_2024_12829_key,0)),$J20)&lt;&gt;"",IF($J20="",INDEX(primary_jama_2024_12829_disposition,MATCH($A20,primary_jama_2024_12829_key,0)),$J20)&lt;&gt;"retain"),NOT(OR(IF($K20="",INDEX(primary_jama_2024_12829_domain,MATCH($A20,primary_jama_2024_12829_key,0)),$K20)="internal_nonstatistical",IF($K20="",INDEX(primary_jama_2024_12829_domain,MATCH($A20,primary_jama_2024_12829_key,0)),$K20)="plan_material")))</formula>
    </cfRule>
  </conditionalFormatting>
  <conditionalFormatting sqref="O21">
    <cfRule type="expression" priority="585" dxfId="0" stopIfTrue="1">
      <formula>AND(OR(AND(IF($J21="",INDEX(primary_jama_2024_12829_disposition,MATCH($A21,primary_jama_2024_12829_key,0)),$J21)&lt;&gt;"",IF($J21="",INDEX(primary_jama_2024_12829_disposition,MATCH($A21,primary_jama_2024_12829_key,0)),$J21)&lt;&gt;"retain"),NOT(OR(IF($K21="",INDEX(primary_jama_2024_12829_domain,MATCH($A21,primary_jama_2024_12829_key,0)),$K21)="internal_nonstatistical",IF($K21="",INDEX(primary_jama_2024_12829_domain,MATCH($A21,primary_jama_2024_12829_key,0)),$K21)="plan_material"))),O21&lt;&gt;"",O21&lt;&gt;"not_applicable")</formula>
    </cfRule>
    <cfRule type="expression" priority="586" dxfId="1">
      <formula>OR(AND(IF($J21="",INDEX(primary_jama_2024_12829_disposition,MATCH($A21,primary_jama_2024_12829_key,0)),$J21)&lt;&gt;"",IF($J21="",INDEX(primary_jama_2024_12829_disposition,MATCH($A21,primary_jama_2024_12829_key,0)),$J21)&lt;&gt;"retain"),NOT(OR(IF($K21="",INDEX(primary_jama_2024_12829_domain,MATCH($A21,primary_jama_2024_12829_key,0)),$K21)="internal_nonstatistical",IF($K21="",INDEX(primary_jama_2024_12829_domain,MATCH($A21,primary_jama_2024_12829_key,0)),$K21)="plan_material")))</formula>
    </cfRule>
  </conditionalFormatting>
  <conditionalFormatting sqref="O22">
    <cfRule type="expression" priority="587" dxfId="0" stopIfTrue="1">
      <formula>AND(OR(AND(IF($J22="",INDEX(primary_jama_2024_12829_disposition,MATCH($A22,primary_jama_2024_12829_key,0)),$J22)&lt;&gt;"",IF($J22="",INDEX(primary_jama_2024_12829_disposition,MATCH($A22,primary_jama_2024_12829_key,0)),$J22)&lt;&gt;"retain"),NOT(OR(IF($K22="",INDEX(primary_jama_2024_12829_domain,MATCH($A22,primary_jama_2024_12829_key,0)),$K22)="internal_nonstatistical",IF($K22="",INDEX(primary_jama_2024_12829_domain,MATCH($A22,primary_jama_2024_12829_key,0)),$K22)="plan_material"))),O22&lt;&gt;"",O22&lt;&gt;"not_applicable")</formula>
    </cfRule>
    <cfRule type="expression" priority="588" dxfId="1">
      <formula>OR(AND(IF($J22="",INDEX(primary_jama_2024_12829_disposition,MATCH($A22,primary_jama_2024_12829_key,0)),$J22)&lt;&gt;"",IF($J22="",INDEX(primary_jama_2024_12829_disposition,MATCH($A22,primary_jama_2024_12829_key,0)),$J22)&lt;&gt;"retain"),NOT(OR(IF($K22="",INDEX(primary_jama_2024_12829_domain,MATCH($A22,primary_jama_2024_12829_key,0)),$K22)="internal_nonstatistical",IF($K22="",INDEX(primary_jama_2024_12829_domain,MATCH($A22,primary_jama_2024_12829_key,0)),$K22)="plan_material")))</formula>
    </cfRule>
  </conditionalFormatting>
  <conditionalFormatting sqref="O23">
    <cfRule type="expression" priority="589" dxfId="0" stopIfTrue="1">
      <formula>AND(OR(AND(IF($J23="",INDEX(primary_jama_2024_12829_disposition,MATCH($A23,primary_jama_2024_12829_key,0)),$J23)&lt;&gt;"",IF($J23="",INDEX(primary_jama_2024_12829_disposition,MATCH($A23,primary_jama_2024_12829_key,0)),$J23)&lt;&gt;"retain"),NOT(OR(IF($K23="",INDEX(primary_jama_2024_12829_domain,MATCH($A23,primary_jama_2024_12829_key,0)),$K23)="internal_nonstatistical",IF($K23="",INDEX(primary_jama_2024_12829_domain,MATCH($A23,primary_jama_2024_12829_key,0)),$K23)="plan_material"))),O23&lt;&gt;"",O23&lt;&gt;"not_applicable")</formula>
    </cfRule>
    <cfRule type="expression" priority="590" dxfId="1">
      <formula>OR(AND(IF($J23="",INDEX(primary_jama_2024_12829_disposition,MATCH($A23,primary_jama_2024_12829_key,0)),$J23)&lt;&gt;"",IF($J23="",INDEX(primary_jama_2024_12829_disposition,MATCH($A23,primary_jama_2024_12829_key,0)),$J23)&lt;&gt;"retain"),NOT(OR(IF($K23="",INDEX(primary_jama_2024_12829_domain,MATCH($A23,primary_jama_2024_12829_key,0)),$K23)="internal_nonstatistical",IF($K23="",INDEX(primary_jama_2024_12829_domain,MATCH($A23,primary_jama_2024_12829_key,0)),$K23)="plan_material")))</formula>
    </cfRule>
  </conditionalFormatting>
  <conditionalFormatting sqref="O24">
    <cfRule type="expression" priority="591" dxfId="0" stopIfTrue="1">
      <formula>AND(OR(AND(IF($J24="",INDEX(primary_jama_2024_12829_disposition,MATCH($A24,primary_jama_2024_12829_key,0)),$J24)&lt;&gt;"",IF($J24="",INDEX(primary_jama_2024_12829_disposition,MATCH($A24,primary_jama_2024_12829_key,0)),$J24)&lt;&gt;"retain"),NOT(OR(IF($K24="",INDEX(primary_jama_2024_12829_domain,MATCH($A24,primary_jama_2024_12829_key,0)),$K24)="internal_nonstatistical",IF($K24="",INDEX(primary_jama_2024_12829_domain,MATCH($A24,primary_jama_2024_12829_key,0)),$K24)="plan_material"))),O24&lt;&gt;"",O24&lt;&gt;"not_applicable")</formula>
    </cfRule>
    <cfRule type="expression" priority="592" dxfId="1">
      <formula>OR(AND(IF($J24="",INDEX(primary_jama_2024_12829_disposition,MATCH($A24,primary_jama_2024_12829_key,0)),$J24)&lt;&gt;"",IF($J24="",INDEX(primary_jama_2024_12829_disposition,MATCH($A24,primary_jama_2024_12829_key,0)),$J24)&lt;&gt;"retain"),NOT(OR(IF($K24="",INDEX(primary_jama_2024_12829_domain,MATCH($A24,primary_jama_2024_12829_key,0)),$K24)="internal_nonstatistical",IF($K24="",INDEX(primary_jama_2024_12829_domain,MATCH($A24,primary_jama_2024_12829_key,0)),$K24)="plan_material")))</formula>
    </cfRule>
  </conditionalFormatting>
  <conditionalFormatting sqref="O25">
    <cfRule type="expression" priority="593" dxfId="0" stopIfTrue="1">
      <formula>AND(OR(AND(IF($J25="",INDEX(primary_jama_2024_12829_disposition,MATCH($A25,primary_jama_2024_12829_key,0)),$J25)&lt;&gt;"",IF($J25="",INDEX(primary_jama_2024_12829_disposition,MATCH($A25,primary_jama_2024_12829_key,0)),$J25)&lt;&gt;"retain"),NOT(OR(IF($K25="",INDEX(primary_jama_2024_12829_domain,MATCH($A25,primary_jama_2024_12829_key,0)),$K25)="internal_nonstatistical",IF($K25="",INDEX(primary_jama_2024_12829_domain,MATCH($A25,primary_jama_2024_12829_key,0)),$K25)="plan_material"))),O25&lt;&gt;"",O25&lt;&gt;"not_applicable")</formula>
    </cfRule>
    <cfRule type="expression" priority="594" dxfId="1">
      <formula>OR(AND(IF($J25="",INDEX(primary_jama_2024_12829_disposition,MATCH($A25,primary_jama_2024_12829_key,0)),$J25)&lt;&gt;"",IF($J25="",INDEX(primary_jama_2024_12829_disposition,MATCH($A25,primary_jama_2024_12829_key,0)),$J25)&lt;&gt;"retain"),NOT(OR(IF($K25="",INDEX(primary_jama_2024_12829_domain,MATCH($A25,primary_jama_2024_12829_key,0)),$K25)="internal_nonstatistical",IF($K25="",INDEX(primary_jama_2024_12829_domain,MATCH($A25,primary_jama_2024_12829_key,0)),$K25)="plan_material")))</formula>
    </cfRule>
  </conditionalFormatting>
  <conditionalFormatting sqref="O26">
    <cfRule type="expression" priority="595" dxfId="0" stopIfTrue="1">
      <formula>AND(OR(AND(IF($J26="",INDEX(primary_jama_2024_12829_disposition,MATCH($A26,primary_jama_2024_12829_key,0)),$J26)&lt;&gt;"",IF($J26="",INDEX(primary_jama_2024_12829_disposition,MATCH($A26,primary_jama_2024_12829_key,0)),$J26)&lt;&gt;"retain"),NOT(OR(IF($K26="",INDEX(primary_jama_2024_12829_domain,MATCH($A26,primary_jama_2024_12829_key,0)),$K26)="internal_nonstatistical",IF($K26="",INDEX(primary_jama_2024_12829_domain,MATCH($A26,primary_jama_2024_12829_key,0)),$K26)="plan_material"))),O26&lt;&gt;"",O26&lt;&gt;"not_applicable")</formula>
    </cfRule>
    <cfRule type="expression" priority="596" dxfId="1">
      <formula>OR(AND(IF($J26="",INDEX(primary_jama_2024_12829_disposition,MATCH($A26,primary_jama_2024_12829_key,0)),$J26)&lt;&gt;"",IF($J26="",INDEX(primary_jama_2024_12829_disposition,MATCH($A26,primary_jama_2024_12829_key,0)),$J26)&lt;&gt;"retain"),NOT(OR(IF($K26="",INDEX(primary_jama_2024_12829_domain,MATCH($A26,primary_jama_2024_12829_key,0)),$K26)="internal_nonstatistical",IF($K26="",INDEX(primary_jama_2024_12829_domain,MATCH($A26,primary_jama_2024_12829_key,0)),$K26)="plan_material")))</formula>
    </cfRule>
  </conditionalFormatting>
  <conditionalFormatting sqref="O27">
    <cfRule type="expression" priority="597" dxfId="0" stopIfTrue="1">
      <formula>AND(OR(AND(IF($J27="",INDEX(primary_jama_2024_12829_disposition,MATCH($A27,primary_jama_2024_12829_key,0)),$J27)&lt;&gt;"",IF($J27="",INDEX(primary_jama_2024_12829_disposition,MATCH($A27,primary_jama_2024_12829_key,0)),$J27)&lt;&gt;"retain"),NOT(OR(IF($K27="",INDEX(primary_jama_2024_12829_domain,MATCH($A27,primary_jama_2024_12829_key,0)),$K27)="internal_nonstatistical",IF($K27="",INDEX(primary_jama_2024_12829_domain,MATCH($A27,primary_jama_2024_12829_key,0)),$K27)="plan_material"))),O27&lt;&gt;"",O27&lt;&gt;"not_applicable")</formula>
    </cfRule>
    <cfRule type="expression" priority="598" dxfId="1">
      <formula>OR(AND(IF($J27="",INDEX(primary_jama_2024_12829_disposition,MATCH($A27,primary_jama_2024_12829_key,0)),$J27)&lt;&gt;"",IF($J27="",INDEX(primary_jama_2024_12829_disposition,MATCH($A27,primary_jama_2024_12829_key,0)),$J27)&lt;&gt;"retain"),NOT(OR(IF($K27="",INDEX(primary_jama_2024_12829_domain,MATCH($A27,primary_jama_2024_12829_key,0)),$K27)="internal_nonstatistical",IF($K27="",INDEX(primary_jama_2024_12829_domain,MATCH($A27,primary_jama_2024_12829_key,0)),$K27)="plan_material")))</formula>
    </cfRule>
  </conditionalFormatting>
  <conditionalFormatting sqref="O28">
    <cfRule type="expression" priority="599" dxfId="0" stopIfTrue="1">
      <formula>AND(OR(AND(IF($J28="",INDEX(primary_jama_2024_12829_disposition,MATCH($A28,primary_jama_2024_12829_key,0)),$J28)&lt;&gt;"",IF($J28="",INDEX(primary_jama_2024_12829_disposition,MATCH($A28,primary_jama_2024_12829_key,0)),$J28)&lt;&gt;"retain"),NOT(OR(IF($K28="",INDEX(primary_jama_2024_12829_domain,MATCH($A28,primary_jama_2024_12829_key,0)),$K28)="internal_nonstatistical",IF($K28="",INDEX(primary_jama_2024_12829_domain,MATCH($A28,primary_jama_2024_12829_key,0)),$K28)="plan_material"))),O28&lt;&gt;"",O28&lt;&gt;"not_applicable")</formula>
    </cfRule>
    <cfRule type="expression" priority="600" dxfId="1">
      <formula>OR(AND(IF($J28="",INDEX(primary_jama_2024_12829_disposition,MATCH($A28,primary_jama_2024_12829_key,0)),$J28)&lt;&gt;"",IF($J28="",INDEX(primary_jama_2024_12829_disposition,MATCH($A28,primary_jama_2024_12829_key,0)),$J28)&lt;&gt;"retain"),NOT(OR(IF($K28="",INDEX(primary_jama_2024_12829_domain,MATCH($A28,primary_jama_2024_12829_key,0)),$K28)="internal_nonstatistical",IF($K28="",INDEX(primary_jama_2024_12829_domain,MATCH($A28,primary_jama_2024_12829_key,0)),$K28)="plan_material")))</formula>
    </cfRule>
  </conditionalFormatting>
  <conditionalFormatting sqref="O29">
    <cfRule type="expression" priority="601" dxfId="0" stopIfTrue="1">
      <formula>AND(OR(AND(IF($J29="",INDEX(primary_jama_2024_12829_disposition,MATCH($A29,primary_jama_2024_12829_key,0)),$J29)&lt;&gt;"",IF($J29="",INDEX(primary_jama_2024_12829_disposition,MATCH($A29,primary_jama_2024_12829_key,0)),$J29)&lt;&gt;"retain"),NOT(OR(IF($K29="",INDEX(primary_jama_2024_12829_domain,MATCH($A29,primary_jama_2024_12829_key,0)),$K29)="internal_nonstatistical",IF($K29="",INDEX(primary_jama_2024_12829_domain,MATCH($A29,primary_jama_2024_12829_key,0)),$K29)="plan_material"))),O29&lt;&gt;"",O29&lt;&gt;"not_applicable")</formula>
    </cfRule>
    <cfRule type="expression" priority="602" dxfId="1">
      <formula>OR(AND(IF($J29="",INDEX(primary_jama_2024_12829_disposition,MATCH($A29,primary_jama_2024_12829_key,0)),$J29)&lt;&gt;"",IF($J29="",INDEX(primary_jama_2024_12829_disposition,MATCH($A29,primary_jama_2024_12829_key,0)),$J29)&lt;&gt;"retain"),NOT(OR(IF($K29="",INDEX(primary_jama_2024_12829_domain,MATCH($A29,primary_jama_2024_12829_key,0)),$K29)="internal_nonstatistical",IF($K29="",INDEX(primary_jama_2024_12829_domain,MATCH($A29,primary_jama_2024_12829_key,0)),$K29)="plan_material")))</formula>
    </cfRule>
  </conditionalFormatting>
  <conditionalFormatting sqref="O30">
    <cfRule type="expression" priority="603" dxfId="0" stopIfTrue="1">
      <formula>AND(OR(AND(IF($J30="",INDEX(primary_jama_2024_19585_disposition,MATCH($A30,primary_jama_2024_19585_key,0)),$J30)&lt;&gt;"",IF($J30="",INDEX(primary_jama_2024_19585_disposition,MATCH($A30,primary_jama_2024_19585_key,0)),$J30)&lt;&gt;"retain"),NOT(OR(IF($K30="",INDEX(primary_jama_2024_19585_domain,MATCH($A30,primary_jama_2024_19585_key,0)),$K30)="internal_nonstatistical",IF($K30="",INDEX(primary_jama_2024_19585_domain,MATCH($A30,primary_jama_2024_19585_key,0)),$K30)="plan_material"))),O30&lt;&gt;"",O30&lt;&gt;"not_applicable")</formula>
    </cfRule>
    <cfRule type="expression" priority="604" dxfId="1">
      <formula>OR(AND(IF($J30="",INDEX(primary_jama_2024_19585_disposition,MATCH($A30,primary_jama_2024_19585_key,0)),$J30)&lt;&gt;"",IF($J30="",INDEX(primary_jama_2024_19585_disposition,MATCH($A30,primary_jama_2024_19585_key,0)),$J30)&lt;&gt;"retain"),NOT(OR(IF($K30="",INDEX(primary_jama_2024_19585_domain,MATCH($A30,primary_jama_2024_19585_key,0)),$K30)="internal_nonstatistical",IF($K30="",INDEX(primary_jama_2024_19585_domain,MATCH($A30,primary_jama_2024_19585_key,0)),$K30)="plan_material")))</formula>
    </cfRule>
  </conditionalFormatting>
  <conditionalFormatting sqref="O31">
    <cfRule type="expression" priority="605" dxfId="0" stopIfTrue="1">
      <formula>AND(OR(AND(IF($J31="",INDEX(primary_jama_2024_19585_disposition,MATCH($A31,primary_jama_2024_19585_key,0)),$J31)&lt;&gt;"",IF($J31="",INDEX(primary_jama_2024_19585_disposition,MATCH($A31,primary_jama_2024_19585_key,0)),$J31)&lt;&gt;"retain"),NOT(OR(IF($K31="",INDEX(primary_jama_2024_19585_domain,MATCH($A31,primary_jama_2024_19585_key,0)),$K31)="internal_nonstatistical",IF($K31="",INDEX(primary_jama_2024_19585_domain,MATCH($A31,primary_jama_2024_19585_key,0)),$K31)="plan_material"))),O31&lt;&gt;"",O31&lt;&gt;"not_applicable")</formula>
    </cfRule>
    <cfRule type="expression" priority="606" dxfId="1">
      <formula>OR(AND(IF($J31="",INDEX(primary_jama_2024_19585_disposition,MATCH($A31,primary_jama_2024_19585_key,0)),$J31)&lt;&gt;"",IF($J31="",INDEX(primary_jama_2024_19585_disposition,MATCH($A31,primary_jama_2024_19585_key,0)),$J31)&lt;&gt;"retain"),NOT(OR(IF($K31="",INDEX(primary_jama_2024_19585_domain,MATCH($A31,primary_jama_2024_19585_key,0)),$K31)="internal_nonstatistical",IF($K31="",INDEX(primary_jama_2024_19585_domain,MATCH($A31,primary_jama_2024_19585_key,0)),$K31)="plan_material")))</formula>
    </cfRule>
  </conditionalFormatting>
  <conditionalFormatting sqref="O32">
    <cfRule type="expression" priority="607" dxfId="0" stopIfTrue="1">
      <formula>AND(OR(AND(IF($J32="",INDEX(primary_jama_2024_19585_disposition,MATCH($A32,primary_jama_2024_19585_key,0)),$J32)&lt;&gt;"",IF($J32="",INDEX(primary_jama_2024_19585_disposition,MATCH($A32,primary_jama_2024_19585_key,0)),$J32)&lt;&gt;"retain"),NOT(OR(IF($K32="",INDEX(primary_jama_2024_19585_domain,MATCH($A32,primary_jama_2024_19585_key,0)),$K32)="internal_nonstatistical",IF($K32="",INDEX(primary_jama_2024_19585_domain,MATCH($A32,primary_jama_2024_19585_key,0)),$K32)="plan_material"))),O32&lt;&gt;"",O32&lt;&gt;"not_applicable")</formula>
    </cfRule>
    <cfRule type="expression" priority="608" dxfId="1">
      <formula>OR(AND(IF($J32="",INDEX(primary_jama_2024_19585_disposition,MATCH($A32,primary_jama_2024_19585_key,0)),$J32)&lt;&gt;"",IF($J32="",INDEX(primary_jama_2024_19585_disposition,MATCH($A32,primary_jama_2024_19585_key,0)),$J32)&lt;&gt;"retain"),NOT(OR(IF($K32="",INDEX(primary_jama_2024_19585_domain,MATCH($A32,primary_jama_2024_19585_key,0)),$K32)="internal_nonstatistical",IF($K32="",INDEX(primary_jama_2024_19585_domain,MATCH($A32,primary_jama_2024_19585_key,0)),$K32)="plan_material")))</formula>
    </cfRule>
  </conditionalFormatting>
  <conditionalFormatting sqref="O33">
    <cfRule type="expression" priority="609" dxfId="0" stopIfTrue="1">
      <formula>AND(OR(AND(IF($J33="",INDEX(primary_jama_2024_2302_disposition,MATCH($A33,primary_jama_2024_2302_key,0)),$J33)&lt;&gt;"",IF($J33="",INDEX(primary_jama_2024_2302_disposition,MATCH($A33,primary_jama_2024_2302_key,0)),$J33)&lt;&gt;"retain"),NOT(OR(IF($K33="",INDEX(primary_jama_2024_2302_domain,MATCH($A33,primary_jama_2024_2302_key,0)),$K33)="internal_nonstatistical",IF($K33="",INDEX(primary_jama_2024_2302_domain,MATCH($A33,primary_jama_2024_2302_key,0)),$K33)="plan_material"))),O33&lt;&gt;"",O33&lt;&gt;"not_applicable")</formula>
    </cfRule>
    <cfRule type="expression" priority="610" dxfId="1">
      <formula>OR(AND(IF($J33="",INDEX(primary_jama_2024_2302_disposition,MATCH($A33,primary_jama_2024_2302_key,0)),$J33)&lt;&gt;"",IF($J33="",INDEX(primary_jama_2024_2302_disposition,MATCH($A33,primary_jama_2024_2302_key,0)),$J33)&lt;&gt;"retain"),NOT(OR(IF($K33="",INDEX(primary_jama_2024_2302_domain,MATCH($A33,primary_jama_2024_2302_key,0)),$K33)="internal_nonstatistical",IF($K33="",INDEX(primary_jama_2024_2302_domain,MATCH($A33,primary_jama_2024_2302_key,0)),$K33)="plan_material")))</formula>
    </cfRule>
  </conditionalFormatting>
  <conditionalFormatting sqref="O34">
    <cfRule type="expression" priority="611" dxfId="0" stopIfTrue="1">
      <formula>AND(OR(AND(IF($J34="",INDEX(primary_jama_2024_2302_disposition,MATCH($A34,primary_jama_2024_2302_key,0)),$J34)&lt;&gt;"",IF($J34="",INDEX(primary_jama_2024_2302_disposition,MATCH($A34,primary_jama_2024_2302_key,0)),$J34)&lt;&gt;"retain"),NOT(OR(IF($K34="",INDEX(primary_jama_2024_2302_domain,MATCH($A34,primary_jama_2024_2302_key,0)),$K34)="internal_nonstatistical",IF($K34="",INDEX(primary_jama_2024_2302_domain,MATCH($A34,primary_jama_2024_2302_key,0)),$K34)="plan_material"))),O34&lt;&gt;"",O34&lt;&gt;"not_applicable")</formula>
    </cfRule>
    <cfRule type="expression" priority="612" dxfId="1">
      <formula>OR(AND(IF($J34="",INDEX(primary_jama_2024_2302_disposition,MATCH($A34,primary_jama_2024_2302_key,0)),$J34)&lt;&gt;"",IF($J34="",INDEX(primary_jama_2024_2302_disposition,MATCH($A34,primary_jama_2024_2302_key,0)),$J34)&lt;&gt;"retain"),NOT(OR(IF($K34="",INDEX(primary_jama_2024_2302_domain,MATCH($A34,primary_jama_2024_2302_key,0)),$K34)="internal_nonstatistical",IF($K34="",INDEX(primary_jama_2024_2302_domain,MATCH($A34,primary_jama_2024_2302_key,0)),$K34)="plan_material")))</formula>
    </cfRule>
  </conditionalFormatting>
  <conditionalFormatting sqref="O35">
    <cfRule type="expression" priority="613" dxfId="0" stopIfTrue="1">
      <formula>AND(OR(AND(IF($J35="",INDEX(primary_jama_2024_2302_disposition,MATCH($A35,primary_jama_2024_2302_key,0)),$J35)&lt;&gt;"",IF($J35="",INDEX(primary_jama_2024_2302_disposition,MATCH($A35,primary_jama_2024_2302_key,0)),$J35)&lt;&gt;"retain"),NOT(OR(IF($K35="",INDEX(primary_jama_2024_2302_domain,MATCH($A35,primary_jama_2024_2302_key,0)),$K35)="internal_nonstatistical",IF($K35="",INDEX(primary_jama_2024_2302_domain,MATCH($A35,primary_jama_2024_2302_key,0)),$K35)="plan_material"))),O35&lt;&gt;"",O35&lt;&gt;"not_applicable")</formula>
    </cfRule>
    <cfRule type="expression" priority="614" dxfId="1">
      <formula>OR(AND(IF($J35="",INDEX(primary_jama_2024_2302_disposition,MATCH($A35,primary_jama_2024_2302_key,0)),$J35)&lt;&gt;"",IF($J35="",INDEX(primary_jama_2024_2302_disposition,MATCH($A35,primary_jama_2024_2302_key,0)),$J35)&lt;&gt;"retain"),NOT(OR(IF($K35="",INDEX(primary_jama_2024_2302_domain,MATCH($A35,primary_jama_2024_2302_key,0)),$K35)="internal_nonstatistical",IF($K35="",INDEX(primary_jama_2024_2302_domain,MATCH($A35,primary_jama_2024_2302_key,0)),$K35)="plan_material")))</formula>
    </cfRule>
  </conditionalFormatting>
  <conditionalFormatting sqref="O36">
    <cfRule type="expression" priority="615" dxfId="0" stopIfTrue="1">
      <formula>AND(OR(AND(IF($J36="",INDEX(primary_jama_2024_2302_disposition,MATCH($A36,primary_jama_2024_2302_key,0)),$J36)&lt;&gt;"",IF($J36="",INDEX(primary_jama_2024_2302_disposition,MATCH($A36,primary_jama_2024_2302_key,0)),$J36)&lt;&gt;"retain"),NOT(OR(IF($K36="",INDEX(primary_jama_2024_2302_domain,MATCH($A36,primary_jama_2024_2302_key,0)),$K36)="internal_nonstatistical",IF($K36="",INDEX(primary_jama_2024_2302_domain,MATCH($A36,primary_jama_2024_2302_key,0)),$K36)="plan_material"))),O36&lt;&gt;"",O36&lt;&gt;"not_applicable")</formula>
    </cfRule>
    <cfRule type="expression" priority="616" dxfId="1">
      <formula>OR(AND(IF($J36="",INDEX(primary_jama_2024_2302_disposition,MATCH($A36,primary_jama_2024_2302_key,0)),$J36)&lt;&gt;"",IF($J36="",INDEX(primary_jama_2024_2302_disposition,MATCH($A36,primary_jama_2024_2302_key,0)),$J36)&lt;&gt;"retain"),NOT(OR(IF($K36="",INDEX(primary_jama_2024_2302_domain,MATCH($A36,primary_jama_2024_2302_key,0)),$K36)="internal_nonstatistical",IF($K36="",INDEX(primary_jama_2024_2302_domain,MATCH($A36,primary_jama_2024_2302_key,0)),$K36)="plan_material")))</formula>
    </cfRule>
  </conditionalFormatting>
  <conditionalFormatting sqref="O37">
    <cfRule type="expression" priority="617" dxfId="0" stopIfTrue="1">
      <formula>AND(OR(AND(IF($J37="",INDEX(primary_jama_2024_2302_disposition,MATCH($A37,primary_jama_2024_2302_key,0)),$J37)&lt;&gt;"",IF($J37="",INDEX(primary_jama_2024_2302_disposition,MATCH($A37,primary_jama_2024_2302_key,0)),$J37)&lt;&gt;"retain"),NOT(OR(IF($K37="",INDEX(primary_jama_2024_2302_domain,MATCH($A37,primary_jama_2024_2302_key,0)),$K37)="internal_nonstatistical",IF($K37="",INDEX(primary_jama_2024_2302_domain,MATCH($A37,primary_jama_2024_2302_key,0)),$K37)="plan_material"))),O37&lt;&gt;"",O37&lt;&gt;"not_applicable")</formula>
    </cfRule>
    <cfRule type="expression" priority="618" dxfId="1">
      <formula>OR(AND(IF($J37="",INDEX(primary_jama_2024_2302_disposition,MATCH($A37,primary_jama_2024_2302_key,0)),$J37)&lt;&gt;"",IF($J37="",INDEX(primary_jama_2024_2302_disposition,MATCH($A37,primary_jama_2024_2302_key,0)),$J37)&lt;&gt;"retain"),NOT(OR(IF($K37="",INDEX(primary_jama_2024_2302_domain,MATCH($A37,primary_jama_2024_2302_key,0)),$K37)="internal_nonstatistical",IF($K37="",INDEX(primary_jama_2024_2302_domain,MATCH($A37,primary_jama_2024_2302_key,0)),$K37)="plan_material")))</formula>
    </cfRule>
  </conditionalFormatting>
  <conditionalFormatting sqref="O38">
    <cfRule type="expression" priority="619" dxfId="0" stopIfTrue="1">
      <formula>AND(OR(AND(IF($J38="",INDEX(primary_jama_2024_23898_disposition,MATCH($A38,primary_jama_2024_23898_key,0)),$J38)&lt;&gt;"",IF($J38="",INDEX(primary_jama_2024_23898_disposition,MATCH($A38,primary_jama_2024_23898_key,0)),$J38)&lt;&gt;"retain"),NOT(OR(IF($K38="",INDEX(primary_jama_2024_23898_domain,MATCH($A38,primary_jama_2024_23898_key,0)),$K38)="internal_nonstatistical",IF($K38="",INDEX(primary_jama_2024_23898_domain,MATCH($A38,primary_jama_2024_23898_key,0)),$K38)="plan_material"))),O38&lt;&gt;"",O38&lt;&gt;"not_applicable")</formula>
    </cfRule>
    <cfRule type="expression" priority="620" dxfId="1">
      <formula>OR(AND(IF($J38="",INDEX(primary_jama_2024_23898_disposition,MATCH($A38,primary_jama_2024_23898_key,0)),$J38)&lt;&gt;"",IF($J38="",INDEX(primary_jama_2024_23898_disposition,MATCH($A38,primary_jama_2024_23898_key,0)),$J38)&lt;&gt;"retain"),NOT(OR(IF($K38="",INDEX(primary_jama_2024_23898_domain,MATCH($A38,primary_jama_2024_23898_key,0)),$K38)="internal_nonstatistical",IF($K38="",INDEX(primary_jama_2024_23898_domain,MATCH($A38,primary_jama_2024_23898_key,0)),$K38)="plan_material")))</formula>
    </cfRule>
  </conditionalFormatting>
  <conditionalFormatting sqref="O39">
    <cfRule type="expression" priority="621" dxfId="0" stopIfTrue="1">
      <formula>AND(OR(AND(IF($J39="",INDEX(primary_jama_2024_23898_disposition,MATCH($A39,primary_jama_2024_23898_key,0)),$J39)&lt;&gt;"",IF($J39="",INDEX(primary_jama_2024_23898_disposition,MATCH($A39,primary_jama_2024_23898_key,0)),$J39)&lt;&gt;"retain"),NOT(OR(IF($K39="",INDEX(primary_jama_2024_23898_domain,MATCH($A39,primary_jama_2024_23898_key,0)),$K39)="internal_nonstatistical",IF($K39="",INDEX(primary_jama_2024_23898_domain,MATCH($A39,primary_jama_2024_23898_key,0)),$K39)="plan_material"))),O39&lt;&gt;"",O39&lt;&gt;"not_applicable")</formula>
    </cfRule>
    <cfRule type="expression" priority="622" dxfId="1">
      <formula>OR(AND(IF($J39="",INDEX(primary_jama_2024_23898_disposition,MATCH($A39,primary_jama_2024_23898_key,0)),$J39)&lt;&gt;"",IF($J39="",INDEX(primary_jama_2024_23898_disposition,MATCH($A39,primary_jama_2024_23898_key,0)),$J39)&lt;&gt;"retain"),NOT(OR(IF($K39="",INDEX(primary_jama_2024_23898_domain,MATCH($A39,primary_jama_2024_23898_key,0)),$K39)="internal_nonstatistical",IF($K39="",INDEX(primary_jama_2024_23898_domain,MATCH($A39,primary_jama_2024_23898_key,0)),$K39)="plan_material")))</formula>
    </cfRule>
  </conditionalFormatting>
  <conditionalFormatting sqref="O40">
    <cfRule type="expression" priority="623" dxfId="0" stopIfTrue="1">
      <formula>AND(OR(AND(IF($J40="",INDEX(primary_jama_2024_23898_disposition,MATCH($A40,primary_jama_2024_23898_key,0)),$J40)&lt;&gt;"",IF($J40="",INDEX(primary_jama_2024_23898_disposition,MATCH($A40,primary_jama_2024_23898_key,0)),$J40)&lt;&gt;"retain"),NOT(OR(IF($K40="",INDEX(primary_jama_2024_23898_domain,MATCH($A40,primary_jama_2024_23898_key,0)),$K40)="internal_nonstatistical",IF($K40="",INDEX(primary_jama_2024_23898_domain,MATCH($A40,primary_jama_2024_23898_key,0)),$K40)="plan_material"))),O40&lt;&gt;"",O40&lt;&gt;"not_applicable")</formula>
    </cfRule>
    <cfRule type="expression" priority="624" dxfId="1">
      <formula>OR(AND(IF($J40="",INDEX(primary_jama_2024_23898_disposition,MATCH($A40,primary_jama_2024_23898_key,0)),$J40)&lt;&gt;"",IF($J40="",INDEX(primary_jama_2024_23898_disposition,MATCH($A40,primary_jama_2024_23898_key,0)),$J40)&lt;&gt;"retain"),NOT(OR(IF($K40="",INDEX(primary_jama_2024_23898_domain,MATCH($A40,primary_jama_2024_23898_key,0)),$K40)="internal_nonstatistical",IF($K40="",INDEX(primary_jama_2024_23898_domain,MATCH($A40,primary_jama_2024_23898_key,0)),$K40)="plan_material")))</formula>
    </cfRule>
  </conditionalFormatting>
  <conditionalFormatting sqref="O41">
    <cfRule type="expression" priority="625" dxfId="0" stopIfTrue="1">
      <formula>AND(OR(AND(IF($J41="",INDEX(primary_jama_2024_23898_disposition,MATCH($A41,primary_jama_2024_23898_key,0)),$J41)&lt;&gt;"",IF($J41="",INDEX(primary_jama_2024_23898_disposition,MATCH($A41,primary_jama_2024_23898_key,0)),$J41)&lt;&gt;"retain"),NOT(OR(IF($K41="",INDEX(primary_jama_2024_23898_domain,MATCH($A41,primary_jama_2024_23898_key,0)),$K41)="internal_nonstatistical",IF($K41="",INDEX(primary_jama_2024_23898_domain,MATCH($A41,primary_jama_2024_23898_key,0)),$K41)="plan_material"))),O41&lt;&gt;"",O41&lt;&gt;"not_applicable")</formula>
    </cfRule>
    <cfRule type="expression" priority="626" dxfId="1">
      <formula>OR(AND(IF($J41="",INDEX(primary_jama_2024_23898_disposition,MATCH($A41,primary_jama_2024_23898_key,0)),$J41)&lt;&gt;"",IF($J41="",INDEX(primary_jama_2024_23898_disposition,MATCH($A41,primary_jama_2024_23898_key,0)),$J41)&lt;&gt;"retain"),NOT(OR(IF($K41="",INDEX(primary_jama_2024_23898_domain,MATCH($A41,primary_jama_2024_23898_key,0)),$K41)="internal_nonstatistical",IF($K41="",INDEX(primary_jama_2024_23898_domain,MATCH($A41,primary_jama_2024_23898_key,0)),$K41)="plan_material")))</formula>
    </cfRule>
  </conditionalFormatting>
  <conditionalFormatting sqref="O42">
    <cfRule type="expression" priority="627" dxfId="0" stopIfTrue="1">
      <formula>AND(OR(AND(IF($J42="",INDEX(primary_jama_2024_23898_disposition,MATCH($A42,primary_jama_2024_23898_key,0)),$J42)&lt;&gt;"",IF($J42="",INDEX(primary_jama_2024_23898_disposition,MATCH($A42,primary_jama_2024_23898_key,0)),$J42)&lt;&gt;"retain"),NOT(OR(IF($K42="",INDEX(primary_jama_2024_23898_domain,MATCH($A42,primary_jama_2024_23898_key,0)),$K42)="internal_nonstatistical",IF($K42="",INDEX(primary_jama_2024_23898_domain,MATCH($A42,primary_jama_2024_23898_key,0)),$K42)="plan_material"))),O42&lt;&gt;"",O42&lt;&gt;"not_applicable")</formula>
    </cfRule>
    <cfRule type="expression" priority="628" dxfId="1">
      <formula>OR(AND(IF($J42="",INDEX(primary_jama_2024_23898_disposition,MATCH($A42,primary_jama_2024_23898_key,0)),$J42)&lt;&gt;"",IF($J42="",INDEX(primary_jama_2024_23898_disposition,MATCH($A42,primary_jama_2024_23898_key,0)),$J42)&lt;&gt;"retain"),NOT(OR(IF($K42="",INDEX(primary_jama_2024_23898_domain,MATCH($A42,primary_jama_2024_23898_key,0)),$K42)="internal_nonstatistical",IF($K42="",INDEX(primary_jama_2024_23898_domain,MATCH($A42,primary_jama_2024_23898_key,0)),$K42)="plan_material")))</formula>
    </cfRule>
  </conditionalFormatting>
  <conditionalFormatting sqref="O43">
    <cfRule type="expression" priority="629" dxfId="0" stopIfTrue="1">
      <formula>AND(OR(AND(IF($J43="",INDEX(primary_jama_2024_23898_disposition,MATCH($A43,primary_jama_2024_23898_key,0)),$J43)&lt;&gt;"",IF($J43="",INDEX(primary_jama_2024_23898_disposition,MATCH($A43,primary_jama_2024_23898_key,0)),$J43)&lt;&gt;"retain"),NOT(OR(IF($K43="",INDEX(primary_jama_2024_23898_domain,MATCH($A43,primary_jama_2024_23898_key,0)),$K43)="internal_nonstatistical",IF($K43="",INDEX(primary_jama_2024_23898_domain,MATCH($A43,primary_jama_2024_23898_key,0)),$K43)="plan_material"))),O43&lt;&gt;"",O43&lt;&gt;"not_applicable")</formula>
    </cfRule>
    <cfRule type="expression" priority="630" dxfId="1">
      <formula>OR(AND(IF($J43="",INDEX(primary_jama_2024_23898_disposition,MATCH($A43,primary_jama_2024_23898_key,0)),$J43)&lt;&gt;"",IF($J43="",INDEX(primary_jama_2024_23898_disposition,MATCH($A43,primary_jama_2024_23898_key,0)),$J43)&lt;&gt;"retain"),NOT(OR(IF($K43="",INDEX(primary_jama_2024_23898_domain,MATCH($A43,primary_jama_2024_23898_key,0)),$K43)="internal_nonstatistical",IF($K43="",INDEX(primary_jama_2024_23898_domain,MATCH($A43,primary_jama_2024_23898_key,0)),$K43)="plan_material")))</formula>
    </cfRule>
  </conditionalFormatting>
  <conditionalFormatting sqref="O44">
    <cfRule type="expression" priority="631" dxfId="0" stopIfTrue="1">
      <formula>AND(OR(AND(IF($J44="",INDEX(primary_jama_2024_23898_disposition,MATCH($A44,primary_jama_2024_23898_key,0)),$J44)&lt;&gt;"",IF($J44="",INDEX(primary_jama_2024_23898_disposition,MATCH($A44,primary_jama_2024_23898_key,0)),$J44)&lt;&gt;"retain"),NOT(OR(IF($K44="",INDEX(primary_jama_2024_23898_domain,MATCH($A44,primary_jama_2024_23898_key,0)),$K44)="internal_nonstatistical",IF($K44="",INDEX(primary_jama_2024_23898_domain,MATCH($A44,primary_jama_2024_23898_key,0)),$K44)="plan_material"))),O44&lt;&gt;"",O44&lt;&gt;"not_applicable")</formula>
    </cfRule>
    <cfRule type="expression" priority="632" dxfId="1">
      <formula>OR(AND(IF($J44="",INDEX(primary_jama_2024_23898_disposition,MATCH($A44,primary_jama_2024_23898_key,0)),$J44)&lt;&gt;"",IF($J44="",INDEX(primary_jama_2024_23898_disposition,MATCH($A44,primary_jama_2024_23898_key,0)),$J44)&lt;&gt;"retain"),NOT(OR(IF($K44="",INDEX(primary_jama_2024_23898_domain,MATCH($A44,primary_jama_2024_23898_key,0)),$K44)="internal_nonstatistical",IF($K44="",INDEX(primary_jama_2024_23898_domain,MATCH($A44,primary_jama_2024_23898_key,0)),$K44)="plan_material")))</formula>
    </cfRule>
  </conditionalFormatting>
  <conditionalFormatting sqref="O45">
    <cfRule type="expression" priority="633" dxfId="0" stopIfTrue="1">
      <formula>AND(OR(AND(IF($J45="",INDEX(primary_jama_2024_25786_disposition,MATCH($A45,primary_jama_2024_25786_key,0)),$J45)&lt;&gt;"",IF($J45="",INDEX(primary_jama_2024_25786_disposition,MATCH($A45,primary_jama_2024_25786_key,0)),$J45)&lt;&gt;"retain"),NOT(OR(IF($K45="",INDEX(primary_jama_2024_25786_domain,MATCH($A45,primary_jama_2024_25786_key,0)),$K45)="internal_nonstatistical",IF($K45="",INDEX(primary_jama_2024_25786_domain,MATCH($A45,primary_jama_2024_25786_key,0)),$K45)="plan_material"))),O45&lt;&gt;"",O45&lt;&gt;"not_applicable")</formula>
    </cfRule>
    <cfRule type="expression" priority="634" dxfId="1">
      <formula>OR(AND(IF($J45="",INDEX(primary_jama_2024_25786_disposition,MATCH($A45,primary_jama_2024_25786_key,0)),$J45)&lt;&gt;"",IF($J45="",INDEX(primary_jama_2024_25786_disposition,MATCH($A45,primary_jama_2024_25786_key,0)),$J45)&lt;&gt;"retain"),NOT(OR(IF($K45="",INDEX(primary_jama_2024_25786_domain,MATCH($A45,primary_jama_2024_25786_key,0)),$K45)="internal_nonstatistical",IF($K45="",INDEX(primary_jama_2024_25786_domain,MATCH($A45,primary_jama_2024_25786_key,0)),$K45)="plan_material")))</formula>
    </cfRule>
  </conditionalFormatting>
  <conditionalFormatting sqref="O46">
    <cfRule type="expression" priority="635" dxfId="0" stopIfTrue="1">
      <formula>AND(OR(AND(IF($J46="",INDEX(primary_jama_2024_25786_disposition,MATCH($A46,primary_jama_2024_25786_key,0)),$J46)&lt;&gt;"",IF($J46="",INDEX(primary_jama_2024_25786_disposition,MATCH($A46,primary_jama_2024_25786_key,0)),$J46)&lt;&gt;"retain"),NOT(OR(IF($K46="",INDEX(primary_jama_2024_25786_domain,MATCH($A46,primary_jama_2024_25786_key,0)),$K46)="internal_nonstatistical",IF($K46="",INDEX(primary_jama_2024_25786_domain,MATCH($A46,primary_jama_2024_25786_key,0)),$K46)="plan_material"))),O46&lt;&gt;"",O46&lt;&gt;"not_applicable")</formula>
    </cfRule>
    <cfRule type="expression" priority="636" dxfId="1">
      <formula>OR(AND(IF($J46="",INDEX(primary_jama_2024_25786_disposition,MATCH($A46,primary_jama_2024_25786_key,0)),$J46)&lt;&gt;"",IF($J46="",INDEX(primary_jama_2024_25786_disposition,MATCH($A46,primary_jama_2024_25786_key,0)),$J46)&lt;&gt;"retain"),NOT(OR(IF($K46="",INDEX(primary_jama_2024_25786_domain,MATCH($A46,primary_jama_2024_25786_key,0)),$K46)="internal_nonstatistical",IF($K46="",INDEX(primary_jama_2024_25786_domain,MATCH($A46,primary_jama_2024_25786_key,0)),$K46)="plan_material")))</formula>
    </cfRule>
  </conditionalFormatting>
  <conditionalFormatting sqref="O47">
    <cfRule type="expression" priority="637" dxfId="0" stopIfTrue="1">
      <formula>AND(OR(AND(IF($J47="",INDEX(primary_jama_2024_25786_disposition,MATCH($A47,primary_jama_2024_25786_key,0)),$J47)&lt;&gt;"",IF($J47="",INDEX(primary_jama_2024_25786_disposition,MATCH($A47,primary_jama_2024_25786_key,0)),$J47)&lt;&gt;"retain"),NOT(OR(IF($K47="",INDEX(primary_jama_2024_25786_domain,MATCH($A47,primary_jama_2024_25786_key,0)),$K47)="internal_nonstatistical",IF($K47="",INDEX(primary_jama_2024_25786_domain,MATCH($A47,primary_jama_2024_25786_key,0)),$K47)="plan_material"))),O47&lt;&gt;"",O47&lt;&gt;"not_applicable")</formula>
    </cfRule>
    <cfRule type="expression" priority="638" dxfId="1">
      <formula>OR(AND(IF($J47="",INDEX(primary_jama_2024_25786_disposition,MATCH($A47,primary_jama_2024_25786_key,0)),$J47)&lt;&gt;"",IF($J47="",INDEX(primary_jama_2024_25786_disposition,MATCH($A47,primary_jama_2024_25786_key,0)),$J47)&lt;&gt;"retain"),NOT(OR(IF($K47="",INDEX(primary_jama_2024_25786_domain,MATCH($A47,primary_jama_2024_25786_key,0)),$K47)="internal_nonstatistical",IF($K47="",INDEX(primary_jama_2024_25786_domain,MATCH($A47,primary_jama_2024_25786_key,0)),$K47)="plan_material")))</formula>
    </cfRule>
  </conditionalFormatting>
  <conditionalFormatting sqref="O48">
    <cfRule type="expression" priority="639" dxfId="0" stopIfTrue="1">
      <formula>AND(OR(AND(IF($J48="",INDEX(primary_jama_2024_25786_disposition,MATCH($A48,primary_jama_2024_25786_key,0)),$J48)&lt;&gt;"",IF($J48="",INDEX(primary_jama_2024_25786_disposition,MATCH($A48,primary_jama_2024_25786_key,0)),$J48)&lt;&gt;"retain"),NOT(OR(IF($K48="",INDEX(primary_jama_2024_25786_domain,MATCH($A48,primary_jama_2024_25786_key,0)),$K48)="internal_nonstatistical",IF($K48="",INDEX(primary_jama_2024_25786_domain,MATCH($A48,primary_jama_2024_25786_key,0)),$K48)="plan_material"))),O48&lt;&gt;"",O48&lt;&gt;"not_applicable")</formula>
    </cfRule>
    <cfRule type="expression" priority="640" dxfId="1">
      <formula>OR(AND(IF($J48="",INDEX(primary_jama_2024_25786_disposition,MATCH($A48,primary_jama_2024_25786_key,0)),$J48)&lt;&gt;"",IF($J48="",INDEX(primary_jama_2024_25786_disposition,MATCH($A48,primary_jama_2024_25786_key,0)),$J48)&lt;&gt;"retain"),NOT(OR(IF($K48="",INDEX(primary_jama_2024_25786_domain,MATCH($A48,primary_jama_2024_25786_key,0)),$K48)="internal_nonstatistical",IF($K48="",INDEX(primary_jama_2024_25786_domain,MATCH($A48,primary_jama_2024_25786_key,0)),$K48)="plan_material")))</formula>
    </cfRule>
  </conditionalFormatting>
  <conditionalFormatting sqref="O49">
    <cfRule type="expression" priority="641" dxfId="0" stopIfTrue="1">
      <formula>AND(OR(AND(IF($J49="",INDEX(primary_jama_2024_25786_disposition,MATCH($A49,primary_jama_2024_25786_key,0)),$J49)&lt;&gt;"",IF($J49="",INDEX(primary_jama_2024_25786_disposition,MATCH($A49,primary_jama_2024_25786_key,0)),$J49)&lt;&gt;"retain"),NOT(OR(IF($K49="",INDEX(primary_jama_2024_25786_domain,MATCH($A49,primary_jama_2024_25786_key,0)),$K49)="internal_nonstatistical",IF($K49="",INDEX(primary_jama_2024_25786_domain,MATCH($A49,primary_jama_2024_25786_key,0)),$K49)="plan_material"))),O49&lt;&gt;"",O49&lt;&gt;"not_applicable")</formula>
    </cfRule>
    <cfRule type="expression" priority="642" dxfId="1">
      <formula>OR(AND(IF($J49="",INDEX(primary_jama_2024_25786_disposition,MATCH($A49,primary_jama_2024_25786_key,0)),$J49)&lt;&gt;"",IF($J49="",INDEX(primary_jama_2024_25786_disposition,MATCH($A49,primary_jama_2024_25786_key,0)),$J49)&lt;&gt;"retain"),NOT(OR(IF($K49="",INDEX(primary_jama_2024_25786_domain,MATCH($A49,primary_jama_2024_25786_key,0)),$K49)="internal_nonstatistical",IF($K49="",INDEX(primary_jama_2024_25786_domain,MATCH($A49,primary_jama_2024_25786_key,0)),$K49)="plan_material")))</formula>
    </cfRule>
  </conditionalFormatting>
  <conditionalFormatting sqref="O50">
    <cfRule type="expression" priority="643" dxfId="0" stopIfTrue="1">
      <formula>AND(OR(AND(IF($J50="",INDEX(primary_jama_2024_25786_disposition,MATCH($A50,primary_jama_2024_25786_key,0)),$J50)&lt;&gt;"",IF($J50="",INDEX(primary_jama_2024_25786_disposition,MATCH($A50,primary_jama_2024_25786_key,0)),$J50)&lt;&gt;"retain"),NOT(OR(IF($K50="",INDEX(primary_jama_2024_25786_domain,MATCH($A50,primary_jama_2024_25786_key,0)),$K50)="internal_nonstatistical",IF($K50="",INDEX(primary_jama_2024_25786_domain,MATCH($A50,primary_jama_2024_25786_key,0)),$K50)="plan_material"))),O50&lt;&gt;"",O50&lt;&gt;"not_applicable")</formula>
    </cfRule>
    <cfRule type="expression" priority="644" dxfId="1">
      <formula>OR(AND(IF($J50="",INDEX(primary_jama_2024_25786_disposition,MATCH($A50,primary_jama_2024_25786_key,0)),$J50)&lt;&gt;"",IF($J50="",INDEX(primary_jama_2024_25786_disposition,MATCH($A50,primary_jama_2024_25786_key,0)),$J50)&lt;&gt;"retain"),NOT(OR(IF($K50="",INDEX(primary_jama_2024_25786_domain,MATCH($A50,primary_jama_2024_25786_key,0)),$K50)="internal_nonstatistical",IF($K50="",INDEX(primary_jama_2024_25786_domain,MATCH($A50,primary_jama_2024_25786_key,0)),$K50)="plan_material")))</formula>
    </cfRule>
  </conditionalFormatting>
  <conditionalFormatting sqref="O51">
    <cfRule type="expression" priority="645" dxfId="0" stopIfTrue="1">
      <formula>AND(OR(AND(IF($J51="",INDEX(primary_jama_2024_25786_disposition,MATCH($A51,primary_jama_2024_25786_key,0)),$J51)&lt;&gt;"",IF($J51="",INDEX(primary_jama_2024_25786_disposition,MATCH($A51,primary_jama_2024_25786_key,0)),$J51)&lt;&gt;"retain"),NOT(OR(IF($K51="",INDEX(primary_jama_2024_25786_domain,MATCH($A51,primary_jama_2024_25786_key,0)),$K51)="internal_nonstatistical",IF($K51="",INDEX(primary_jama_2024_25786_domain,MATCH($A51,primary_jama_2024_25786_key,0)),$K51)="plan_material"))),O51&lt;&gt;"",O51&lt;&gt;"not_applicable")</formula>
    </cfRule>
    <cfRule type="expression" priority="646" dxfId="1">
      <formula>OR(AND(IF($J51="",INDEX(primary_jama_2024_25786_disposition,MATCH($A51,primary_jama_2024_25786_key,0)),$J51)&lt;&gt;"",IF($J51="",INDEX(primary_jama_2024_25786_disposition,MATCH($A51,primary_jama_2024_25786_key,0)),$J51)&lt;&gt;"retain"),NOT(OR(IF($K51="",INDEX(primary_jama_2024_25786_domain,MATCH($A51,primary_jama_2024_25786_key,0)),$K51)="internal_nonstatistical",IF($K51="",INDEX(primary_jama_2024_25786_domain,MATCH($A51,primary_jama_2024_25786_key,0)),$K51)="plan_material")))</formula>
    </cfRule>
  </conditionalFormatting>
  <conditionalFormatting sqref="O52">
    <cfRule type="expression" priority="647" dxfId="0" stopIfTrue="1">
      <formula>AND(OR(AND(IF($J52="",INDEX(primary_jama_2024_25786_disposition,MATCH($A52,primary_jama_2024_25786_key,0)),$J52)&lt;&gt;"",IF($J52="",INDEX(primary_jama_2024_25786_disposition,MATCH($A52,primary_jama_2024_25786_key,0)),$J52)&lt;&gt;"retain"),NOT(OR(IF($K52="",INDEX(primary_jama_2024_25786_domain,MATCH($A52,primary_jama_2024_25786_key,0)),$K52)="internal_nonstatistical",IF($K52="",INDEX(primary_jama_2024_25786_domain,MATCH($A52,primary_jama_2024_25786_key,0)),$K52)="plan_material"))),O52&lt;&gt;"",O52&lt;&gt;"not_applicable")</formula>
    </cfRule>
    <cfRule type="expression" priority="648" dxfId="1">
      <formula>OR(AND(IF($J52="",INDEX(primary_jama_2024_25786_disposition,MATCH($A52,primary_jama_2024_25786_key,0)),$J52)&lt;&gt;"",IF($J52="",INDEX(primary_jama_2024_25786_disposition,MATCH($A52,primary_jama_2024_25786_key,0)),$J52)&lt;&gt;"retain"),NOT(OR(IF($K52="",INDEX(primary_jama_2024_25786_domain,MATCH($A52,primary_jama_2024_25786_key,0)),$K52)="internal_nonstatistical",IF($K52="",INDEX(primary_jama_2024_25786_domain,MATCH($A52,primary_jama_2024_25786_key,0)),$K52)="plan_material")))</formula>
    </cfRule>
  </conditionalFormatting>
  <conditionalFormatting sqref="O53">
    <cfRule type="expression" priority="649" dxfId="0" stopIfTrue="1">
      <formula>AND(OR(AND(IF($J53="",INDEX(primary_jama_2024_4183_disposition,MATCH($A53,primary_jama_2024_4183_key,0)),$J53)&lt;&gt;"",IF($J53="",INDEX(primary_jama_2024_4183_disposition,MATCH($A53,primary_jama_2024_4183_key,0)),$J53)&lt;&gt;"retain"),NOT(OR(IF($K53="",INDEX(primary_jama_2024_4183_domain,MATCH($A53,primary_jama_2024_4183_key,0)),$K53)="internal_nonstatistical",IF($K53="",INDEX(primary_jama_2024_4183_domain,MATCH($A53,primary_jama_2024_4183_key,0)),$K53)="plan_material"))),O53&lt;&gt;"",O53&lt;&gt;"not_applicable")</formula>
    </cfRule>
    <cfRule type="expression" priority="650" dxfId="1">
      <formula>OR(AND(IF($J53="",INDEX(primary_jama_2024_4183_disposition,MATCH($A53,primary_jama_2024_4183_key,0)),$J53)&lt;&gt;"",IF($J53="",INDEX(primary_jama_2024_4183_disposition,MATCH($A53,primary_jama_2024_4183_key,0)),$J53)&lt;&gt;"retain"),NOT(OR(IF($K53="",INDEX(primary_jama_2024_4183_domain,MATCH($A53,primary_jama_2024_4183_key,0)),$K53)="internal_nonstatistical",IF($K53="",INDEX(primary_jama_2024_4183_domain,MATCH($A53,primary_jama_2024_4183_key,0)),$K53)="plan_material")))</formula>
    </cfRule>
  </conditionalFormatting>
  <conditionalFormatting sqref="O54">
    <cfRule type="expression" priority="651" dxfId="0" stopIfTrue="1">
      <formula>AND(OR(AND(IF($J54="",INDEX(primary_jama_2024_4183_disposition,MATCH($A54,primary_jama_2024_4183_key,0)),$J54)&lt;&gt;"",IF($J54="",INDEX(primary_jama_2024_4183_disposition,MATCH($A54,primary_jama_2024_4183_key,0)),$J54)&lt;&gt;"retain"),NOT(OR(IF($K54="",INDEX(primary_jama_2024_4183_domain,MATCH($A54,primary_jama_2024_4183_key,0)),$K54)="internal_nonstatistical",IF($K54="",INDEX(primary_jama_2024_4183_domain,MATCH($A54,primary_jama_2024_4183_key,0)),$K54)="plan_material"))),O54&lt;&gt;"",O54&lt;&gt;"not_applicable")</formula>
    </cfRule>
    <cfRule type="expression" priority="652" dxfId="1">
      <formula>OR(AND(IF($J54="",INDEX(primary_jama_2024_4183_disposition,MATCH($A54,primary_jama_2024_4183_key,0)),$J54)&lt;&gt;"",IF($J54="",INDEX(primary_jama_2024_4183_disposition,MATCH($A54,primary_jama_2024_4183_key,0)),$J54)&lt;&gt;"retain"),NOT(OR(IF($K54="",INDEX(primary_jama_2024_4183_domain,MATCH($A54,primary_jama_2024_4183_key,0)),$K54)="internal_nonstatistical",IF($K54="",INDEX(primary_jama_2024_4183_domain,MATCH($A54,primary_jama_2024_4183_key,0)),$K54)="plan_material")))</formula>
    </cfRule>
  </conditionalFormatting>
  <conditionalFormatting sqref="O55">
    <cfRule type="expression" priority="653" dxfId="0" stopIfTrue="1">
      <formula>AND(OR(AND(IF($J55="",INDEX(primary_jama_2024_4183_disposition,MATCH($A55,primary_jama_2024_4183_key,0)),$J55)&lt;&gt;"",IF($J55="",INDEX(primary_jama_2024_4183_disposition,MATCH($A55,primary_jama_2024_4183_key,0)),$J55)&lt;&gt;"retain"),NOT(OR(IF($K55="",INDEX(primary_jama_2024_4183_domain,MATCH($A55,primary_jama_2024_4183_key,0)),$K55)="internal_nonstatistical",IF($K55="",INDEX(primary_jama_2024_4183_domain,MATCH($A55,primary_jama_2024_4183_key,0)),$K55)="plan_material"))),O55&lt;&gt;"",O55&lt;&gt;"not_applicable")</formula>
    </cfRule>
    <cfRule type="expression" priority="654" dxfId="1">
      <formula>OR(AND(IF($J55="",INDEX(primary_jama_2024_4183_disposition,MATCH($A55,primary_jama_2024_4183_key,0)),$J55)&lt;&gt;"",IF($J55="",INDEX(primary_jama_2024_4183_disposition,MATCH($A55,primary_jama_2024_4183_key,0)),$J55)&lt;&gt;"retain"),NOT(OR(IF($K55="",INDEX(primary_jama_2024_4183_domain,MATCH($A55,primary_jama_2024_4183_key,0)),$K55)="internal_nonstatistical",IF($K55="",INDEX(primary_jama_2024_4183_domain,MATCH($A55,primary_jama_2024_4183_key,0)),$K55)="plan_material")))</formula>
    </cfRule>
  </conditionalFormatting>
  <conditionalFormatting sqref="O56">
    <cfRule type="expression" priority="655" dxfId="0" stopIfTrue="1">
      <formula>AND(OR(AND(IF($J56="",INDEX(primary_jama_2024_4183_disposition,MATCH($A56,primary_jama_2024_4183_key,0)),$J56)&lt;&gt;"",IF($J56="",INDEX(primary_jama_2024_4183_disposition,MATCH($A56,primary_jama_2024_4183_key,0)),$J56)&lt;&gt;"retain"),NOT(OR(IF($K56="",INDEX(primary_jama_2024_4183_domain,MATCH($A56,primary_jama_2024_4183_key,0)),$K56)="internal_nonstatistical",IF($K56="",INDEX(primary_jama_2024_4183_domain,MATCH($A56,primary_jama_2024_4183_key,0)),$K56)="plan_material"))),O56&lt;&gt;"",O56&lt;&gt;"not_applicable")</formula>
    </cfRule>
    <cfRule type="expression" priority="656" dxfId="1">
      <formula>OR(AND(IF($J56="",INDEX(primary_jama_2024_4183_disposition,MATCH($A56,primary_jama_2024_4183_key,0)),$J56)&lt;&gt;"",IF($J56="",INDEX(primary_jama_2024_4183_disposition,MATCH($A56,primary_jama_2024_4183_key,0)),$J56)&lt;&gt;"retain"),NOT(OR(IF($K56="",INDEX(primary_jama_2024_4183_domain,MATCH($A56,primary_jama_2024_4183_key,0)),$K56)="internal_nonstatistical",IF($K56="",INDEX(primary_jama_2024_4183_domain,MATCH($A56,primary_jama_2024_4183_key,0)),$K56)="plan_material")))</formula>
    </cfRule>
  </conditionalFormatting>
  <conditionalFormatting sqref="O57">
    <cfRule type="expression" priority="657" dxfId="0" stopIfTrue="1">
      <formula>AND(OR(AND(IF($J57="",INDEX(primary_jama_2024_4183_disposition,MATCH($A57,primary_jama_2024_4183_key,0)),$J57)&lt;&gt;"",IF($J57="",INDEX(primary_jama_2024_4183_disposition,MATCH($A57,primary_jama_2024_4183_key,0)),$J57)&lt;&gt;"retain"),NOT(OR(IF($K57="",INDEX(primary_jama_2024_4183_domain,MATCH($A57,primary_jama_2024_4183_key,0)),$K57)="internal_nonstatistical",IF($K57="",INDEX(primary_jama_2024_4183_domain,MATCH($A57,primary_jama_2024_4183_key,0)),$K57)="plan_material"))),O57&lt;&gt;"",O57&lt;&gt;"not_applicable")</formula>
    </cfRule>
    <cfRule type="expression" priority="658" dxfId="1">
      <formula>OR(AND(IF($J57="",INDEX(primary_jama_2024_4183_disposition,MATCH($A57,primary_jama_2024_4183_key,0)),$J57)&lt;&gt;"",IF($J57="",INDEX(primary_jama_2024_4183_disposition,MATCH($A57,primary_jama_2024_4183_key,0)),$J57)&lt;&gt;"retain"),NOT(OR(IF($K57="",INDEX(primary_jama_2024_4183_domain,MATCH($A57,primary_jama_2024_4183_key,0)),$K57)="internal_nonstatistical",IF($K57="",INDEX(primary_jama_2024_4183_domain,MATCH($A57,primary_jama_2024_4183_key,0)),$K57)="plan_material")))</formula>
    </cfRule>
  </conditionalFormatting>
  <conditionalFormatting sqref="O58">
    <cfRule type="expression" priority="659" dxfId="0" stopIfTrue="1">
      <formula>AND(OR(AND(IF($J58="",INDEX(primary_jama_2024_4183_disposition,MATCH($A58,primary_jama_2024_4183_key,0)),$J58)&lt;&gt;"",IF($J58="",INDEX(primary_jama_2024_4183_disposition,MATCH($A58,primary_jama_2024_4183_key,0)),$J58)&lt;&gt;"retain"),NOT(OR(IF($K58="",INDEX(primary_jama_2024_4183_domain,MATCH($A58,primary_jama_2024_4183_key,0)),$K58)="internal_nonstatistical",IF($K58="",INDEX(primary_jama_2024_4183_domain,MATCH($A58,primary_jama_2024_4183_key,0)),$K58)="plan_material"))),O58&lt;&gt;"",O58&lt;&gt;"not_applicable")</formula>
    </cfRule>
    <cfRule type="expression" priority="660" dxfId="1">
      <formula>OR(AND(IF($J58="",INDEX(primary_jama_2024_4183_disposition,MATCH($A58,primary_jama_2024_4183_key,0)),$J58)&lt;&gt;"",IF($J58="",INDEX(primary_jama_2024_4183_disposition,MATCH($A58,primary_jama_2024_4183_key,0)),$J58)&lt;&gt;"retain"),NOT(OR(IF($K58="",INDEX(primary_jama_2024_4183_domain,MATCH($A58,primary_jama_2024_4183_key,0)),$K58)="internal_nonstatistical",IF($K58="",INDEX(primary_jama_2024_4183_domain,MATCH($A58,primary_jama_2024_4183_key,0)),$K58)="plan_material")))</formula>
    </cfRule>
  </conditionalFormatting>
  <conditionalFormatting sqref="O59">
    <cfRule type="expression" priority="661" dxfId="0" stopIfTrue="1">
      <formula>AND(OR(AND(IF($J59="",INDEX(primary_jama_2024_4183_disposition,MATCH($A59,primary_jama_2024_4183_key,0)),$J59)&lt;&gt;"",IF($J59="",INDEX(primary_jama_2024_4183_disposition,MATCH($A59,primary_jama_2024_4183_key,0)),$J59)&lt;&gt;"retain"),NOT(OR(IF($K59="",INDEX(primary_jama_2024_4183_domain,MATCH($A59,primary_jama_2024_4183_key,0)),$K59)="internal_nonstatistical",IF($K59="",INDEX(primary_jama_2024_4183_domain,MATCH($A59,primary_jama_2024_4183_key,0)),$K59)="plan_material"))),O59&lt;&gt;"",O59&lt;&gt;"not_applicable")</formula>
    </cfRule>
    <cfRule type="expression" priority="662" dxfId="1">
      <formula>OR(AND(IF($J59="",INDEX(primary_jama_2024_4183_disposition,MATCH($A59,primary_jama_2024_4183_key,0)),$J59)&lt;&gt;"",IF($J59="",INDEX(primary_jama_2024_4183_disposition,MATCH($A59,primary_jama_2024_4183_key,0)),$J59)&lt;&gt;"retain"),NOT(OR(IF($K59="",INDEX(primary_jama_2024_4183_domain,MATCH($A59,primary_jama_2024_4183_key,0)),$K59)="internal_nonstatistical",IF($K59="",INDEX(primary_jama_2024_4183_domain,MATCH($A59,primary_jama_2024_4183_key,0)),$K59)="plan_material")))</formula>
    </cfRule>
  </conditionalFormatting>
  <conditionalFormatting sqref="O60">
    <cfRule type="expression" priority="663" dxfId="0" stopIfTrue="1">
      <formula>AND(OR(AND(IF($J60="",INDEX(primary_jama_2024_4183_disposition,MATCH($A60,primary_jama_2024_4183_key,0)),$J60)&lt;&gt;"",IF($J60="",INDEX(primary_jama_2024_4183_disposition,MATCH($A60,primary_jama_2024_4183_key,0)),$J60)&lt;&gt;"retain"),NOT(OR(IF($K60="",INDEX(primary_jama_2024_4183_domain,MATCH($A60,primary_jama_2024_4183_key,0)),$K60)="internal_nonstatistical",IF($K60="",INDEX(primary_jama_2024_4183_domain,MATCH($A60,primary_jama_2024_4183_key,0)),$K60)="plan_material"))),O60&lt;&gt;"",O60&lt;&gt;"not_applicable")</formula>
    </cfRule>
    <cfRule type="expression" priority="664" dxfId="1">
      <formula>OR(AND(IF($J60="",INDEX(primary_jama_2024_4183_disposition,MATCH($A60,primary_jama_2024_4183_key,0)),$J60)&lt;&gt;"",IF($J60="",INDEX(primary_jama_2024_4183_disposition,MATCH($A60,primary_jama_2024_4183_key,0)),$J60)&lt;&gt;"retain"),NOT(OR(IF($K60="",INDEX(primary_jama_2024_4183_domain,MATCH($A60,primary_jama_2024_4183_key,0)),$K60)="internal_nonstatistical",IF($K60="",INDEX(primary_jama_2024_4183_domain,MATCH($A60,primary_jama_2024_4183_key,0)),$K60)="plan_material")))</formula>
    </cfRule>
  </conditionalFormatting>
  <conditionalFormatting sqref="O61">
    <cfRule type="expression" priority="665" dxfId="0" stopIfTrue="1">
      <formula>AND(OR(AND(IF($J61="",INDEX(primary_jama_2024_4183_disposition,MATCH($A61,primary_jama_2024_4183_key,0)),$J61)&lt;&gt;"",IF($J61="",INDEX(primary_jama_2024_4183_disposition,MATCH($A61,primary_jama_2024_4183_key,0)),$J61)&lt;&gt;"retain"),NOT(OR(IF($K61="",INDEX(primary_jama_2024_4183_domain,MATCH($A61,primary_jama_2024_4183_key,0)),$K61)="internal_nonstatistical",IF($K61="",INDEX(primary_jama_2024_4183_domain,MATCH($A61,primary_jama_2024_4183_key,0)),$K61)="plan_material"))),O61&lt;&gt;"",O61&lt;&gt;"not_applicable")</formula>
    </cfRule>
    <cfRule type="expression" priority="666" dxfId="1">
      <formula>OR(AND(IF($J61="",INDEX(primary_jama_2024_4183_disposition,MATCH($A61,primary_jama_2024_4183_key,0)),$J61)&lt;&gt;"",IF($J61="",INDEX(primary_jama_2024_4183_disposition,MATCH($A61,primary_jama_2024_4183_key,0)),$J61)&lt;&gt;"retain"),NOT(OR(IF($K61="",INDEX(primary_jama_2024_4183_domain,MATCH($A61,primary_jama_2024_4183_key,0)),$K61)="internal_nonstatistical",IF($K61="",INDEX(primary_jama_2024_4183_domain,MATCH($A61,primary_jama_2024_4183_key,0)),$K61)="plan_material")))</formula>
    </cfRule>
  </conditionalFormatting>
  <conditionalFormatting sqref="O62">
    <cfRule type="expression" priority="667" dxfId="0" stopIfTrue="1">
      <formula>AND(OR(AND(IF($J62="",INDEX(primary_jama_2024_4183_disposition,MATCH($A62,primary_jama_2024_4183_key,0)),$J62)&lt;&gt;"",IF($J62="",INDEX(primary_jama_2024_4183_disposition,MATCH($A62,primary_jama_2024_4183_key,0)),$J62)&lt;&gt;"retain"),NOT(OR(IF($K62="",INDEX(primary_jama_2024_4183_domain,MATCH($A62,primary_jama_2024_4183_key,0)),$K62)="internal_nonstatistical",IF($K62="",INDEX(primary_jama_2024_4183_domain,MATCH($A62,primary_jama_2024_4183_key,0)),$K62)="plan_material"))),O62&lt;&gt;"",O62&lt;&gt;"not_applicable")</formula>
    </cfRule>
    <cfRule type="expression" priority="668" dxfId="1">
      <formula>OR(AND(IF($J62="",INDEX(primary_jama_2024_4183_disposition,MATCH($A62,primary_jama_2024_4183_key,0)),$J62)&lt;&gt;"",IF($J62="",INDEX(primary_jama_2024_4183_disposition,MATCH($A62,primary_jama_2024_4183_key,0)),$J62)&lt;&gt;"retain"),NOT(OR(IF($K62="",INDEX(primary_jama_2024_4183_domain,MATCH($A62,primary_jama_2024_4183_key,0)),$K62)="internal_nonstatistical",IF($K62="",INDEX(primary_jama_2024_4183_domain,MATCH($A62,primary_jama_2024_4183_key,0)),$K62)="plan_material")))</formula>
    </cfRule>
  </conditionalFormatting>
  <conditionalFormatting sqref="O63">
    <cfRule type="expression" priority="669" dxfId="0" stopIfTrue="1">
      <formula>AND(OR(AND(IF($J63="",INDEX(primary_jama_2024_4183_disposition,MATCH($A63,primary_jama_2024_4183_key,0)),$J63)&lt;&gt;"",IF($J63="",INDEX(primary_jama_2024_4183_disposition,MATCH($A63,primary_jama_2024_4183_key,0)),$J63)&lt;&gt;"retain"),NOT(OR(IF($K63="",INDEX(primary_jama_2024_4183_domain,MATCH($A63,primary_jama_2024_4183_key,0)),$K63)="internal_nonstatistical",IF($K63="",INDEX(primary_jama_2024_4183_domain,MATCH($A63,primary_jama_2024_4183_key,0)),$K63)="plan_material"))),O63&lt;&gt;"",O63&lt;&gt;"not_applicable")</formula>
    </cfRule>
    <cfRule type="expression" priority="670" dxfId="1">
      <formula>OR(AND(IF($J63="",INDEX(primary_jama_2024_4183_disposition,MATCH($A63,primary_jama_2024_4183_key,0)),$J63)&lt;&gt;"",IF($J63="",INDEX(primary_jama_2024_4183_disposition,MATCH($A63,primary_jama_2024_4183_key,0)),$J63)&lt;&gt;"retain"),NOT(OR(IF($K63="",INDEX(primary_jama_2024_4183_domain,MATCH($A63,primary_jama_2024_4183_key,0)),$K63)="internal_nonstatistical",IF($K63="",INDEX(primary_jama_2024_4183_domain,MATCH($A63,primary_jama_2024_4183_key,0)),$K63)="plan_material")))</formula>
    </cfRule>
  </conditionalFormatting>
  <conditionalFormatting sqref="O64">
    <cfRule type="expression" priority="671" dxfId="0" stopIfTrue="1">
      <formula>AND(OR(AND(IF($J64="",INDEX(primary_jama_2024_4183_disposition,MATCH($A64,primary_jama_2024_4183_key,0)),$J64)&lt;&gt;"",IF($J64="",INDEX(primary_jama_2024_4183_disposition,MATCH($A64,primary_jama_2024_4183_key,0)),$J64)&lt;&gt;"retain"),NOT(OR(IF($K64="",INDEX(primary_jama_2024_4183_domain,MATCH($A64,primary_jama_2024_4183_key,0)),$K64)="internal_nonstatistical",IF($K64="",INDEX(primary_jama_2024_4183_domain,MATCH($A64,primary_jama_2024_4183_key,0)),$K64)="plan_material"))),O64&lt;&gt;"",O64&lt;&gt;"not_applicable")</formula>
    </cfRule>
    <cfRule type="expression" priority="672" dxfId="1">
      <formula>OR(AND(IF($J64="",INDEX(primary_jama_2024_4183_disposition,MATCH($A64,primary_jama_2024_4183_key,0)),$J64)&lt;&gt;"",IF($J64="",INDEX(primary_jama_2024_4183_disposition,MATCH($A64,primary_jama_2024_4183_key,0)),$J64)&lt;&gt;"retain"),NOT(OR(IF($K64="",INDEX(primary_jama_2024_4183_domain,MATCH($A64,primary_jama_2024_4183_key,0)),$K64)="internal_nonstatistical",IF($K64="",INDEX(primary_jama_2024_4183_domain,MATCH($A64,primary_jama_2024_4183_key,0)),$K64)="plan_material")))</formula>
    </cfRule>
  </conditionalFormatting>
  <conditionalFormatting sqref="O65">
    <cfRule type="expression" priority="673" dxfId="0" stopIfTrue="1">
      <formula>AND(OR(AND(IF($J65="",INDEX(primary_jama_2024_4183_disposition,MATCH($A65,primary_jama_2024_4183_key,0)),$J65)&lt;&gt;"",IF($J65="",INDEX(primary_jama_2024_4183_disposition,MATCH($A65,primary_jama_2024_4183_key,0)),$J65)&lt;&gt;"retain"),NOT(OR(IF($K65="",INDEX(primary_jama_2024_4183_domain,MATCH($A65,primary_jama_2024_4183_key,0)),$K65)="internal_nonstatistical",IF($K65="",INDEX(primary_jama_2024_4183_domain,MATCH($A65,primary_jama_2024_4183_key,0)),$K65)="plan_material"))),O65&lt;&gt;"",O65&lt;&gt;"not_applicable")</formula>
    </cfRule>
    <cfRule type="expression" priority="674" dxfId="1">
      <formula>OR(AND(IF($J65="",INDEX(primary_jama_2024_4183_disposition,MATCH($A65,primary_jama_2024_4183_key,0)),$J65)&lt;&gt;"",IF($J65="",INDEX(primary_jama_2024_4183_disposition,MATCH($A65,primary_jama_2024_4183_key,0)),$J65)&lt;&gt;"retain"),NOT(OR(IF($K65="",INDEX(primary_jama_2024_4183_domain,MATCH($A65,primary_jama_2024_4183_key,0)),$K65)="internal_nonstatistical",IF($K65="",INDEX(primary_jama_2024_4183_domain,MATCH($A65,primary_jama_2024_4183_key,0)),$K65)="plan_material")))</formula>
    </cfRule>
  </conditionalFormatting>
  <conditionalFormatting sqref="O66">
    <cfRule type="expression" priority="675" dxfId="0" stopIfTrue="1">
      <formula>AND(OR(AND(IF($J66="",INDEX(primary_jama_2024_4183_disposition,MATCH($A66,primary_jama_2024_4183_key,0)),$J66)&lt;&gt;"",IF($J66="",INDEX(primary_jama_2024_4183_disposition,MATCH($A66,primary_jama_2024_4183_key,0)),$J66)&lt;&gt;"retain"),NOT(OR(IF($K66="",INDEX(primary_jama_2024_4183_domain,MATCH($A66,primary_jama_2024_4183_key,0)),$K66)="internal_nonstatistical",IF($K66="",INDEX(primary_jama_2024_4183_domain,MATCH($A66,primary_jama_2024_4183_key,0)),$K66)="plan_material"))),O66&lt;&gt;"",O66&lt;&gt;"not_applicable")</formula>
    </cfRule>
    <cfRule type="expression" priority="676" dxfId="1">
      <formula>OR(AND(IF($J66="",INDEX(primary_jama_2024_4183_disposition,MATCH($A66,primary_jama_2024_4183_key,0)),$J66)&lt;&gt;"",IF($J66="",INDEX(primary_jama_2024_4183_disposition,MATCH($A66,primary_jama_2024_4183_key,0)),$J66)&lt;&gt;"retain"),NOT(OR(IF($K66="",INDEX(primary_jama_2024_4183_domain,MATCH($A66,primary_jama_2024_4183_key,0)),$K66)="internal_nonstatistical",IF($K66="",INDEX(primary_jama_2024_4183_domain,MATCH($A66,primary_jama_2024_4183_key,0)),$K66)="plan_material")))</formula>
    </cfRule>
  </conditionalFormatting>
  <conditionalFormatting sqref="O67">
    <cfRule type="expression" priority="677" dxfId="0" stopIfTrue="1">
      <formula>AND(OR(AND(IF($J67="",INDEX(primary_jama_2024_4183_disposition,MATCH($A67,primary_jama_2024_4183_key,0)),$J67)&lt;&gt;"",IF($J67="",INDEX(primary_jama_2024_4183_disposition,MATCH($A67,primary_jama_2024_4183_key,0)),$J67)&lt;&gt;"retain"),NOT(OR(IF($K67="",INDEX(primary_jama_2024_4183_domain,MATCH($A67,primary_jama_2024_4183_key,0)),$K67)="internal_nonstatistical",IF($K67="",INDEX(primary_jama_2024_4183_domain,MATCH($A67,primary_jama_2024_4183_key,0)),$K67)="plan_material"))),O67&lt;&gt;"",O67&lt;&gt;"not_applicable")</formula>
    </cfRule>
    <cfRule type="expression" priority="678" dxfId="1">
      <formula>OR(AND(IF($J67="",INDEX(primary_jama_2024_4183_disposition,MATCH($A67,primary_jama_2024_4183_key,0)),$J67)&lt;&gt;"",IF($J67="",INDEX(primary_jama_2024_4183_disposition,MATCH($A67,primary_jama_2024_4183_key,0)),$J67)&lt;&gt;"retain"),NOT(OR(IF($K67="",INDEX(primary_jama_2024_4183_domain,MATCH($A67,primary_jama_2024_4183_key,0)),$K67)="internal_nonstatistical",IF($K67="",INDEX(primary_jama_2024_4183_domain,MATCH($A67,primary_jama_2024_4183_key,0)),$K67)="plan_material")))</formula>
    </cfRule>
  </conditionalFormatting>
  <conditionalFormatting sqref="O68">
    <cfRule type="expression" priority="679" dxfId="0" stopIfTrue="1">
      <formula>AND(OR(AND(IF($J68="",INDEX(primary_jama_2024_4183_disposition,MATCH($A68,primary_jama_2024_4183_key,0)),$J68)&lt;&gt;"",IF($J68="",INDEX(primary_jama_2024_4183_disposition,MATCH($A68,primary_jama_2024_4183_key,0)),$J68)&lt;&gt;"retain"),NOT(OR(IF($K68="",INDEX(primary_jama_2024_4183_domain,MATCH($A68,primary_jama_2024_4183_key,0)),$K68)="internal_nonstatistical",IF($K68="",INDEX(primary_jama_2024_4183_domain,MATCH($A68,primary_jama_2024_4183_key,0)),$K68)="plan_material"))),O68&lt;&gt;"",O68&lt;&gt;"not_applicable")</formula>
    </cfRule>
    <cfRule type="expression" priority="680" dxfId="1">
      <formula>OR(AND(IF($J68="",INDEX(primary_jama_2024_4183_disposition,MATCH($A68,primary_jama_2024_4183_key,0)),$J68)&lt;&gt;"",IF($J68="",INDEX(primary_jama_2024_4183_disposition,MATCH($A68,primary_jama_2024_4183_key,0)),$J68)&lt;&gt;"retain"),NOT(OR(IF($K68="",INDEX(primary_jama_2024_4183_domain,MATCH($A68,primary_jama_2024_4183_key,0)),$K68)="internal_nonstatistical",IF($K68="",INDEX(primary_jama_2024_4183_domain,MATCH($A68,primary_jama_2024_4183_key,0)),$K68)="plan_material")))</formula>
    </cfRule>
  </conditionalFormatting>
  <conditionalFormatting sqref="O69">
    <cfRule type="expression" priority="681" dxfId="0" stopIfTrue="1">
      <formula>AND(OR(AND(IF($J69="",INDEX(primary_jama_2024_4183_disposition,MATCH($A69,primary_jama_2024_4183_key,0)),$J69)&lt;&gt;"",IF($J69="",INDEX(primary_jama_2024_4183_disposition,MATCH($A69,primary_jama_2024_4183_key,0)),$J69)&lt;&gt;"retain"),NOT(OR(IF($K69="",INDEX(primary_jama_2024_4183_domain,MATCH($A69,primary_jama_2024_4183_key,0)),$K69)="internal_nonstatistical",IF($K69="",INDEX(primary_jama_2024_4183_domain,MATCH($A69,primary_jama_2024_4183_key,0)),$K69)="plan_material"))),O69&lt;&gt;"",O69&lt;&gt;"not_applicable")</formula>
    </cfRule>
    <cfRule type="expression" priority="682" dxfId="1">
      <formula>OR(AND(IF($J69="",INDEX(primary_jama_2024_4183_disposition,MATCH($A69,primary_jama_2024_4183_key,0)),$J69)&lt;&gt;"",IF($J69="",INDEX(primary_jama_2024_4183_disposition,MATCH($A69,primary_jama_2024_4183_key,0)),$J69)&lt;&gt;"retain"),NOT(OR(IF($K69="",INDEX(primary_jama_2024_4183_domain,MATCH($A69,primary_jama_2024_4183_key,0)),$K69)="internal_nonstatistical",IF($K69="",INDEX(primary_jama_2024_4183_domain,MATCH($A69,primary_jama_2024_4183_key,0)),$K69)="plan_material")))</formula>
    </cfRule>
  </conditionalFormatting>
  <conditionalFormatting sqref="O70">
    <cfRule type="expression" priority="683" dxfId="0" stopIfTrue="1">
      <formula>AND(OR(AND(IF($J70="",INDEX(primary_jama_2024_4183_disposition,MATCH($A70,primary_jama_2024_4183_key,0)),$J70)&lt;&gt;"",IF($J70="",INDEX(primary_jama_2024_4183_disposition,MATCH($A70,primary_jama_2024_4183_key,0)),$J70)&lt;&gt;"retain"),NOT(OR(IF($K70="",INDEX(primary_jama_2024_4183_domain,MATCH($A70,primary_jama_2024_4183_key,0)),$K70)="internal_nonstatistical",IF($K70="",INDEX(primary_jama_2024_4183_domain,MATCH($A70,primary_jama_2024_4183_key,0)),$K70)="plan_material"))),O70&lt;&gt;"",O70&lt;&gt;"not_applicable")</formula>
    </cfRule>
    <cfRule type="expression" priority="684" dxfId="1">
      <formula>OR(AND(IF($J70="",INDEX(primary_jama_2024_4183_disposition,MATCH($A70,primary_jama_2024_4183_key,0)),$J70)&lt;&gt;"",IF($J70="",INDEX(primary_jama_2024_4183_disposition,MATCH($A70,primary_jama_2024_4183_key,0)),$J70)&lt;&gt;"retain"),NOT(OR(IF($K70="",INDEX(primary_jama_2024_4183_domain,MATCH($A70,primary_jama_2024_4183_key,0)),$K70)="internal_nonstatistical",IF($K70="",INDEX(primary_jama_2024_4183_domain,MATCH($A70,primary_jama_2024_4183_key,0)),$K70)="plan_material")))</formula>
    </cfRule>
  </conditionalFormatting>
  <conditionalFormatting sqref="O71">
    <cfRule type="expression" priority="685" dxfId="0" stopIfTrue="1">
      <formula>AND(OR(AND(IF($J71="",INDEX(primary_jama_2024_4183_disposition,MATCH($A71,primary_jama_2024_4183_key,0)),$J71)&lt;&gt;"",IF($J71="",INDEX(primary_jama_2024_4183_disposition,MATCH($A71,primary_jama_2024_4183_key,0)),$J71)&lt;&gt;"retain"),NOT(OR(IF($K71="",INDEX(primary_jama_2024_4183_domain,MATCH($A71,primary_jama_2024_4183_key,0)),$K71)="internal_nonstatistical",IF($K71="",INDEX(primary_jama_2024_4183_domain,MATCH($A71,primary_jama_2024_4183_key,0)),$K71)="plan_material"))),O71&lt;&gt;"",O71&lt;&gt;"not_applicable")</formula>
    </cfRule>
    <cfRule type="expression" priority="686" dxfId="1">
      <formula>OR(AND(IF($J71="",INDEX(primary_jama_2024_4183_disposition,MATCH($A71,primary_jama_2024_4183_key,0)),$J71)&lt;&gt;"",IF($J71="",INDEX(primary_jama_2024_4183_disposition,MATCH($A71,primary_jama_2024_4183_key,0)),$J71)&lt;&gt;"retain"),NOT(OR(IF($K71="",INDEX(primary_jama_2024_4183_domain,MATCH($A71,primary_jama_2024_4183_key,0)),$K71)="internal_nonstatistical",IF($K71="",INDEX(primary_jama_2024_4183_domain,MATCH($A71,primary_jama_2024_4183_key,0)),$K71)="plan_material")))</formula>
    </cfRule>
  </conditionalFormatting>
  <conditionalFormatting sqref="O72">
    <cfRule type="expression" priority="687" dxfId="0" stopIfTrue="1">
      <formula>AND(OR(AND(IF($J72="",INDEX(primary_jama_2024_4183_disposition,MATCH($A72,primary_jama_2024_4183_key,0)),$J72)&lt;&gt;"",IF($J72="",INDEX(primary_jama_2024_4183_disposition,MATCH($A72,primary_jama_2024_4183_key,0)),$J72)&lt;&gt;"retain"),NOT(OR(IF($K72="",INDEX(primary_jama_2024_4183_domain,MATCH($A72,primary_jama_2024_4183_key,0)),$K72)="internal_nonstatistical",IF($K72="",INDEX(primary_jama_2024_4183_domain,MATCH($A72,primary_jama_2024_4183_key,0)),$K72)="plan_material"))),O72&lt;&gt;"",O72&lt;&gt;"not_applicable")</formula>
    </cfRule>
    <cfRule type="expression" priority="688" dxfId="1">
      <formula>OR(AND(IF($J72="",INDEX(primary_jama_2024_4183_disposition,MATCH($A72,primary_jama_2024_4183_key,0)),$J72)&lt;&gt;"",IF($J72="",INDEX(primary_jama_2024_4183_disposition,MATCH($A72,primary_jama_2024_4183_key,0)),$J72)&lt;&gt;"retain"),NOT(OR(IF($K72="",INDEX(primary_jama_2024_4183_domain,MATCH($A72,primary_jama_2024_4183_key,0)),$K72)="internal_nonstatistical",IF($K72="",INDEX(primary_jama_2024_4183_domain,MATCH($A72,primary_jama_2024_4183_key,0)),$K72)="plan_material")))</formula>
    </cfRule>
  </conditionalFormatting>
  <conditionalFormatting sqref="O73">
    <cfRule type="expression" priority="689" dxfId="0" stopIfTrue="1">
      <formula>AND(OR(AND(IF($J73="",INDEX(primary_jama_2024_4183_disposition,MATCH($A73,primary_jama_2024_4183_key,0)),$J73)&lt;&gt;"",IF($J73="",INDEX(primary_jama_2024_4183_disposition,MATCH($A73,primary_jama_2024_4183_key,0)),$J73)&lt;&gt;"retain"),NOT(OR(IF($K73="",INDEX(primary_jama_2024_4183_domain,MATCH($A73,primary_jama_2024_4183_key,0)),$K73)="internal_nonstatistical",IF($K73="",INDEX(primary_jama_2024_4183_domain,MATCH($A73,primary_jama_2024_4183_key,0)),$K73)="plan_material"))),O73&lt;&gt;"",O73&lt;&gt;"not_applicable")</formula>
    </cfRule>
    <cfRule type="expression" priority="690" dxfId="1">
      <formula>OR(AND(IF($J73="",INDEX(primary_jama_2024_4183_disposition,MATCH($A73,primary_jama_2024_4183_key,0)),$J73)&lt;&gt;"",IF($J73="",INDEX(primary_jama_2024_4183_disposition,MATCH($A73,primary_jama_2024_4183_key,0)),$J73)&lt;&gt;"retain"),NOT(OR(IF($K73="",INDEX(primary_jama_2024_4183_domain,MATCH($A73,primary_jama_2024_4183_key,0)),$K73)="internal_nonstatistical",IF($K73="",INDEX(primary_jama_2024_4183_domain,MATCH($A73,primary_jama_2024_4183_key,0)),$K73)="plan_material")))</formula>
    </cfRule>
  </conditionalFormatting>
  <conditionalFormatting sqref="O74">
    <cfRule type="expression" priority="691" dxfId="0" stopIfTrue="1">
      <formula>AND(OR(AND(IF($J74="",INDEX(primary_jama_2024_4183_disposition,MATCH($A74,primary_jama_2024_4183_key,0)),$J74)&lt;&gt;"",IF($J74="",INDEX(primary_jama_2024_4183_disposition,MATCH($A74,primary_jama_2024_4183_key,0)),$J74)&lt;&gt;"retain"),NOT(OR(IF($K74="",INDEX(primary_jama_2024_4183_domain,MATCH($A74,primary_jama_2024_4183_key,0)),$K74)="internal_nonstatistical",IF($K74="",INDEX(primary_jama_2024_4183_domain,MATCH($A74,primary_jama_2024_4183_key,0)),$K74)="plan_material"))),O74&lt;&gt;"",O74&lt;&gt;"not_applicable")</formula>
    </cfRule>
    <cfRule type="expression" priority="692" dxfId="1">
      <formula>OR(AND(IF($J74="",INDEX(primary_jama_2024_4183_disposition,MATCH($A74,primary_jama_2024_4183_key,0)),$J74)&lt;&gt;"",IF($J74="",INDEX(primary_jama_2024_4183_disposition,MATCH($A74,primary_jama_2024_4183_key,0)),$J74)&lt;&gt;"retain"),NOT(OR(IF($K74="",INDEX(primary_jama_2024_4183_domain,MATCH($A74,primary_jama_2024_4183_key,0)),$K74)="internal_nonstatistical",IF($K74="",INDEX(primary_jama_2024_4183_domain,MATCH($A74,primary_jama_2024_4183_key,0)),$K74)="plan_material")))</formula>
    </cfRule>
  </conditionalFormatting>
  <conditionalFormatting sqref="O75">
    <cfRule type="expression" priority="693" dxfId="0" stopIfTrue="1">
      <formula>AND(OR(AND(IF($J75="",INDEX(primary_jama_2024_4183_disposition,MATCH($A75,primary_jama_2024_4183_key,0)),$J75)&lt;&gt;"",IF($J75="",INDEX(primary_jama_2024_4183_disposition,MATCH($A75,primary_jama_2024_4183_key,0)),$J75)&lt;&gt;"retain"),NOT(OR(IF($K75="",INDEX(primary_jama_2024_4183_domain,MATCH($A75,primary_jama_2024_4183_key,0)),$K75)="internal_nonstatistical",IF($K75="",INDEX(primary_jama_2024_4183_domain,MATCH($A75,primary_jama_2024_4183_key,0)),$K75)="plan_material"))),O75&lt;&gt;"",O75&lt;&gt;"not_applicable")</formula>
    </cfRule>
    <cfRule type="expression" priority="694" dxfId="1">
      <formula>OR(AND(IF($J75="",INDEX(primary_jama_2024_4183_disposition,MATCH($A75,primary_jama_2024_4183_key,0)),$J75)&lt;&gt;"",IF($J75="",INDEX(primary_jama_2024_4183_disposition,MATCH($A75,primary_jama_2024_4183_key,0)),$J75)&lt;&gt;"retain"),NOT(OR(IF($K75="",INDEX(primary_jama_2024_4183_domain,MATCH($A75,primary_jama_2024_4183_key,0)),$K75)="internal_nonstatistical",IF($K75="",INDEX(primary_jama_2024_4183_domain,MATCH($A75,primary_jama_2024_4183_key,0)),$K75)="plan_material")))</formula>
    </cfRule>
  </conditionalFormatting>
  <conditionalFormatting sqref="O76">
    <cfRule type="expression" priority="695" dxfId="0" stopIfTrue="1">
      <formula>AND(OR(AND(IF($J76="",INDEX(primary_jama_2024_4183_disposition,MATCH($A76,primary_jama_2024_4183_key,0)),$J76)&lt;&gt;"",IF($J76="",INDEX(primary_jama_2024_4183_disposition,MATCH($A76,primary_jama_2024_4183_key,0)),$J76)&lt;&gt;"retain"),NOT(OR(IF($K76="",INDEX(primary_jama_2024_4183_domain,MATCH($A76,primary_jama_2024_4183_key,0)),$K76)="internal_nonstatistical",IF($K76="",INDEX(primary_jama_2024_4183_domain,MATCH($A76,primary_jama_2024_4183_key,0)),$K76)="plan_material"))),O76&lt;&gt;"",O76&lt;&gt;"not_applicable")</formula>
    </cfRule>
    <cfRule type="expression" priority="696" dxfId="1">
      <formula>OR(AND(IF($J76="",INDEX(primary_jama_2024_4183_disposition,MATCH($A76,primary_jama_2024_4183_key,0)),$J76)&lt;&gt;"",IF($J76="",INDEX(primary_jama_2024_4183_disposition,MATCH($A76,primary_jama_2024_4183_key,0)),$J76)&lt;&gt;"retain"),NOT(OR(IF($K76="",INDEX(primary_jama_2024_4183_domain,MATCH($A76,primary_jama_2024_4183_key,0)),$K76)="internal_nonstatistical",IF($K76="",INDEX(primary_jama_2024_4183_domain,MATCH($A76,primary_jama_2024_4183_key,0)),$K76)="plan_material")))</formula>
    </cfRule>
  </conditionalFormatting>
  <conditionalFormatting sqref="O77">
    <cfRule type="expression" priority="697" dxfId="0" stopIfTrue="1">
      <formula>AND(OR(AND(IF($J77="",INDEX(primary_jama_2024_6063_disposition,MATCH($A77,primary_jama_2024_6063_key,0)),$J77)&lt;&gt;"",IF($J77="",INDEX(primary_jama_2024_6063_disposition,MATCH($A77,primary_jama_2024_6063_key,0)),$J77)&lt;&gt;"retain"),NOT(OR(IF($K77="",INDEX(primary_jama_2024_6063_domain,MATCH($A77,primary_jama_2024_6063_key,0)),$K77)="internal_nonstatistical",IF($K77="",INDEX(primary_jama_2024_6063_domain,MATCH($A77,primary_jama_2024_6063_key,0)),$K77)="plan_material"))),O77&lt;&gt;"",O77&lt;&gt;"not_applicable")</formula>
    </cfRule>
    <cfRule type="expression" priority="698" dxfId="1">
      <formula>OR(AND(IF($J77="",INDEX(primary_jama_2024_6063_disposition,MATCH($A77,primary_jama_2024_6063_key,0)),$J77)&lt;&gt;"",IF($J77="",INDEX(primary_jama_2024_6063_disposition,MATCH($A77,primary_jama_2024_6063_key,0)),$J77)&lt;&gt;"retain"),NOT(OR(IF($K77="",INDEX(primary_jama_2024_6063_domain,MATCH($A77,primary_jama_2024_6063_key,0)),$K77)="internal_nonstatistical",IF($K77="",INDEX(primary_jama_2024_6063_domain,MATCH($A77,primary_jama_2024_6063_key,0)),$K77)="plan_material")))</formula>
    </cfRule>
  </conditionalFormatting>
  <conditionalFormatting sqref="O78">
    <cfRule type="expression" priority="699" dxfId="0" stopIfTrue="1">
      <formula>AND(OR(AND(IF($J78="",INDEX(primary_jama_2024_6063_disposition,MATCH($A78,primary_jama_2024_6063_key,0)),$J78)&lt;&gt;"",IF($J78="",INDEX(primary_jama_2024_6063_disposition,MATCH($A78,primary_jama_2024_6063_key,0)),$J78)&lt;&gt;"retain"),NOT(OR(IF($K78="",INDEX(primary_jama_2024_6063_domain,MATCH($A78,primary_jama_2024_6063_key,0)),$K78)="internal_nonstatistical",IF($K78="",INDEX(primary_jama_2024_6063_domain,MATCH($A78,primary_jama_2024_6063_key,0)),$K78)="plan_material"))),O78&lt;&gt;"",O78&lt;&gt;"not_applicable")</formula>
    </cfRule>
    <cfRule type="expression" priority="700" dxfId="1">
      <formula>OR(AND(IF($J78="",INDEX(primary_jama_2024_6063_disposition,MATCH($A78,primary_jama_2024_6063_key,0)),$J78)&lt;&gt;"",IF($J78="",INDEX(primary_jama_2024_6063_disposition,MATCH($A78,primary_jama_2024_6063_key,0)),$J78)&lt;&gt;"retain"),NOT(OR(IF($K78="",INDEX(primary_jama_2024_6063_domain,MATCH($A78,primary_jama_2024_6063_key,0)),$K78)="internal_nonstatistical",IF($K78="",INDEX(primary_jama_2024_6063_domain,MATCH($A78,primary_jama_2024_6063_key,0)),$K78)="plan_material")))</formula>
    </cfRule>
  </conditionalFormatting>
  <conditionalFormatting sqref="O79">
    <cfRule type="expression" priority="701" dxfId="0" stopIfTrue="1">
      <formula>AND(OR(AND(IF($J79="",INDEX(primary_jama_2024_6063_disposition,MATCH($A79,primary_jama_2024_6063_key,0)),$J79)&lt;&gt;"",IF($J79="",INDEX(primary_jama_2024_6063_disposition,MATCH($A79,primary_jama_2024_6063_key,0)),$J79)&lt;&gt;"retain"),NOT(OR(IF($K79="",INDEX(primary_jama_2024_6063_domain,MATCH($A79,primary_jama_2024_6063_key,0)),$K79)="internal_nonstatistical",IF($K79="",INDEX(primary_jama_2024_6063_domain,MATCH($A79,primary_jama_2024_6063_key,0)),$K79)="plan_material"))),O79&lt;&gt;"",O79&lt;&gt;"not_applicable")</formula>
    </cfRule>
    <cfRule type="expression" priority="702" dxfId="1">
      <formula>OR(AND(IF($J79="",INDEX(primary_jama_2024_6063_disposition,MATCH($A79,primary_jama_2024_6063_key,0)),$J79)&lt;&gt;"",IF($J79="",INDEX(primary_jama_2024_6063_disposition,MATCH($A79,primary_jama_2024_6063_key,0)),$J79)&lt;&gt;"retain"),NOT(OR(IF($K79="",INDEX(primary_jama_2024_6063_domain,MATCH($A79,primary_jama_2024_6063_key,0)),$K79)="internal_nonstatistical",IF($K79="",INDEX(primary_jama_2024_6063_domain,MATCH($A79,primary_jama_2024_6063_key,0)),$K79)="plan_material")))</formula>
    </cfRule>
  </conditionalFormatting>
  <conditionalFormatting sqref="O80">
    <cfRule type="expression" priority="703" dxfId="0" stopIfTrue="1">
      <formula>AND(OR(AND(IF($J80="",INDEX(primary_jama_2024_6063_disposition,MATCH($A80,primary_jama_2024_6063_key,0)),$J80)&lt;&gt;"",IF($J80="",INDEX(primary_jama_2024_6063_disposition,MATCH($A80,primary_jama_2024_6063_key,0)),$J80)&lt;&gt;"retain"),NOT(OR(IF($K80="",INDEX(primary_jama_2024_6063_domain,MATCH($A80,primary_jama_2024_6063_key,0)),$K80)="internal_nonstatistical",IF($K80="",INDEX(primary_jama_2024_6063_domain,MATCH($A80,primary_jama_2024_6063_key,0)),$K80)="plan_material"))),O80&lt;&gt;"",O80&lt;&gt;"not_applicable")</formula>
    </cfRule>
    <cfRule type="expression" priority="704" dxfId="1">
      <formula>OR(AND(IF($J80="",INDEX(primary_jama_2024_6063_disposition,MATCH($A80,primary_jama_2024_6063_key,0)),$J80)&lt;&gt;"",IF($J80="",INDEX(primary_jama_2024_6063_disposition,MATCH($A80,primary_jama_2024_6063_key,0)),$J80)&lt;&gt;"retain"),NOT(OR(IF($K80="",INDEX(primary_jama_2024_6063_domain,MATCH($A80,primary_jama_2024_6063_key,0)),$K80)="internal_nonstatistical",IF($K80="",INDEX(primary_jama_2024_6063_domain,MATCH($A80,primary_jama_2024_6063_key,0)),$K80)="plan_material")))</formula>
    </cfRule>
  </conditionalFormatting>
  <conditionalFormatting sqref="O81">
    <cfRule type="expression" priority="705" dxfId="0" stopIfTrue="1">
      <formula>AND(OR(AND(IF($J81="",INDEX(primary_jama_2024_6063_disposition,MATCH($A81,primary_jama_2024_6063_key,0)),$J81)&lt;&gt;"",IF($J81="",INDEX(primary_jama_2024_6063_disposition,MATCH($A81,primary_jama_2024_6063_key,0)),$J81)&lt;&gt;"retain"),NOT(OR(IF($K81="",INDEX(primary_jama_2024_6063_domain,MATCH($A81,primary_jama_2024_6063_key,0)),$K81)="internal_nonstatistical",IF($K81="",INDEX(primary_jama_2024_6063_domain,MATCH($A81,primary_jama_2024_6063_key,0)),$K81)="plan_material"))),O81&lt;&gt;"",O81&lt;&gt;"not_applicable")</formula>
    </cfRule>
    <cfRule type="expression" priority="706" dxfId="1">
      <formula>OR(AND(IF($J81="",INDEX(primary_jama_2024_6063_disposition,MATCH($A81,primary_jama_2024_6063_key,0)),$J81)&lt;&gt;"",IF($J81="",INDEX(primary_jama_2024_6063_disposition,MATCH($A81,primary_jama_2024_6063_key,0)),$J81)&lt;&gt;"retain"),NOT(OR(IF($K81="",INDEX(primary_jama_2024_6063_domain,MATCH($A81,primary_jama_2024_6063_key,0)),$K81)="internal_nonstatistical",IF($K81="",INDEX(primary_jama_2024_6063_domain,MATCH($A81,primary_jama_2024_6063_key,0)),$K81)="plan_material")))</formula>
    </cfRule>
  </conditionalFormatting>
  <conditionalFormatting sqref="O82">
    <cfRule type="expression" priority="707" dxfId="0" stopIfTrue="1">
      <formula>AND(OR(AND(IF($J82="",INDEX(primary_jama_2024_6063_disposition,MATCH($A82,primary_jama_2024_6063_key,0)),$J82)&lt;&gt;"",IF($J82="",INDEX(primary_jama_2024_6063_disposition,MATCH($A82,primary_jama_2024_6063_key,0)),$J82)&lt;&gt;"retain"),NOT(OR(IF($K82="",INDEX(primary_jama_2024_6063_domain,MATCH($A82,primary_jama_2024_6063_key,0)),$K82)="internal_nonstatistical",IF($K82="",INDEX(primary_jama_2024_6063_domain,MATCH($A82,primary_jama_2024_6063_key,0)),$K82)="plan_material"))),O82&lt;&gt;"",O82&lt;&gt;"not_applicable")</formula>
    </cfRule>
    <cfRule type="expression" priority="708" dxfId="1">
      <formula>OR(AND(IF($J82="",INDEX(primary_jama_2024_6063_disposition,MATCH($A82,primary_jama_2024_6063_key,0)),$J82)&lt;&gt;"",IF($J82="",INDEX(primary_jama_2024_6063_disposition,MATCH($A82,primary_jama_2024_6063_key,0)),$J82)&lt;&gt;"retain"),NOT(OR(IF($K82="",INDEX(primary_jama_2024_6063_domain,MATCH($A82,primary_jama_2024_6063_key,0)),$K82)="internal_nonstatistical",IF($K82="",INDEX(primary_jama_2024_6063_domain,MATCH($A82,primary_jama_2024_6063_key,0)),$K82)="plan_material")))</formula>
    </cfRule>
  </conditionalFormatting>
  <conditionalFormatting sqref="O83">
    <cfRule type="expression" priority="709" dxfId="0" stopIfTrue="1">
      <formula>AND(OR(AND(IF($J83="",INDEX(primary_jama_2024_6063_disposition,MATCH($A83,primary_jama_2024_6063_key,0)),$J83)&lt;&gt;"",IF($J83="",INDEX(primary_jama_2024_6063_disposition,MATCH($A83,primary_jama_2024_6063_key,0)),$J83)&lt;&gt;"retain"),NOT(OR(IF($K83="",INDEX(primary_jama_2024_6063_domain,MATCH($A83,primary_jama_2024_6063_key,0)),$K83)="internal_nonstatistical",IF($K83="",INDEX(primary_jama_2024_6063_domain,MATCH($A83,primary_jama_2024_6063_key,0)),$K83)="plan_material"))),O83&lt;&gt;"",O83&lt;&gt;"not_applicable")</formula>
    </cfRule>
    <cfRule type="expression" priority="710" dxfId="1">
      <formula>OR(AND(IF($J83="",INDEX(primary_jama_2024_6063_disposition,MATCH($A83,primary_jama_2024_6063_key,0)),$J83)&lt;&gt;"",IF($J83="",INDEX(primary_jama_2024_6063_disposition,MATCH($A83,primary_jama_2024_6063_key,0)),$J83)&lt;&gt;"retain"),NOT(OR(IF($K83="",INDEX(primary_jama_2024_6063_domain,MATCH($A83,primary_jama_2024_6063_key,0)),$K83)="internal_nonstatistical",IF($K83="",INDEX(primary_jama_2024_6063_domain,MATCH($A83,primary_jama_2024_6063_key,0)),$K83)="plan_material")))</formula>
    </cfRule>
  </conditionalFormatting>
  <conditionalFormatting sqref="O84">
    <cfRule type="expression" priority="711" dxfId="0" stopIfTrue="1">
      <formula>AND(OR(AND(IF($J84="",INDEX(primary_jama_2024_6063_disposition,MATCH($A84,primary_jama_2024_6063_key,0)),$J84)&lt;&gt;"",IF($J84="",INDEX(primary_jama_2024_6063_disposition,MATCH($A84,primary_jama_2024_6063_key,0)),$J84)&lt;&gt;"retain"),NOT(OR(IF($K84="",INDEX(primary_jama_2024_6063_domain,MATCH($A84,primary_jama_2024_6063_key,0)),$K84)="internal_nonstatistical",IF($K84="",INDEX(primary_jama_2024_6063_domain,MATCH($A84,primary_jama_2024_6063_key,0)),$K84)="plan_material"))),O84&lt;&gt;"",O84&lt;&gt;"not_applicable")</formula>
    </cfRule>
    <cfRule type="expression" priority="712" dxfId="1">
      <formula>OR(AND(IF($J84="",INDEX(primary_jama_2024_6063_disposition,MATCH($A84,primary_jama_2024_6063_key,0)),$J84)&lt;&gt;"",IF($J84="",INDEX(primary_jama_2024_6063_disposition,MATCH($A84,primary_jama_2024_6063_key,0)),$J84)&lt;&gt;"retain"),NOT(OR(IF($K84="",INDEX(primary_jama_2024_6063_domain,MATCH($A84,primary_jama_2024_6063_key,0)),$K84)="internal_nonstatistical",IF($K84="",INDEX(primary_jama_2024_6063_domain,MATCH($A84,primary_jama_2024_6063_key,0)),$K84)="plan_material")))</formula>
    </cfRule>
  </conditionalFormatting>
  <conditionalFormatting sqref="O85">
    <cfRule type="expression" priority="713" dxfId="0" stopIfTrue="1">
      <formula>AND(OR(AND(IF($J85="",INDEX(primary_jama_2024_6063_disposition,MATCH($A85,primary_jama_2024_6063_key,0)),$J85)&lt;&gt;"",IF($J85="",INDEX(primary_jama_2024_6063_disposition,MATCH($A85,primary_jama_2024_6063_key,0)),$J85)&lt;&gt;"retain"),NOT(OR(IF($K85="",INDEX(primary_jama_2024_6063_domain,MATCH($A85,primary_jama_2024_6063_key,0)),$K85)="internal_nonstatistical",IF($K85="",INDEX(primary_jama_2024_6063_domain,MATCH($A85,primary_jama_2024_6063_key,0)),$K85)="plan_material"))),O85&lt;&gt;"",O85&lt;&gt;"not_applicable")</formula>
    </cfRule>
    <cfRule type="expression" priority="714" dxfId="1">
      <formula>OR(AND(IF($J85="",INDEX(primary_jama_2024_6063_disposition,MATCH($A85,primary_jama_2024_6063_key,0)),$J85)&lt;&gt;"",IF($J85="",INDEX(primary_jama_2024_6063_disposition,MATCH($A85,primary_jama_2024_6063_key,0)),$J85)&lt;&gt;"retain"),NOT(OR(IF($K85="",INDEX(primary_jama_2024_6063_domain,MATCH($A85,primary_jama_2024_6063_key,0)),$K85)="internal_nonstatistical",IF($K85="",INDEX(primary_jama_2024_6063_domain,MATCH($A85,primary_jama_2024_6063_key,0)),$K85)="plan_material")))</formula>
    </cfRule>
  </conditionalFormatting>
  <conditionalFormatting sqref="O86">
    <cfRule type="expression" priority="715" dxfId="0" stopIfTrue="1">
      <formula>AND(OR(AND(IF($J86="",INDEX(primary_jama_2024_6063_disposition,MATCH($A86,primary_jama_2024_6063_key,0)),$J86)&lt;&gt;"",IF($J86="",INDEX(primary_jama_2024_6063_disposition,MATCH($A86,primary_jama_2024_6063_key,0)),$J86)&lt;&gt;"retain"),NOT(OR(IF($K86="",INDEX(primary_jama_2024_6063_domain,MATCH($A86,primary_jama_2024_6063_key,0)),$K86)="internal_nonstatistical",IF($K86="",INDEX(primary_jama_2024_6063_domain,MATCH($A86,primary_jama_2024_6063_key,0)),$K86)="plan_material"))),O86&lt;&gt;"",O86&lt;&gt;"not_applicable")</formula>
    </cfRule>
    <cfRule type="expression" priority="716" dxfId="1">
      <formula>OR(AND(IF($J86="",INDEX(primary_jama_2024_6063_disposition,MATCH($A86,primary_jama_2024_6063_key,0)),$J86)&lt;&gt;"",IF($J86="",INDEX(primary_jama_2024_6063_disposition,MATCH($A86,primary_jama_2024_6063_key,0)),$J86)&lt;&gt;"retain"),NOT(OR(IF($K86="",INDEX(primary_jama_2024_6063_domain,MATCH($A86,primary_jama_2024_6063_key,0)),$K86)="internal_nonstatistical",IF($K86="",INDEX(primary_jama_2024_6063_domain,MATCH($A86,primary_jama_2024_6063_key,0)),$K86)="plan_material")))</formula>
    </cfRule>
  </conditionalFormatting>
  <conditionalFormatting sqref="O87">
    <cfRule type="expression" priority="717" dxfId="0" stopIfTrue="1">
      <formula>AND(OR(AND(IF($J87="",INDEX(primary_jama_2024_6063_disposition,MATCH($A87,primary_jama_2024_6063_key,0)),$J87)&lt;&gt;"",IF($J87="",INDEX(primary_jama_2024_6063_disposition,MATCH($A87,primary_jama_2024_6063_key,0)),$J87)&lt;&gt;"retain"),NOT(OR(IF($K87="",INDEX(primary_jama_2024_6063_domain,MATCH($A87,primary_jama_2024_6063_key,0)),$K87)="internal_nonstatistical",IF($K87="",INDEX(primary_jama_2024_6063_domain,MATCH($A87,primary_jama_2024_6063_key,0)),$K87)="plan_material"))),O87&lt;&gt;"",O87&lt;&gt;"not_applicable")</formula>
    </cfRule>
    <cfRule type="expression" priority="718" dxfId="1">
      <formula>OR(AND(IF($J87="",INDEX(primary_jama_2024_6063_disposition,MATCH($A87,primary_jama_2024_6063_key,0)),$J87)&lt;&gt;"",IF($J87="",INDEX(primary_jama_2024_6063_disposition,MATCH($A87,primary_jama_2024_6063_key,0)),$J87)&lt;&gt;"retain"),NOT(OR(IF($K87="",INDEX(primary_jama_2024_6063_domain,MATCH($A87,primary_jama_2024_6063_key,0)),$K87)="internal_nonstatistical",IF($K87="",INDEX(primary_jama_2024_6063_domain,MATCH($A87,primary_jama_2024_6063_key,0)),$K87)="plan_material")))</formula>
    </cfRule>
  </conditionalFormatting>
  <conditionalFormatting sqref="O88">
    <cfRule type="expression" priority="719" dxfId="0" stopIfTrue="1">
      <formula>AND(OR(AND(IF($J88="",INDEX(primary_jama_2024_6063_disposition,MATCH($A88,primary_jama_2024_6063_key,0)),$J88)&lt;&gt;"",IF($J88="",INDEX(primary_jama_2024_6063_disposition,MATCH($A88,primary_jama_2024_6063_key,0)),$J88)&lt;&gt;"retain"),NOT(OR(IF($K88="",INDEX(primary_jama_2024_6063_domain,MATCH($A88,primary_jama_2024_6063_key,0)),$K88)="internal_nonstatistical",IF($K88="",INDEX(primary_jama_2024_6063_domain,MATCH($A88,primary_jama_2024_6063_key,0)),$K88)="plan_material"))),O88&lt;&gt;"",O88&lt;&gt;"not_applicable")</formula>
    </cfRule>
    <cfRule type="expression" priority="720" dxfId="1">
      <formula>OR(AND(IF($J88="",INDEX(primary_jama_2024_6063_disposition,MATCH($A88,primary_jama_2024_6063_key,0)),$J88)&lt;&gt;"",IF($J88="",INDEX(primary_jama_2024_6063_disposition,MATCH($A88,primary_jama_2024_6063_key,0)),$J88)&lt;&gt;"retain"),NOT(OR(IF($K88="",INDEX(primary_jama_2024_6063_domain,MATCH($A88,primary_jama_2024_6063_key,0)),$K88)="internal_nonstatistical",IF($K88="",INDEX(primary_jama_2024_6063_domain,MATCH($A88,primary_jama_2024_6063_key,0)),$K88)="plan_material")))</formula>
    </cfRule>
  </conditionalFormatting>
  <conditionalFormatting sqref="O89">
    <cfRule type="expression" priority="721" dxfId="0" stopIfTrue="1">
      <formula>AND(OR(AND(IF($J89="",INDEX(primary_jama_2024_6063_disposition,MATCH($A89,primary_jama_2024_6063_key,0)),$J89)&lt;&gt;"",IF($J89="",INDEX(primary_jama_2024_6063_disposition,MATCH($A89,primary_jama_2024_6063_key,0)),$J89)&lt;&gt;"retain"),NOT(OR(IF($K89="",INDEX(primary_jama_2024_6063_domain,MATCH($A89,primary_jama_2024_6063_key,0)),$K89)="internal_nonstatistical",IF($K89="",INDEX(primary_jama_2024_6063_domain,MATCH($A89,primary_jama_2024_6063_key,0)),$K89)="plan_material"))),O89&lt;&gt;"",O89&lt;&gt;"not_applicable")</formula>
    </cfRule>
    <cfRule type="expression" priority="722" dxfId="1">
      <formula>OR(AND(IF($J89="",INDEX(primary_jama_2024_6063_disposition,MATCH($A89,primary_jama_2024_6063_key,0)),$J89)&lt;&gt;"",IF($J89="",INDEX(primary_jama_2024_6063_disposition,MATCH($A89,primary_jama_2024_6063_key,0)),$J89)&lt;&gt;"retain"),NOT(OR(IF($K89="",INDEX(primary_jama_2024_6063_domain,MATCH($A89,primary_jama_2024_6063_key,0)),$K89)="internal_nonstatistical",IF($K89="",INDEX(primary_jama_2024_6063_domain,MATCH($A89,primary_jama_2024_6063_key,0)),$K89)="plan_material")))</formula>
    </cfRule>
  </conditionalFormatting>
  <conditionalFormatting sqref="O90">
    <cfRule type="expression" priority="723" dxfId="0" stopIfTrue="1">
      <formula>AND(OR(AND(IF($J90="",INDEX(primary_jama_2024_6063_disposition,MATCH($A90,primary_jama_2024_6063_key,0)),$J90)&lt;&gt;"",IF($J90="",INDEX(primary_jama_2024_6063_disposition,MATCH($A90,primary_jama_2024_6063_key,0)),$J90)&lt;&gt;"retain"),NOT(OR(IF($K90="",INDEX(primary_jama_2024_6063_domain,MATCH($A90,primary_jama_2024_6063_key,0)),$K90)="internal_nonstatistical",IF($K90="",INDEX(primary_jama_2024_6063_domain,MATCH($A90,primary_jama_2024_6063_key,0)),$K90)="plan_material"))),O90&lt;&gt;"",O90&lt;&gt;"not_applicable")</formula>
    </cfRule>
    <cfRule type="expression" priority="724" dxfId="1">
      <formula>OR(AND(IF($J90="",INDEX(primary_jama_2024_6063_disposition,MATCH($A90,primary_jama_2024_6063_key,0)),$J90)&lt;&gt;"",IF($J90="",INDEX(primary_jama_2024_6063_disposition,MATCH($A90,primary_jama_2024_6063_key,0)),$J90)&lt;&gt;"retain"),NOT(OR(IF($K90="",INDEX(primary_jama_2024_6063_domain,MATCH($A90,primary_jama_2024_6063_key,0)),$K90)="internal_nonstatistical",IF($K90="",INDEX(primary_jama_2024_6063_domain,MATCH($A90,primary_jama_2024_6063_key,0)),$K90)="plan_material")))</formula>
    </cfRule>
  </conditionalFormatting>
  <conditionalFormatting sqref="O91">
    <cfRule type="expression" priority="725" dxfId="0" stopIfTrue="1">
      <formula>AND(OR(AND(IF($J91="",INDEX(primary_jama_2024_6063_disposition,MATCH($A91,primary_jama_2024_6063_key,0)),$J91)&lt;&gt;"",IF($J91="",INDEX(primary_jama_2024_6063_disposition,MATCH($A91,primary_jama_2024_6063_key,0)),$J91)&lt;&gt;"retain"),NOT(OR(IF($K91="",INDEX(primary_jama_2024_6063_domain,MATCH($A91,primary_jama_2024_6063_key,0)),$K91)="internal_nonstatistical",IF($K91="",INDEX(primary_jama_2024_6063_domain,MATCH($A91,primary_jama_2024_6063_key,0)),$K91)="plan_material"))),O91&lt;&gt;"",O91&lt;&gt;"not_applicable")</formula>
    </cfRule>
    <cfRule type="expression" priority="726" dxfId="1">
      <formula>OR(AND(IF($J91="",INDEX(primary_jama_2024_6063_disposition,MATCH($A91,primary_jama_2024_6063_key,0)),$J91)&lt;&gt;"",IF($J91="",INDEX(primary_jama_2024_6063_disposition,MATCH($A91,primary_jama_2024_6063_key,0)),$J91)&lt;&gt;"retain"),NOT(OR(IF($K91="",INDEX(primary_jama_2024_6063_domain,MATCH($A91,primary_jama_2024_6063_key,0)),$K91)="internal_nonstatistical",IF($K91="",INDEX(primary_jama_2024_6063_domain,MATCH($A91,primary_jama_2024_6063_key,0)),$K91)="plan_material")))</formula>
    </cfRule>
  </conditionalFormatting>
  <conditionalFormatting sqref="O92">
    <cfRule type="expression" priority="727" dxfId="0" stopIfTrue="1">
      <formula>AND(OR(AND(IF($J92="",INDEX(primary_jama_2024_6063_disposition,MATCH($A92,primary_jama_2024_6063_key,0)),$J92)&lt;&gt;"",IF($J92="",INDEX(primary_jama_2024_6063_disposition,MATCH($A92,primary_jama_2024_6063_key,0)),$J92)&lt;&gt;"retain"),NOT(OR(IF($K92="",INDEX(primary_jama_2024_6063_domain,MATCH($A92,primary_jama_2024_6063_key,0)),$K92)="internal_nonstatistical",IF($K92="",INDEX(primary_jama_2024_6063_domain,MATCH($A92,primary_jama_2024_6063_key,0)),$K92)="plan_material"))),O92&lt;&gt;"",O92&lt;&gt;"not_applicable")</formula>
    </cfRule>
    <cfRule type="expression" priority="728" dxfId="1">
      <formula>OR(AND(IF($J92="",INDEX(primary_jama_2024_6063_disposition,MATCH($A92,primary_jama_2024_6063_key,0)),$J92)&lt;&gt;"",IF($J92="",INDEX(primary_jama_2024_6063_disposition,MATCH($A92,primary_jama_2024_6063_key,0)),$J92)&lt;&gt;"retain"),NOT(OR(IF($K92="",INDEX(primary_jama_2024_6063_domain,MATCH($A92,primary_jama_2024_6063_key,0)),$K92)="internal_nonstatistical",IF($K92="",INDEX(primary_jama_2024_6063_domain,MATCH($A92,primary_jama_2024_6063_key,0)),$K92)="plan_material")))</formula>
    </cfRule>
  </conditionalFormatting>
  <conditionalFormatting sqref="P2">
    <cfRule type="expression" priority="729" dxfId="0" stopIfTrue="1">
      <formula>AND(OR(AND(IF($J2="",INDEX(primary_jama_2024_0318_disposition,MATCH($A2,primary_jama_2024_0318_key,0)),$J2)&lt;&gt;"",IF($J2="",INDEX(primary_jama_2024_0318_disposition,MATCH($A2,primary_jama_2024_0318_key,0)),$J2)&lt;&gt;"retain"),NOT(OR(IF($K2="",INDEX(primary_jama_2024_0318_domain,MATCH($A2,primary_jama_2024_0318_key,0)),$K2)="protocol_report"))),P2&lt;&gt;"",P2&lt;&gt;"not_applicable")</formula>
    </cfRule>
    <cfRule type="expression" priority="730" dxfId="1">
      <formula>OR(AND(IF($J2="",INDEX(primary_jama_2024_0318_disposition,MATCH($A2,primary_jama_2024_0318_key,0)),$J2)&lt;&gt;"",IF($J2="",INDEX(primary_jama_2024_0318_disposition,MATCH($A2,primary_jama_2024_0318_key,0)),$J2)&lt;&gt;"retain"),NOT(OR(IF($K2="",INDEX(primary_jama_2024_0318_domain,MATCH($A2,primary_jama_2024_0318_key,0)),$K2)="protocol_report")))</formula>
    </cfRule>
  </conditionalFormatting>
  <conditionalFormatting sqref="P3">
    <cfRule type="expression" priority="731" dxfId="0" stopIfTrue="1">
      <formula>AND(OR(AND(IF($J3="",INDEX(primary_jama_2024_0318_disposition,MATCH($A3,primary_jama_2024_0318_key,0)),$J3)&lt;&gt;"",IF($J3="",INDEX(primary_jama_2024_0318_disposition,MATCH($A3,primary_jama_2024_0318_key,0)),$J3)&lt;&gt;"retain"),NOT(OR(IF($K3="",INDEX(primary_jama_2024_0318_domain,MATCH($A3,primary_jama_2024_0318_key,0)),$K3)="protocol_report"))),P3&lt;&gt;"",P3&lt;&gt;"not_applicable")</formula>
    </cfRule>
    <cfRule type="expression" priority="732" dxfId="1">
      <formula>OR(AND(IF($J3="",INDEX(primary_jama_2024_0318_disposition,MATCH($A3,primary_jama_2024_0318_key,0)),$J3)&lt;&gt;"",IF($J3="",INDEX(primary_jama_2024_0318_disposition,MATCH($A3,primary_jama_2024_0318_key,0)),$J3)&lt;&gt;"retain"),NOT(OR(IF($K3="",INDEX(primary_jama_2024_0318_domain,MATCH($A3,primary_jama_2024_0318_key,0)),$K3)="protocol_report")))</formula>
    </cfRule>
  </conditionalFormatting>
  <conditionalFormatting sqref="P4">
    <cfRule type="expression" priority="733" dxfId="0" stopIfTrue="1">
      <formula>AND(OR(AND(IF($J4="",INDEX(primary_jama_2024_0318_disposition,MATCH($A4,primary_jama_2024_0318_key,0)),$J4)&lt;&gt;"",IF($J4="",INDEX(primary_jama_2024_0318_disposition,MATCH($A4,primary_jama_2024_0318_key,0)),$J4)&lt;&gt;"retain"),NOT(OR(IF($K4="",INDEX(primary_jama_2024_0318_domain,MATCH($A4,primary_jama_2024_0318_key,0)),$K4)="protocol_report"))),P4&lt;&gt;"",P4&lt;&gt;"not_applicable")</formula>
    </cfRule>
    <cfRule type="expression" priority="734" dxfId="1">
      <formula>OR(AND(IF($J4="",INDEX(primary_jama_2024_0318_disposition,MATCH($A4,primary_jama_2024_0318_key,0)),$J4)&lt;&gt;"",IF($J4="",INDEX(primary_jama_2024_0318_disposition,MATCH($A4,primary_jama_2024_0318_key,0)),$J4)&lt;&gt;"retain"),NOT(OR(IF($K4="",INDEX(primary_jama_2024_0318_domain,MATCH($A4,primary_jama_2024_0318_key,0)),$K4)="protocol_report")))</formula>
    </cfRule>
  </conditionalFormatting>
  <conditionalFormatting sqref="P5">
    <cfRule type="expression" priority="735" dxfId="0" stopIfTrue="1">
      <formula>AND(OR(AND(IF($J5="",INDEX(primary_jama_2024_0318_disposition,MATCH($A5,primary_jama_2024_0318_key,0)),$J5)&lt;&gt;"",IF($J5="",INDEX(primary_jama_2024_0318_disposition,MATCH($A5,primary_jama_2024_0318_key,0)),$J5)&lt;&gt;"retain"),NOT(OR(IF($K5="",INDEX(primary_jama_2024_0318_domain,MATCH($A5,primary_jama_2024_0318_key,0)),$K5)="protocol_report"))),P5&lt;&gt;"",P5&lt;&gt;"not_applicable")</formula>
    </cfRule>
    <cfRule type="expression" priority="736" dxfId="1">
      <formula>OR(AND(IF($J5="",INDEX(primary_jama_2024_0318_disposition,MATCH($A5,primary_jama_2024_0318_key,0)),$J5)&lt;&gt;"",IF($J5="",INDEX(primary_jama_2024_0318_disposition,MATCH($A5,primary_jama_2024_0318_key,0)),$J5)&lt;&gt;"retain"),NOT(OR(IF($K5="",INDEX(primary_jama_2024_0318_domain,MATCH($A5,primary_jama_2024_0318_key,0)),$K5)="protocol_report")))</formula>
    </cfRule>
  </conditionalFormatting>
  <conditionalFormatting sqref="P6">
    <cfRule type="expression" priority="737" dxfId="0" stopIfTrue="1">
      <formula>AND(OR(AND(IF($J6="",INDEX(primary_jama_2024_0318_disposition,MATCH($A6,primary_jama_2024_0318_key,0)),$J6)&lt;&gt;"",IF($J6="",INDEX(primary_jama_2024_0318_disposition,MATCH($A6,primary_jama_2024_0318_key,0)),$J6)&lt;&gt;"retain"),NOT(OR(IF($K6="",INDEX(primary_jama_2024_0318_domain,MATCH($A6,primary_jama_2024_0318_key,0)),$K6)="protocol_report"))),P6&lt;&gt;"",P6&lt;&gt;"not_applicable")</formula>
    </cfRule>
    <cfRule type="expression" priority="738" dxfId="1">
      <formula>OR(AND(IF($J6="",INDEX(primary_jama_2024_0318_disposition,MATCH($A6,primary_jama_2024_0318_key,0)),$J6)&lt;&gt;"",IF($J6="",INDEX(primary_jama_2024_0318_disposition,MATCH($A6,primary_jama_2024_0318_key,0)),$J6)&lt;&gt;"retain"),NOT(OR(IF($K6="",INDEX(primary_jama_2024_0318_domain,MATCH($A6,primary_jama_2024_0318_key,0)),$K6)="protocol_report")))</formula>
    </cfRule>
  </conditionalFormatting>
  <conditionalFormatting sqref="P7">
    <cfRule type="expression" priority="739" dxfId="0" stopIfTrue="1">
      <formula>AND(OR(AND(IF($J7="",INDEX(primary_jama_2024_0318_disposition,MATCH($A7,primary_jama_2024_0318_key,0)),$J7)&lt;&gt;"",IF($J7="",INDEX(primary_jama_2024_0318_disposition,MATCH($A7,primary_jama_2024_0318_key,0)),$J7)&lt;&gt;"retain"),NOT(OR(IF($K7="",INDEX(primary_jama_2024_0318_domain,MATCH($A7,primary_jama_2024_0318_key,0)),$K7)="protocol_report"))),P7&lt;&gt;"",P7&lt;&gt;"not_applicable")</formula>
    </cfRule>
    <cfRule type="expression" priority="740" dxfId="1">
      <formula>OR(AND(IF($J7="",INDEX(primary_jama_2024_0318_disposition,MATCH($A7,primary_jama_2024_0318_key,0)),$J7)&lt;&gt;"",IF($J7="",INDEX(primary_jama_2024_0318_disposition,MATCH($A7,primary_jama_2024_0318_key,0)),$J7)&lt;&gt;"retain"),NOT(OR(IF($K7="",INDEX(primary_jama_2024_0318_domain,MATCH($A7,primary_jama_2024_0318_key,0)),$K7)="protocol_report")))</formula>
    </cfRule>
  </conditionalFormatting>
  <conditionalFormatting sqref="P8">
    <cfRule type="expression" priority="741" dxfId="0" stopIfTrue="1">
      <formula>AND(OR(AND(IF($J8="",INDEX(primary_jama_2024_0572_disposition,MATCH($A8,primary_jama_2024_0572_key,0)),$J8)&lt;&gt;"",IF($J8="",INDEX(primary_jama_2024_0572_disposition,MATCH($A8,primary_jama_2024_0572_key,0)),$J8)&lt;&gt;"retain"),NOT(OR(IF($K8="",INDEX(primary_jama_2024_0572_domain,MATCH($A8,primary_jama_2024_0572_key,0)),$K8)="protocol_report"))),P8&lt;&gt;"",P8&lt;&gt;"not_applicable")</formula>
    </cfRule>
    <cfRule type="expression" priority="742" dxfId="1">
      <formula>OR(AND(IF($J8="",INDEX(primary_jama_2024_0572_disposition,MATCH($A8,primary_jama_2024_0572_key,0)),$J8)&lt;&gt;"",IF($J8="",INDEX(primary_jama_2024_0572_disposition,MATCH($A8,primary_jama_2024_0572_key,0)),$J8)&lt;&gt;"retain"),NOT(OR(IF($K8="",INDEX(primary_jama_2024_0572_domain,MATCH($A8,primary_jama_2024_0572_key,0)),$K8)="protocol_report")))</formula>
    </cfRule>
  </conditionalFormatting>
  <conditionalFormatting sqref="P9">
    <cfRule type="expression" priority="743" dxfId="0" stopIfTrue="1">
      <formula>AND(OR(AND(IF($J9="",INDEX(primary_jama_2024_0572_disposition,MATCH($A9,primary_jama_2024_0572_key,0)),$J9)&lt;&gt;"",IF($J9="",INDEX(primary_jama_2024_0572_disposition,MATCH($A9,primary_jama_2024_0572_key,0)),$J9)&lt;&gt;"retain"),NOT(OR(IF($K9="",INDEX(primary_jama_2024_0572_domain,MATCH($A9,primary_jama_2024_0572_key,0)),$K9)="protocol_report"))),P9&lt;&gt;"",P9&lt;&gt;"not_applicable")</formula>
    </cfRule>
    <cfRule type="expression" priority="744" dxfId="1">
      <formula>OR(AND(IF($J9="",INDEX(primary_jama_2024_0572_disposition,MATCH($A9,primary_jama_2024_0572_key,0)),$J9)&lt;&gt;"",IF($J9="",INDEX(primary_jama_2024_0572_disposition,MATCH($A9,primary_jama_2024_0572_key,0)),$J9)&lt;&gt;"retain"),NOT(OR(IF($K9="",INDEX(primary_jama_2024_0572_domain,MATCH($A9,primary_jama_2024_0572_key,0)),$K9)="protocol_report")))</formula>
    </cfRule>
  </conditionalFormatting>
  <conditionalFormatting sqref="P10">
    <cfRule type="expression" priority="745" dxfId="0" stopIfTrue="1">
      <formula>AND(OR(AND(IF($J10="",INDEX(primary_jama_2024_11057_disposition,MATCH($A10,primary_jama_2024_11057_key,0)),$J10)&lt;&gt;"",IF($J10="",INDEX(primary_jama_2024_11057_disposition,MATCH($A10,primary_jama_2024_11057_key,0)),$J10)&lt;&gt;"retain"),NOT(OR(IF($K10="",INDEX(primary_jama_2024_11057_domain,MATCH($A10,primary_jama_2024_11057_key,0)),$K10)="protocol_report"))),P10&lt;&gt;"",P10&lt;&gt;"not_applicable")</formula>
    </cfRule>
    <cfRule type="expression" priority="746" dxfId="1">
      <formula>OR(AND(IF($J10="",INDEX(primary_jama_2024_11057_disposition,MATCH($A10,primary_jama_2024_11057_key,0)),$J10)&lt;&gt;"",IF($J10="",INDEX(primary_jama_2024_11057_disposition,MATCH($A10,primary_jama_2024_11057_key,0)),$J10)&lt;&gt;"retain"),NOT(OR(IF($K10="",INDEX(primary_jama_2024_11057_domain,MATCH($A10,primary_jama_2024_11057_key,0)),$K10)="protocol_report")))</formula>
    </cfRule>
  </conditionalFormatting>
  <conditionalFormatting sqref="P11">
    <cfRule type="expression" priority="747" dxfId="0" stopIfTrue="1">
      <formula>AND(OR(AND(IF($J11="",INDEX(primary_jama_2024_11057_disposition,MATCH($A11,primary_jama_2024_11057_key,0)),$J11)&lt;&gt;"",IF($J11="",INDEX(primary_jama_2024_11057_disposition,MATCH($A11,primary_jama_2024_11057_key,0)),$J11)&lt;&gt;"retain"),NOT(OR(IF($K11="",INDEX(primary_jama_2024_11057_domain,MATCH($A11,primary_jama_2024_11057_key,0)),$K11)="protocol_report"))),P11&lt;&gt;"",P11&lt;&gt;"not_applicable")</formula>
    </cfRule>
    <cfRule type="expression" priority="748" dxfId="1">
      <formula>OR(AND(IF($J11="",INDEX(primary_jama_2024_11057_disposition,MATCH($A11,primary_jama_2024_11057_key,0)),$J11)&lt;&gt;"",IF($J11="",INDEX(primary_jama_2024_11057_disposition,MATCH($A11,primary_jama_2024_11057_key,0)),$J11)&lt;&gt;"retain"),NOT(OR(IF($K11="",INDEX(primary_jama_2024_11057_domain,MATCH($A11,primary_jama_2024_11057_key,0)),$K11)="protocol_report")))</formula>
    </cfRule>
  </conditionalFormatting>
  <conditionalFormatting sqref="P12">
    <cfRule type="expression" priority="749" dxfId="0" stopIfTrue="1">
      <formula>AND(OR(AND(IF($J12="",INDEX(primary_jama_2024_11057_disposition,MATCH($A12,primary_jama_2024_11057_key,0)),$J12)&lt;&gt;"",IF($J12="",INDEX(primary_jama_2024_11057_disposition,MATCH($A12,primary_jama_2024_11057_key,0)),$J12)&lt;&gt;"retain"),NOT(OR(IF($K12="",INDEX(primary_jama_2024_11057_domain,MATCH($A12,primary_jama_2024_11057_key,0)),$K12)="protocol_report"))),P12&lt;&gt;"",P12&lt;&gt;"not_applicable")</formula>
    </cfRule>
    <cfRule type="expression" priority="750" dxfId="1">
      <formula>OR(AND(IF($J12="",INDEX(primary_jama_2024_11057_disposition,MATCH($A12,primary_jama_2024_11057_key,0)),$J12)&lt;&gt;"",IF($J12="",INDEX(primary_jama_2024_11057_disposition,MATCH($A12,primary_jama_2024_11057_key,0)),$J12)&lt;&gt;"retain"),NOT(OR(IF($K12="",INDEX(primary_jama_2024_11057_domain,MATCH($A12,primary_jama_2024_11057_key,0)),$K12)="protocol_report")))</formula>
    </cfRule>
  </conditionalFormatting>
  <conditionalFormatting sqref="P13">
    <cfRule type="expression" priority="751" dxfId="0" stopIfTrue="1">
      <formula>AND(OR(AND(IF($J13="",INDEX(primary_jama_2024_12829_disposition,MATCH($A13,primary_jama_2024_12829_key,0)),$J13)&lt;&gt;"",IF($J13="",INDEX(primary_jama_2024_12829_disposition,MATCH($A13,primary_jama_2024_12829_key,0)),$J13)&lt;&gt;"retain"),NOT(OR(IF($K13="",INDEX(primary_jama_2024_12829_domain,MATCH($A13,primary_jama_2024_12829_key,0)),$K13)="protocol_report"))),P13&lt;&gt;"",P13&lt;&gt;"not_applicable")</formula>
    </cfRule>
    <cfRule type="expression" priority="752" dxfId="1">
      <formula>OR(AND(IF($J13="",INDEX(primary_jama_2024_12829_disposition,MATCH($A13,primary_jama_2024_12829_key,0)),$J13)&lt;&gt;"",IF($J13="",INDEX(primary_jama_2024_12829_disposition,MATCH($A13,primary_jama_2024_12829_key,0)),$J13)&lt;&gt;"retain"),NOT(OR(IF($K13="",INDEX(primary_jama_2024_12829_domain,MATCH($A13,primary_jama_2024_12829_key,0)),$K13)="protocol_report")))</formula>
    </cfRule>
  </conditionalFormatting>
  <conditionalFormatting sqref="P14">
    <cfRule type="expression" priority="753" dxfId="0" stopIfTrue="1">
      <formula>AND(OR(AND(IF($J14="",INDEX(primary_jama_2024_12829_disposition,MATCH($A14,primary_jama_2024_12829_key,0)),$J14)&lt;&gt;"",IF($J14="",INDEX(primary_jama_2024_12829_disposition,MATCH($A14,primary_jama_2024_12829_key,0)),$J14)&lt;&gt;"retain"),NOT(OR(IF($K14="",INDEX(primary_jama_2024_12829_domain,MATCH($A14,primary_jama_2024_12829_key,0)),$K14)="protocol_report"))),P14&lt;&gt;"",P14&lt;&gt;"not_applicable")</formula>
    </cfRule>
    <cfRule type="expression" priority="754" dxfId="1">
      <formula>OR(AND(IF($J14="",INDEX(primary_jama_2024_12829_disposition,MATCH($A14,primary_jama_2024_12829_key,0)),$J14)&lt;&gt;"",IF($J14="",INDEX(primary_jama_2024_12829_disposition,MATCH($A14,primary_jama_2024_12829_key,0)),$J14)&lt;&gt;"retain"),NOT(OR(IF($K14="",INDEX(primary_jama_2024_12829_domain,MATCH($A14,primary_jama_2024_12829_key,0)),$K14)="protocol_report")))</formula>
    </cfRule>
  </conditionalFormatting>
  <conditionalFormatting sqref="P15">
    <cfRule type="expression" priority="755" dxfId="0" stopIfTrue="1">
      <formula>AND(OR(AND(IF($J15="",INDEX(primary_jama_2024_12829_disposition,MATCH($A15,primary_jama_2024_12829_key,0)),$J15)&lt;&gt;"",IF($J15="",INDEX(primary_jama_2024_12829_disposition,MATCH($A15,primary_jama_2024_12829_key,0)),$J15)&lt;&gt;"retain"),NOT(OR(IF($K15="",INDEX(primary_jama_2024_12829_domain,MATCH($A15,primary_jama_2024_12829_key,0)),$K15)="protocol_report"))),P15&lt;&gt;"",P15&lt;&gt;"not_applicable")</formula>
    </cfRule>
    <cfRule type="expression" priority="756" dxfId="1">
      <formula>OR(AND(IF($J15="",INDEX(primary_jama_2024_12829_disposition,MATCH($A15,primary_jama_2024_12829_key,0)),$J15)&lt;&gt;"",IF($J15="",INDEX(primary_jama_2024_12829_disposition,MATCH($A15,primary_jama_2024_12829_key,0)),$J15)&lt;&gt;"retain"),NOT(OR(IF($K15="",INDEX(primary_jama_2024_12829_domain,MATCH($A15,primary_jama_2024_12829_key,0)),$K15)="protocol_report")))</formula>
    </cfRule>
  </conditionalFormatting>
  <conditionalFormatting sqref="P16">
    <cfRule type="expression" priority="757" dxfId="0" stopIfTrue="1">
      <formula>AND(OR(AND(IF($J16="",INDEX(primary_jama_2024_12829_disposition,MATCH($A16,primary_jama_2024_12829_key,0)),$J16)&lt;&gt;"",IF($J16="",INDEX(primary_jama_2024_12829_disposition,MATCH($A16,primary_jama_2024_12829_key,0)),$J16)&lt;&gt;"retain"),NOT(OR(IF($K16="",INDEX(primary_jama_2024_12829_domain,MATCH($A16,primary_jama_2024_12829_key,0)),$K16)="protocol_report"))),P16&lt;&gt;"",P16&lt;&gt;"not_applicable")</formula>
    </cfRule>
    <cfRule type="expression" priority="758" dxfId="1">
      <formula>OR(AND(IF($J16="",INDEX(primary_jama_2024_12829_disposition,MATCH($A16,primary_jama_2024_12829_key,0)),$J16)&lt;&gt;"",IF($J16="",INDEX(primary_jama_2024_12829_disposition,MATCH($A16,primary_jama_2024_12829_key,0)),$J16)&lt;&gt;"retain"),NOT(OR(IF($K16="",INDEX(primary_jama_2024_12829_domain,MATCH($A16,primary_jama_2024_12829_key,0)),$K16)="protocol_report")))</formula>
    </cfRule>
  </conditionalFormatting>
  <conditionalFormatting sqref="P17">
    <cfRule type="expression" priority="759" dxfId="0" stopIfTrue="1">
      <formula>AND(OR(AND(IF($J17="",INDEX(primary_jama_2024_12829_disposition,MATCH($A17,primary_jama_2024_12829_key,0)),$J17)&lt;&gt;"",IF($J17="",INDEX(primary_jama_2024_12829_disposition,MATCH($A17,primary_jama_2024_12829_key,0)),$J17)&lt;&gt;"retain"),NOT(OR(IF($K17="",INDEX(primary_jama_2024_12829_domain,MATCH($A17,primary_jama_2024_12829_key,0)),$K17)="protocol_report"))),P17&lt;&gt;"",P17&lt;&gt;"not_applicable")</formula>
    </cfRule>
    <cfRule type="expression" priority="760" dxfId="1">
      <formula>OR(AND(IF($J17="",INDEX(primary_jama_2024_12829_disposition,MATCH($A17,primary_jama_2024_12829_key,0)),$J17)&lt;&gt;"",IF($J17="",INDEX(primary_jama_2024_12829_disposition,MATCH($A17,primary_jama_2024_12829_key,0)),$J17)&lt;&gt;"retain"),NOT(OR(IF($K17="",INDEX(primary_jama_2024_12829_domain,MATCH($A17,primary_jama_2024_12829_key,0)),$K17)="protocol_report")))</formula>
    </cfRule>
  </conditionalFormatting>
  <conditionalFormatting sqref="P18">
    <cfRule type="expression" priority="761" dxfId="0" stopIfTrue="1">
      <formula>AND(OR(AND(IF($J18="",INDEX(primary_jama_2024_12829_disposition,MATCH($A18,primary_jama_2024_12829_key,0)),$J18)&lt;&gt;"",IF($J18="",INDEX(primary_jama_2024_12829_disposition,MATCH($A18,primary_jama_2024_12829_key,0)),$J18)&lt;&gt;"retain"),NOT(OR(IF($K18="",INDEX(primary_jama_2024_12829_domain,MATCH($A18,primary_jama_2024_12829_key,0)),$K18)="protocol_report"))),P18&lt;&gt;"",P18&lt;&gt;"not_applicable")</formula>
    </cfRule>
    <cfRule type="expression" priority="762" dxfId="1">
      <formula>OR(AND(IF($J18="",INDEX(primary_jama_2024_12829_disposition,MATCH($A18,primary_jama_2024_12829_key,0)),$J18)&lt;&gt;"",IF($J18="",INDEX(primary_jama_2024_12829_disposition,MATCH($A18,primary_jama_2024_12829_key,0)),$J18)&lt;&gt;"retain"),NOT(OR(IF($K18="",INDEX(primary_jama_2024_12829_domain,MATCH($A18,primary_jama_2024_12829_key,0)),$K18)="protocol_report")))</formula>
    </cfRule>
  </conditionalFormatting>
  <conditionalFormatting sqref="P19">
    <cfRule type="expression" priority="763" dxfId="0" stopIfTrue="1">
      <formula>AND(OR(AND(IF($J19="",INDEX(primary_jama_2024_12829_disposition,MATCH($A19,primary_jama_2024_12829_key,0)),$J19)&lt;&gt;"",IF($J19="",INDEX(primary_jama_2024_12829_disposition,MATCH($A19,primary_jama_2024_12829_key,0)),$J19)&lt;&gt;"retain"),NOT(OR(IF($K19="",INDEX(primary_jama_2024_12829_domain,MATCH($A19,primary_jama_2024_12829_key,0)),$K19)="protocol_report"))),P19&lt;&gt;"",P19&lt;&gt;"not_applicable")</formula>
    </cfRule>
    <cfRule type="expression" priority="764" dxfId="1">
      <formula>OR(AND(IF($J19="",INDEX(primary_jama_2024_12829_disposition,MATCH($A19,primary_jama_2024_12829_key,0)),$J19)&lt;&gt;"",IF($J19="",INDEX(primary_jama_2024_12829_disposition,MATCH($A19,primary_jama_2024_12829_key,0)),$J19)&lt;&gt;"retain"),NOT(OR(IF($K19="",INDEX(primary_jama_2024_12829_domain,MATCH($A19,primary_jama_2024_12829_key,0)),$K19)="protocol_report")))</formula>
    </cfRule>
  </conditionalFormatting>
  <conditionalFormatting sqref="P20">
    <cfRule type="expression" priority="765" dxfId="0" stopIfTrue="1">
      <formula>AND(OR(AND(IF($J20="",INDEX(primary_jama_2024_12829_disposition,MATCH($A20,primary_jama_2024_12829_key,0)),$J20)&lt;&gt;"",IF($J20="",INDEX(primary_jama_2024_12829_disposition,MATCH($A20,primary_jama_2024_12829_key,0)),$J20)&lt;&gt;"retain"),NOT(OR(IF($K20="",INDEX(primary_jama_2024_12829_domain,MATCH($A20,primary_jama_2024_12829_key,0)),$K20)="protocol_report"))),P20&lt;&gt;"",P20&lt;&gt;"not_applicable")</formula>
    </cfRule>
    <cfRule type="expression" priority="766" dxfId="1">
      <formula>OR(AND(IF($J20="",INDEX(primary_jama_2024_12829_disposition,MATCH($A20,primary_jama_2024_12829_key,0)),$J20)&lt;&gt;"",IF($J20="",INDEX(primary_jama_2024_12829_disposition,MATCH($A20,primary_jama_2024_12829_key,0)),$J20)&lt;&gt;"retain"),NOT(OR(IF($K20="",INDEX(primary_jama_2024_12829_domain,MATCH($A20,primary_jama_2024_12829_key,0)),$K20)="protocol_report")))</formula>
    </cfRule>
  </conditionalFormatting>
  <conditionalFormatting sqref="P21">
    <cfRule type="expression" priority="767" dxfId="0" stopIfTrue="1">
      <formula>AND(OR(AND(IF($J21="",INDEX(primary_jama_2024_12829_disposition,MATCH($A21,primary_jama_2024_12829_key,0)),$J21)&lt;&gt;"",IF($J21="",INDEX(primary_jama_2024_12829_disposition,MATCH($A21,primary_jama_2024_12829_key,0)),$J21)&lt;&gt;"retain"),NOT(OR(IF($K21="",INDEX(primary_jama_2024_12829_domain,MATCH($A21,primary_jama_2024_12829_key,0)),$K21)="protocol_report"))),P21&lt;&gt;"",P21&lt;&gt;"not_applicable")</formula>
    </cfRule>
    <cfRule type="expression" priority="768" dxfId="1">
      <formula>OR(AND(IF($J21="",INDEX(primary_jama_2024_12829_disposition,MATCH($A21,primary_jama_2024_12829_key,0)),$J21)&lt;&gt;"",IF($J21="",INDEX(primary_jama_2024_12829_disposition,MATCH($A21,primary_jama_2024_12829_key,0)),$J21)&lt;&gt;"retain"),NOT(OR(IF($K21="",INDEX(primary_jama_2024_12829_domain,MATCH($A21,primary_jama_2024_12829_key,0)),$K21)="protocol_report")))</formula>
    </cfRule>
  </conditionalFormatting>
  <conditionalFormatting sqref="P22">
    <cfRule type="expression" priority="769" dxfId="0" stopIfTrue="1">
      <formula>AND(OR(AND(IF($J22="",INDEX(primary_jama_2024_12829_disposition,MATCH($A22,primary_jama_2024_12829_key,0)),$J22)&lt;&gt;"",IF($J22="",INDEX(primary_jama_2024_12829_disposition,MATCH($A22,primary_jama_2024_12829_key,0)),$J22)&lt;&gt;"retain"),NOT(OR(IF($K22="",INDEX(primary_jama_2024_12829_domain,MATCH($A22,primary_jama_2024_12829_key,0)),$K22)="protocol_report"))),P22&lt;&gt;"",P22&lt;&gt;"not_applicable")</formula>
    </cfRule>
    <cfRule type="expression" priority="770" dxfId="1">
      <formula>OR(AND(IF($J22="",INDEX(primary_jama_2024_12829_disposition,MATCH($A22,primary_jama_2024_12829_key,0)),$J22)&lt;&gt;"",IF($J22="",INDEX(primary_jama_2024_12829_disposition,MATCH($A22,primary_jama_2024_12829_key,0)),$J22)&lt;&gt;"retain"),NOT(OR(IF($K22="",INDEX(primary_jama_2024_12829_domain,MATCH($A22,primary_jama_2024_12829_key,0)),$K22)="protocol_report")))</formula>
    </cfRule>
  </conditionalFormatting>
  <conditionalFormatting sqref="P23">
    <cfRule type="expression" priority="771" dxfId="0" stopIfTrue="1">
      <formula>AND(OR(AND(IF($J23="",INDEX(primary_jama_2024_12829_disposition,MATCH($A23,primary_jama_2024_12829_key,0)),$J23)&lt;&gt;"",IF($J23="",INDEX(primary_jama_2024_12829_disposition,MATCH($A23,primary_jama_2024_12829_key,0)),$J23)&lt;&gt;"retain"),NOT(OR(IF($K23="",INDEX(primary_jama_2024_12829_domain,MATCH($A23,primary_jama_2024_12829_key,0)),$K23)="protocol_report"))),P23&lt;&gt;"",P23&lt;&gt;"not_applicable")</formula>
    </cfRule>
    <cfRule type="expression" priority="772" dxfId="1">
      <formula>OR(AND(IF($J23="",INDEX(primary_jama_2024_12829_disposition,MATCH($A23,primary_jama_2024_12829_key,0)),$J23)&lt;&gt;"",IF($J23="",INDEX(primary_jama_2024_12829_disposition,MATCH($A23,primary_jama_2024_12829_key,0)),$J23)&lt;&gt;"retain"),NOT(OR(IF($K23="",INDEX(primary_jama_2024_12829_domain,MATCH($A23,primary_jama_2024_12829_key,0)),$K23)="protocol_report")))</formula>
    </cfRule>
  </conditionalFormatting>
  <conditionalFormatting sqref="P24">
    <cfRule type="expression" priority="773" dxfId="0" stopIfTrue="1">
      <formula>AND(OR(AND(IF($J24="",INDEX(primary_jama_2024_12829_disposition,MATCH($A24,primary_jama_2024_12829_key,0)),$J24)&lt;&gt;"",IF($J24="",INDEX(primary_jama_2024_12829_disposition,MATCH($A24,primary_jama_2024_12829_key,0)),$J24)&lt;&gt;"retain"),NOT(OR(IF($K24="",INDEX(primary_jama_2024_12829_domain,MATCH($A24,primary_jama_2024_12829_key,0)),$K24)="protocol_report"))),P24&lt;&gt;"",P24&lt;&gt;"not_applicable")</formula>
    </cfRule>
    <cfRule type="expression" priority="774" dxfId="1">
      <formula>OR(AND(IF($J24="",INDEX(primary_jama_2024_12829_disposition,MATCH($A24,primary_jama_2024_12829_key,0)),$J24)&lt;&gt;"",IF($J24="",INDEX(primary_jama_2024_12829_disposition,MATCH($A24,primary_jama_2024_12829_key,0)),$J24)&lt;&gt;"retain"),NOT(OR(IF($K24="",INDEX(primary_jama_2024_12829_domain,MATCH($A24,primary_jama_2024_12829_key,0)),$K24)="protocol_report")))</formula>
    </cfRule>
  </conditionalFormatting>
  <conditionalFormatting sqref="P25">
    <cfRule type="expression" priority="775" dxfId="0" stopIfTrue="1">
      <formula>AND(OR(AND(IF($J25="",INDEX(primary_jama_2024_12829_disposition,MATCH($A25,primary_jama_2024_12829_key,0)),$J25)&lt;&gt;"",IF($J25="",INDEX(primary_jama_2024_12829_disposition,MATCH($A25,primary_jama_2024_12829_key,0)),$J25)&lt;&gt;"retain"),NOT(OR(IF($K25="",INDEX(primary_jama_2024_12829_domain,MATCH($A25,primary_jama_2024_12829_key,0)),$K25)="protocol_report"))),P25&lt;&gt;"",P25&lt;&gt;"not_applicable")</formula>
    </cfRule>
    <cfRule type="expression" priority="776" dxfId="1">
      <formula>OR(AND(IF($J25="",INDEX(primary_jama_2024_12829_disposition,MATCH($A25,primary_jama_2024_12829_key,0)),$J25)&lt;&gt;"",IF($J25="",INDEX(primary_jama_2024_12829_disposition,MATCH($A25,primary_jama_2024_12829_key,0)),$J25)&lt;&gt;"retain"),NOT(OR(IF($K25="",INDEX(primary_jama_2024_12829_domain,MATCH($A25,primary_jama_2024_12829_key,0)),$K25)="protocol_report")))</formula>
    </cfRule>
  </conditionalFormatting>
  <conditionalFormatting sqref="P26">
    <cfRule type="expression" priority="777" dxfId="0" stopIfTrue="1">
      <formula>AND(OR(AND(IF($J26="",INDEX(primary_jama_2024_12829_disposition,MATCH($A26,primary_jama_2024_12829_key,0)),$J26)&lt;&gt;"",IF($J26="",INDEX(primary_jama_2024_12829_disposition,MATCH($A26,primary_jama_2024_12829_key,0)),$J26)&lt;&gt;"retain"),NOT(OR(IF($K26="",INDEX(primary_jama_2024_12829_domain,MATCH($A26,primary_jama_2024_12829_key,0)),$K26)="protocol_report"))),P26&lt;&gt;"",P26&lt;&gt;"not_applicable")</formula>
    </cfRule>
    <cfRule type="expression" priority="778" dxfId="1">
      <formula>OR(AND(IF($J26="",INDEX(primary_jama_2024_12829_disposition,MATCH($A26,primary_jama_2024_12829_key,0)),$J26)&lt;&gt;"",IF($J26="",INDEX(primary_jama_2024_12829_disposition,MATCH($A26,primary_jama_2024_12829_key,0)),$J26)&lt;&gt;"retain"),NOT(OR(IF($K26="",INDEX(primary_jama_2024_12829_domain,MATCH($A26,primary_jama_2024_12829_key,0)),$K26)="protocol_report")))</formula>
    </cfRule>
  </conditionalFormatting>
  <conditionalFormatting sqref="P27">
    <cfRule type="expression" priority="779" dxfId="0" stopIfTrue="1">
      <formula>AND(OR(AND(IF($J27="",INDEX(primary_jama_2024_12829_disposition,MATCH($A27,primary_jama_2024_12829_key,0)),$J27)&lt;&gt;"",IF($J27="",INDEX(primary_jama_2024_12829_disposition,MATCH($A27,primary_jama_2024_12829_key,0)),$J27)&lt;&gt;"retain"),NOT(OR(IF($K27="",INDEX(primary_jama_2024_12829_domain,MATCH($A27,primary_jama_2024_12829_key,0)),$K27)="protocol_report"))),P27&lt;&gt;"",P27&lt;&gt;"not_applicable")</formula>
    </cfRule>
    <cfRule type="expression" priority="780" dxfId="1">
      <formula>OR(AND(IF($J27="",INDEX(primary_jama_2024_12829_disposition,MATCH($A27,primary_jama_2024_12829_key,0)),$J27)&lt;&gt;"",IF($J27="",INDEX(primary_jama_2024_12829_disposition,MATCH($A27,primary_jama_2024_12829_key,0)),$J27)&lt;&gt;"retain"),NOT(OR(IF($K27="",INDEX(primary_jama_2024_12829_domain,MATCH($A27,primary_jama_2024_12829_key,0)),$K27)="protocol_report")))</formula>
    </cfRule>
  </conditionalFormatting>
  <conditionalFormatting sqref="P28">
    <cfRule type="expression" priority="781" dxfId="0" stopIfTrue="1">
      <formula>AND(OR(AND(IF($J28="",INDEX(primary_jama_2024_12829_disposition,MATCH($A28,primary_jama_2024_12829_key,0)),$J28)&lt;&gt;"",IF($J28="",INDEX(primary_jama_2024_12829_disposition,MATCH($A28,primary_jama_2024_12829_key,0)),$J28)&lt;&gt;"retain"),NOT(OR(IF($K28="",INDEX(primary_jama_2024_12829_domain,MATCH($A28,primary_jama_2024_12829_key,0)),$K28)="protocol_report"))),P28&lt;&gt;"",P28&lt;&gt;"not_applicable")</formula>
    </cfRule>
    <cfRule type="expression" priority="782" dxfId="1">
      <formula>OR(AND(IF($J28="",INDEX(primary_jama_2024_12829_disposition,MATCH($A28,primary_jama_2024_12829_key,0)),$J28)&lt;&gt;"",IF($J28="",INDEX(primary_jama_2024_12829_disposition,MATCH($A28,primary_jama_2024_12829_key,0)),$J28)&lt;&gt;"retain"),NOT(OR(IF($K28="",INDEX(primary_jama_2024_12829_domain,MATCH($A28,primary_jama_2024_12829_key,0)),$K28)="protocol_report")))</formula>
    </cfRule>
  </conditionalFormatting>
  <conditionalFormatting sqref="P29">
    <cfRule type="expression" priority="783" dxfId="0" stopIfTrue="1">
      <formula>AND(OR(AND(IF($J29="",INDEX(primary_jama_2024_12829_disposition,MATCH($A29,primary_jama_2024_12829_key,0)),$J29)&lt;&gt;"",IF($J29="",INDEX(primary_jama_2024_12829_disposition,MATCH($A29,primary_jama_2024_12829_key,0)),$J29)&lt;&gt;"retain"),NOT(OR(IF($K29="",INDEX(primary_jama_2024_12829_domain,MATCH($A29,primary_jama_2024_12829_key,0)),$K29)="protocol_report"))),P29&lt;&gt;"",P29&lt;&gt;"not_applicable")</formula>
    </cfRule>
    <cfRule type="expression" priority="784" dxfId="1">
      <formula>OR(AND(IF($J29="",INDEX(primary_jama_2024_12829_disposition,MATCH($A29,primary_jama_2024_12829_key,0)),$J29)&lt;&gt;"",IF($J29="",INDEX(primary_jama_2024_12829_disposition,MATCH($A29,primary_jama_2024_12829_key,0)),$J29)&lt;&gt;"retain"),NOT(OR(IF($K29="",INDEX(primary_jama_2024_12829_domain,MATCH($A29,primary_jama_2024_12829_key,0)),$K29)="protocol_report")))</formula>
    </cfRule>
  </conditionalFormatting>
  <conditionalFormatting sqref="P30">
    <cfRule type="expression" priority="785" dxfId="0" stopIfTrue="1">
      <formula>AND(OR(AND(IF($J30="",INDEX(primary_jama_2024_19585_disposition,MATCH($A30,primary_jama_2024_19585_key,0)),$J30)&lt;&gt;"",IF($J30="",INDEX(primary_jama_2024_19585_disposition,MATCH($A30,primary_jama_2024_19585_key,0)),$J30)&lt;&gt;"retain"),NOT(OR(IF($K30="",INDEX(primary_jama_2024_19585_domain,MATCH($A30,primary_jama_2024_19585_key,0)),$K30)="protocol_report"))),P30&lt;&gt;"",P30&lt;&gt;"not_applicable")</formula>
    </cfRule>
    <cfRule type="expression" priority="786" dxfId="1">
      <formula>OR(AND(IF($J30="",INDEX(primary_jama_2024_19585_disposition,MATCH($A30,primary_jama_2024_19585_key,0)),$J30)&lt;&gt;"",IF($J30="",INDEX(primary_jama_2024_19585_disposition,MATCH($A30,primary_jama_2024_19585_key,0)),$J30)&lt;&gt;"retain"),NOT(OR(IF($K30="",INDEX(primary_jama_2024_19585_domain,MATCH($A30,primary_jama_2024_19585_key,0)),$K30)="protocol_report")))</formula>
    </cfRule>
  </conditionalFormatting>
  <conditionalFormatting sqref="P31">
    <cfRule type="expression" priority="787" dxfId="0" stopIfTrue="1">
      <formula>AND(OR(AND(IF($J31="",INDEX(primary_jama_2024_19585_disposition,MATCH($A31,primary_jama_2024_19585_key,0)),$J31)&lt;&gt;"",IF($J31="",INDEX(primary_jama_2024_19585_disposition,MATCH($A31,primary_jama_2024_19585_key,0)),$J31)&lt;&gt;"retain"),NOT(OR(IF($K31="",INDEX(primary_jama_2024_19585_domain,MATCH($A31,primary_jama_2024_19585_key,0)),$K31)="protocol_report"))),P31&lt;&gt;"",P31&lt;&gt;"not_applicable")</formula>
    </cfRule>
    <cfRule type="expression" priority="788" dxfId="1">
      <formula>OR(AND(IF($J31="",INDEX(primary_jama_2024_19585_disposition,MATCH($A31,primary_jama_2024_19585_key,0)),$J31)&lt;&gt;"",IF($J31="",INDEX(primary_jama_2024_19585_disposition,MATCH($A31,primary_jama_2024_19585_key,0)),$J31)&lt;&gt;"retain"),NOT(OR(IF($K31="",INDEX(primary_jama_2024_19585_domain,MATCH($A31,primary_jama_2024_19585_key,0)),$K31)="protocol_report")))</formula>
    </cfRule>
  </conditionalFormatting>
  <conditionalFormatting sqref="P32">
    <cfRule type="expression" priority="789" dxfId="0" stopIfTrue="1">
      <formula>AND(OR(AND(IF($J32="",INDEX(primary_jama_2024_19585_disposition,MATCH($A32,primary_jama_2024_19585_key,0)),$J32)&lt;&gt;"",IF($J32="",INDEX(primary_jama_2024_19585_disposition,MATCH($A32,primary_jama_2024_19585_key,0)),$J32)&lt;&gt;"retain"),NOT(OR(IF($K32="",INDEX(primary_jama_2024_19585_domain,MATCH($A32,primary_jama_2024_19585_key,0)),$K32)="protocol_report"))),P32&lt;&gt;"",P32&lt;&gt;"not_applicable")</formula>
    </cfRule>
    <cfRule type="expression" priority="790" dxfId="1">
      <formula>OR(AND(IF($J32="",INDEX(primary_jama_2024_19585_disposition,MATCH($A32,primary_jama_2024_19585_key,0)),$J32)&lt;&gt;"",IF($J32="",INDEX(primary_jama_2024_19585_disposition,MATCH($A32,primary_jama_2024_19585_key,0)),$J32)&lt;&gt;"retain"),NOT(OR(IF($K32="",INDEX(primary_jama_2024_19585_domain,MATCH($A32,primary_jama_2024_19585_key,0)),$K32)="protocol_report")))</formula>
    </cfRule>
  </conditionalFormatting>
  <conditionalFormatting sqref="P33">
    <cfRule type="expression" priority="791" dxfId="0" stopIfTrue="1">
      <formula>AND(OR(AND(IF($J33="",INDEX(primary_jama_2024_2302_disposition,MATCH($A33,primary_jama_2024_2302_key,0)),$J33)&lt;&gt;"",IF($J33="",INDEX(primary_jama_2024_2302_disposition,MATCH($A33,primary_jama_2024_2302_key,0)),$J33)&lt;&gt;"retain"),NOT(OR(IF($K33="",INDEX(primary_jama_2024_2302_domain,MATCH($A33,primary_jama_2024_2302_key,0)),$K33)="protocol_report"))),P33&lt;&gt;"",P33&lt;&gt;"not_applicable")</formula>
    </cfRule>
    <cfRule type="expression" priority="792" dxfId="1">
      <formula>OR(AND(IF($J33="",INDEX(primary_jama_2024_2302_disposition,MATCH($A33,primary_jama_2024_2302_key,0)),$J33)&lt;&gt;"",IF($J33="",INDEX(primary_jama_2024_2302_disposition,MATCH($A33,primary_jama_2024_2302_key,0)),$J33)&lt;&gt;"retain"),NOT(OR(IF($K33="",INDEX(primary_jama_2024_2302_domain,MATCH($A33,primary_jama_2024_2302_key,0)),$K33)="protocol_report")))</formula>
    </cfRule>
  </conditionalFormatting>
  <conditionalFormatting sqref="P34">
    <cfRule type="expression" priority="793" dxfId="0" stopIfTrue="1">
      <formula>AND(OR(AND(IF($J34="",INDEX(primary_jama_2024_2302_disposition,MATCH($A34,primary_jama_2024_2302_key,0)),$J34)&lt;&gt;"",IF($J34="",INDEX(primary_jama_2024_2302_disposition,MATCH($A34,primary_jama_2024_2302_key,0)),$J34)&lt;&gt;"retain"),NOT(OR(IF($K34="",INDEX(primary_jama_2024_2302_domain,MATCH($A34,primary_jama_2024_2302_key,0)),$K34)="protocol_report"))),P34&lt;&gt;"",P34&lt;&gt;"not_applicable")</formula>
    </cfRule>
    <cfRule type="expression" priority="794" dxfId="1">
      <formula>OR(AND(IF($J34="",INDEX(primary_jama_2024_2302_disposition,MATCH($A34,primary_jama_2024_2302_key,0)),$J34)&lt;&gt;"",IF($J34="",INDEX(primary_jama_2024_2302_disposition,MATCH($A34,primary_jama_2024_2302_key,0)),$J34)&lt;&gt;"retain"),NOT(OR(IF($K34="",INDEX(primary_jama_2024_2302_domain,MATCH($A34,primary_jama_2024_2302_key,0)),$K34)="protocol_report")))</formula>
    </cfRule>
  </conditionalFormatting>
  <conditionalFormatting sqref="P35">
    <cfRule type="expression" priority="795" dxfId="0" stopIfTrue="1">
      <formula>AND(OR(AND(IF($J35="",INDEX(primary_jama_2024_2302_disposition,MATCH($A35,primary_jama_2024_2302_key,0)),$J35)&lt;&gt;"",IF($J35="",INDEX(primary_jama_2024_2302_disposition,MATCH($A35,primary_jama_2024_2302_key,0)),$J35)&lt;&gt;"retain"),NOT(OR(IF($K35="",INDEX(primary_jama_2024_2302_domain,MATCH($A35,primary_jama_2024_2302_key,0)),$K35)="protocol_report"))),P35&lt;&gt;"",P35&lt;&gt;"not_applicable")</formula>
    </cfRule>
    <cfRule type="expression" priority="796" dxfId="1">
      <formula>OR(AND(IF($J35="",INDEX(primary_jama_2024_2302_disposition,MATCH($A35,primary_jama_2024_2302_key,0)),$J35)&lt;&gt;"",IF($J35="",INDEX(primary_jama_2024_2302_disposition,MATCH($A35,primary_jama_2024_2302_key,0)),$J35)&lt;&gt;"retain"),NOT(OR(IF($K35="",INDEX(primary_jama_2024_2302_domain,MATCH($A35,primary_jama_2024_2302_key,0)),$K35)="protocol_report")))</formula>
    </cfRule>
  </conditionalFormatting>
  <conditionalFormatting sqref="P36">
    <cfRule type="expression" priority="797" dxfId="0" stopIfTrue="1">
      <formula>AND(OR(AND(IF($J36="",INDEX(primary_jama_2024_2302_disposition,MATCH($A36,primary_jama_2024_2302_key,0)),$J36)&lt;&gt;"",IF($J36="",INDEX(primary_jama_2024_2302_disposition,MATCH($A36,primary_jama_2024_2302_key,0)),$J36)&lt;&gt;"retain"),NOT(OR(IF($K36="",INDEX(primary_jama_2024_2302_domain,MATCH($A36,primary_jama_2024_2302_key,0)),$K36)="protocol_report"))),P36&lt;&gt;"",P36&lt;&gt;"not_applicable")</formula>
    </cfRule>
    <cfRule type="expression" priority="798" dxfId="1">
      <formula>OR(AND(IF($J36="",INDEX(primary_jama_2024_2302_disposition,MATCH($A36,primary_jama_2024_2302_key,0)),$J36)&lt;&gt;"",IF($J36="",INDEX(primary_jama_2024_2302_disposition,MATCH($A36,primary_jama_2024_2302_key,0)),$J36)&lt;&gt;"retain"),NOT(OR(IF($K36="",INDEX(primary_jama_2024_2302_domain,MATCH($A36,primary_jama_2024_2302_key,0)),$K36)="protocol_report")))</formula>
    </cfRule>
  </conditionalFormatting>
  <conditionalFormatting sqref="P37">
    <cfRule type="expression" priority="799" dxfId="0" stopIfTrue="1">
      <formula>AND(OR(AND(IF($J37="",INDEX(primary_jama_2024_2302_disposition,MATCH($A37,primary_jama_2024_2302_key,0)),$J37)&lt;&gt;"",IF($J37="",INDEX(primary_jama_2024_2302_disposition,MATCH($A37,primary_jama_2024_2302_key,0)),$J37)&lt;&gt;"retain"),NOT(OR(IF($K37="",INDEX(primary_jama_2024_2302_domain,MATCH($A37,primary_jama_2024_2302_key,0)),$K37)="protocol_report"))),P37&lt;&gt;"",P37&lt;&gt;"not_applicable")</formula>
    </cfRule>
    <cfRule type="expression" priority="800" dxfId="1">
      <formula>OR(AND(IF($J37="",INDEX(primary_jama_2024_2302_disposition,MATCH($A37,primary_jama_2024_2302_key,0)),$J37)&lt;&gt;"",IF($J37="",INDEX(primary_jama_2024_2302_disposition,MATCH($A37,primary_jama_2024_2302_key,0)),$J37)&lt;&gt;"retain"),NOT(OR(IF($K37="",INDEX(primary_jama_2024_2302_domain,MATCH($A37,primary_jama_2024_2302_key,0)),$K37)="protocol_report")))</formula>
    </cfRule>
  </conditionalFormatting>
  <conditionalFormatting sqref="P38">
    <cfRule type="expression" priority="801" dxfId="0" stopIfTrue="1">
      <formula>AND(OR(AND(IF($J38="",INDEX(primary_jama_2024_23898_disposition,MATCH($A38,primary_jama_2024_23898_key,0)),$J38)&lt;&gt;"",IF($J38="",INDEX(primary_jama_2024_23898_disposition,MATCH($A38,primary_jama_2024_23898_key,0)),$J38)&lt;&gt;"retain"),NOT(OR(IF($K38="",INDEX(primary_jama_2024_23898_domain,MATCH($A38,primary_jama_2024_23898_key,0)),$K38)="protocol_report"))),P38&lt;&gt;"",P38&lt;&gt;"not_applicable")</formula>
    </cfRule>
    <cfRule type="expression" priority="802" dxfId="1">
      <formula>OR(AND(IF($J38="",INDEX(primary_jama_2024_23898_disposition,MATCH($A38,primary_jama_2024_23898_key,0)),$J38)&lt;&gt;"",IF($J38="",INDEX(primary_jama_2024_23898_disposition,MATCH($A38,primary_jama_2024_23898_key,0)),$J38)&lt;&gt;"retain"),NOT(OR(IF($K38="",INDEX(primary_jama_2024_23898_domain,MATCH($A38,primary_jama_2024_23898_key,0)),$K38)="protocol_report")))</formula>
    </cfRule>
  </conditionalFormatting>
  <conditionalFormatting sqref="P39">
    <cfRule type="expression" priority="803" dxfId="0" stopIfTrue="1">
      <formula>AND(OR(AND(IF($J39="",INDEX(primary_jama_2024_23898_disposition,MATCH($A39,primary_jama_2024_23898_key,0)),$J39)&lt;&gt;"",IF($J39="",INDEX(primary_jama_2024_23898_disposition,MATCH($A39,primary_jama_2024_23898_key,0)),$J39)&lt;&gt;"retain"),NOT(OR(IF($K39="",INDEX(primary_jama_2024_23898_domain,MATCH($A39,primary_jama_2024_23898_key,0)),$K39)="protocol_report"))),P39&lt;&gt;"",P39&lt;&gt;"not_applicable")</formula>
    </cfRule>
    <cfRule type="expression" priority="804" dxfId="1">
      <formula>OR(AND(IF($J39="",INDEX(primary_jama_2024_23898_disposition,MATCH($A39,primary_jama_2024_23898_key,0)),$J39)&lt;&gt;"",IF($J39="",INDEX(primary_jama_2024_23898_disposition,MATCH($A39,primary_jama_2024_23898_key,0)),$J39)&lt;&gt;"retain"),NOT(OR(IF($K39="",INDEX(primary_jama_2024_23898_domain,MATCH($A39,primary_jama_2024_23898_key,0)),$K39)="protocol_report")))</formula>
    </cfRule>
  </conditionalFormatting>
  <conditionalFormatting sqref="P40">
    <cfRule type="expression" priority="805" dxfId="0" stopIfTrue="1">
      <formula>AND(OR(AND(IF($J40="",INDEX(primary_jama_2024_23898_disposition,MATCH($A40,primary_jama_2024_23898_key,0)),$J40)&lt;&gt;"",IF($J40="",INDEX(primary_jama_2024_23898_disposition,MATCH($A40,primary_jama_2024_23898_key,0)),$J40)&lt;&gt;"retain"),NOT(OR(IF($K40="",INDEX(primary_jama_2024_23898_domain,MATCH($A40,primary_jama_2024_23898_key,0)),$K40)="protocol_report"))),P40&lt;&gt;"",P40&lt;&gt;"not_applicable")</formula>
    </cfRule>
    <cfRule type="expression" priority="806" dxfId="1">
      <formula>OR(AND(IF($J40="",INDEX(primary_jama_2024_23898_disposition,MATCH($A40,primary_jama_2024_23898_key,0)),$J40)&lt;&gt;"",IF($J40="",INDEX(primary_jama_2024_23898_disposition,MATCH($A40,primary_jama_2024_23898_key,0)),$J40)&lt;&gt;"retain"),NOT(OR(IF($K40="",INDEX(primary_jama_2024_23898_domain,MATCH($A40,primary_jama_2024_23898_key,0)),$K40)="protocol_report")))</formula>
    </cfRule>
  </conditionalFormatting>
  <conditionalFormatting sqref="P41">
    <cfRule type="expression" priority="807" dxfId="0" stopIfTrue="1">
      <formula>AND(OR(AND(IF($J41="",INDEX(primary_jama_2024_23898_disposition,MATCH($A41,primary_jama_2024_23898_key,0)),$J41)&lt;&gt;"",IF($J41="",INDEX(primary_jama_2024_23898_disposition,MATCH($A41,primary_jama_2024_23898_key,0)),$J41)&lt;&gt;"retain"),NOT(OR(IF($K41="",INDEX(primary_jama_2024_23898_domain,MATCH($A41,primary_jama_2024_23898_key,0)),$K41)="protocol_report"))),P41&lt;&gt;"",P41&lt;&gt;"not_applicable")</formula>
    </cfRule>
    <cfRule type="expression" priority="808" dxfId="1">
      <formula>OR(AND(IF($J41="",INDEX(primary_jama_2024_23898_disposition,MATCH($A41,primary_jama_2024_23898_key,0)),$J41)&lt;&gt;"",IF($J41="",INDEX(primary_jama_2024_23898_disposition,MATCH($A41,primary_jama_2024_23898_key,0)),$J41)&lt;&gt;"retain"),NOT(OR(IF($K41="",INDEX(primary_jama_2024_23898_domain,MATCH($A41,primary_jama_2024_23898_key,0)),$K41)="protocol_report")))</formula>
    </cfRule>
  </conditionalFormatting>
  <conditionalFormatting sqref="P42">
    <cfRule type="expression" priority="809" dxfId="0" stopIfTrue="1">
      <formula>AND(OR(AND(IF($J42="",INDEX(primary_jama_2024_23898_disposition,MATCH($A42,primary_jama_2024_23898_key,0)),$J42)&lt;&gt;"",IF($J42="",INDEX(primary_jama_2024_23898_disposition,MATCH($A42,primary_jama_2024_23898_key,0)),$J42)&lt;&gt;"retain"),NOT(OR(IF($K42="",INDEX(primary_jama_2024_23898_domain,MATCH($A42,primary_jama_2024_23898_key,0)),$K42)="protocol_report"))),P42&lt;&gt;"",P42&lt;&gt;"not_applicable")</formula>
    </cfRule>
    <cfRule type="expression" priority="810" dxfId="1">
      <formula>OR(AND(IF($J42="",INDEX(primary_jama_2024_23898_disposition,MATCH($A42,primary_jama_2024_23898_key,0)),$J42)&lt;&gt;"",IF($J42="",INDEX(primary_jama_2024_23898_disposition,MATCH($A42,primary_jama_2024_23898_key,0)),$J42)&lt;&gt;"retain"),NOT(OR(IF($K42="",INDEX(primary_jama_2024_23898_domain,MATCH($A42,primary_jama_2024_23898_key,0)),$K42)="protocol_report")))</formula>
    </cfRule>
  </conditionalFormatting>
  <conditionalFormatting sqref="P43">
    <cfRule type="expression" priority="811" dxfId="0" stopIfTrue="1">
      <formula>AND(OR(AND(IF($J43="",INDEX(primary_jama_2024_23898_disposition,MATCH($A43,primary_jama_2024_23898_key,0)),$J43)&lt;&gt;"",IF($J43="",INDEX(primary_jama_2024_23898_disposition,MATCH($A43,primary_jama_2024_23898_key,0)),$J43)&lt;&gt;"retain"),NOT(OR(IF($K43="",INDEX(primary_jama_2024_23898_domain,MATCH($A43,primary_jama_2024_23898_key,0)),$K43)="protocol_report"))),P43&lt;&gt;"",P43&lt;&gt;"not_applicable")</formula>
    </cfRule>
    <cfRule type="expression" priority="812" dxfId="1">
      <formula>OR(AND(IF($J43="",INDEX(primary_jama_2024_23898_disposition,MATCH($A43,primary_jama_2024_23898_key,0)),$J43)&lt;&gt;"",IF($J43="",INDEX(primary_jama_2024_23898_disposition,MATCH($A43,primary_jama_2024_23898_key,0)),$J43)&lt;&gt;"retain"),NOT(OR(IF($K43="",INDEX(primary_jama_2024_23898_domain,MATCH($A43,primary_jama_2024_23898_key,0)),$K43)="protocol_report")))</formula>
    </cfRule>
  </conditionalFormatting>
  <conditionalFormatting sqref="P44">
    <cfRule type="expression" priority="813" dxfId="0" stopIfTrue="1">
      <formula>AND(OR(AND(IF($J44="",INDEX(primary_jama_2024_23898_disposition,MATCH($A44,primary_jama_2024_23898_key,0)),$J44)&lt;&gt;"",IF($J44="",INDEX(primary_jama_2024_23898_disposition,MATCH($A44,primary_jama_2024_23898_key,0)),$J44)&lt;&gt;"retain"),NOT(OR(IF($K44="",INDEX(primary_jama_2024_23898_domain,MATCH($A44,primary_jama_2024_23898_key,0)),$K44)="protocol_report"))),P44&lt;&gt;"",P44&lt;&gt;"not_applicable")</formula>
    </cfRule>
    <cfRule type="expression" priority="814" dxfId="1">
      <formula>OR(AND(IF($J44="",INDEX(primary_jama_2024_23898_disposition,MATCH($A44,primary_jama_2024_23898_key,0)),$J44)&lt;&gt;"",IF($J44="",INDEX(primary_jama_2024_23898_disposition,MATCH($A44,primary_jama_2024_23898_key,0)),$J44)&lt;&gt;"retain"),NOT(OR(IF($K44="",INDEX(primary_jama_2024_23898_domain,MATCH($A44,primary_jama_2024_23898_key,0)),$K44)="protocol_report")))</formula>
    </cfRule>
  </conditionalFormatting>
  <conditionalFormatting sqref="P45">
    <cfRule type="expression" priority="815" dxfId="0" stopIfTrue="1">
      <formula>AND(OR(AND(IF($J45="",INDEX(primary_jama_2024_25786_disposition,MATCH($A45,primary_jama_2024_25786_key,0)),$J45)&lt;&gt;"",IF($J45="",INDEX(primary_jama_2024_25786_disposition,MATCH($A45,primary_jama_2024_25786_key,0)),$J45)&lt;&gt;"retain"),NOT(OR(IF($K45="",INDEX(primary_jama_2024_25786_domain,MATCH($A45,primary_jama_2024_25786_key,0)),$K45)="protocol_report"))),P45&lt;&gt;"",P45&lt;&gt;"not_applicable")</formula>
    </cfRule>
    <cfRule type="expression" priority="816" dxfId="1">
      <formula>OR(AND(IF($J45="",INDEX(primary_jama_2024_25786_disposition,MATCH($A45,primary_jama_2024_25786_key,0)),$J45)&lt;&gt;"",IF($J45="",INDEX(primary_jama_2024_25786_disposition,MATCH($A45,primary_jama_2024_25786_key,0)),$J45)&lt;&gt;"retain"),NOT(OR(IF($K45="",INDEX(primary_jama_2024_25786_domain,MATCH($A45,primary_jama_2024_25786_key,0)),$K45)="protocol_report")))</formula>
    </cfRule>
  </conditionalFormatting>
  <conditionalFormatting sqref="P46">
    <cfRule type="expression" priority="817" dxfId="0" stopIfTrue="1">
      <formula>AND(OR(AND(IF($J46="",INDEX(primary_jama_2024_25786_disposition,MATCH($A46,primary_jama_2024_25786_key,0)),$J46)&lt;&gt;"",IF($J46="",INDEX(primary_jama_2024_25786_disposition,MATCH($A46,primary_jama_2024_25786_key,0)),$J46)&lt;&gt;"retain"),NOT(OR(IF($K46="",INDEX(primary_jama_2024_25786_domain,MATCH($A46,primary_jama_2024_25786_key,0)),$K46)="protocol_report"))),P46&lt;&gt;"",P46&lt;&gt;"not_applicable")</formula>
    </cfRule>
    <cfRule type="expression" priority="818" dxfId="1">
      <formula>OR(AND(IF($J46="",INDEX(primary_jama_2024_25786_disposition,MATCH($A46,primary_jama_2024_25786_key,0)),$J46)&lt;&gt;"",IF($J46="",INDEX(primary_jama_2024_25786_disposition,MATCH($A46,primary_jama_2024_25786_key,0)),$J46)&lt;&gt;"retain"),NOT(OR(IF($K46="",INDEX(primary_jama_2024_25786_domain,MATCH($A46,primary_jama_2024_25786_key,0)),$K46)="protocol_report")))</formula>
    </cfRule>
  </conditionalFormatting>
  <conditionalFormatting sqref="P47">
    <cfRule type="expression" priority="819" dxfId="0" stopIfTrue="1">
      <formula>AND(OR(AND(IF($J47="",INDEX(primary_jama_2024_25786_disposition,MATCH($A47,primary_jama_2024_25786_key,0)),$J47)&lt;&gt;"",IF($J47="",INDEX(primary_jama_2024_25786_disposition,MATCH($A47,primary_jama_2024_25786_key,0)),$J47)&lt;&gt;"retain"),NOT(OR(IF($K47="",INDEX(primary_jama_2024_25786_domain,MATCH($A47,primary_jama_2024_25786_key,0)),$K47)="protocol_report"))),P47&lt;&gt;"",P47&lt;&gt;"not_applicable")</formula>
    </cfRule>
    <cfRule type="expression" priority="820" dxfId="1">
      <formula>OR(AND(IF($J47="",INDEX(primary_jama_2024_25786_disposition,MATCH($A47,primary_jama_2024_25786_key,0)),$J47)&lt;&gt;"",IF($J47="",INDEX(primary_jama_2024_25786_disposition,MATCH($A47,primary_jama_2024_25786_key,0)),$J47)&lt;&gt;"retain"),NOT(OR(IF($K47="",INDEX(primary_jama_2024_25786_domain,MATCH($A47,primary_jama_2024_25786_key,0)),$K47)="protocol_report")))</formula>
    </cfRule>
  </conditionalFormatting>
  <conditionalFormatting sqref="P48">
    <cfRule type="expression" priority="821" dxfId="0" stopIfTrue="1">
      <formula>AND(OR(AND(IF($J48="",INDEX(primary_jama_2024_25786_disposition,MATCH($A48,primary_jama_2024_25786_key,0)),$J48)&lt;&gt;"",IF($J48="",INDEX(primary_jama_2024_25786_disposition,MATCH($A48,primary_jama_2024_25786_key,0)),$J48)&lt;&gt;"retain"),NOT(OR(IF($K48="",INDEX(primary_jama_2024_25786_domain,MATCH($A48,primary_jama_2024_25786_key,0)),$K48)="protocol_report"))),P48&lt;&gt;"",P48&lt;&gt;"not_applicable")</formula>
    </cfRule>
    <cfRule type="expression" priority="822" dxfId="1">
      <formula>OR(AND(IF($J48="",INDEX(primary_jama_2024_25786_disposition,MATCH($A48,primary_jama_2024_25786_key,0)),$J48)&lt;&gt;"",IF($J48="",INDEX(primary_jama_2024_25786_disposition,MATCH($A48,primary_jama_2024_25786_key,0)),$J48)&lt;&gt;"retain"),NOT(OR(IF($K48="",INDEX(primary_jama_2024_25786_domain,MATCH($A48,primary_jama_2024_25786_key,0)),$K48)="protocol_report")))</formula>
    </cfRule>
  </conditionalFormatting>
  <conditionalFormatting sqref="P49">
    <cfRule type="expression" priority="823" dxfId="0" stopIfTrue="1">
      <formula>AND(OR(AND(IF($J49="",INDEX(primary_jama_2024_25786_disposition,MATCH($A49,primary_jama_2024_25786_key,0)),$J49)&lt;&gt;"",IF($J49="",INDEX(primary_jama_2024_25786_disposition,MATCH($A49,primary_jama_2024_25786_key,0)),$J49)&lt;&gt;"retain"),NOT(OR(IF($K49="",INDEX(primary_jama_2024_25786_domain,MATCH($A49,primary_jama_2024_25786_key,0)),$K49)="protocol_report"))),P49&lt;&gt;"",P49&lt;&gt;"not_applicable")</formula>
    </cfRule>
    <cfRule type="expression" priority="824" dxfId="1">
      <formula>OR(AND(IF($J49="",INDEX(primary_jama_2024_25786_disposition,MATCH($A49,primary_jama_2024_25786_key,0)),$J49)&lt;&gt;"",IF($J49="",INDEX(primary_jama_2024_25786_disposition,MATCH($A49,primary_jama_2024_25786_key,0)),$J49)&lt;&gt;"retain"),NOT(OR(IF($K49="",INDEX(primary_jama_2024_25786_domain,MATCH($A49,primary_jama_2024_25786_key,0)),$K49)="protocol_report")))</formula>
    </cfRule>
  </conditionalFormatting>
  <conditionalFormatting sqref="P50">
    <cfRule type="expression" priority="825" dxfId="0" stopIfTrue="1">
      <formula>AND(OR(AND(IF($J50="",INDEX(primary_jama_2024_25786_disposition,MATCH($A50,primary_jama_2024_25786_key,0)),$J50)&lt;&gt;"",IF($J50="",INDEX(primary_jama_2024_25786_disposition,MATCH($A50,primary_jama_2024_25786_key,0)),$J50)&lt;&gt;"retain"),NOT(OR(IF($K50="",INDEX(primary_jama_2024_25786_domain,MATCH($A50,primary_jama_2024_25786_key,0)),$K50)="protocol_report"))),P50&lt;&gt;"",P50&lt;&gt;"not_applicable")</formula>
    </cfRule>
    <cfRule type="expression" priority="826" dxfId="1">
      <formula>OR(AND(IF($J50="",INDEX(primary_jama_2024_25786_disposition,MATCH($A50,primary_jama_2024_25786_key,0)),$J50)&lt;&gt;"",IF($J50="",INDEX(primary_jama_2024_25786_disposition,MATCH($A50,primary_jama_2024_25786_key,0)),$J50)&lt;&gt;"retain"),NOT(OR(IF($K50="",INDEX(primary_jama_2024_25786_domain,MATCH($A50,primary_jama_2024_25786_key,0)),$K50)="protocol_report")))</formula>
    </cfRule>
  </conditionalFormatting>
  <conditionalFormatting sqref="P51">
    <cfRule type="expression" priority="827" dxfId="0" stopIfTrue="1">
      <formula>AND(OR(AND(IF($J51="",INDEX(primary_jama_2024_25786_disposition,MATCH($A51,primary_jama_2024_25786_key,0)),$J51)&lt;&gt;"",IF($J51="",INDEX(primary_jama_2024_25786_disposition,MATCH($A51,primary_jama_2024_25786_key,0)),$J51)&lt;&gt;"retain"),NOT(OR(IF($K51="",INDEX(primary_jama_2024_25786_domain,MATCH($A51,primary_jama_2024_25786_key,0)),$K51)="protocol_report"))),P51&lt;&gt;"",P51&lt;&gt;"not_applicable")</formula>
    </cfRule>
    <cfRule type="expression" priority="828" dxfId="1">
      <formula>OR(AND(IF($J51="",INDEX(primary_jama_2024_25786_disposition,MATCH($A51,primary_jama_2024_25786_key,0)),$J51)&lt;&gt;"",IF($J51="",INDEX(primary_jama_2024_25786_disposition,MATCH($A51,primary_jama_2024_25786_key,0)),$J51)&lt;&gt;"retain"),NOT(OR(IF($K51="",INDEX(primary_jama_2024_25786_domain,MATCH($A51,primary_jama_2024_25786_key,0)),$K51)="protocol_report")))</formula>
    </cfRule>
  </conditionalFormatting>
  <conditionalFormatting sqref="P52">
    <cfRule type="expression" priority="829" dxfId="0" stopIfTrue="1">
      <formula>AND(OR(AND(IF($J52="",INDEX(primary_jama_2024_25786_disposition,MATCH($A52,primary_jama_2024_25786_key,0)),$J52)&lt;&gt;"",IF($J52="",INDEX(primary_jama_2024_25786_disposition,MATCH($A52,primary_jama_2024_25786_key,0)),$J52)&lt;&gt;"retain"),NOT(OR(IF($K52="",INDEX(primary_jama_2024_25786_domain,MATCH($A52,primary_jama_2024_25786_key,0)),$K52)="protocol_report"))),P52&lt;&gt;"",P52&lt;&gt;"not_applicable")</formula>
    </cfRule>
    <cfRule type="expression" priority="830" dxfId="1">
      <formula>OR(AND(IF($J52="",INDEX(primary_jama_2024_25786_disposition,MATCH($A52,primary_jama_2024_25786_key,0)),$J52)&lt;&gt;"",IF($J52="",INDEX(primary_jama_2024_25786_disposition,MATCH($A52,primary_jama_2024_25786_key,0)),$J52)&lt;&gt;"retain"),NOT(OR(IF($K52="",INDEX(primary_jama_2024_25786_domain,MATCH($A52,primary_jama_2024_25786_key,0)),$K52)="protocol_report")))</formula>
    </cfRule>
  </conditionalFormatting>
  <conditionalFormatting sqref="P53">
    <cfRule type="expression" priority="831" dxfId="0" stopIfTrue="1">
      <formula>AND(OR(AND(IF($J53="",INDEX(primary_jama_2024_4183_disposition,MATCH($A53,primary_jama_2024_4183_key,0)),$J53)&lt;&gt;"",IF($J53="",INDEX(primary_jama_2024_4183_disposition,MATCH($A53,primary_jama_2024_4183_key,0)),$J53)&lt;&gt;"retain"),NOT(OR(IF($K53="",INDEX(primary_jama_2024_4183_domain,MATCH($A53,primary_jama_2024_4183_key,0)),$K53)="protocol_report"))),P53&lt;&gt;"",P53&lt;&gt;"not_applicable")</formula>
    </cfRule>
    <cfRule type="expression" priority="832" dxfId="1">
      <formula>OR(AND(IF($J53="",INDEX(primary_jama_2024_4183_disposition,MATCH($A53,primary_jama_2024_4183_key,0)),$J53)&lt;&gt;"",IF($J53="",INDEX(primary_jama_2024_4183_disposition,MATCH($A53,primary_jama_2024_4183_key,0)),$J53)&lt;&gt;"retain"),NOT(OR(IF($K53="",INDEX(primary_jama_2024_4183_domain,MATCH($A53,primary_jama_2024_4183_key,0)),$K53)="protocol_report")))</formula>
    </cfRule>
  </conditionalFormatting>
  <conditionalFormatting sqref="P54">
    <cfRule type="expression" priority="833" dxfId="0" stopIfTrue="1">
      <formula>AND(OR(AND(IF($J54="",INDEX(primary_jama_2024_4183_disposition,MATCH($A54,primary_jama_2024_4183_key,0)),$J54)&lt;&gt;"",IF($J54="",INDEX(primary_jama_2024_4183_disposition,MATCH($A54,primary_jama_2024_4183_key,0)),$J54)&lt;&gt;"retain"),NOT(OR(IF($K54="",INDEX(primary_jama_2024_4183_domain,MATCH($A54,primary_jama_2024_4183_key,0)),$K54)="protocol_report"))),P54&lt;&gt;"",P54&lt;&gt;"not_applicable")</formula>
    </cfRule>
    <cfRule type="expression" priority="834" dxfId="1">
      <formula>OR(AND(IF($J54="",INDEX(primary_jama_2024_4183_disposition,MATCH($A54,primary_jama_2024_4183_key,0)),$J54)&lt;&gt;"",IF($J54="",INDEX(primary_jama_2024_4183_disposition,MATCH($A54,primary_jama_2024_4183_key,0)),$J54)&lt;&gt;"retain"),NOT(OR(IF($K54="",INDEX(primary_jama_2024_4183_domain,MATCH($A54,primary_jama_2024_4183_key,0)),$K54)="protocol_report")))</formula>
    </cfRule>
  </conditionalFormatting>
  <conditionalFormatting sqref="P55">
    <cfRule type="expression" priority="835" dxfId="0" stopIfTrue="1">
      <formula>AND(OR(AND(IF($J55="",INDEX(primary_jama_2024_4183_disposition,MATCH($A55,primary_jama_2024_4183_key,0)),$J55)&lt;&gt;"",IF($J55="",INDEX(primary_jama_2024_4183_disposition,MATCH($A55,primary_jama_2024_4183_key,0)),$J55)&lt;&gt;"retain"),NOT(OR(IF($K55="",INDEX(primary_jama_2024_4183_domain,MATCH($A55,primary_jama_2024_4183_key,0)),$K55)="protocol_report"))),P55&lt;&gt;"",P55&lt;&gt;"not_applicable")</formula>
    </cfRule>
    <cfRule type="expression" priority="836" dxfId="1">
      <formula>OR(AND(IF($J55="",INDEX(primary_jama_2024_4183_disposition,MATCH($A55,primary_jama_2024_4183_key,0)),$J55)&lt;&gt;"",IF($J55="",INDEX(primary_jama_2024_4183_disposition,MATCH($A55,primary_jama_2024_4183_key,0)),$J55)&lt;&gt;"retain"),NOT(OR(IF($K55="",INDEX(primary_jama_2024_4183_domain,MATCH($A55,primary_jama_2024_4183_key,0)),$K55)="protocol_report")))</formula>
    </cfRule>
  </conditionalFormatting>
  <conditionalFormatting sqref="P56">
    <cfRule type="expression" priority="837" dxfId="0" stopIfTrue="1">
      <formula>AND(OR(AND(IF($J56="",INDEX(primary_jama_2024_4183_disposition,MATCH($A56,primary_jama_2024_4183_key,0)),$J56)&lt;&gt;"",IF($J56="",INDEX(primary_jama_2024_4183_disposition,MATCH($A56,primary_jama_2024_4183_key,0)),$J56)&lt;&gt;"retain"),NOT(OR(IF($K56="",INDEX(primary_jama_2024_4183_domain,MATCH($A56,primary_jama_2024_4183_key,0)),$K56)="protocol_report"))),P56&lt;&gt;"",P56&lt;&gt;"not_applicable")</formula>
    </cfRule>
    <cfRule type="expression" priority="838" dxfId="1">
      <formula>OR(AND(IF($J56="",INDEX(primary_jama_2024_4183_disposition,MATCH($A56,primary_jama_2024_4183_key,0)),$J56)&lt;&gt;"",IF($J56="",INDEX(primary_jama_2024_4183_disposition,MATCH($A56,primary_jama_2024_4183_key,0)),$J56)&lt;&gt;"retain"),NOT(OR(IF($K56="",INDEX(primary_jama_2024_4183_domain,MATCH($A56,primary_jama_2024_4183_key,0)),$K56)="protocol_report")))</formula>
    </cfRule>
  </conditionalFormatting>
  <conditionalFormatting sqref="P57">
    <cfRule type="expression" priority="839" dxfId="0" stopIfTrue="1">
      <formula>AND(OR(AND(IF($J57="",INDEX(primary_jama_2024_4183_disposition,MATCH($A57,primary_jama_2024_4183_key,0)),$J57)&lt;&gt;"",IF($J57="",INDEX(primary_jama_2024_4183_disposition,MATCH($A57,primary_jama_2024_4183_key,0)),$J57)&lt;&gt;"retain"),NOT(OR(IF($K57="",INDEX(primary_jama_2024_4183_domain,MATCH($A57,primary_jama_2024_4183_key,0)),$K57)="protocol_report"))),P57&lt;&gt;"",P57&lt;&gt;"not_applicable")</formula>
    </cfRule>
    <cfRule type="expression" priority="840" dxfId="1">
      <formula>OR(AND(IF($J57="",INDEX(primary_jama_2024_4183_disposition,MATCH($A57,primary_jama_2024_4183_key,0)),$J57)&lt;&gt;"",IF($J57="",INDEX(primary_jama_2024_4183_disposition,MATCH($A57,primary_jama_2024_4183_key,0)),$J57)&lt;&gt;"retain"),NOT(OR(IF($K57="",INDEX(primary_jama_2024_4183_domain,MATCH($A57,primary_jama_2024_4183_key,0)),$K57)="protocol_report")))</formula>
    </cfRule>
  </conditionalFormatting>
  <conditionalFormatting sqref="P58">
    <cfRule type="expression" priority="841" dxfId="0" stopIfTrue="1">
      <formula>AND(OR(AND(IF($J58="",INDEX(primary_jama_2024_4183_disposition,MATCH($A58,primary_jama_2024_4183_key,0)),$J58)&lt;&gt;"",IF($J58="",INDEX(primary_jama_2024_4183_disposition,MATCH($A58,primary_jama_2024_4183_key,0)),$J58)&lt;&gt;"retain"),NOT(OR(IF($K58="",INDEX(primary_jama_2024_4183_domain,MATCH($A58,primary_jama_2024_4183_key,0)),$K58)="protocol_report"))),P58&lt;&gt;"",P58&lt;&gt;"not_applicable")</formula>
    </cfRule>
    <cfRule type="expression" priority="842" dxfId="1">
      <formula>OR(AND(IF($J58="",INDEX(primary_jama_2024_4183_disposition,MATCH($A58,primary_jama_2024_4183_key,0)),$J58)&lt;&gt;"",IF($J58="",INDEX(primary_jama_2024_4183_disposition,MATCH($A58,primary_jama_2024_4183_key,0)),$J58)&lt;&gt;"retain"),NOT(OR(IF($K58="",INDEX(primary_jama_2024_4183_domain,MATCH($A58,primary_jama_2024_4183_key,0)),$K58)="protocol_report")))</formula>
    </cfRule>
  </conditionalFormatting>
  <conditionalFormatting sqref="P59">
    <cfRule type="expression" priority="843" dxfId="0" stopIfTrue="1">
      <formula>AND(OR(AND(IF($J59="",INDEX(primary_jama_2024_4183_disposition,MATCH($A59,primary_jama_2024_4183_key,0)),$J59)&lt;&gt;"",IF($J59="",INDEX(primary_jama_2024_4183_disposition,MATCH($A59,primary_jama_2024_4183_key,0)),$J59)&lt;&gt;"retain"),NOT(OR(IF($K59="",INDEX(primary_jama_2024_4183_domain,MATCH($A59,primary_jama_2024_4183_key,0)),$K59)="protocol_report"))),P59&lt;&gt;"",P59&lt;&gt;"not_applicable")</formula>
    </cfRule>
    <cfRule type="expression" priority="844" dxfId="1">
      <formula>OR(AND(IF($J59="",INDEX(primary_jama_2024_4183_disposition,MATCH($A59,primary_jama_2024_4183_key,0)),$J59)&lt;&gt;"",IF($J59="",INDEX(primary_jama_2024_4183_disposition,MATCH($A59,primary_jama_2024_4183_key,0)),$J59)&lt;&gt;"retain"),NOT(OR(IF($K59="",INDEX(primary_jama_2024_4183_domain,MATCH($A59,primary_jama_2024_4183_key,0)),$K59)="protocol_report")))</formula>
    </cfRule>
  </conditionalFormatting>
  <conditionalFormatting sqref="P60">
    <cfRule type="expression" priority="845" dxfId="0" stopIfTrue="1">
      <formula>AND(OR(AND(IF($J60="",INDEX(primary_jama_2024_4183_disposition,MATCH($A60,primary_jama_2024_4183_key,0)),$J60)&lt;&gt;"",IF($J60="",INDEX(primary_jama_2024_4183_disposition,MATCH($A60,primary_jama_2024_4183_key,0)),$J60)&lt;&gt;"retain"),NOT(OR(IF($K60="",INDEX(primary_jama_2024_4183_domain,MATCH($A60,primary_jama_2024_4183_key,0)),$K60)="protocol_report"))),P60&lt;&gt;"",P60&lt;&gt;"not_applicable")</formula>
    </cfRule>
    <cfRule type="expression" priority="846" dxfId="1">
      <formula>OR(AND(IF($J60="",INDEX(primary_jama_2024_4183_disposition,MATCH($A60,primary_jama_2024_4183_key,0)),$J60)&lt;&gt;"",IF($J60="",INDEX(primary_jama_2024_4183_disposition,MATCH($A60,primary_jama_2024_4183_key,0)),$J60)&lt;&gt;"retain"),NOT(OR(IF($K60="",INDEX(primary_jama_2024_4183_domain,MATCH($A60,primary_jama_2024_4183_key,0)),$K60)="protocol_report")))</formula>
    </cfRule>
  </conditionalFormatting>
  <conditionalFormatting sqref="P61">
    <cfRule type="expression" priority="847" dxfId="0" stopIfTrue="1">
      <formula>AND(OR(AND(IF($J61="",INDEX(primary_jama_2024_4183_disposition,MATCH($A61,primary_jama_2024_4183_key,0)),$J61)&lt;&gt;"",IF($J61="",INDEX(primary_jama_2024_4183_disposition,MATCH($A61,primary_jama_2024_4183_key,0)),$J61)&lt;&gt;"retain"),NOT(OR(IF($K61="",INDEX(primary_jama_2024_4183_domain,MATCH($A61,primary_jama_2024_4183_key,0)),$K61)="protocol_report"))),P61&lt;&gt;"",P61&lt;&gt;"not_applicable")</formula>
    </cfRule>
    <cfRule type="expression" priority="848" dxfId="1">
      <formula>OR(AND(IF($J61="",INDEX(primary_jama_2024_4183_disposition,MATCH($A61,primary_jama_2024_4183_key,0)),$J61)&lt;&gt;"",IF($J61="",INDEX(primary_jama_2024_4183_disposition,MATCH($A61,primary_jama_2024_4183_key,0)),$J61)&lt;&gt;"retain"),NOT(OR(IF($K61="",INDEX(primary_jama_2024_4183_domain,MATCH($A61,primary_jama_2024_4183_key,0)),$K61)="protocol_report")))</formula>
    </cfRule>
  </conditionalFormatting>
  <conditionalFormatting sqref="P62">
    <cfRule type="expression" priority="849" dxfId="0" stopIfTrue="1">
      <formula>AND(OR(AND(IF($J62="",INDEX(primary_jama_2024_4183_disposition,MATCH($A62,primary_jama_2024_4183_key,0)),$J62)&lt;&gt;"",IF($J62="",INDEX(primary_jama_2024_4183_disposition,MATCH($A62,primary_jama_2024_4183_key,0)),$J62)&lt;&gt;"retain"),NOT(OR(IF($K62="",INDEX(primary_jama_2024_4183_domain,MATCH($A62,primary_jama_2024_4183_key,0)),$K62)="protocol_report"))),P62&lt;&gt;"",P62&lt;&gt;"not_applicable")</formula>
    </cfRule>
    <cfRule type="expression" priority="850" dxfId="1">
      <formula>OR(AND(IF($J62="",INDEX(primary_jama_2024_4183_disposition,MATCH($A62,primary_jama_2024_4183_key,0)),$J62)&lt;&gt;"",IF($J62="",INDEX(primary_jama_2024_4183_disposition,MATCH($A62,primary_jama_2024_4183_key,0)),$J62)&lt;&gt;"retain"),NOT(OR(IF($K62="",INDEX(primary_jama_2024_4183_domain,MATCH($A62,primary_jama_2024_4183_key,0)),$K62)="protocol_report")))</formula>
    </cfRule>
  </conditionalFormatting>
  <conditionalFormatting sqref="P63">
    <cfRule type="expression" priority="851" dxfId="0" stopIfTrue="1">
      <formula>AND(OR(AND(IF($J63="",INDEX(primary_jama_2024_4183_disposition,MATCH($A63,primary_jama_2024_4183_key,0)),$J63)&lt;&gt;"",IF($J63="",INDEX(primary_jama_2024_4183_disposition,MATCH($A63,primary_jama_2024_4183_key,0)),$J63)&lt;&gt;"retain"),NOT(OR(IF($K63="",INDEX(primary_jama_2024_4183_domain,MATCH($A63,primary_jama_2024_4183_key,0)),$K63)="protocol_report"))),P63&lt;&gt;"",P63&lt;&gt;"not_applicable")</formula>
    </cfRule>
    <cfRule type="expression" priority="852" dxfId="1">
      <formula>OR(AND(IF($J63="",INDEX(primary_jama_2024_4183_disposition,MATCH($A63,primary_jama_2024_4183_key,0)),$J63)&lt;&gt;"",IF($J63="",INDEX(primary_jama_2024_4183_disposition,MATCH($A63,primary_jama_2024_4183_key,0)),$J63)&lt;&gt;"retain"),NOT(OR(IF($K63="",INDEX(primary_jama_2024_4183_domain,MATCH($A63,primary_jama_2024_4183_key,0)),$K63)="protocol_report")))</formula>
    </cfRule>
  </conditionalFormatting>
  <conditionalFormatting sqref="P64">
    <cfRule type="expression" priority="853" dxfId="0" stopIfTrue="1">
      <formula>AND(OR(AND(IF($J64="",INDEX(primary_jama_2024_4183_disposition,MATCH($A64,primary_jama_2024_4183_key,0)),$J64)&lt;&gt;"",IF($J64="",INDEX(primary_jama_2024_4183_disposition,MATCH($A64,primary_jama_2024_4183_key,0)),$J64)&lt;&gt;"retain"),NOT(OR(IF($K64="",INDEX(primary_jama_2024_4183_domain,MATCH($A64,primary_jama_2024_4183_key,0)),$K64)="protocol_report"))),P64&lt;&gt;"",P64&lt;&gt;"not_applicable")</formula>
    </cfRule>
    <cfRule type="expression" priority="854" dxfId="1">
      <formula>OR(AND(IF($J64="",INDEX(primary_jama_2024_4183_disposition,MATCH($A64,primary_jama_2024_4183_key,0)),$J64)&lt;&gt;"",IF($J64="",INDEX(primary_jama_2024_4183_disposition,MATCH($A64,primary_jama_2024_4183_key,0)),$J64)&lt;&gt;"retain"),NOT(OR(IF($K64="",INDEX(primary_jama_2024_4183_domain,MATCH($A64,primary_jama_2024_4183_key,0)),$K64)="protocol_report")))</formula>
    </cfRule>
  </conditionalFormatting>
  <conditionalFormatting sqref="P65">
    <cfRule type="expression" priority="855" dxfId="0" stopIfTrue="1">
      <formula>AND(OR(AND(IF($J65="",INDEX(primary_jama_2024_4183_disposition,MATCH($A65,primary_jama_2024_4183_key,0)),$J65)&lt;&gt;"",IF($J65="",INDEX(primary_jama_2024_4183_disposition,MATCH($A65,primary_jama_2024_4183_key,0)),$J65)&lt;&gt;"retain"),NOT(OR(IF($K65="",INDEX(primary_jama_2024_4183_domain,MATCH($A65,primary_jama_2024_4183_key,0)),$K65)="protocol_report"))),P65&lt;&gt;"",P65&lt;&gt;"not_applicable")</formula>
    </cfRule>
    <cfRule type="expression" priority="856" dxfId="1">
      <formula>OR(AND(IF($J65="",INDEX(primary_jama_2024_4183_disposition,MATCH($A65,primary_jama_2024_4183_key,0)),$J65)&lt;&gt;"",IF($J65="",INDEX(primary_jama_2024_4183_disposition,MATCH($A65,primary_jama_2024_4183_key,0)),$J65)&lt;&gt;"retain"),NOT(OR(IF($K65="",INDEX(primary_jama_2024_4183_domain,MATCH($A65,primary_jama_2024_4183_key,0)),$K65)="protocol_report")))</formula>
    </cfRule>
  </conditionalFormatting>
  <conditionalFormatting sqref="P66">
    <cfRule type="expression" priority="857" dxfId="0" stopIfTrue="1">
      <formula>AND(OR(AND(IF($J66="",INDEX(primary_jama_2024_4183_disposition,MATCH($A66,primary_jama_2024_4183_key,0)),$J66)&lt;&gt;"",IF($J66="",INDEX(primary_jama_2024_4183_disposition,MATCH($A66,primary_jama_2024_4183_key,0)),$J66)&lt;&gt;"retain"),NOT(OR(IF($K66="",INDEX(primary_jama_2024_4183_domain,MATCH($A66,primary_jama_2024_4183_key,0)),$K66)="protocol_report"))),P66&lt;&gt;"",P66&lt;&gt;"not_applicable")</formula>
    </cfRule>
    <cfRule type="expression" priority="858" dxfId="1">
      <formula>OR(AND(IF($J66="",INDEX(primary_jama_2024_4183_disposition,MATCH($A66,primary_jama_2024_4183_key,0)),$J66)&lt;&gt;"",IF($J66="",INDEX(primary_jama_2024_4183_disposition,MATCH($A66,primary_jama_2024_4183_key,0)),$J66)&lt;&gt;"retain"),NOT(OR(IF($K66="",INDEX(primary_jama_2024_4183_domain,MATCH($A66,primary_jama_2024_4183_key,0)),$K66)="protocol_report")))</formula>
    </cfRule>
  </conditionalFormatting>
  <conditionalFormatting sqref="P67">
    <cfRule type="expression" priority="859" dxfId="0" stopIfTrue="1">
      <formula>AND(OR(AND(IF($J67="",INDEX(primary_jama_2024_4183_disposition,MATCH($A67,primary_jama_2024_4183_key,0)),$J67)&lt;&gt;"",IF($J67="",INDEX(primary_jama_2024_4183_disposition,MATCH($A67,primary_jama_2024_4183_key,0)),$J67)&lt;&gt;"retain"),NOT(OR(IF($K67="",INDEX(primary_jama_2024_4183_domain,MATCH($A67,primary_jama_2024_4183_key,0)),$K67)="protocol_report"))),P67&lt;&gt;"",P67&lt;&gt;"not_applicable")</formula>
    </cfRule>
    <cfRule type="expression" priority="860" dxfId="1">
      <formula>OR(AND(IF($J67="",INDEX(primary_jama_2024_4183_disposition,MATCH($A67,primary_jama_2024_4183_key,0)),$J67)&lt;&gt;"",IF($J67="",INDEX(primary_jama_2024_4183_disposition,MATCH($A67,primary_jama_2024_4183_key,0)),$J67)&lt;&gt;"retain"),NOT(OR(IF($K67="",INDEX(primary_jama_2024_4183_domain,MATCH($A67,primary_jama_2024_4183_key,0)),$K67)="protocol_report")))</formula>
    </cfRule>
  </conditionalFormatting>
  <conditionalFormatting sqref="P68">
    <cfRule type="expression" priority="861" dxfId="0" stopIfTrue="1">
      <formula>AND(OR(AND(IF($J68="",INDEX(primary_jama_2024_4183_disposition,MATCH($A68,primary_jama_2024_4183_key,0)),$J68)&lt;&gt;"",IF($J68="",INDEX(primary_jama_2024_4183_disposition,MATCH($A68,primary_jama_2024_4183_key,0)),$J68)&lt;&gt;"retain"),NOT(OR(IF($K68="",INDEX(primary_jama_2024_4183_domain,MATCH($A68,primary_jama_2024_4183_key,0)),$K68)="protocol_report"))),P68&lt;&gt;"",P68&lt;&gt;"not_applicable")</formula>
    </cfRule>
    <cfRule type="expression" priority="862" dxfId="1">
      <formula>OR(AND(IF($J68="",INDEX(primary_jama_2024_4183_disposition,MATCH($A68,primary_jama_2024_4183_key,0)),$J68)&lt;&gt;"",IF($J68="",INDEX(primary_jama_2024_4183_disposition,MATCH($A68,primary_jama_2024_4183_key,0)),$J68)&lt;&gt;"retain"),NOT(OR(IF($K68="",INDEX(primary_jama_2024_4183_domain,MATCH($A68,primary_jama_2024_4183_key,0)),$K68)="protocol_report")))</formula>
    </cfRule>
  </conditionalFormatting>
  <conditionalFormatting sqref="P69">
    <cfRule type="expression" priority="863" dxfId="0" stopIfTrue="1">
      <formula>AND(OR(AND(IF($J69="",INDEX(primary_jama_2024_4183_disposition,MATCH($A69,primary_jama_2024_4183_key,0)),$J69)&lt;&gt;"",IF($J69="",INDEX(primary_jama_2024_4183_disposition,MATCH($A69,primary_jama_2024_4183_key,0)),$J69)&lt;&gt;"retain"),NOT(OR(IF($K69="",INDEX(primary_jama_2024_4183_domain,MATCH($A69,primary_jama_2024_4183_key,0)),$K69)="protocol_report"))),P69&lt;&gt;"",P69&lt;&gt;"not_applicable")</formula>
    </cfRule>
    <cfRule type="expression" priority="864" dxfId="1">
      <formula>OR(AND(IF($J69="",INDEX(primary_jama_2024_4183_disposition,MATCH($A69,primary_jama_2024_4183_key,0)),$J69)&lt;&gt;"",IF($J69="",INDEX(primary_jama_2024_4183_disposition,MATCH($A69,primary_jama_2024_4183_key,0)),$J69)&lt;&gt;"retain"),NOT(OR(IF($K69="",INDEX(primary_jama_2024_4183_domain,MATCH($A69,primary_jama_2024_4183_key,0)),$K69)="protocol_report")))</formula>
    </cfRule>
  </conditionalFormatting>
  <conditionalFormatting sqref="P70">
    <cfRule type="expression" priority="865" dxfId="0" stopIfTrue="1">
      <formula>AND(OR(AND(IF($J70="",INDEX(primary_jama_2024_4183_disposition,MATCH($A70,primary_jama_2024_4183_key,0)),$J70)&lt;&gt;"",IF($J70="",INDEX(primary_jama_2024_4183_disposition,MATCH($A70,primary_jama_2024_4183_key,0)),$J70)&lt;&gt;"retain"),NOT(OR(IF($K70="",INDEX(primary_jama_2024_4183_domain,MATCH($A70,primary_jama_2024_4183_key,0)),$K70)="protocol_report"))),P70&lt;&gt;"",P70&lt;&gt;"not_applicable")</formula>
    </cfRule>
    <cfRule type="expression" priority="866" dxfId="1">
      <formula>OR(AND(IF($J70="",INDEX(primary_jama_2024_4183_disposition,MATCH($A70,primary_jama_2024_4183_key,0)),$J70)&lt;&gt;"",IF($J70="",INDEX(primary_jama_2024_4183_disposition,MATCH($A70,primary_jama_2024_4183_key,0)),$J70)&lt;&gt;"retain"),NOT(OR(IF($K70="",INDEX(primary_jama_2024_4183_domain,MATCH($A70,primary_jama_2024_4183_key,0)),$K70)="protocol_report")))</formula>
    </cfRule>
  </conditionalFormatting>
  <conditionalFormatting sqref="P71">
    <cfRule type="expression" priority="867" dxfId="0" stopIfTrue="1">
      <formula>AND(OR(AND(IF($J71="",INDEX(primary_jama_2024_4183_disposition,MATCH($A71,primary_jama_2024_4183_key,0)),$J71)&lt;&gt;"",IF($J71="",INDEX(primary_jama_2024_4183_disposition,MATCH($A71,primary_jama_2024_4183_key,0)),$J71)&lt;&gt;"retain"),NOT(OR(IF($K71="",INDEX(primary_jama_2024_4183_domain,MATCH($A71,primary_jama_2024_4183_key,0)),$K71)="protocol_report"))),P71&lt;&gt;"",P71&lt;&gt;"not_applicable")</formula>
    </cfRule>
    <cfRule type="expression" priority="868" dxfId="1">
      <formula>OR(AND(IF($J71="",INDEX(primary_jama_2024_4183_disposition,MATCH($A71,primary_jama_2024_4183_key,0)),$J71)&lt;&gt;"",IF($J71="",INDEX(primary_jama_2024_4183_disposition,MATCH($A71,primary_jama_2024_4183_key,0)),$J71)&lt;&gt;"retain"),NOT(OR(IF($K71="",INDEX(primary_jama_2024_4183_domain,MATCH($A71,primary_jama_2024_4183_key,0)),$K71)="protocol_report")))</formula>
    </cfRule>
  </conditionalFormatting>
  <conditionalFormatting sqref="P72">
    <cfRule type="expression" priority="869" dxfId="0" stopIfTrue="1">
      <formula>AND(OR(AND(IF($J72="",INDEX(primary_jama_2024_4183_disposition,MATCH($A72,primary_jama_2024_4183_key,0)),$J72)&lt;&gt;"",IF($J72="",INDEX(primary_jama_2024_4183_disposition,MATCH($A72,primary_jama_2024_4183_key,0)),$J72)&lt;&gt;"retain"),NOT(OR(IF($K72="",INDEX(primary_jama_2024_4183_domain,MATCH($A72,primary_jama_2024_4183_key,0)),$K72)="protocol_report"))),P72&lt;&gt;"",P72&lt;&gt;"not_applicable")</formula>
    </cfRule>
    <cfRule type="expression" priority="870" dxfId="1">
      <formula>OR(AND(IF($J72="",INDEX(primary_jama_2024_4183_disposition,MATCH($A72,primary_jama_2024_4183_key,0)),$J72)&lt;&gt;"",IF($J72="",INDEX(primary_jama_2024_4183_disposition,MATCH($A72,primary_jama_2024_4183_key,0)),$J72)&lt;&gt;"retain"),NOT(OR(IF($K72="",INDEX(primary_jama_2024_4183_domain,MATCH($A72,primary_jama_2024_4183_key,0)),$K72)="protocol_report")))</formula>
    </cfRule>
  </conditionalFormatting>
  <conditionalFormatting sqref="P73">
    <cfRule type="expression" priority="871" dxfId="0" stopIfTrue="1">
      <formula>AND(OR(AND(IF($J73="",INDEX(primary_jama_2024_4183_disposition,MATCH($A73,primary_jama_2024_4183_key,0)),$J73)&lt;&gt;"",IF($J73="",INDEX(primary_jama_2024_4183_disposition,MATCH($A73,primary_jama_2024_4183_key,0)),$J73)&lt;&gt;"retain"),NOT(OR(IF($K73="",INDEX(primary_jama_2024_4183_domain,MATCH($A73,primary_jama_2024_4183_key,0)),$K73)="protocol_report"))),P73&lt;&gt;"",P73&lt;&gt;"not_applicable")</formula>
    </cfRule>
    <cfRule type="expression" priority="872" dxfId="1">
      <formula>OR(AND(IF($J73="",INDEX(primary_jama_2024_4183_disposition,MATCH($A73,primary_jama_2024_4183_key,0)),$J73)&lt;&gt;"",IF($J73="",INDEX(primary_jama_2024_4183_disposition,MATCH($A73,primary_jama_2024_4183_key,0)),$J73)&lt;&gt;"retain"),NOT(OR(IF($K73="",INDEX(primary_jama_2024_4183_domain,MATCH($A73,primary_jama_2024_4183_key,0)),$K73)="protocol_report")))</formula>
    </cfRule>
  </conditionalFormatting>
  <conditionalFormatting sqref="P74">
    <cfRule type="expression" priority="873" dxfId="0" stopIfTrue="1">
      <formula>AND(OR(AND(IF($J74="",INDEX(primary_jama_2024_4183_disposition,MATCH($A74,primary_jama_2024_4183_key,0)),$J74)&lt;&gt;"",IF($J74="",INDEX(primary_jama_2024_4183_disposition,MATCH($A74,primary_jama_2024_4183_key,0)),$J74)&lt;&gt;"retain"),NOT(OR(IF($K74="",INDEX(primary_jama_2024_4183_domain,MATCH($A74,primary_jama_2024_4183_key,0)),$K74)="protocol_report"))),P74&lt;&gt;"",P74&lt;&gt;"not_applicable")</formula>
    </cfRule>
    <cfRule type="expression" priority="874" dxfId="1">
      <formula>OR(AND(IF($J74="",INDEX(primary_jama_2024_4183_disposition,MATCH($A74,primary_jama_2024_4183_key,0)),$J74)&lt;&gt;"",IF($J74="",INDEX(primary_jama_2024_4183_disposition,MATCH($A74,primary_jama_2024_4183_key,0)),$J74)&lt;&gt;"retain"),NOT(OR(IF($K74="",INDEX(primary_jama_2024_4183_domain,MATCH($A74,primary_jama_2024_4183_key,0)),$K74)="protocol_report")))</formula>
    </cfRule>
  </conditionalFormatting>
  <conditionalFormatting sqref="P75">
    <cfRule type="expression" priority="875" dxfId="0" stopIfTrue="1">
      <formula>AND(OR(AND(IF($J75="",INDEX(primary_jama_2024_4183_disposition,MATCH($A75,primary_jama_2024_4183_key,0)),$J75)&lt;&gt;"",IF($J75="",INDEX(primary_jama_2024_4183_disposition,MATCH($A75,primary_jama_2024_4183_key,0)),$J75)&lt;&gt;"retain"),NOT(OR(IF($K75="",INDEX(primary_jama_2024_4183_domain,MATCH($A75,primary_jama_2024_4183_key,0)),$K75)="protocol_report"))),P75&lt;&gt;"",P75&lt;&gt;"not_applicable")</formula>
    </cfRule>
    <cfRule type="expression" priority="876" dxfId="1">
      <formula>OR(AND(IF($J75="",INDEX(primary_jama_2024_4183_disposition,MATCH($A75,primary_jama_2024_4183_key,0)),$J75)&lt;&gt;"",IF($J75="",INDEX(primary_jama_2024_4183_disposition,MATCH($A75,primary_jama_2024_4183_key,0)),$J75)&lt;&gt;"retain"),NOT(OR(IF($K75="",INDEX(primary_jama_2024_4183_domain,MATCH($A75,primary_jama_2024_4183_key,0)),$K75)="protocol_report")))</formula>
    </cfRule>
  </conditionalFormatting>
  <conditionalFormatting sqref="P76">
    <cfRule type="expression" priority="877" dxfId="0" stopIfTrue="1">
      <formula>AND(OR(AND(IF($J76="",INDEX(primary_jama_2024_4183_disposition,MATCH($A76,primary_jama_2024_4183_key,0)),$J76)&lt;&gt;"",IF($J76="",INDEX(primary_jama_2024_4183_disposition,MATCH($A76,primary_jama_2024_4183_key,0)),$J76)&lt;&gt;"retain"),NOT(OR(IF($K76="",INDEX(primary_jama_2024_4183_domain,MATCH($A76,primary_jama_2024_4183_key,0)),$K76)="protocol_report"))),P76&lt;&gt;"",P76&lt;&gt;"not_applicable")</formula>
    </cfRule>
    <cfRule type="expression" priority="878" dxfId="1">
      <formula>OR(AND(IF($J76="",INDEX(primary_jama_2024_4183_disposition,MATCH($A76,primary_jama_2024_4183_key,0)),$J76)&lt;&gt;"",IF($J76="",INDEX(primary_jama_2024_4183_disposition,MATCH($A76,primary_jama_2024_4183_key,0)),$J76)&lt;&gt;"retain"),NOT(OR(IF($K76="",INDEX(primary_jama_2024_4183_domain,MATCH($A76,primary_jama_2024_4183_key,0)),$K76)="protocol_report")))</formula>
    </cfRule>
  </conditionalFormatting>
  <conditionalFormatting sqref="P77">
    <cfRule type="expression" priority="879" dxfId="0" stopIfTrue="1">
      <formula>AND(OR(AND(IF($J77="",INDEX(primary_jama_2024_6063_disposition,MATCH($A77,primary_jama_2024_6063_key,0)),$J77)&lt;&gt;"",IF($J77="",INDEX(primary_jama_2024_6063_disposition,MATCH($A77,primary_jama_2024_6063_key,0)),$J77)&lt;&gt;"retain"),NOT(OR(IF($K77="",INDEX(primary_jama_2024_6063_domain,MATCH($A77,primary_jama_2024_6063_key,0)),$K77)="protocol_report"))),P77&lt;&gt;"",P77&lt;&gt;"not_applicable")</formula>
    </cfRule>
    <cfRule type="expression" priority="880" dxfId="1">
      <formula>OR(AND(IF($J77="",INDEX(primary_jama_2024_6063_disposition,MATCH($A77,primary_jama_2024_6063_key,0)),$J77)&lt;&gt;"",IF($J77="",INDEX(primary_jama_2024_6063_disposition,MATCH($A77,primary_jama_2024_6063_key,0)),$J77)&lt;&gt;"retain"),NOT(OR(IF($K77="",INDEX(primary_jama_2024_6063_domain,MATCH($A77,primary_jama_2024_6063_key,0)),$K77)="protocol_report")))</formula>
    </cfRule>
  </conditionalFormatting>
  <conditionalFormatting sqref="P78">
    <cfRule type="expression" priority="881" dxfId="0" stopIfTrue="1">
      <formula>AND(OR(AND(IF($J78="",INDEX(primary_jama_2024_6063_disposition,MATCH($A78,primary_jama_2024_6063_key,0)),$J78)&lt;&gt;"",IF($J78="",INDEX(primary_jama_2024_6063_disposition,MATCH($A78,primary_jama_2024_6063_key,0)),$J78)&lt;&gt;"retain"),NOT(OR(IF($K78="",INDEX(primary_jama_2024_6063_domain,MATCH($A78,primary_jama_2024_6063_key,0)),$K78)="protocol_report"))),P78&lt;&gt;"",P78&lt;&gt;"not_applicable")</formula>
    </cfRule>
    <cfRule type="expression" priority="882" dxfId="1">
      <formula>OR(AND(IF($J78="",INDEX(primary_jama_2024_6063_disposition,MATCH($A78,primary_jama_2024_6063_key,0)),$J78)&lt;&gt;"",IF($J78="",INDEX(primary_jama_2024_6063_disposition,MATCH($A78,primary_jama_2024_6063_key,0)),$J78)&lt;&gt;"retain"),NOT(OR(IF($K78="",INDEX(primary_jama_2024_6063_domain,MATCH($A78,primary_jama_2024_6063_key,0)),$K78)="protocol_report")))</formula>
    </cfRule>
  </conditionalFormatting>
  <conditionalFormatting sqref="P79">
    <cfRule type="expression" priority="883" dxfId="0" stopIfTrue="1">
      <formula>AND(OR(AND(IF($J79="",INDEX(primary_jama_2024_6063_disposition,MATCH($A79,primary_jama_2024_6063_key,0)),$J79)&lt;&gt;"",IF($J79="",INDEX(primary_jama_2024_6063_disposition,MATCH($A79,primary_jama_2024_6063_key,0)),$J79)&lt;&gt;"retain"),NOT(OR(IF($K79="",INDEX(primary_jama_2024_6063_domain,MATCH($A79,primary_jama_2024_6063_key,0)),$K79)="protocol_report"))),P79&lt;&gt;"",P79&lt;&gt;"not_applicable")</formula>
    </cfRule>
    <cfRule type="expression" priority="884" dxfId="1">
      <formula>OR(AND(IF($J79="",INDEX(primary_jama_2024_6063_disposition,MATCH($A79,primary_jama_2024_6063_key,0)),$J79)&lt;&gt;"",IF($J79="",INDEX(primary_jama_2024_6063_disposition,MATCH($A79,primary_jama_2024_6063_key,0)),$J79)&lt;&gt;"retain"),NOT(OR(IF($K79="",INDEX(primary_jama_2024_6063_domain,MATCH($A79,primary_jama_2024_6063_key,0)),$K79)="protocol_report")))</formula>
    </cfRule>
  </conditionalFormatting>
  <conditionalFormatting sqref="P80">
    <cfRule type="expression" priority="885" dxfId="0" stopIfTrue="1">
      <formula>AND(OR(AND(IF($J80="",INDEX(primary_jama_2024_6063_disposition,MATCH($A80,primary_jama_2024_6063_key,0)),$J80)&lt;&gt;"",IF($J80="",INDEX(primary_jama_2024_6063_disposition,MATCH($A80,primary_jama_2024_6063_key,0)),$J80)&lt;&gt;"retain"),NOT(OR(IF($K80="",INDEX(primary_jama_2024_6063_domain,MATCH($A80,primary_jama_2024_6063_key,0)),$K80)="protocol_report"))),P80&lt;&gt;"",P80&lt;&gt;"not_applicable")</formula>
    </cfRule>
    <cfRule type="expression" priority="886" dxfId="1">
      <formula>OR(AND(IF($J80="",INDEX(primary_jama_2024_6063_disposition,MATCH($A80,primary_jama_2024_6063_key,0)),$J80)&lt;&gt;"",IF($J80="",INDEX(primary_jama_2024_6063_disposition,MATCH($A80,primary_jama_2024_6063_key,0)),$J80)&lt;&gt;"retain"),NOT(OR(IF($K80="",INDEX(primary_jama_2024_6063_domain,MATCH($A80,primary_jama_2024_6063_key,0)),$K80)="protocol_report")))</formula>
    </cfRule>
  </conditionalFormatting>
  <conditionalFormatting sqref="P81">
    <cfRule type="expression" priority="887" dxfId="0" stopIfTrue="1">
      <formula>AND(OR(AND(IF($J81="",INDEX(primary_jama_2024_6063_disposition,MATCH($A81,primary_jama_2024_6063_key,0)),$J81)&lt;&gt;"",IF($J81="",INDEX(primary_jama_2024_6063_disposition,MATCH($A81,primary_jama_2024_6063_key,0)),$J81)&lt;&gt;"retain"),NOT(OR(IF($K81="",INDEX(primary_jama_2024_6063_domain,MATCH($A81,primary_jama_2024_6063_key,0)),$K81)="protocol_report"))),P81&lt;&gt;"",P81&lt;&gt;"not_applicable")</formula>
    </cfRule>
    <cfRule type="expression" priority="888" dxfId="1">
      <formula>OR(AND(IF($J81="",INDEX(primary_jama_2024_6063_disposition,MATCH($A81,primary_jama_2024_6063_key,0)),$J81)&lt;&gt;"",IF($J81="",INDEX(primary_jama_2024_6063_disposition,MATCH($A81,primary_jama_2024_6063_key,0)),$J81)&lt;&gt;"retain"),NOT(OR(IF($K81="",INDEX(primary_jama_2024_6063_domain,MATCH($A81,primary_jama_2024_6063_key,0)),$K81)="protocol_report")))</formula>
    </cfRule>
  </conditionalFormatting>
  <conditionalFormatting sqref="P82">
    <cfRule type="expression" priority="889" dxfId="0" stopIfTrue="1">
      <formula>AND(OR(AND(IF($J82="",INDEX(primary_jama_2024_6063_disposition,MATCH($A82,primary_jama_2024_6063_key,0)),$J82)&lt;&gt;"",IF($J82="",INDEX(primary_jama_2024_6063_disposition,MATCH($A82,primary_jama_2024_6063_key,0)),$J82)&lt;&gt;"retain"),NOT(OR(IF($K82="",INDEX(primary_jama_2024_6063_domain,MATCH($A82,primary_jama_2024_6063_key,0)),$K82)="protocol_report"))),P82&lt;&gt;"",P82&lt;&gt;"not_applicable")</formula>
    </cfRule>
    <cfRule type="expression" priority="890" dxfId="1">
      <formula>OR(AND(IF($J82="",INDEX(primary_jama_2024_6063_disposition,MATCH($A82,primary_jama_2024_6063_key,0)),$J82)&lt;&gt;"",IF($J82="",INDEX(primary_jama_2024_6063_disposition,MATCH($A82,primary_jama_2024_6063_key,0)),$J82)&lt;&gt;"retain"),NOT(OR(IF($K82="",INDEX(primary_jama_2024_6063_domain,MATCH($A82,primary_jama_2024_6063_key,0)),$K82)="protocol_report")))</formula>
    </cfRule>
  </conditionalFormatting>
  <conditionalFormatting sqref="P83">
    <cfRule type="expression" priority="891" dxfId="0" stopIfTrue="1">
      <formula>AND(OR(AND(IF($J83="",INDEX(primary_jama_2024_6063_disposition,MATCH($A83,primary_jama_2024_6063_key,0)),$J83)&lt;&gt;"",IF($J83="",INDEX(primary_jama_2024_6063_disposition,MATCH($A83,primary_jama_2024_6063_key,0)),$J83)&lt;&gt;"retain"),NOT(OR(IF($K83="",INDEX(primary_jama_2024_6063_domain,MATCH($A83,primary_jama_2024_6063_key,0)),$K83)="protocol_report"))),P83&lt;&gt;"",P83&lt;&gt;"not_applicable")</formula>
    </cfRule>
    <cfRule type="expression" priority="892" dxfId="1">
      <formula>OR(AND(IF($J83="",INDEX(primary_jama_2024_6063_disposition,MATCH($A83,primary_jama_2024_6063_key,0)),$J83)&lt;&gt;"",IF($J83="",INDEX(primary_jama_2024_6063_disposition,MATCH($A83,primary_jama_2024_6063_key,0)),$J83)&lt;&gt;"retain"),NOT(OR(IF($K83="",INDEX(primary_jama_2024_6063_domain,MATCH($A83,primary_jama_2024_6063_key,0)),$K83)="protocol_report")))</formula>
    </cfRule>
  </conditionalFormatting>
  <conditionalFormatting sqref="P84">
    <cfRule type="expression" priority="893" dxfId="0" stopIfTrue="1">
      <formula>AND(OR(AND(IF($J84="",INDEX(primary_jama_2024_6063_disposition,MATCH($A84,primary_jama_2024_6063_key,0)),$J84)&lt;&gt;"",IF($J84="",INDEX(primary_jama_2024_6063_disposition,MATCH($A84,primary_jama_2024_6063_key,0)),$J84)&lt;&gt;"retain"),NOT(OR(IF($K84="",INDEX(primary_jama_2024_6063_domain,MATCH($A84,primary_jama_2024_6063_key,0)),$K84)="protocol_report"))),P84&lt;&gt;"",P84&lt;&gt;"not_applicable")</formula>
    </cfRule>
    <cfRule type="expression" priority="894" dxfId="1">
      <formula>OR(AND(IF($J84="",INDEX(primary_jama_2024_6063_disposition,MATCH($A84,primary_jama_2024_6063_key,0)),$J84)&lt;&gt;"",IF($J84="",INDEX(primary_jama_2024_6063_disposition,MATCH($A84,primary_jama_2024_6063_key,0)),$J84)&lt;&gt;"retain"),NOT(OR(IF($K84="",INDEX(primary_jama_2024_6063_domain,MATCH($A84,primary_jama_2024_6063_key,0)),$K84)="protocol_report")))</formula>
    </cfRule>
  </conditionalFormatting>
  <conditionalFormatting sqref="P85">
    <cfRule type="expression" priority="895" dxfId="0" stopIfTrue="1">
      <formula>AND(OR(AND(IF($J85="",INDEX(primary_jama_2024_6063_disposition,MATCH($A85,primary_jama_2024_6063_key,0)),$J85)&lt;&gt;"",IF($J85="",INDEX(primary_jama_2024_6063_disposition,MATCH($A85,primary_jama_2024_6063_key,0)),$J85)&lt;&gt;"retain"),NOT(OR(IF($K85="",INDEX(primary_jama_2024_6063_domain,MATCH($A85,primary_jama_2024_6063_key,0)),$K85)="protocol_report"))),P85&lt;&gt;"",P85&lt;&gt;"not_applicable")</formula>
    </cfRule>
    <cfRule type="expression" priority="896" dxfId="1">
      <formula>OR(AND(IF($J85="",INDEX(primary_jama_2024_6063_disposition,MATCH($A85,primary_jama_2024_6063_key,0)),$J85)&lt;&gt;"",IF($J85="",INDEX(primary_jama_2024_6063_disposition,MATCH($A85,primary_jama_2024_6063_key,0)),$J85)&lt;&gt;"retain"),NOT(OR(IF($K85="",INDEX(primary_jama_2024_6063_domain,MATCH($A85,primary_jama_2024_6063_key,0)),$K85)="protocol_report")))</formula>
    </cfRule>
  </conditionalFormatting>
  <conditionalFormatting sqref="P86">
    <cfRule type="expression" priority="897" dxfId="0" stopIfTrue="1">
      <formula>AND(OR(AND(IF($J86="",INDEX(primary_jama_2024_6063_disposition,MATCH($A86,primary_jama_2024_6063_key,0)),$J86)&lt;&gt;"",IF($J86="",INDEX(primary_jama_2024_6063_disposition,MATCH($A86,primary_jama_2024_6063_key,0)),$J86)&lt;&gt;"retain"),NOT(OR(IF($K86="",INDEX(primary_jama_2024_6063_domain,MATCH($A86,primary_jama_2024_6063_key,0)),$K86)="protocol_report"))),P86&lt;&gt;"",P86&lt;&gt;"not_applicable")</formula>
    </cfRule>
    <cfRule type="expression" priority="898" dxfId="1">
      <formula>OR(AND(IF($J86="",INDEX(primary_jama_2024_6063_disposition,MATCH($A86,primary_jama_2024_6063_key,0)),$J86)&lt;&gt;"",IF($J86="",INDEX(primary_jama_2024_6063_disposition,MATCH($A86,primary_jama_2024_6063_key,0)),$J86)&lt;&gt;"retain"),NOT(OR(IF($K86="",INDEX(primary_jama_2024_6063_domain,MATCH($A86,primary_jama_2024_6063_key,0)),$K86)="protocol_report")))</formula>
    </cfRule>
  </conditionalFormatting>
  <conditionalFormatting sqref="P87">
    <cfRule type="expression" priority="899" dxfId="0" stopIfTrue="1">
      <formula>AND(OR(AND(IF($J87="",INDEX(primary_jama_2024_6063_disposition,MATCH($A87,primary_jama_2024_6063_key,0)),$J87)&lt;&gt;"",IF($J87="",INDEX(primary_jama_2024_6063_disposition,MATCH($A87,primary_jama_2024_6063_key,0)),$J87)&lt;&gt;"retain"),NOT(OR(IF($K87="",INDEX(primary_jama_2024_6063_domain,MATCH($A87,primary_jama_2024_6063_key,0)),$K87)="protocol_report"))),P87&lt;&gt;"",P87&lt;&gt;"not_applicable")</formula>
    </cfRule>
    <cfRule type="expression" priority="900" dxfId="1">
      <formula>OR(AND(IF($J87="",INDEX(primary_jama_2024_6063_disposition,MATCH($A87,primary_jama_2024_6063_key,0)),$J87)&lt;&gt;"",IF($J87="",INDEX(primary_jama_2024_6063_disposition,MATCH($A87,primary_jama_2024_6063_key,0)),$J87)&lt;&gt;"retain"),NOT(OR(IF($K87="",INDEX(primary_jama_2024_6063_domain,MATCH($A87,primary_jama_2024_6063_key,0)),$K87)="protocol_report")))</formula>
    </cfRule>
  </conditionalFormatting>
  <conditionalFormatting sqref="P88">
    <cfRule type="expression" priority="901" dxfId="0" stopIfTrue="1">
      <formula>AND(OR(AND(IF($J88="",INDEX(primary_jama_2024_6063_disposition,MATCH($A88,primary_jama_2024_6063_key,0)),$J88)&lt;&gt;"",IF($J88="",INDEX(primary_jama_2024_6063_disposition,MATCH($A88,primary_jama_2024_6063_key,0)),$J88)&lt;&gt;"retain"),NOT(OR(IF($K88="",INDEX(primary_jama_2024_6063_domain,MATCH($A88,primary_jama_2024_6063_key,0)),$K88)="protocol_report"))),P88&lt;&gt;"",P88&lt;&gt;"not_applicable")</formula>
    </cfRule>
    <cfRule type="expression" priority="902" dxfId="1">
      <formula>OR(AND(IF($J88="",INDEX(primary_jama_2024_6063_disposition,MATCH($A88,primary_jama_2024_6063_key,0)),$J88)&lt;&gt;"",IF($J88="",INDEX(primary_jama_2024_6063_disposition,MATCH($A88,primary_jama_2024_6063_key,0)),$J88)&lt;&gt;"retain"),NOT(OR(IF($K88="",INDEX(primary_jama_2024_6063_domain,MATCH($A88,primary_jama_2024_6063_key,0)),$K88)="protocol_report")))</formula>
    </cfRule>
  </conditionalFormatting>
  <conditionalFormatting sqref="P89">
    <cfRule type="expression" priority="903" dxfId="0" stopIfTrue="1">
      <formula>AND(OR(AND(IF($J89="",INDEX(primary_jama_2024_6063_disposition,MATCH($A89,primary_jama_2024_6063_key,0)),$J89)&lt;&gt;"",IF($J89="",INDEX(primary_jama_2024_6063_disposition,MATCH($A89,primary_jama_2024_6063_key,0)),$J89)&lt;&gt;"retain"),NOT(OR(IF($K89="",INDEX(primary_jama_2024_6063_domain,MATCH($A89,primary_jama_2024_6063_key,0)),$K89)="protocol_report"))),P89&lt;&gt;"",P89&lt;&gt;"not_applicable")</formula>
    </cfRule>
    <cfRule type="expression" priority="904" dxfId="1">
      <formula>OR(AND(IF($J89="",INDEX(primary_jama_2024_6063_disposition,MATCH($A89,primary_jama_2024_6063_key,0)),$J89)&lt;&gt;"",IF($J89="",INDEX(primary_jama_2024_6063_disposition,MATCH($A89,primary_jama_2024_6063_key,0)),$J89)&lt;&gt;"retain"),NOT(OR(IF($K89="",INDEX(primary_jama_2024_6063_domain,MATCH($A89,primary_jama_2024_6063_key,0)),$K89)="protocol_report")))</formula>
    </cfRule>
  </conditionalFormatting>
  <conditionalFormatting sqref="P90">
    <cfRule type="expression" priority="905" dxfId="0" stopIfTrue="1">
      <formula>AND(OR(AND(IF($J90="",INDEX(primary_jama_2024_6063_disposition,MATCH($A90,primary_jama_2024_6063_key,0)),$J90)&lt;&gt;"",IF($J90="",INDEX(primary_jama_2024_6063_disposition,MATCH($A90,primary_jama_2024_6063_key,0)),$J90)&lt;&gt;"retain"),NOT(OR(IF($K90="",INDEX(primary_jama_2024_6063_domain,MATCH($A90,primary_jama_2024_6063_key,0)),$K90)="protocol_report"))),P90&lt;&gt;"",P90&lt;&gt;"not_applicable")</formula>
    </cfRule>
    <cfRule type="expression" priority="906" dxfId="1">
      <formula>OR(AND(IF($J90="",INDEX(primary_jama_2024_6063_disposition,MATCH($A90,primary_jama_2024_6063_key,0)),$J90)&lt;&gt;"",IF($J90="",INDEX(primary_jama_2024_6063_disposition,MATCH($A90,primary_jama_2024_6063_key,0)),$J90)&lt;&gt;"retain"),NOT(OR(IF($K90="",INDEX(primary_jama_2024_6063_domain,MATCH($A90,primary_jama_2024_6063_key,0)),$K90)="protocol_report")))</formula>
    </cfRule>
  </conditionalFormatting>
  <conditionalFormatting sqref="P91">
    <cfRule type="expression" priority="907" dxfId="0" stopIfTrue="1">
      <formula>AND(OR(AND(IF($J91="",INDEX(primary_jama_2024_6063_disposition,MATCH($A91,primary_jama_2024_6063_key,0)),$J91)&lt;&gt;"",IF($J91="",INDEX(primary_jama_2024_6063_disposition,MATCH($A91,primary_jama_2024_6063_key,0)),$J91)&lt;&gt;"retain"),NOT(OR(IF($K91="",INDEX(primary_jama_2024_6063_domain,MATCH($A91,primary_jama_2024_6063_key,0)),$K91)="protocol_report"))),P91&lt;&gt;"",P91&lt;&gt;"not_applicable")</formula>
    </cfRule>
    <cfRule type="expression" priority="908" dxfId="1">
      <formula>OR(AND(IF($J91="",INDEX(primary_jama_2024_6063_disposition,MATCH($A91,primary_jama_2024_6063_key,0)),$J91)&lt;&gt;"",IF($J91="",INDEX(primary_jama_2024_6063_disposition,MATCH($A91,primary_jama_2024_6063_key,0)),$J91)&lt;&gt;"retain"),NOT(OR(IF($K91="",INDEX(primary_jama_2024_6063_domain,MATCH($A91,primary_jama_2024_6063_key,0)),$K91)="protocol_report")))</formula>
    </cfRule>
  </conditionalFormatting>
  <conditionalFormatting sqref="P92">
    <cfRule type="expression" priority="909" dxfId="0" stopIfTrue="1">
      <formula>AND(OR(AND(IF($J92="",INDEX(primary_jama_2024_6063_disposition,MATCH($A92,primary_jama_2024_6063_key,0)),$J92)&lt;&gt;"",IF($J92="",INDEX(primary_jama_2024_6063_disposition,MATCH($A92,primary_jama_2024_6063_key,0)),$J92)&lt;&gt;"retain"),NOT(OR(IF($K92="",INDEX(primary_jama_2024_6063_domain,MATCH($A92,primary_jama_2024_6063_key,0)),$K92)="protocol_report"))),P92&lt;&gt;"",P92&lt;&gt;"not_applicable")</formula>
    </cfRule>
    <cfRule type="expression" priority="910" dxfId="1">
      <formula>OR(AND(IF($J92="",INDEX(primary_jama_2024_6063_disposition,MATCH($A92,primary_jama_2024_6063_key,0)),$J92)&lt;&gt;"",IF($J92="",INDEX(primary_jama_2024_6063_disposition,MATCH($A92,primary_jama_2024_6063_key,0)),$J92)&lt;&gt;"retain"),NOT(OR(IF($K92="",INDEX(primary_jama_2024_6063_domain,MATCH($A92,primary_jama_2024_6063_key,0)),$K92)="protocol_report")))</formula>
    </cfRule>
  </conditionalFormatting>
  <dataValidations count="10">
    <dataValidation sqref="D2:D92" showDropDown="0" showInputMessage="1" showErrorMessage="1" allowBlank="1" errorTitle="Invalid option" error="Choose a listed value." promptTitle="Checker result" prompt="See Codebook for meanings." type="list" errorStyle="stop">
      <formula1>opt_checkStatus</formula1>
    </dataValidation>
    <dataValidation sqref="F2:F92" showDropDown="0" showInputMessage="1" showErrorMessage="1" allowBlank="1" errorTitle="Invalid option" error="Choose a listed value." promptTitle="Complete" prompt="See Codebook for meanings." type="list" errorStyle="stop">
      <formula1>opt_reviewComplete</formula1>
    </dataValidation>
    <dataValidation sqref="H2:H92" showDropDown="0" showInputMessage="1" showErrorMessage="1" allowBlank="1" errorTitle="Invalid option" error="Choose a listed value." promptTitle="Discussion resolution" prompt="See Codebook for meanings." type="list" errorStyle="stop">
      <formula1>opt_resolutionStatus</formula1>
    </dataValidation>
    <dataValidation sqref="J2:J92" showDropDown="0" showInputMessage="1" showErrorMessage="1" allowBlank="1" errorTitle="Invalid option" error="Choose a listed value." promptTitle="Disposition" prompt="See Codebook for meanings." type="list" errorStyle="stop">
      <formula1>opt_disposition</formula1>
    </dataValidation>
    <dataValidation sqref="K2:K92" showDropDown="0" showInputMessage="1" showErrorMessage="1" allowBlank="1" errorTitle="Invalid option" error="Choose a listed value." promptTitle="Review domain" prompt="See Codebook for meanings." type="list" errorStyle="stop">
      <formula1>opt_domain</formula1>
    </dataValidation>
    <dataValidation sqref="L2:L92" showDropDown="0" showInputMessage="1" showErrorMessage="1" allowBlank="1" errorTitle="Invalid option" error="Choose a listed value." promptTitle="Statistical error" prompt="See Codebook for meanings." type="list" errorStyle="stop">
      <formula1>opt_statisticalErrorStatus</formula1>
    </dataValidation>
    <dataValidation sqref="M2:M92" showDropDown="0" showInputMessage="1" showErrorMessage="1" allowBlank="1" errorTitle="Invalid option" error="Choose a listed value." promptTitle="Substantiveness" prompt="See Codebook for meanings." type="list" errorStyle="stop">
      <formula1>opt_substantiveStatus</formula1>
    </dataValidation>
    <dataValidation sqref="N2:N92" showDropDown="0" showInputMessage="1" showErrorMessage="1" allowBlank="1" errorTitle="Invalid option" error="Choose a listed value." promptTitle="Downstream impact" prompt="See Codebook for meanings." type="list" errorStyle="stop">
      <formula1>opt_downstreamImpact</formula1>
    </dataValidation>
    <dataValidation sqref="O2:O9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P2:P9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B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is>
          <t>Population identity of the branch counts is conditional; no plan comparator.</t>
        </is>
      </c>
      <c r="C2" s="2" t="b">
        <v>0</v>
      </c>
      <c r="D2" s="2" t="inlineStr">
        <is>
          <t>Denominator, proportion, or total inconsistency</t>
        </is>
      </c>
      <c r="E2" s="2" t="b">
        <v>0</v>
      </c>
      <c r="F2" s="2" t="inlineStr">
        <is>
          <t>C001</t>
        </is>
      </c>
      <c r="G2" s="2" t="inlineStr">
        <is>
          <t>2024::jama.2024.0318::C001</t>
        </is>
      </c>
      <c r="H2" s="2" t="inlineStr"/>
      <c r="I2" s="2" t="inlineStr">
        <is>
          <t>jama_courcoulas_2024_oi_240004_1721756962.76052.pdf — PDF p. 3, Figure 1 and adjoining Results text.</t>
        </is>
      </c>
      <c r="J2" s="2" t="b">
        <v>0</v>
      </c>
      <c r="K2" s="2" t="inlineStr">
        <is>
          <t>jama.2024.0318</t>
        </is>
      </c>
      <c r="L2" s="2" t="inlineStr"/>
      <c r="M2" s="2" t="inlineStr">
        <is>
          <t>S_W</t>
        </is>
      </c>
      <c r="N2" s="2" t="inlineStr">
        <is>
          <t>The 305 parent and 193+122=315 child allocation boxes disagree inside main Figure 1.</t>
        </is>
      </c>
      <c r="O2" s="2" t="inlineStr">
        <is>
          <t>../../2024/jama.2024.0318/.ai_paper_validation/final_report_1_5_3.html</t>
        </is>
      </c>
      <c r="P2" s="2" t="inlineStr">
        <is>
          <t>2024/jama.2024.0318/.ai_paper_validation/final_report_1_5_3.md</t>
        </is>
      </c>
      <c r="Q2" s="2" t="inlineStr">
        <is>
          <t>C001</t>
        </is>
      </c>
      <c r="R2" s="2" t="inlineStr">
        <is>
          <t>Pending Human Adjudication</t>
        </is>
      </c>
      <c r="S2" s="2" t="inlineStr">
        <is>
          <t>Figure 1 displays a 305-person available cohort that branches to treatment counts totaling 315.</t>
        </is>
      </c>
      <c r="T2" s="2" t="b">
        <v>1</v>
      </c>
      <c r="U2" s="2" t="inlineStr">
        <is>
          <t>flow_total</t>
        </is>
      </c>
      <c r="V2" s="2" t="inlineStr">
        <is>
          <t>statistical_results</t>
        </is>
      </c>
      <c r="W2" s="2" t="inlineStr">
        <is>
          <t>Figure 1 allocation branches exceed the displayed available cohort by 10 participants</t>
        </is>
      </c>
      <c r="X2" s="2" t="inlineStr">
        <is>
          <t>2024</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is>
          <t>The table may intentionally mix visits without adequate labels; classified by its internal heading/footnote relationship.</t>
        </is>
      </c>
      <c r="C3" s="3" t="b">
        <v>0</v>
      </c>
      <c r="D3" s="3" t="inlineStr">
        <is>
          <t>Measure, label, or scale inconsistency</t>
        </is>
      </c>
      <c r="E3" s="3" t="b">
        <v>0</v>
      </c>
      <c r="F3" s="3" t="inlineStr">
        <is>
          <t>C002</t>
        </is>
      </c>
      <c r="G3" s="3" t="inlineStr">
        <is>
          <t>2024::jama.2024.0318::C002</t>
        </is>
      </c>
      <c r="H3" s="3" t="inlineStr"/>
      <c r="I3" s="3" t="inlineStr">
        <is>
          <t>joi240004supp2_prod_1721756962.82552.pdf — PDF p. 15, eTable 2 title, columns, rows, and footnotes a-b; joi240004supp2_prod_1721756962.82552.pdf — PDF p. 16, footnotes c-e; jama_courcoulas_2024_oi_240004_1721756962.76052.pdf — PDF p. 3, Results pointer to eTable 2.</t>
        </is>
      </c>
      <c r="J3" s="3" t="b">
        <v>0</v>
      </c>
      <c r="K3" s="3" t="inlineStr">
        <is>
          <t>jama.2024.0318</t>
        </is>
      </c>
      <c r="L3" s="3" t="inlineStr"/>
      <c r="M3" s="3" t="inlineStr">
        <is>
          <t>S_W</t>
        </is>
      </c>
      <c r="N3" s="3" t="inlineStr">
        <is>
          <t>Year-12 headings and year-7 footnote definitions conflict within results-supplement eTable 2. The main article pointer corroborates the heading rather than supplying an additional targeted discrepancy.</t>
        </is>
      </c>
      <c r="O3" s="3" t="inlineStr">
        <is>
          <t>../../2024/jama.2024.0318/.ai_paper_validation/final_report_1_5_3.html</t>
        </is>
      </c>
      <c r="P3" s="3" t="inlineStr">
        <is>
          <t>2024/jama.2024.0318/.ai_paper_validation/final_report_1_5_3.md</t>
        </is>
      </c>
      <c r="Q3" s="3" t="inlineStr">
        <is>
          <t>C002</t>
        </is>
      </c>
      <c r="R3" s="3" t="inlineStr">
        <is>
          <t>Pending Human Adjudication</t>
        </is>
      </c>
      <c r="S3" s="3" t="inlineStr">
        <is>
          <t>eTable 2 presents year-12 headings while key footnotes define its quantitative outputs at year 7.</t>
        </is>
      </c>
      <c r="T3" s="3" t="b">
        <v>1</v>
      </c>
      <c r="U3" s="3" t="inlineStr">
        <is>
          <t>timepoint_label</t>
        </is>
      </c>
      <c r="V3" s="3" t="inlineStr">
        <is>
          <t>internal_nonstatistical</t>
        </is>
      </c>
      <c r="W3" s="3" t="inlineStr">
        <is>
          <t>Supplement eTable 2 mixes year-12 headings with year-7 quantitative footnote definitions</t>
        </is>
      </c>
      <c r="X3" s="3" t="inlineStr">
        <is>
          <t>2024</t>
        </is>
      </c>
      <c r="Y3" s="3" t="inlineStr">
        <is>
          <t>meta_report/consistency_reclassification_2026-09-04/reclassified_candidates.json</t>
        </is>
      </c>
      <c r="Z3" s="3" t="inlineStr">
        <is>
          <t>S_W</t>
        </is>
      </c>
      <c r="AA3" s="3" t="inlineStr">
        <is>
          <t>internal_nonstatistical</t>
        </is>
      </c>
      <c r="AB3" s="3" t="inlineStr">
        <is>
          <t>retain</t>
        </is>
      </c>
    </row>
    <row r="4" ht="95" customHeight="1">
      <c r="A4" s="2" t="b">
        <v>0</v>
      </c>
      <c r="B4" s="2" t="inlineStr">
        <is>
          <t>Timepoint ambiguity in C002 leaves exact analysis identity conditional; this is a separate P-value comparison.</t>
        </is>
      </c>
      <c r="C4" s="2" t="b">
        <v>0</v>
      </c>
      <c r="D4" s="2" t="inlineStr">
        <is>
          <t>Cross-document numeric inconsistency</t>
        </is>
      </c>
      <c r="E4" s="2" t="b">
        <v>1</v>
      </c>
      <c r="F4" s="2" t="inlineStr">
        <is>
          <t>C003</t>
        </is>
      </c>
      <c r="G4" s="2" t="inlineStr">
        <is>
          <t>2024::jama.2024.0318::C003</t>
        </is>
      </c>
      <c r="H4" s="2" t="inlineStr"/>
      <c r="I4" s="2" t="inlineStr">
        <is>
          <t>jama_courcoulas_2024_oi_240004_1721756962.76052.pdf — PDF p. 1, Abstract Results; jama_courcoulas_2024_oi_240004_1721756962.76052.pdf — PDF p. 3, Results; joi240004supp2_prod_1721756962.82552.pdf — PDF p. 15, eTable 2 HbA1c row.</t>
        </is>
      </c>
      <c r="J4" s="2" t="b">
        <v>1</v>
      </c>
      <c r="K4" s="2" t="inlineStr">
        <is>
          <t>jama.2024.0318</t>
        </is>
      </c>
      <c r="L4" s="2" t="inlineStr"/>
      <c r="M4" s="2" t="inlineStr">
        <is>
          <t>S_C</t>
        </is>
      </c>
      <c r="N4" s="2" t="inlineStr">
        <is>
          <t>Main abstract/Results give P=.002 but matched results-supplement eTable 2 gives P&lt;.001 for the same displayed HbA1c estimate and interval.</t>
        </is>
      </c>
      <c r="O4" s="2" t="inlineStr">
        <is>
          <t>../../2024/jama.2024.0318/.ai_paper_validation/final_report_1_5_3.html</t>
        </is>
      </c>
      <c r="P4" s="2" t="inlineStr">
        <is>
          <t>2024/jama.2024.0318/.ai_paper_validation/final_report_1_5_3.md</t>
        </is>
      </c>
      <c r="Q4" s="2" t="inlineStr">
        <is>
          <t>C003</t>
        </is>
      </c>
      <c r="R4" s="2" t="inlineStr">
        <is>
          <t>Pending Human Adjudication</t>
        </is>
      </c>
      <c r="S4" s="2" t="inlineStr">
        <is>
          <t>The main article and eTable 2 print the same displayed 12-year HbA1c estimate and interval with different P values.</t>
        </is>
      </c>
      <c r="T4" s="2" t="b">
        <v>1</v>
      </c>
      <c r="U4" s="2" t="inlineStr">
        <is>
          <t>p_value_repeat</t>
        </is>
      </c>
      <c r="V4" s="2" t="inlineStr">
        <is>
          <t>internal_nonstatistical</t>
        </is>
      </c>
      <c r="W4" s="2" t="inlineStr">
        <is>
          <t>Matched 12-year HbA1c result has incompatible printed P values</t>
        </is>
      </c>
      <c r="X4" s="2" t="inlineStr">
        <is>
          <t>2024</t>
        </is>
      </c>
      <c r="Y4" s="2" t="inlineStr">
        <is>
          <t>meta_report/consistency_reclassification_2026-09-04/reclassified_candidates.json</t>
        </is>
      </c>
      <c r="Z4" s="2" t="inlineStr">
        <is>
          <t>S_C</t>
        </is>
      </c>
      <c r="AA4" s="2" t="inlineStr">
        <is>
          <t>internal_nonstatistical</t>
        </is>
      </c>
      <c r="AB4" s="2" t="inlineStr">
        <is>
          <t>retain</t>
        </is>
      </c>
    </row>
    <row r="5" ht="95" customHeight="1">
      <c r="A5" s="3" t="b">
        <v>0</v>
      </c>
      <c r="B5" s="3" t="inlineStr"/>
      <c r="C5" s="3" t="b">
        <v>0</v>
      </c>
      <c r="D5" s="3" t="inlineStr">
        <is>
          <t>Measure, label, or scale inconsistency</t>
        </is>
      </c>
      <c r="E5" s="3" t="b">
        <v>0</v>
      </c>
      <c r="F5" s="3" t="inlineStr">
        <is>
          <t>C004</t>
        </is>
      </c>
      <c r="G5" s="3" t="inlineStr">
        <is>
          <t>2024::jama.2024.0318::C004</t>
        </is>
      </c>
      <c r="H5" s="3" t="inlineStr"/>
      <c r="I5" s="3" t="inlineStr">
        <is>
          <t>jama_courcoulas_2024_oi_240004_1721756962.76052.pdf — PDF p. 4, Results narrative; jama_courcoulas_2024_oi_240004_1721756962.76052.pdf — PDF p. 6, Table 2; joi240004supp2_prod_1721756962.82552.pdf — PDF p. 4, binary-analysis context.</t>
        </is>
      </c>
      <c r="J5" s="3" t="b">
        <v>0</v>
      </c>
      <c r="K5" s="3" t="inlineStr">
        <is>
          <t>jama.2024.0318</t>
        </is>
      </c>
      <c r="L5" s="3" t="inlineStr"/>
      <c r="M5" s="3" t="inlineStr">
        <is>
          <t>S_W</t>
        </is>
      </c>
      <c r="N5" s="3" t="inlineStr">
        <is>
          <t>Main narrative says HbA1c&lt;=6.5%, whereas its cited Table 2 says &lt;6.5%. Supplementary GEE methods do not state the operator and are context only.</t>
        </is>
      </c>
      <c r="O5" s="3" t="inlineStr">
        <is>
          <t>../../2024/jama.2024.0318/.ai_paper_validation/final_report_1_5_3.html</t>
        </is>
      </c>
      <c r="P5" s="3" t="inlineStr">
        <is>
          <t>2024/jama.2024.0318/.ai_paper_validation/final_report_1_5_3.md</t>
        </is>
      </c>
      <c r="Q5" s="3" t="inlineStr">
        <is>
          <t>C004</t>
        </is>
      </c>
      <c r="R5" s="3" t="inlineStr">
        <is>
          <t>Pending Human Adjudication</t>
        </is>
      </c>
      <c r="S5" s="3" t="inlineStr">
        <is>
          <t>The narrative cites Table 2 for the same year-7 outcome while using &lt;=6.5%; Table 2 uses &lt;6.5%.</t>
        </is>
      </c>
      <c r="T5" s="3" t="b">
        <v>1</v>
      </c>
      <c r="U5" s="3" t="inlineStr">
        <is>
          <t>threshold_operator</t>
        </is>
      </c>
      <c r="V5" s="3" t="inlineStr">
        <is>
          <t>internal_nonstatistical</t>
        </is>
      </c>
      <c r="W5" s="3" t="inlineStr">
        <is>
          <t>The same year-7 glycemic outcome is labeled as both HbA1c less than or equal to 6.5% and HbA1c below 6.5%</t>
        </is>
      </c>
      <c r="X5" s="3" t="inlineStr">
        <is>
          <t>2024</t>
        </is>
      </c>
      <c r="Y5" s="3" t="inlineStr">
        <is>
          <t>meta_report/consistency_reclassification_2026-09-04/reclassified_candidates.json</t>
        </is>
      </c>
      <c r="Z5" s="3" t="inlineStr">
        <is>
          <t>S_W</t>
        </is>
      </c>
      <c r="AA5" s="3" t="inlineStr">
        <is>
          <t>internal_nonstatistical</t>
        </is>
      </c>
      <c r="AB5" s="3" t="inlineStr">
        <is>
          <t>retain</t>
        </is>
      </c>
    </row>
    <row r="6" ht="95" customHeight="1">
      <c r="A6" s="2" t="b">
        <v>0</v>
      </c>
      <c r="B6" s="2" t="inlineStr">
        <is>
          <t>An unreported abstract risk set remains possible.</t>
        </is>
      </c>
      <c r="C6" s="2" t="b">
        <v>0</v>
      </c>
      <c r="D6" s="2" t="inlineStr">
        <is>
          <t>Denominator, proportion, or total inconsistency</t>
        </is>
      </c>
      <c r="E6" s="2" t="b">
        <v>0</v>
      </c>
      <c r="F6" s="2" t="inlineStr">
        <is>
          <t>C005</t>
        </is>
      </c>
      <c r="G6" s="2" t="inlineStr">
        <is>
          <t>2024::jama.2024.0318::C005</t>
        </is>
      </c>
      <c r="H6" s="2" t="inlineStr"/>
      <c r="I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2" t="b">
        <v>0</v>
      </c>
      <c r="K6" s="2" t="inlineStr">
        <is>
          <t>jama.2024.0318</t>
        </is>
      </c>
      <c r="L6" s="2" t="inlineStr"/>
      <c r="M6" s="2" t="inlineStr">
        <is>
          <t>S_W</t>
        </is>
      </c>
      <c r="N6" s="2" t="inlineStr">
        <is>
          <t>Main abstract gives four deaths as2.2%, whereas its own enrolled denominators and Table3 imply4/262=1.5%.</t>
        </is>
      </c>
      <c r="O6" s="2" t="inlineStr">
        <is>
          <t>../../2024/jama.2024.0318/.ai_paper_validation/final_report_1_5_3.html</t>
        </is>
      </c>
      <c r="P6" s="2" t="inlineStr">
        <is>
          <t>2024/jama.2024.0318/.ai_paper_validation/final_report_1_5_3.md</t>
        </is>
      </c>
      <c r="Q6" s="2" t="inlineStr">
        <is>
          <t>C005</t>
        </is>
      </c>
      <c r="R6" s="2" t="inlineStr">
        <is>
          <t>Pending Human Adjudication</t>
        </is>
      </c>
      <c r="S6" s="2" t="inlineStr">
        <is>
          <t>The abstract's 2.2% for four deaths does not match the combined percentage implied by displayed group counts and denominators.</t>
        </is>
      </c>
      <c r="T6" s="2" t="b">
        <v>1</v>
      </c>
      <c r="U6" s="2" t="inlineStr">
        <is>
          <t>count_percentage</t>
        </is>
      </c>
      <c r="V6" s="2" t="inlineStr">
        <is>
          <t>statistical_results</t>
        </is>
      </c>
      <c r="W6" s="2" t="inlineStr">
        <is>
          <t>Abstract percentage for four deaths does not reconcile with displayed group counts and denominators</t>
        </is>
      </c>
      <c r="X6" s="2" t="inlineStr">
        <is>
          <t>2024</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Actual membership impact depends on boundary values and coding.</t>
        </is>
      </c>
      <c r="C7" s="3" t="b">
        <v>0</v>
      </c>
      <c r="D7" s="3" t="inlineStr">
        <is>
          <t>Measure, label, or scale inconsistency</t>
        </is>
      </c>
      <c r="E7" s="3" t="b">
        <v>1</v>
      </c>
      <c r="F7" s="3" t="inlineStr">
        <is>
          <t>C006</t>
        </is>
      </c>
      <c r="G7" s="3" t="inlineStr">
        <is>
          <t>2024::jama.2024.0318::C006</t>
        </is>
      </c>
      <c r="H7" s="3" t="inlineStr"/>
      <c r="I7" s="3" t="inlineStr">
        <is>
          <t>jama_courcoulas_2024_oi_240004_1721756962.76052.pdf — PDF p. 7, Results narrative; joi240004supp2_prod_1721756962.82552.pdf — PDF p. 13, eFigure 6 title, legends, and explanatory text.</t>
        </is>
      </c>
      <c r="J7" s="3" t="b">
        <v>0</v>
      </c>
      <c r="K7" s="3" t="inlineStr">
        <is>
          <t>jama.2024.0318</t>
        </is>
      </c>
      <c r="L7" s="3" t="inlineStr"/>
      <c r="M7" s="3" t="inlineStr">
        <is>
          <t>S_C</t>
        </is>
      </c>
      <c r="N7" s="3" t="inlineStr">
        <is>
          <t>Main reports BMI&gt;=35 for its higher subgroup, but the linked non-plan eFigure6 repeatedly prints BMI&gt;35.</t>
        </is>
      </c>
      <c r="O7" s="3" t="inlineStr">
        <is>
          <t>../../2024/jama.2024.0318/.ai_paper_validation/final_report_1_5_3.html</t>
        </is>
      </c>
      <c r="P7" s="3" t="inlineStr">
        <is>
          <t>2024/jama.2024.0318/.ai_paper_validation/final_report_1_5_3.md</t>
        </is>
      </c>
      <c r="Q7" s="3" t="inlineStr">
        <is>
          <t>C006</t>
        </is>
      </c>
      <c r="R7" s="3" t="inlineStr">
        <is>
          <t>Pending Human Adjudication</t>
        </is>
      </c>
      <c r="S7" s="3" t="inlineStr">
        <is>
          <t>The main article defines the higher exploratory BMI subgroup as 35 or greater, whereas eFigure 6 labels it greater than 35.</t>
        </is>
      </c>
      <c r="T7" s="3" t="b">
        <v>1</v>
      </c>
      <c r="U7" s="3" t="inlineStr">
        <is>
          <t>threshold_operator</t>
        </is>
      </c>
      <c r="V7" s="3" t="inlineStr">
        <is>
          <t>internal_nonstatistical</t>
        </is>
      </c>
      <c r="W7" s="3" t="inlineStr">
        <is>
          <t>The same exploratory BMI subgroup boundary is labeled as both 35 or greater and greater than 35</t>
        </is>
      </c>
      <c r="X7" s="3" t="inlineStr">
        <is>
          <t>2024</t>
        </is>
      </c>
      <c r="Y7" s="3" t="inlineStr">
        <is>
          <t>meta_report/consistency_reclassification_2026-09-04/reclassified_candidates.json</t>
        </is>
      </c>
      <c r="Z7" s="3" t="inlineStr">
        <is>
          <t>S_C</t>
        </is>
      </c>
      <c r="AA7" s="3" t="inlineStr">
        <is>
          <t>internal_nonstatistical</t>
        </is>
      </c>
      <c r="AB7" s="3" t="inlineStr">
        <is>
          <t>retain</t>
        </is>
      </c>
    </row>
    <row r="8" ht="95" customHeight="1">
      <c r="A8" s="2" t="b">
        <v>0</v>
      </c>
      <c r="B8" s="2" t="inlineStr">
        <is>
          <t>Requires ordinary nearest-whole rounding and identical outcome derivation.</t>
        </is>
      </c>
      <c r="C8" s="2" t="b">
        <v>0</v>
      </c>
      <c r="D8" s="2" t="inlineStr">
        <is>
          <t>Cross-document numeric inconsistency</t>
        </is>
      </c>
      <c r="E8" s="2" t="b">
        <v>1</v>
      </c>
      <c r="F8" s="2" t="inlineStr">
        <is>
          <t>C001</t>
        </is>
      </c>
      <c r="G8" s="2" t="inlineStr">
        <is>
          <t>2024::jama.2024.0572::C001</t>
        </is>
      </c>
      <c r="H8" s="2" t="inlineStr"/>
      <c r="I8" s="2" t="inlineStr">
        <is>
          <t>Main article Figure 2 — PDF p. 7; Supplement 5 eTable 2 — PDF p. 38; main Results population statement — PDF p. 4; and Supplement 5 eFigure 3 — PDF p. 8.</t>
        </is>
      </c>
      <c r="J8" s="2" t="b">
        <v>1</v>
      </c>
      <c r="K8" s="2" t="inlineStr">
        <is>
          <t>jama.2024.0572</t>
        </is>
      </c>
      <c r="L8" s="2" t="inlineStr"/>
      <c r="M8" s="2" t="inlineStr">
        <is>
          <t>S_C</t>
        </is>
      </c>
      <c r="N8" s="2" t="inlineStr">
        <is>
          <t>Main Figure2 ITT mRS distributions reconstruct different threshold counts from results-supplement eTable2 despite matched168-per-arm labels.</t>
        </is>
      </c>
      <c r="O8" s="2" t="inlineStr">
        <is>
          <t>../../2024/jama.2024.0572/.ai_paper_validation/final_report_1_5_3.html</t>
        </is>
      </c>
      <c r="P8" s="2" t="inlineStr">
        <is>
          <t>2024/jama.2024.0572/.ai_paper_validation/final_report_1_5_3.md</t>
        </is>
      </c>
      <c r="Q8" s="2" t="inlineStr">
        <is>
          <t>C001</t>
        </is>
      </c>
      <c r="R8" s="2" t="inlineStr">
        <is>
          <t>Pending Human Adjudication</t>
        </is>
      </c>
      <c r="S8" s="2" t="inlineStr">
        <is>
          <t>The Figure 2 ITT 90-day mRS distributions and Supplement 5 eTable 2 ITT threshold counts do not reconcile under ordinary nearest-whole-percentage rounding, despite matching ITT labels and 168 participants per arm.</t>
        </is>
      </c>
      <c r="T8" s="2" t="b">
        <v>1</v>
      </c>
      <c r="U8" s="2" t="inlineStr">
        <is>
          <t>distribution_threshold_counts</t>
        </is>
      </c>
      <c r="V8" s="2" t="inlineStr">
        <is>
          <t>internal_nonstatistical</t>
        </is>
      </c>
      <c r="W8" s="2" t="inlineStr">
        <is>
          <t>ITT Figure 2 mRS distributions conflict with ITT eTable 2 threshold counts</t>
        </is>
      </c>
      <c r="X8" s="2" t="inlineStr">
        <is>
          <t>2024</t>
        </is>
      </c>
      <c r="Y8" s="2" t="inlineStr">
        <is>
          <t>meta_report/consistency_reclassification_2026-09-04/reclassified_candidates.json</t>
        </is>
      </c>
      <c r="Z8" s="2" t="inlineStr">
        <is>
          <t>S_C</t>
        </is>
      </c>
      <c r="AA8" s="2" t="inlineStr">
        <is>
          <t>internal_nonstatistical</t>
        </is>
      </c>
      <c r="AB8" s="2" t="inlineStr">
        <is>
          <t>retain</t>
        </is>
      </c>
    </row>
    <row r="9" ht="95" customHeight="1">
      <c r="A9" s="3" t="b">
        <v>0</v>
      </c>
      <c r="B9" s="3" t="inlineStr">
        <is>
          <t>SAP citation is supporting model context, not a demonstrated report-versus-plan analytical discrepancy.</t>
        </is>
      </c>
      <c r="C9" s="3" t="b">
        <v>0</v>
      </c>
      <c r="D9" s="3" t="inlineStr">
        <is>
          <t>Measure, label, or scale inconsistency</t>
        </is>
      </c>
      <c r="E9" s="3" t="b">
        <v>0</v>
      </c>
      <c r="F9" s="3" t="inlineStr">
        <is>
          <t>C002</t>
        </is>
      </c>
      <c r="G9" s="3" t="inlineStr">
        <is>
          <t>2024::jama.2024.0572::C002</t>
        </is>
      </c>
      <c r="H9" s="3" t="inlineStr"/>
      <c r="I9" s="3" t="inlineStr">
        <is>
          <t>Main narrative — PDF p. 6; Main Table 2 — PDF p. 7; Main Table 3 — PDF p. 9; trial SAP — PDF p. 17; secondary-analysis SAP — PDF p. 4; and Supplement 5 eTable 7 — PDF p. 43.</t>
        </is>
      </c>
      <c r="J9" s="3" t="b">
        <v>0</v>
      </c>
      <c r="K9" s="3" t="inlineStr">
        <is>
          <t>jama.2024.0572</t>
        </is>
      </c>
      <c r="L9" s="3" t="inlineStr"/>
      <c r="M9" s="3" t="inlineStr">
        <is>
          <t>S_W</t>
        </is>
      </c>
      <c r="N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3" t="inlineStr">
        <is>
          <t>../../2024/jama.2024.0572/.ai_paper_validation/final_report_1_5_3.html</t>
        </is>
      </c>
      <c r="P9" s="3" t="inlineStr">
        <is>
          <t>2024/jama.2024.0572/.ai_paper_validation/final_report_1_5_3.md</t>
        </is>
      </c>
      <c r="Q9" s="3" t="inlineStr">
        <is>
          <t>C002</t>
        </is>
      </c>
      <c r="R9" s="3" t="inlineStr">
        <is>
          <t>Pending Human Adjudication</t>
        </is>
      </c>
      <c r="S9" s="3" t="inlineStr">
        <is>
          <t>The main narrative and tables expand aRR as “absolute risk reduction,” while printed estimates, a greater-than-1 interpretation, separate aRD values, and supplied SAP statements indicate a ratio-scale measure.</t>
        </is>
      </c>
      <c r="T9" s="3" t="b">
        <v>1</v>
      </c>
      <c r="U9" s="3" t="inlineStr">
        <is>
          <t>effect_measure_label</t>
        </is>
      </c>
      <c r="V9" s="3" t="inlineStr">
        <is>
          <t>internal_nonstatistical</t>
        </is>
      </c>
      <c r="W9" s="3" t="inlineStr">
        <is>
          <t>aRR is labeled as an absolute risk reduction but displayed and interpreted as a ratio</t>
        </is>
      </c>
      <c r="X9" s="3" t="inlineStr">
        <is>
          <t>2024</t>
        </is>
      </c>
      <c r="Y9" s="3" t="inlineStr">
        <is>
          <t>meta_report/consistency_reclassification_2026-09-04/reclassified_candidates.json</t>
        </is>
      </c>
      <c r="Z9" s="3" t="inlineStr">
        <is>
          <t>S_W</t>
        </is>
      </c>
      <c r="AA9" s="3" t="inlineStr">
        <is>
          <t>internal_nonstatistical</t>
        </is>
      </c>
      <c r="AB9" s="3" t="inlineStr">
        <is>
          <t>retain</t>
        </is>
      </c>
    </row>
    <row r="10" ht="95" customHeight="1">
      <c r="A10" s="2" t="b">
        <v>0</v>
      </c>
      <c r="B10" s="2" t="inlineStr">
        <is>
          <t>Mixed report-plan and main-results-supplement relationships; protocol context dated2021 and article2024 permit an unproven program-version change.</t>
        </is>
      </c>
      <c r="C10" s="2" t="b">
        <v>1</v>
      </c>
      <c r="D10" s="2" t="inlineStr">
        <is>
          <t>Cross-document numeric inconsistency</t>
        </is>
      </c>
      <c r="E10" s="2" t="b">
        <v>1</v>
      </c>
      <c r="F10" s="2" t="inlineStr">
        <is>
          <t>C001</t>
        </is>
      </c>
      <c r="G10" s="2" t="inlineStr">
        <is>
          <t>2024::jama.2024.11057::C001</t>
        </is>
      </c>
      <c r="H10" s="2" t="inlineStr"/>
      <c r="I10" s="2" t="inlineStr">
        <is>
          <t>jama_graham_2024_oi_240078_1739900423.19074.pdf — PDF p. 3; joi240078supp1_prod_1739900423.22574.pdf — PDF p. 2; joi240078supp2_prod_1739900423.24574.pdf — PDF p. 2.</t>
        </is>
      </c>
      <c r="J10" s="2" t="b">
        <v>1</v>
      </c>
      <c r="K10" s="2" t="inlineStr">
        <is>
          <t>jama.2024.11057</t>
        </is>
      </c>
      <c r="L10" s="2" t="inlineStr">
        <is>
          <t>intervention_delivery</t>
        </is>
      </c>
      <c r="M10" s="2" t="inlineStr">
        <is>
          <t>P_R</t>
        </is>
      </c>
      <c r="N10" s="2" t="inlineStr">
        <is>
          <t>Main describes6 pre-quit message weeks, whereas both the study protocol and distinct results supplement describe1 week for the same intervention/subgroup.</t>
        </is>
      </c>
      <c r="O10" s="2" t="inlineStr">
        <is>
          <t>../../2024/jama.2024.11057/.ai_paper_validation/final_report_1_5_3.html</t>
        </is>
      </c>
      <c r="P10" s="2" t="inlineStr">
        <is>
          <t>2024/jama.2024.11057/.ai_paper_validation/final_report_1_5_3.md</t>
        </is>
      </c>
      <c r="Q10" s="2" t="inlineStr">
        <is>
          <t>C001</t>
        </is>
      </c>
      <c r="R10" s="2" t="inlineStr">
        <is>
          <t>Pending Human Adjudication</t>
        </is>
      </c>
      <c r="S10" s="2" t="inlineStr">
        <is>
          <t>The main article prints a 6-week pre-quit message period, whereas both supplied support documents print a 1-week pre-quit period for the same named intervention and quit-date subgroup. Pending Human Adjudication.</t>
        </is>
      </c>
      <c r="T10" s="2" t="b">
        <v>1</v>
      </c>
      <c r="U10" s="2" t="inlineStr">
        <is>
          <t>intervention_duration</t>
        </is>
      </c>
      <c r="V10" s="2" t="inlineStr">
        <is>
          <t>protocol_report</t>
        </is>
      </c>
      <c r="W10" s="2" t="inlineStr">
        <is>
          <t>Quit-date pre-message duration conflicts between the main article and both support documents</t>
        </is>
      </c>
      <c r="X10" s="2" t="inlineStr">
        <is>
          <t>2024</t>
        </is>
      </c>
      <c r="Y10" s="2" t="inlineStr">
        <is>
          <t>meta_report/consistency_reclassification_2026-09-04/reclassified_candidates.json</t>
        </is>
      </c>
      <c r="Z10" s="2" t="inlineStr">
        <is>
          <t>P_R</t>
        </is>
      </c>
      <c r="AA10" s="2" t="inlineStr">
        <is>
          <t>protocol_report</t>
        </is>
      </c>
      <c r="AB10" s="2" t="inlineStr">
        <is>
          <t>retain</t>
        </is>
      </c>
    </row>
    <row r="11" ht="95" customHeight="1">
      <c r="A11" s="3" t="b">
        <v>0</v>
      </c>
      <c r="B11" s="3" t="inlineStr">
        <is>
          <t>Scalar IQR widths remain possible; main comparator is corroborative, not a matched-result numerical disagreement.</t>
        </is>
      </c>
      <c r="C11" s="3" t="b">
        <v>0</v>
      </c>
      <c r="D11" s="3" t="inlineStr">
        <is>
          <t>Measure, label, or scale inconsistency</t>
        </is>
      </c>
      <c r="E11" s="3" t="b">
        <v>0</v>
      </c>
      <c r="F11" s="3" t="inlineStr">
        <is>
          <t>C002</t>
        </is>
      </c>
      <c r="G11" s="3" t="inlineStr">
        <is>
          <t>2024::jama.2024.11057::C002</t>
        </is>
      </c>
      <c r="H11" s="3" t="inlineStr"/>
      <c r="I11" s="3" t="inlineStr">
        <is>
          <t>joi240078supp2_prod_1739900423.24574.pdf — PDF p. 12, eTable 4; joi240078supp2_prod_1739900423.24574.pdf — PDF p. 13, scale footnote; jama_graham_2024_oi_240078_1739900423.19074.pdf — PDF p. 4, Table 1 comparator.</t>
        </is>
      </c>
      <c r="J11" s="3" t="b">
        <v>0</v>
      </c>
      <c r="K11" s="3" t="inlineStr">
        <is>
          <t>jama.2024.11057</t>
        </is>
      </c>
      <c r="L11" s="3" t="inlineStr"/>
      <c r="M11" s="3" t="inlineStr">
        <is>
          <t>S_W</t>
        </is>
      </c>
      <c r="N11" s="3" t="inlineStr">
        <is>
          <t>Results-supplement eTable4 labels cells median(IQR) but gives single dispersion values unlike its own endpoint-pair convention. Main Table1 supports the format convention but concerns different groupings.</t>
        </is>
      </c>
      <c r="O11" s="3" t="inlineStr">
        <is>
          <t>../../2024/jama.2024.11057/.ai_paper_validation/final_report_1_5_3.html</t>
        </is>
      </c>
      <c r="P11" s="3" t="inlineStr">
        <is>
          <t>2024/jama.2024.11057/.ai_paper_validation/final_report_1_5_3.md</t>
        </is>
      </c>
      <c r="Q11" s="3" t="inlineStr">
        <is>
          <t>C002</t>
        </is>
      </c>
      <c r="R11" s="3" t="inlineStr">
        <is>
          <t>Pending Human Adjudication</t>
        </is>
      </c>
      <c r="S11" s="3" t="inlineStr">
        <is>
          <t>eTable 4 labels the motivation and confidence rows median (IQR) but prints one parenthetical number in each affected cell, unlike its own endpoint-form IQR convention. Pending Human Adjudication.</t>
        </is>
      </c>
      <c r="T11" s="3" t="b">
        <v>1</v>
      </c>
      <c r="U11" s="3" t="inlineStr">
        <is>
          <t>summary_statistic_label</t>
        </is>
      </c>
      <c r="V11" s="3" t="inlineStr">
        <is>
          <t>internal_nonstatistical</t>
        </is>
      </c>
      <c r="W11" s="3" t="inlineStr">
        <is>
          <t>eTable 4 labels motivation and confidence as median (IQR) but prints single parenthetical dispersion values</t>
        </is>
      </c>
      <c r="X11" s="3" t="inlineStr">
        <is>
          <t>2024</t>
        </is>
      </c>
      <c r="Y11" s="3" t="inlineStr">
        <is>
          <t>meta_report/consistency_reclassification_2026-09-04/reclassified_candidates.json</t>
        </is>
      </c>
      <c r="Z11" s="3" t="inlineStr">
        <is>
          <t>S_W</t>
        </is>
      </c>
      <c r="AA11" s="3" t="inlineStr">
        <is>
          <t>internal_nonstatistical</t>
        </is>
      </c>
      <c r="AB11" s="3" t="inlineStr">
        <is>
          <t>retain</t>
        </is>
      </c>
    </row>
    <row r="12" ht="95" customHeight="1">
      <c r="A12" s="2" t="b">
        <v>0</v>
      </c>
      <c r="B12" s="2" t="inlineStr">
        <is>
          <t>The substantive mismatch is the undefined transposition against the same supplement's definition and repeated result.</t>
        </is>
      </c>
      <c r="C12" s="2" t="b">
        <v>0</v>
      </c>
      <c r="D12" s="2" t="inlineStr">
        <is>
          <t>Measure, label, or scale inconsistency</t>
        </is>
      </c>
      <c r="E12" s="2" t="b">
        <v>0</v>
      </c>
      <c r="F12" s="2" t="inlineStr">
        <is>
          <t>C003</t>
        </is>
      </c>
      <c r="G12" s="2" t="inlineStr">
        <is>
          <t>2024::jama.2024.11057::C003</t>
        </is>
      </c>
      <c r="H12" s="2" t="inlineStr"/>
      <c r="I12" s="2" t="inlineStr">
        <is>
          <t>joi240078supp2_prod_1739900423.24574.pdf — PDF p. 5, eAppendix C; joi240078supp2_prod_1739900423.24574.pdf — PDF p. 14, eTable 5; jama_graham_2024_oi_240078_1739900423.19074.pdf — PDF p. 4, Statistical Methods.</t>
        </is>
      </c>
      <c r="J12" s="2" t="b">
        <v>0</v>
      </c>
      <c r="K12" s="2" t="inlineStr">
        <is>
          <t>jama.2024.11057</t>
        </is>
      </c>
      <c r="L12" s="2" t="inlineStr"/>
      <c r="M12" s="2" t="inlineStr">
        <is>
          <t>S_W</t>
        </is>
      </c>
      <c r="N12" s="2" t="inlineStr">
        <is>
          <t>Within the results supplement, the defined IPRW method and matching eTable5 result are called IPWR once in eAppendixC. Main methods corroborate the standard abbreviation.</t>
        </is>
      </c>
      <c r="O12" s="2" t="inlineStr">
        <is>
          <t>../../2024/jama.2024.11057/.ai_paper_validation/final_report_1_5_3.html</t>
        </is>
      </c>
      <c r="P12" s="2" t="inlineStr">
        <is>
          <t>2024/jama.2024.11057/.ai_paper_validation/final_report_1_5_3.md</t>
        </is>
      </c>
      <c r="Q12" s="2" t="inlineStr">
        <is>
          <t>C003</t>
        </is>
      </c>
      <c r="R12" s="2" t="inlineStr">
        <is>
          <t>Pending Human Adjudication</t>
        </is>
      </c>
      <c r="S12" s="2" t="inlineStr">
        <is>
          <t>eAppendix C prints IPWR once beside the repeated-PPA result even though the same source defines and otherwise uses IPRW, and the matched eTable labels the result IPRW. Pending Human Adjudication.</t>
        </is>
      </c>
      <c r="T12" s="2" t="b">
        <v>1</v>
      </c>
      <c r="U12" s="2" t="inlineStr">
        <is>
          <t>method_abbreviation</t>
        </is>
      </c>
      <c r="V12" s="2" t="inlineStr">
        <is>
          <t>internal_nonstatistical</t>
        </is>
      </c>
      <c r="W12" s="2" t="inlineStr">
        <is>
          <t>eAppendix C prints IPWR once for a result otherwise defined and labelled as IPRW</t>
        </is>
      </c>
      <c r="X12" s="2" t="inlineStr">
        <is>
          <t>2024</t>
        </is>
      </c>
      <c r="Y12" s="2" t="inlineStr">
        <is>
          <t>meta_report/consistency_reclassification_2026-09-04/reclassified_candidates.json</t>
        </is>
      </c>
      <c r="Z12" s="2" t="inlineStr">
        <is>
          <t>S_W</t>
        </is>
      </c>
      <c r="AA12" s="2" t="inlineStr">
        <is>
          <t>internal_nonstatistical</t>
        </is>
      </c>
      <c r="AB12" s="2" t="inlineStr">
        <is>
          <t>retain</t>
        </is>
      </c>
    </row>
    <row r="13" ht="95" customHeight="1">
      <c r="A13" s="3" t="b">
        <v>0</v>
      </c>
      <c r="B13" s="3" t="inlineStr"/>
      <c r="C13" s="3" t="b">
        <v>0</v>
      </c>
      <c r="D13" s="3" t="inlineStr">
        <is>
          <t>Denominator, proportion, or total inconsistency</t>
        </is>
      </c>
      <c r="E13" s="3" t="b">
        <v>0</v>
      </c>
      <c r="F13" s="3" t="inlineStr">
        <is>
          <t>C001</t>
        </is>
      </c>
      <c r="G13" s="3" t="inlineStr">
        <is>
          <t>2024::jama.2024.12829::C001</t>
        </is>
      </c>
      <c r="H13" s="3" t="inlineStr"/>
      <c r="I13" s="3" t="inlineStr">
        <is>
          <t>DOC-001 Table 1, PDF p. 6</t>
        </is>
      </c>
      <c r="J13" s="3" t="b">
        <v>0</v>
      </c>
      <c r="K13" s="3" t="inlineStr">
        <is>
          <t>jama.2024.12829</t>
        </is>
      </c>
      <c r="L13" s="3" t="inlineStr"/>
      <c r="M13" s="3" t="inlineStr">
        <is>
          <t>S_W</t>
        </is>
      </c>
      <c r="N13" s="3" t="inlineStr">
        <is>
          <t>Main Table1 gives77 females of249 as30.1% instead of the count-derived30.9%.</t>
        </is>
      </c>
      <c r="O13" s="3" t="inlineStr">
        <is>
          <t>../../2024/jama.2024.12829/.ai_paper_validation/final_report_1_5_3.html</t>
        </is>
      </c>
      <c r="P13" s="3" t="inlineStr">
        <is>
          <t>2024/jama.2024.12829/.ai_paper_validation/final_report_1_5_3.md</t>
        </is>
      </c>
      <c r="Q13" s="3" t="inlineStr">
        <is>
          <t>C001</t>
        </is>
      </c>
      <c r="R13" s="3" t="inlineStr">
        <is>
          <t>Pending Human Adjudication</t>
        </is>
      </c>
      <c r="S13" s="3" t="inlineStr">
        <is>
          <t>The BA female percentage is inconsistent with the printed count and displayed arm denominator under ordinary nearest-one-decimal rounding.</t>
        </is>
      </c>
      <c r="T13" s="3" t="b">
        <v>1</v>
      </c>
      <c r="U13" s="3" t="inlineStr">
        <is>
          <t>count_percentage</t>
        </is>
      </c>
      <c r="V13" s="3" t="inlineStr">
        <is>
          <t>statistical_results</t>
        </is>
      </c>
      <c r="W13" s="3" t="inlineStr">
        <is>
          <t>Balloon-angioplasty female percentage does not reconcile with count and denominator</t>
        </is>
      </c>
      <c r="X13" s="3" t="inlineStr">
        <is>
          <t>2024</t>
        </is>
      </c>
      <c r="Y13" s="3" t="inlineStr">
        <is>
          <t>meta_report/consistency_reclassification_2026-09-04/reclassified_candidates.json</t>
        </is>
      </c>
      <c r="Z13" s="3" t="inlineStr">
        <is>
          <t>S_W</t>
        </is>
      </c>
      <c r="AA13" s="3" t="inlineStr">
        <is>
          <t>statistical_results</t>
        </is>
      </c>
      <c r="AB13" s="3" t="inlineStr">
        <is>
          <t>retain</t>
        </is>
      </c>
    </row>
    <row r="14" ht="95" customHeight="1">
      <c r="A14" s="2" t="b">
        <v>0</v>
      </c>
      <c r="B14" s="2" t="inlineStr">
        <is>
          <t>86.3% follows ordinary nearest rounding; an unspecified display convention may explain the difference.</t>
        </is>
      </c>
      <c r="C14" s="2" t="b">
        <v>0</v>
      </c>
      <c r="D14" s="2" t="inlineStr">
        <is>
          <t>Denominator, proportion, or total inconsistency</t>
        </is>
      </c>
      <c r="E14" s="2" t="b">
        <v>0</v>
      </c>
      <c r="F14" s="2" t="inlineStr">
        <is>
          <t>C002</t>
        </is>
      </c>
      <c r="G14" s="2" t="inlineStr">
        <is>
          <t>2024::jama.2024.12829::C002</t>
        </is>
      </c>
      <c r="H14" s="2" t="inlineStr"/>
      <c r="I14" s="2" t="inlineStr">
        <is>
          <t>DOC-001 Table 1, PDF p. 6; DOC-002 Table S1, PDF p. 14</t>
        </is>
      </c>
      <c r="J14" s="2" t="b">
        <v>0</v>
      </c>
      <c r="K14" s="2" t="inlineStr">
        <is>
          <t>jama.2024.12829</t>
        </is>
      </c>
      <c r="L14" s="2" t="inlineStr"/>
      <c r="M14" s="2" t="inlineStr">
        <is>
          <t>S_W</t>
        </is>
      </c>
      <c r="N14" s="2" t="inlineStr">
        <is>
          <t>Main Table1 and results-supplement TableS1 identically repeat215/249 as86.4%; their agreement is not a cross-file inconsistency. Each is an internal rounding candidate.</t>
        </is>
      </c>
      <c r="O14" s="2" t="inlineStr">
        <is>
          <t>../../2024/jama.2024.12829/.ai_paper_validation/final_report_1_5_3.html</t>
        </is>
      </c>
      <c r="P14" s="2" t="inlineStr">
        <is>
          <t>2024/jama.2024.12829/.ai_paper_validation/final_report_1_5_3.md</t>
        </is>
      </c>
      <c r="Q14" s="2" t="inlineStr">
        <is>
          <t>C002</t>
        </is>
      </c>
      <c r="R14" s="2" t="inlineStr">
        <is>
          <t>Pending Human Adjudication</t>
        </is>
      </c>
      <c r="S14" s="2" t="inlineStr">
        <is>
          <t>The repeated BA ischemic-stroke percentage is conditionally inconsistent with ordinary nearest-one-decimal rounding.</t>
        </is>
      </c>
      <c r="T14" s="2" t="b">
        <v>1</v>
      </c>
      <c r="U14" s="2" t="inlineStr">
        <is>
          <t>rounding</t>
        </is>
      </c>
      <c r="V14" s="2" t="inlineStr">
        <is>
          <t>statistical_results</t>
        </is>
      </c>
      <c r="W14" s="2" t="inlineStr">
        <is>
          <t>Balloon-angioplasty ischemic-stroke percentage is outside ordinary one-decimal rounding</t>
        </is>
      </c>
      <c r="X14" s="2" t="inlineStr">
        <is>
          <t>2024</t>
        </is>
      </c>
      <c r="Y14" s="2" t="inlineStr">
        <is>
          <t>meta_report/consistency_reclassification_2026-09-04/reclassified_candidates.json</t>
        </is>
      </c>
      <c r="Z14" s="2" t="inlineStr">
        <is>
          <t>S_W</t>
        </is>
      </c>
      <c r="AA14" s="2" t="inlineStr">
        <is>
          <t>statistical_results</t>
        </is>
      </c>
      <c r="AB14" s="2" t="inlineStr">
        <is>
          <t>retain</t>
        </is>
      </c>
    </row>
    <row r="15" ht="95" customHeight="1">
      <c r="A15" s="3" t="b">
        <v>0</v>
      </c>
      <c r="B15" s="3" t="inlineStr">
        <is>
          <t>The explicit241 footnote may fully resolve the header context; retained candidate is not established bad arithmetic.</t>
        </is>
      </c>
      <c r="C15" s="3" t="b">
        <v>0</v>
      </c>
      <c r="D15" s="3" t="inlineStr">
        <is>
          <t>Denominator, proportion, or total inconsistency</t>
        </is>
      </c>
      <c r="E15" s="3" t="b">
        <v>0</v>
      </c>
      <c r="F15" s="3" t="inlineStr">
        <is>
          <t>C003</t>
        </is>
      </c>
      <c r="G15" s="3" t="inlineStr">
        <is>
          <t>2024::jama.2024.12829::C003</t>
        </is>
      </c>
      <c r="H15" s="3" t="inlineStr"/>
      <c r="I15" s="3" t="inlineStr">
        <is>
          <t>DOC-002 Table S4, PDF p. 17</t>
        </is>
      </c>
      <c r="J15" s="3" t="b">
        <v>0</v>
      </c>
      <c r="K15" s="3" t="inlineStr">
        <is>
          <t>jama.2024.12829</t>
        </is>
      </c>
      <c r="L15" s="3" t="inlineStr"/>
      <c r="M15" s="3" t="inlineStr">
        <is>
          <t>S_W</t>
        </is>
      </c>
      <c r="N15" s="3" t="inlineStr">
        <is>
          <t>Results-supplement TableS4 header249 differs from footnoted procedure-applicable241, which reproduces the percentages.</t>
        </is>
      </c>
      <c r="O15" s="3" t="inlineStr">
        <is>
          <t>../../2024/jama.2024.12829/.ai_paper_validation/final_report_1_5_3.html</t>
        </is>
      </c>
      <c r="P15" s="3" t="inlineStr">
        <is>
          <t>2024/jama.2024.12829/.ai_paper_validation/final_report_1_5_3.md</t>
        </is>
      </c>
      <c r="Q15" s="3" t="inlineStr">
        <is>
          <t>C003</t>
        </is>
      </c>
      <c r="R15" s="3" t="inlineStr">
        <is>
          <t>Pending Human Adjudication</t>
        </is>
      </c>
      <c r="S15" s="3" t="inlineStr">
        <is>
          <t>Table S4 raises a denominator-label clarity question because procedure rows use the footnoted 241 participants while the column header states 249.</t>
        </is>
      </c>
      <c r="T15" s="3" t="b">
        <v>1</v>
      </c>
      <c r="U15" s="3" t="inlineStr">
        <is>
          <t>denominator_header</t>
        </is>
      </c>
      <c r="V15" s="3" t="inlineStr">
        <is>
          <t>statistical_results</t>
        </is>
      </c>
      <c r="W15" s="3" t="inlineStr">
        <is>
          <t>Table S4 procedure rows use 241 while the column header states 249</t>
        </is>
      </c>
      <c r="X15" s="3" t="inlineStr">
        <is>
          <t>2024</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Unlabelled PPS denominator233 could explain3.9%; it is diagnostic only.</t>
        </is>
      </c>
      <c r="C16" s="2" t="b">
        <v>0</v>
      </c>
      <c r="D16" s="2" t="inlineStr">
        <is>
          <t>Denominator, proportion, or total inconsistency</t>
        </is>
      </c>
      <c r="E16" s="2" t="b">
        <v>0</v>
      </c>
      <c r="F16" s="2" t="inlineStr">
        <is>
          <t>C004</t>
        </is>
      </c>
      <c r="G16" s="2" t="inlineStr">
        <is>
          <t>2024::jama.2024.12829::C004</t>
        </is>
      </c>
      <c r="H16" s="2" t="inlineStr"/>
      <c r="I16" s="2" t="inlineStr">
        <is>
          <t>DOC-002 Table S6, PDF p. 19</t>
        </is>
      </c>
      <c r="J16" s="2" t="b">
        <v>0</v>
      </c>
      <c r="K16" s="2" t="inlineStr">
        <is>
          <t>jama.2024.12829</t>
        </is>
      </c>
      <c r="L16" s="2" t="inlineStr"/>
      <c r="M16" s="2" t="inlineStr">
        <is>
          <t>S_W</t>
        </is>
      </c>
      <c r="N16" s="2" t="inlineStr">
        <is>
          <t>Results-supplement TableS6 gives9(3.9) under249;9/249 rounds3.6%. This percentage/header issue is separate from C016's9-versus11 event-count comparison.</t>
        </is>
      </c>
      <c r="O16" s="2" t="inlineStr">
        <is>
          <t>../../2024/jama.2024.12829/.ai_paper_validation/final_report_1_5_3.html</t>
        </is>
      </c>
      <c r="P16" s="2" t="inlineStr">
        <is>
          <t>2024/jama.2024.12829/.ai_paper_validation/final_report_1_5_3.md</t>
        </is>
      </c>
      <c r="Q16" s="2" t="inlineStr">
        <is>
          <t>C004</t>
        </is>
      </c>
      <c r="R16" s="2" t="inlineStr">
        <is>
          <t>Pending Human Adjudication</t>
        </is>
      </c>
      <c r="S16" s="2" t="inlineStr">
        <is>
          <t>The Table S6 BA percentage does not reconcile with its displayed n=249 under ordinary rounding.</t>
        </is>
      </c>
      <c r="T16" s="2" t="b">
        <v>1</v>
      </c>
      <c r="U16" s="2" t="inlineStr">
        <is>
          <t>count_percentage</t>
        </is>
      </c>
      <c r="V16" s="2" t="inlineStr">
        <is>
          <t>statistical_results</t>
        </is>
      </c>
      <c r="W16" s="2" t="inlineStr">
        <is>
          <t>Table S6 BA 9 (3.9) conflicts with its displayed denominator 249</t>
        </is>
      </c>
      <c r="X16" s="2" t="inlineStr">
        <is>
          <t>2024</t>
        </is>
      </c>
      <c r="Y16" s="2" t="inlineStr">
        <is>
          <t>meta_report/consistency_reclassification_2026-09-04/reclassified_candidates.json</t>
        </is>
      </c>
      <c r="Z16" s="2" t="inlineStr">
        <is>
          <t>S_W</t>
        </is>
      </c>
      <c r="AA16" s="2" t="inlineStr">
        <is>
          <t>statistical_results</t>
        </is>
      </c>
      <c r="AB16" s="2" t="inlineStr">
        <is>
          <t>retain</t>
        </is>
      </c>
    </row>
    <row r="17" ht="95" customHeight="1">
      <c r="A17" s="3" t="b">
        <v>0</v>
      </c>
      <c r="B17" s="3" t="inlineStr">
        <is>
          <t>Main flow context is corroborative; no specific contradictory main result is the target.</t>
        </is>
      </c>
      <c r="C17" s="3" t="b">
        <v>0</v>
      </c>
      <c r="D17" s="3" t="inlineStr">
        <is>
          <t>Denominator, proportion, or total inconsistency</t>
        </is>
      </c>
      <c r="E17" s="3" t="b">
        <v>0</v>
      </c>
      <c r="F17" s="3" t="inlineStr">
        <is>
          <t>C005</t>
        </is>
      </c>
      <c r="G17" s="3" t="inlineStr">
        <is>
          <t>2024::jama.2024.12829::C005</t>
        </is>
      </c>
      <c r="H17" s="3" t="inlineStr"/>
      <c r="I17" s="3" t="inlineStr">
        <is>
          <t>DOC-002 Table S7, PDF p. 20; DOC-001 Figure 1, PDF p. 5; DOC-002 Table S10, PDF p. 23</t>
        </is>
      </c>
      <c r="J17" s="3" t="b">
        <v>0</v>
      </c>
      <c r="K17" s="3" t="inlineStr">
        <is>
          <t>jama.2024.12829</t>
        </is>
      </c>
      <c r="L17" s="3" t="inlineStr"/>
      <c r="M17" s="3" t="inlineStr">
        <is>
          <t>S_W</t>
        </is>
      </c>
      <c r="N17" s="3" t="inlineStr">
        <is>
          <t>Within results-supplement TableS7, headers233/238 total471 while site totals sum501 and cell percentages imply other denominators. Main Figure1 provides contextual population totals.</t>
        </is>
      </c>
      <c r="O17" s="3" t="inlineStr">
        <is>
          <t>../../2024/jama.2024.12829/.ai_paper_validation/final_report_1_5_3.html</t>
        </is>
      </c>
      <c r="P17" s="3" t="inlineStr">
        <is>
          <t>2024/jama.2024.12829/.ai_paper_validation/final_report_1_5_3.md</t>
        </is>
      </c>
      <c r="Q17" s="3" t="inlineStr">
        <is>
          <t>C005</t>
        </is>
      </c>
      <c r="R17" s="3" t="inlineStr">
        <is>
          <t>Pending Human Adjudication</t>
        </is>
      </c>
      <c r="S17" s="3" t="inlineStr">
        <is>
          <t>Table S7's group headers, site totals, and displayed site percentages do not all describe one disclosed population.</t>
        </is>
      </c>
      <c r="T17" s="3" t="b">
        <v>1</v>
      </c>
      <c r="U17" s="3" t="inlineStr">
        <is>
          <t>denominator_population</t>
        </is>
      </c>
      <c r="V17" s="3" t="inlineStr">
        <is>
          <t>statistical_results</t>
        </is>
      </c>
      <c r="W17" s="3" t="inlineStr">
        <is>
          <t>Table S7 group headers conflict with site totals and displayed site percentages</t>
        </is>
      </c>
      <c r="X17" s="3" t="inlineStr">
        <is>
          <t>2024</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is>
          <t>Per-protocol denotes an analysis set, not a protocol document; main population totals corroborate the internal supplement mismatch.</t>
        </is>
      </c>
      <c r="C18" s="2" t="b">
        <v>0</v>
      </c>
      <c r="D18" s="2" t="inlineStr">
        <is>
          <t>Denominator, proportion, or total inconsistency</t>
        </is>
      </c>
      <c r="E18" s="2" t="b">
        <v>0</v>
      </c>
      <c r="F18" s="2" t="inlineStr">
        <is>
          <t>C006</t>
        </is>
      </c>
      <c r="G18" s="2" t="inlineStr">
        <is>
          <t>2024::jama.2024.12829::C006</t>
        </is>
      </c>
      <c r="H18" s="2" t="inlineStr"/>
      <c r="I18" s="2" t="inlineStr">
        <is>
          <t>DOC-002 Table S8, PDF p. 21; DOC-001 Figure 1, PDF p. 5; DOC-002 Table S10, PDF p. 23</t>
        </is>
      </c>
      <c r="J18" s="2" t="b">
        <v>0</v>
      </c>
      <c r="K18" s="2" t="inlineStr">
        <is>
          <t>jama.2024.12829</t>
        </is>
      </c>
      <c r="L18" s="2" t="inlineStr"/>
      <c r="M18" s="2" t="inlineStr">
        <is>
          <t>S_W</t>
        </is>
      </c>
      <c r="N18" s="2" t="inlineStr">
        <is>
          <t>Results-supplement TableS8 is labelled PPS but headers249/252 conflict with its percentages and same-supplement TableS10 PPS totals233/238. Main Figure1 corroborates those PPS totals.</t>
        </is>
      </c>
      <c r="O18" s="2" t="inlineStr">
        <is>
          <t>../../2024/jama.2024.12829/.ai_paper_validation/final_report_1_5_3.html</t>
        </is>
      </c>
      <c r="P18" s="2" t="inlineStr">
        <is>
          <t>2024/jama.2024.12829/.ai_paper_validation/final_report_1_5_3.md</t>
        </is>
      </c>
      <c r="Q18" s="2" t="inlineStr">
        <is>
          <t>C006</t>
        </is>
      </c>
      <c r="R18" s="2" t="inlineStr">
        <is>
          <t>Pending Human Adjudication</t>
        </is>
      </c>
      <c r="S18" s="2" t="inlineStr">
        <is>
          <t>Table S8 is labelled PPS but its printed headers conflict with the denominators that reproduce its percentages.</t>
        </is>
      </c>
      <c r="T18" s="2" t="b">
        <v>1</v>
      </c>
      <c r="U18" s="2" t="inlineStr">
        <is>
          <t>denominator_population</t>
        </is>
      </c>
      <c r="V18" s="2" t="inlineStr">
        <is>
          <t>statistical_results</t>
        </is>
      </c>
      <c r="W18" s="2" t="inlineStr">
        <is>
          <t>Table S8 per-protocol percentages conflict with headers 249/252</t>
        </is>
      </c>
      <c r="X18" s="2" t="inlineStr">
        <is>
          <t>2024</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Separate from C014's cell percentage, which fails even under the ATS denominator.</t>
        </is>
      </c>
      <c r="C19" s="3" t="b">
        <v>0</v>
      </c>
      <c r="D19" s="3" t="inlineStr">
        <is>
          <t>Denominator, proportion, or total inconsistency</t>
        </is>
      </c>
      <c r="E19" s="3" t="b">
        <v>0</v>
      </c>
      <c r="F19" s="3" t="inlineStr">
        <is>
          <t>C007</t>
        </is>
      </c>
      <c r="G19" s="3" t="inlineStr">
        <is>
          <t>2024::jama.2024.12829::C007</t>
        </is>
      </c>
      <c r="H19" s="3" t="inlineStr"/>
      <c r="I19" s="3" t="inlineStr">
        <is>
          <t>DOC-002 Table S9, PDF p. 22; DOC-002 Table S10, PDF p. 23</t>
        </is>
      </c>
      <c r="J19" s="3" t="b">
        <v>0</v>
      </c>
      <c r="K19" s="3" t="inlineStr">
        <is>
          <t>jama.2024.12829</t>
        </is>
      </c>
      <c r="L19" s="3" t="inlineStr"/>
      <c r="M19" s="3" t="inlineStr">
        <is>
          <t>S_W</t>
        </is>
      </c>
      <c r="N19" s="3" t="inlineStr">
        <is>
          <t>ATS TableS9 headers249/252 conflict with percentages reproduced by same-supplement TableS10 ATS totals247/254.</t>
        </is>
      </c>
      <c r="O19" s="3" t="inlineStr">
        <is>
          <t>../../2024/jama.2024.12829/.ai_paper_validation/final_report_1_5_3.html</t>
        </is>
      </c>
      <c r="P19" s="3" t="inlineStr">
        <is>
          <t>2024/jama.2024.12829/.ai_paper_validation/final_report_1_5_3.md</t>
        </is>
      </c>
      <c r="Q19" s="3" t="inlineStr">
        <is>
          <t>C007</t>
        </is>
      </c>
      <c r="R19" s="3" t="inlineStr">
        <is>
          <t>Pending Human Adjudication</t>
        </is>
      </c>
      <c r="S19" s="3" t="inlineStr">
        <is>
          <t>Table S9 is labelled ATS but its printed headers conflict with the denominators that reproduce its primary percentages.</t>
        </is>
      </c>
      <c r="T19" s="3" t="b">
        <v>1</v>
      </c>
      <c r="U19" s="3" t="inlineStr">
        <is>
          <t>denominator_population</t>
        </is>
      </c>
      <c r="V19" s="3" t="inlineStr">
        <is>
          <t>statistical_results</t>
        </is>
      </c>
      <c r="W19" s="3" t="inlineStr">
        <is>
          <t>Table S9 as-treated percentages conflict with headers 249/252</t>
        </is>
      </c>
      <c r="X19" s="3" t="inlineStr">
        <is>
          <t>2024</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is>
          <t>Measurement time/reader identity is unresolved; mention of possible protocol deviations does not make this a protocol-document comparison.</t>
        </is>
      </c>
      <c r="C20" s="2" t="b">
        <v>0</v>
      </c>
      <c r="D20" s="2" t="inlineStr">
        <is>
          <t>Analysis-unit or population inconsistency</t>
        </is>
      </c>
      <c r="E20" s="2" t="b">
        <v>0</v>
      </c>
      <c r="F20" s="2" t="inlineStr">
        <is>
          <t>C008</t>
        </is>
      </c>
      <c r="G20" s="2" t="inlineStr">
        <is>
          <t>2024::jama.2024.12829::C008</t>
        </is>
      </c>
      <c r="H20" s="2" t="inlineStr"/>
      <c r="I20" s="2" t="inlineStr">
        <is>
          <t>DOC-001 eligibility, PDF p. 2; DOC-001 Figure 1, PDF p. 5; DOC-001 Table 1, PDF p. 6</t>
        </is>
      </c>
      <c r="J20" s="2" t="b">
        <v>0</v>
      </c>
      <c r="K20" s="2" t="inlineStr">
        <is>
          <t>jama.2024.12829</t>
        </is>
      </c>
      <c r="L20" s="2" t="inlineStr"/>
      <c r="M20" s="2" t="inlineStr">
        <is>
          <t>S_W</t>
        </is>
      </c>
      <c r="N20" s="2" t="inlineStr">
        <is>
          <t>Main eligibility text specifies70%-99% stenosis while its Table1 includes four participants in60%-69% or100% categories.</t>
        </is>
      </c>
      <c r="O20" s="2" t="inlineStr">
        <is>
          <t>../../2024/jama.2024.12829/.ai_paper_validation/final_report_1_5_3.html</t>
        </is>
      </c>
      <c r="P20" s="2" t="inlineStr">
        <is>
          <t>2024/jama.2024.12829/.ai_paper_validation/final_report_1_5_3.md</t>
        </is>
      </c>
      <c r="Q20" s="2" t="inlineStr">
        <is>
          <t>C008</t>
        </is>
      </c>
      <c r="R20" s="2" t="inlineStr">
        <is>
          <t>Pending Human Adjudication</t>
        </is>
      </c>
      <c r="S20" s="2" t="inlineStr">
        <is>
          <t>A cross-location threshold/category mismatch is present between the stated eligibility interval and four Table 1 baseline categories; measurement identity is unresolved.</t>
        </is>
      </c>
      <c r="T20" s="2" t="b">
        <v>1</v>
      </c>
      <c r="U20" s="2" t="inlineStr">
        <is>
          <t>eligibility_distribution</t>
        </is>
      </c>
      <c r="V20" s="2" t="inlineStr">
        <is>
          <t>statistical_results</t>
        </is>
      </c>
      <c r="W20" s="2" t="inlineStr">
        <is>
          <t>Baseline stenosis categories include values outside the stated 70%-99% eligibility range</t>
        </is>
      </c>
      <c r="X20" s="2" t="inlineStr">
        <is>
          <t>2024</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Mixed results-supplement versus plan and main-versus-supplement discrepancy; a tighter operational contact window is possible but undefined.</t>
        </is>
      </c>
      <c r="C21" s="3" t="b">
        <v>1</v>
      </c>
      <c r="D21" s="3" t="inlineStr">
        <is>
          <t>Measure, label, or scale inconsistency</t>
        </is>
      </c>
      <c r="E21" s="3" t="b">
        <v>1</v>
      </c>
      <c r="F21" s="3" t="inlineStr">
        <is>
          <t>C009</t>
        </is>
      </c>
      <c r="G21" s="3" t="inlineStr">
        <is>
          <t>2024::jama.2024.12829::C009</t>
        </is>
      </c>
      <c r="H21" s="3" t="inlineStr"/>
      <c r="I21" s="3" t="inlineStr">
        <is>
          <t>DOC-002 study-design graphic, PDF p. 6; DOC-001 schedule, PDF p. 3; DOC-003 schedule, PDF p. 15</t>
        </is>
      </c>
      <c r="J21" s="3" t="b">
        <v>0</v>
      </c>
      <c r="K21" s="3" t="inlineStr">
        <is>
          <t>jama.2024.12829</t>
        </is>
      </c>
      <c r="L21" s="3" t="inlineStr">
        <is>
          <t>endpoint_definition_window_hierarchy</t>
        </is>
      </c>
      <c r="M21" s="3" t="inlineStr">
        <is>
          <t>P_R</t>
        </is>
      </c>
      <c r="N21" s="3" t="inlineStr">
        <is>
          <t>Non-plan study-design graphic says30±3days, whereas main schedule and supplied protocol schedule say30±7days for the matched visit.</t>
        </is>
      </c>
      <c r="O21" s="3" t="inlineStr">
        <is>
          <t>../../2024/jama.2024.12829/.ai_paper_validation/final_report_1_5_3.html</t>
        </is>
      </c>
      <c r="P21" s="3" t="inlineStr">
        <is>
          <t>2024/jama.2024.12829/.ai_paper_validation/final_report_1_5_3.md</t>
        </is>
      </c>
      <c r="Q21" s="3" t="inlineStr">
        <is>
          <t>C009</t>
        </is>
      </c>
      <c r="R21" s="3" t="inlineStr">
        <is>
          <t>Pending Human Adjudication</t>
        </is>
      </c>
      <c r="S21" s="3" t="inlineStr">
        <is>
          <t>The matched 30-day follow-up is labelled ±3 days in one supplied location and ±7 days in two others.</t>
        </is>
      </c>
      <c r="T21" s="3" t="b">
        <v>1</v>
      </c>
      <c r="U21" s="3" t="inlineStr">
        <is>
          <t>visit_window</t>
        </is>
      </c>
      <c r="V21" s="3" t="inlineStr">
        <is>
          <t>protocol_report</t>
        </is>
      </c>
      <c r="W21" s="3" t="inlineStr">
        <is>
          <t>Thirty-day follow-up tolerance is plus or minus 3 days in the supplement but plus or minus 7 days elsewhere</t>
        </is>
      </c>
      <c r="X21" s="3" t="inlineStr">
        <is>
          <t>2024</t>
        </is>
      </c>
      <c r="Y21" s="3" t="inlineStr">
        <is>
          <t>meta_report/consistency_reclassification_2026-09-04/reclassified_candidates.json</t>
        </is>
      </c>
      <c r="Z21" s="3" t="inlineStr">
        <is>
          <t>P_R</t>
        </is>
      </c>
      <c r="AA21" s="3" t="inlineStr">
        <is>
          <t>protocol_report</t>
        </is>
      </c>
      <c r="AB21" s="3" t="inlineStr">
        <is>
          <t>retain</t>
        </is>
      </c>
    </row>
    <row r="22" ht="95" customHeight="1">
      <c r="A22" s="2" t="b">
        <v>0</v>
      </c>
      <c r="B22" s="2" t="inlineStr">
        <is>
          <t>Same-version discrepancy; possible stale synopsis or unmarked amendment, not report-versus-plan.</t>
        </is>
      </c>
      <c r="C22" s="2" t="b">
        <v>1</v>
      </c>
      <c r="D22" s="2" t="inlineStr">
        <is>
          <t>Measure, label, or scale inconsistency</t>
        </is>
      </c>
      <c r="E22" s="2" t="b">
        <v>0</v>
      </c>
      <c r="F22" s="2" t="inlineStr">
        <is>
          <t>C010</t>
        </is>
      </c>
      <c r="G22" s="2" t="inlineStr">
        <is>
          <t>2024::jama.2024.12829::C010</t>
        </is>
      </c>
      <c r="H22" s="2" t="inlineStr"/>
      <c r="I22" s="2" t="inlineStr">
        <is>
          <t>DOC-003 synopsis, PDF p. 7; DOC-003 body eligibility, PDF p. 21</t>
        </is>
      </c>
      <c r="J22" s="2" t="b">
        <v>0</v>
      </c>
      <c r="K22" s="2" t="inlineStr">
        <is>
          <t>jama.2024.12829</t>
        </is>
      </c>
      <c r="L22" s="2" t="inlineStr"/>
      <c r="M22" s="2" t="inlineStr">
        <is>
          <t>P_P</t>
        </is>
      </c>
      <c r="N22" s="2" t="inlineStr">
        <is>
          <t>Within ProtocolV2.0, synopsis says ischemic stroke21-90days and body criterion says14-90days.</t>
        </is>
      </c>
      <c r="O22" s="2" t="inlineStr">
        <is>
          <t>../../2024/jama.2024.12829/.ai_paper_validation/final_report_1_5_3.html</t>
        </is>
      </c>
      <c r="P22" s="2" t="inlineStr">
        <is>
          <t>2024/jama.2024.12829/.ai_paper_validation/final_report_1_5_3.md</t>
        </is>
      </c>
      <c r="Q22" s="2" t="inlineStr">
        <is>
          <t>C010</t>
        </is>
      </c>
      <c r="R22" s="2" t="inlineStr">
        <is>
          <t>Pending Human Adjudication</t>
        </is>
      </c>
      <c r="S22" s="2" t="inlineStr">
        <is>
          <t>Protocol V2.0 prints two different lower bounds for the matched ischemic-stroke eligibility criterion.</t>
        </is>
      </c>
      <c r="T22" s="2" t="b">
        <v>0</v>
      </c>
      <c r="U22" s="2" t="inlineStr">
        <is>
          <t>eligibility_window</t>
        </is>
      </c>
      <c r="V22" s="2" t="inlineStr">
        <is>
          <t>plan_material</t>
        </is>
      </c>
      <c r="W22" s="2" t="inlineStr">
        <is>
          <t>Protocol V2.0 gives 21-day and 14-day lower bounds for the same stroke criterion</t>
        </is>
      </c>
      <c r="X22" s="2" t="inlineStr">
        <is>
          <t>2024</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is>
          <t>Truncation could explain the display; evaluated denominator is not supplied.</t>
        </is>
      </c>
      <c r="C23" s="3" t="b">
        <v>0</v>
      </c>
      <c r="D23" s="3" t="inlineStr">
        <is>
          <t>Denominator, proportion, or total inconsistency</t>
        </is>
      </c>
      <c r="E23" s="3" t="b">
        <v>0</v>
      </c>
      <c r="F23" s="3" t="inlineStr">
        <is>
          <t>C011</t>
        </is>
      </c>
      <c r="G23" s="3" t="inlineStr">
        <is>
          <t>2024::jama.2024.12829::C011</t>
        </is>
      </c>
      <c r="H23" s="3" t="inlineStr"/>
      <c r="I23" s="3" t="inlineStr">
        <is>
          <t>DOC-002 Table S3, PDF p. 16</t>
        </is>
      </c>
      <c r="J23" s="3" t="b">
        <v>0</v>
      </c>
      <c r="K23" s="3" t="inlineStr">
        <is>
          <t>jama.2024.12829</t>
        </is>
      </c>
      <c r="L23" s="3" t="inlineStr"/>
      <c r="M23" s="3" t="inlineStr">
        <is>
          <t>S_W</t>
        </is>
      </c>
      <c r="N23" s="3" t="inlineStr">
        <is>
          <t>Results-supplement TableS3 gives234/249 as93.9% while ordinary nearest rounding gives94.0%.</t>
        </is>
      </c>
      <c r="O23" s="3" t="inlineStr">
        <is>
          <t>../../2024/jama.2024.12829/.ai_paper_validation/final_report_1_5_3.html</t>
        </is>
      </c>
      <c r="P23" s="3" t="inlineStr">
        <is>
          <t>2024/jama.2024.12829/.ai_paper_validation/final_report_1_5_3.md</t>
        </is>
      </c>
      <c r="Q23" s="3" t="inlineStr">
        <is>
          <t>C011</t>
        </is>
      </c>
      <c r="R23" s="3" t="inlineStr">
        <is>
          <t>Pending Human Adjudication</t>
        </is>
      </c>
      <c r="S23" s="3" t="inlineStr">
        <is>
          <t>The BA three-month aspirin percentage is inconsistent with the displayed arm denominator under ordinary nearest-one-decimal rounding.</t>
        </is>
      </c>
      <c r="T23" s="3" t="b">
        <v>1</v>
      </c>
      <c r="U23" s="3" t="inlineStr">
        <is>
          <t>rounding</t>
        </is>
      </c>
      <c r="V23" s="3" t="inlineStr">
        <is>
          <t>statistical_results</t>
        </is>
      </c>
      <c r="W23" s="3" t="inlineStr">
        <is>
          <t>BA 3-month aspirin percentage does not reconcile with count and displayed arm denominator</t>
        </is>
      </c>
      <c r="X23" s="3" t="inlineStr">
        <is>
          <t>2024</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repeated review-cycle convention is possible but unstated.</t>
        </is>
      </c>
      <c r="C24" s="2" t="b">
        <v>0</v>
      </c>
      <c r="D24" s="2" t="inlineStr">
        <is>
          <t>Measure, label, or scale inconsistency</t>
        </is>
      </c>
      <c r="E24" s="2" t="b">
        <v>0</v>
      </c>
      <c r="F24" s="2" t="inlineStr">
        <is>
          <t>C012</t>
        </is>
      </c>
      <c r="G24" s="2" t="inlineStr">
        <is>
          <t>2024::jama.2024.12829::C012</t>
        </is>
      </c>
      <c r="H24" s="2" t="inlineStr"/>
      <c r="I24" s="2" t="inlineStr">
        <is>
          <t>DOC-002 Figure S1, PDF p. 10</t>
        </is>
      </c>
      <c r="J24" s="2" t="b">
        <v>0</v>
      </c>
      <c r="K24" s="2" t="inlineStr">
        <is>
          <t>jama.2024.12829</t>
        </is>
      </c>
      <c r="L24" s="2" t="inlineStr"/>
      <c r="M24" s="2" t="inlineStr">
        <is>
          <t>S_W</t>
        </is>
      </c>
      <c r="N24" s="2" t="inlineStr">
        <is>
          <t>Non-plan FigureS1 repeats2nd meeting for three distinct dates within its own chronology.</t>
        </is>
      </c>
      <c r="O24" s="2" t="inlineStr">
        <is>
          <t>../../2024/jama.2024.12829/.ai_paper_validation/final_report_1_5_3.html</t>
        </is>
      </c>
      <c r="P24" s="2" t="inlineStr">
        <is>
          <t>2024/jama.2024.12829/.ai_paper_validation/final_report_1_5_3.md</t>
        </is>
      </c>
      <c r="Q24" s="2" t="inlineStr">
        <is>
          <t>C012</t>
        </is>
      </c>
      <c r="R24" s="2" t="inlineStr">
        <is>
          <t>Pending Human Adjudication</t>
        </is>
      </c>
      <c r="S24" s="2" t="inlineStr">
        <is>
          <t>Figure S1 repeats the ordinal 2nd meeting for three different dates within the displayed review process.</t>
        </is>
      </c>
      <c r="T24" s="2" t="b">
        <v>1</v>
      </c>
      <c r="U24" s="2" t="inlineStr">
        <is>
          <t>timeline_ordinal</t>
        </is>
      </c>
      <c r="V24" s="2" t="inlineStr">
        <is>
          <t>internal_nonstatistical</t>
        </is>
      </c>
      <c r="W24" s="2" t="inlineStr">
        <is>
          <t>Figure S1 repeats “2nd meeting” for three chronologically distinct meetings</t>
        </is>
      </c>
      <c r="X24" s="2" t="inlineStr">
        <is>
          <t>2024</t>
        </is>
      </c>
      <c r="Y24" s="2" t="inlineStr">
        <is>
          <t>meta_report/consistency_reclassification_2026-09-04/reclassified_candidates.json</t>
        </is>
      </c>
      <c r="Z24" s="2" t="inlineStr">
        <is>
          <t>S_W</t>
        </is>
      </c>
      <c r="AA24" s="2" t="inlineStr">
        <is>
          <t>internal_nonstatistical</t>
        </is>
      </c>
      <c r="AB24" s="2" t="inlineStr">
        <is>
          <t>retain</t>
        </is>
      </c>
    </row>
    <row r="25" ht="95" customHeight="1">
      <c r="A25" s="3" t="b">
        <v>0</v>
      </c>
      <c r="B25" s="3" t="inlineStr">
        <is>
          <t>The sentence may specify face-to-face subset9/11 rather than six successive visits; two versioned repetitions remain one retained candidate.</t>
        </is>
      </c>
      <c r="C25" s="3" t="b">
        <v>1</v>
      </c>
      <c r="D25" s="3" t="inlineStr">
        <is>
          <t>Measure, label, or scale inconsistency</t>
        </is>
      </c>
      <c r="E25" s="3" t="b">
        <v>0</v>
      </c>
      <c r="F25" s="3" t="inlineStr">
        <is>
          <t>C013</t>
        </is>
      </c>
      <c r="G25" s="3" t="inlineStr">
        <is>
          <t>2024::jama.2024.12829::C013</t>
        </is>
      </c>
      <c r="H25" s="3" t="inlineStr"/>
      <c r="I25" s="3" t="inlineStr">
        <is>
          <t>DOC-003 Protocol V2.0 paragraph, PDF p. 35; DOC-003 Protocol V2.3 paragraph, PDF p. 96; DOC-003 schedule, PDF p. 15</t>
        </is>
      </c>
      <c r="J25" s="3" t="b">
        <v>0</v>
      </c>
      <c r="K25" s="3" t="inlineStr">
        <is>
          <t>jama.2024.12829</t>
        </is>
      </c>
      <c r="L25" s="3" t="inlineStr"/>
      <c r="M25" s="3" t="inlineStr">
        <is>
          <t>P_P</t>
        </is>
      </c>
      <c r="N25" s="3" t="inlineStr">
        <is>
          <t>The same protocol bundle repeats visit9 and11 in a six-token sentence in bothV2.0 andV2.3, against its four-visit8-11 schedule.</t>
        </is>
      </c>
      <c r="O25" s="3" t="inlineStr">
        <is>
          <t>../../2024/jama.2024.12829/.ai_paper_validation/final_report_1_5_3.html</t>
        </is>
      </c>
      <c r="P25" s="3" t="inlineStr">
        <is>
          <t>2024/jama.2024.12829/.ai_paper_validation/final_report_1_5_3.md</t>
        </is>
      </c>
      <c r="Q25" s="3" t="inlineStr">
        <is>
          <t>C013</t>
        </is>
      </c>
      <c r="R25" s="3" t="inlineStr">
        <is>
          <t>Pending Human Adjudication</t>
        </is>
      </c>
      <c r="S25" s="3" t="inlineStr">
        <is>
          <t>The identical recurring-visit sentence is ambiguous between a four-visit sequence with a face-to-face subset and a six-token sequence because it repeats visits 9 and 11.</t>
        </is>
      </c>
      <c r="T25" s="3" t="b">
        <v>0</v>
      </c>
      <c r="U25" s="3" t="inlineStr">
        <is>
          <t>visit_sequence</t>
        </is>
      </c>
      <c r="V25" s="3" t="inlineStr">
        <is>
          <t>plan_material</t>
        </is>
      </c>
      <c r="W25" s="3" t="inlineStr">
        <is>
          <t>Recurring-visit sentence ambiguously repeats visit numbers 9 and 11</t>
        </is>
      </c>
      <c r="X25" s="3" t="inlineStr">
        <is>
          <t>2024</t>
        </is>
      </c>
      <c r="Y25" s="3" t="inlineStr">
        <is>
          <t>meta_report/consistency_reclassification_2026-09-04/reclassified_candidates.json</t>
        </is>
      </c>
      <c r="Z25" s="3" t="inlineStr">
        <is>
          <t>P_P</t>
        </is>
      </c>
      <c r="AA25" s="3" t="inlineStr">
        <is>
          <t>plan_material</t>
        </is>
      </c>
      <c r="AB25" s="3" t="inlineStr">
        <is>
          <t>retain</t>
        </is>
      </c>
    </row>
    <row r="26" ht="95" customHeight="1">
      <c r="A26" s="2" t="b">
        <v>0</v>
      </c>
      <c r="B26" s="2" t="inlineStr">
        <is>
          <t>Distinct from C007: changing the ATS header alone does not resolve this cell.</t>
        </is>
      </c>
      <c r="C26" s="2" t="b">
        <v>0</v>
      </c>
      <c r="D26" s="2" t="inlineStr">
        <is>
          <t>Numeric or arithmetic inconsistency</t>
        </is>
      </c>
      <c r="E26" s="2" t="b">
        <v>0</v>
      </c>
      <c r="F26" s="2" t="inlineStr">
        <is>
          <t>C014</t>
        </is>
      </c>
      <c r="G26" s="2" t="inlineStr">
        <is>
          <t>2024::jama.2024.12829::C014</t>
        </is>
      </c>
      <c r="H26" s="2" t="inlineStr"/>
      <c r="I26" s="2" t="inlineStr">
        <is>
          <t>DOC-002 Table S9, PDF p. 22; DOC-002 Table S10, PDF p. 23</t>
        </is>
      </c>
      <c r="J26" s="2" t="b">
        <v>0</v>
      </c>
      <c r="K26" s="2" t="inlineStr">
        <is>
          <t>jama.2024.12829</t>
        </is>
      </c>
      <c r="L26" s="2" t="inlineStr"/>
      <c r="M26" s="2" t="inlineStr">
        <is>
          <t>S_W</t>
        </is>
      </c>
      <c r="N26" s="2" t="inlineStr">
        <is>
          <t>Results-supplement TableS9 gives8(3.3), but both displayed249 and same-supplement ATS247 denominators produce3.2%.</t>
        </is>
      </c>
      <c r="O26" s="2" t="inlineStr">
        <is>
          <t>../../2024/jama.2024.12829/.ai_paper_validation/final_report_1_5_3.html</t>
        </is>
      </c>
      <c r="P26" s="2" t="inlineStr">
        <is>
          <t>2024/jama.2024.12829/.ai_paper_validation/final_report_1_5_3.md</t>
        </is>
      </c>
      <c r="Q26" s="2" t="inlineStr">
        <is>
          <t>C014</t>
        </is>
      </c>
      <c r="R26" s="2" t="inlineStr">
        <is>
          <t>Pending Human Adjudication</t>
        </is>
      </c>
      <c r="S26" s="2" t="inlineStr">
        <is>
          <t>The Table S9 BA 8 (3.3) cell does not round to 3.3% from either the displayed or supplied ATS denominator.</t>
        </is>
      </c>
      <c r="T26" s="2" t="b">
        <v>1</v>
      </c>
      <c r="U26" s="2" t="inlineStr">
        <is>
          <t>rounding</t>
        </is>
      </c>
      <c r="V26" s="2" t="inlineStr">
        <is>
          <t>statistical_results</t>
        </is>
      </c>
      <c r="W26" s="2" t="inlineStr">
        <is>
          <t>Table S9 BA 8 (3.3) does not round from either supplied ATS or displayed denominator</t>
        </is>
      </c>
      <c r="X26" s="2" t="inlineStr">
        <is>
          <t>2024</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Original cross-document category actually describes two locations in one article; dual reason coding remains possible.</t>
        </is>
      </c>
      <c r="C27" s="3" t="b">
        <v>0</v>
      </c>
      <c r="D27" s="3" t="inlineStr">
        <is>
          <t>Cross-document numeric inconsistency</t>
        </is>
      </c>
      <c r="E27" s="3" t="b">
        <v>0</v>
      </c>
      <c r="F27" s="3" t="inlineStr">
        <is>
          <t>C015</t>
        </is>
      </c>
      <c r="G27" s="3" t="inlineStr">
        <is>
          <t>2024::jama.2024.12829::C015</t>
        </is>
      </c>
      <c r="H27" s="3" t="inlineStr"/>
      <c r="I27" s="3" t="inlineStr">
        <is>
          <t>DOC-001 narrative, PDF p. 4; DOC-001 Figure 1, PDF p. 5</t>
        </is>
      </c>
      <c r="J27" s="3" t="b">
        <v>1</v>
      </c>
      <c r="K27" s="3" t="inlineStr">
        <is>
          <t>jama.2024.12829</t>
        </is>
      </c>
      <c r="L27" s="3" t="inlineStr"/>
      <c r="M27" s="3" t="inlineStr">
        <is>
          <t>S_W</t>
        </is>
      </c>
      <c r="N27" s="3" t="inlineStr">
        <is>
          <t>Main narrative attributes all11 exclusions to consent withdrawal; its Figure1 assigns10 to withdrawal and1 to erroneous randomization.</t>
        </is>
      </c>
      <c r="O27" s="3" t="inlineStr">
        <is>
          <t>../../2024/jama.2024.12829/.ai_paper_validation/final_report_1_5_3.html</t>
        </is>
      </c>
      <c r="P27" s="3" t="inlineStr">
        <is>
          <t>2024/jama.2024.12829/.ai_paper_validation/final_report_1_5_3.md</t>
        </is>
      </c>
      <c r="Q27" s="3" t="inlineStr">
        <is>
          <t>C015</t>
        </is>
      </c>
      <c r="R27" s="3" t="inlineStr">
        <is>
          <t>Pending Human Adjudication</t>
        </is>
      </c>
      <c r="S27" s="3" t="inlineStr">
        <is>
          <t>The narrative and Figure 1 reconcile to the same total removals but assign different reason categories to the 11 pre-analysis exclusions.</t>
        </is>
      </c>
      <c r="T27" s="3" t="b">
        <v>1</v>
      </c>
      <c r="U27" s="3" t="inlineStr">
        <is>
          <t>flow_reason_category</t>
        </is>
      </c>
      <c r="V27" s="3" t="inlineStr">
        <is>
          <t>internal_nonstatistical</t>
        </is>
      </c>
      <c r="W27" s="3" t="inlineStr">
        <is>
          <t>Narrative assigns all 11 pre-analysis exclusions to consent withdrawal while Figure 1 assigns only 10</t>
        </is>
      </c>
      <c r="X27" s="3" t="inlineStr">
        <is>
          <t>2024</t>
        </is>
      </c>
      <c r="Y27" s="3" t="inlineStr">
        <is>
          <t>meta_report/consistency_reclassification_2026-09-04/reclassified_candidates.json</t>
        </is>
      </c>
      <c r="Z27" s="3" t="inlineStr">
        <is>
          <t>S_W</t>
        </is>
      </c>
      <c r="AA27" s="3" t="inlineStr">
        <is>
          <t>internal_nonstatistical</t>
        </is>
      </c>
      <c r="AB27" s="3" t="inlineStr">
        <is>
          <t>retain</t>
        </is>
      </c>
    </row>
    <row r="28" ht="95" customHeight="1">
      <c r="A28" s="2" t="b">
        <v>0</v>
      </c>
      <c r="B28" s="2" t="inlineStr">
        <is>
          <t>Different from C004's arithmetic defect; unknown endpoint/population mapping could explain the count difference.</t>
        </is>
      </c>
      <c r="C28" s="2" t="b">
        <v>0</v>
      </c>
      <c r="D28" s="2" t="inlineStr">
        <is>
          <t>Cross-document numeric inconsistency</t>
        </is>
      </c>
      <c r="E28" s="2" t="b">
        <v>1</v>
      </c>
      <c r="F28" s="2" t="inlineStr">
        <is>
          <t>C016</t>
        </is>
      </c>
      <c r="G28" s="2" t="inlineStr">
        <is>
          <t>2024::jama.2024.12829::C016</t>
        </is>
      </c>
      <c r="H28" s="2" t="inlineStr"/>
      <c r="I28" s="2" t="inlineStr">
        <is>
          <t>DOC-001 primary narrative, PDF p. 5; DOC-001 Table 2, PDF p. 8; DOC-002 Table S6, PDF p. 19</t>
        </is>
      </c>
      <c r="J28" s="2" t="b">
        <v>1</v>
      </c>
      <c r="K28" s="2" t="inlineStr">
        <is>
          <t>jama.2024.12829</t>
        </is>
      </c>
      <c r="L28" s="2" t="inlineStr"/>
      <c r="M28" s="2" t="inlineStr">
        <is>
          <t>S_C</t>
        </is>
      </c>
      <c r="N28" s="2" t="inlineStr">
        <is>
          <t>Main primary endpoint narrative/Table2 giveBA11 events, whereas matched non-plan TableS6 prints9 under the same249 header and endpoint wording.</t>
        </is>
      </c>
      <c r="O28" s="2" t="inlineStr">
        <is>
          <t>../../2024/jama.2024.12829/.ai_paper_validation/final_report_1_5_3.html</t>
        </is>
      </c>
      <c r="P28" s="2" t="inlineStr">
        <is>
          <t>2024/jama.2024.12829/.ai_paper_validation/final_report_1_5_3.md</t>
        </is>
      </c>
      <c r="Q28" s="2" t="inlineStr">
        <is>
          <t>C016</t>
        </is>
      </c>
      <c r="R28" s="2" t="inlineStr">
        <is>
          <t>Pending Human Adjudication</t>
        </is>
      </c>
      <c r="S28" s="2" t="inlineStr">
        <is>
          <t>Table S6 prints a BA count of 9 for a matched primary endpoint and n=249 header where the main narrative and Table 2 print 11; this is distinct from C004.</t>
        </is>
      </c>
      <c r="T28" s="2" t="b">
        <v>1</v>
      </c>
      <c r="U28" s="2" t="inlineStr">
        <is>
          <t>event_count_repeat</t>
        </is>
      </c>
      <c r="V28" s="2" t="inlineStr">
        <is>
          <t>internal_nonstatistical</t>
        </is>
      </c>
      <c r="W28" s="2" t="inlineStr">
        <is>
          <t>Table S6 BA event count 9 conflicts with the matched primary-analysis count 11</t>
        </is>
      </c>
      <c r="X28" s="2" t="inlineStr">
        <is>
          <t>2024</t>
        </is>
      </c>
      <c r="Y28" s="2" t="inlineStr">
        <is>
          <t>meta_report/consistency_reclassification_2026-09-04/reclassified_candidates.json</t>
        </is>
      </c>
      <c r="Z28" s="2" t="inlineStr">
        <is>
          <t>S_C</t>
        </is>
      </c>
      <c r="AA28" s="2" t="inlineStr">
        <is>
          <t>internal_nonstatistical</t>
        </is>
      </c>
      <c r="AB28" s="2" t="inlineStr">
        <is>
          <t>retain</t>
        </is>
      </c>
    </row>
    <row r="29" ht="95" customHeight="1">
      <c r="A29" s="3" t="b">
        <v>0</v>
      </c>
      <c r="B29" s="3" t="inlineStr">
        <is>
          <t>The interval construction or a mismatched estimand is not supplied.</t>
        </is>
      </c>
      <c r="C29" s="3" t="b">
        <v>0</v>
      </c>
      <c r="D29" s="3" t="inlineStr">
        <is>
          <t>Statistical reporting inconsistency</t>
        </is>
      </c>
      <c r="E29" s="3" t="b">
        <v>0</v>
      </c>
      <c r="F29" s="3" t="inlineStr">
        <is>
          <t>C017</t>
        </is>
      </c>
      <c r="G29" s="3" t="inlineStr">
        <is>
          <t>2024::jama.2024.12829::C017</t>
        </is>
      </c>
      <c r="H29" s="3" t="inlineStr"/>
      <c r="I29" s="3" t="inlineStr">
        <is>
          <t>DOC-001 Table 2, PDF p. 8</t>
        </is>
      </c>
      <c r="J29" s="3" t="b">
        <v>0</v>
      </c>
      <c r="K29" s="3" t="inlineStr">
        <is>
          <t>jama.2024.12829</t>
        </is>
      </c>
      <c r="L29" s="3" t="inlineStr"/>
      <c r="M29" s="3" t="inlineStr">
        <is>
          <t>S_W</t>
        </is>
      </c>
      <c r="N29" s="3" t="inlineStr">
        <is>
          <t>Main Table2 incidence difference-0.4 lies outside its printed95%CI[-2.4,-1.7].</t>
        </is>
      </c>
      <c r="O29" s="3" t="inlineStr">
        <is>
          <t>../../2024/jama.2024.12829/.ai_paper_validation/final_report_1_5_3.html</t>
        </is>
      </c>
      <c r="P29" s="3" t="inlineStr">
        <is>
          <t>2024/jama.2024.12829/.ai_paper_validation/final_report_1_5_3.md</t>
        </is>
      </c>
      <c r="Q29" s="3" t="inlineStr">
        <is>
          <t>C017</t>
        </is>
      </c>
      <c r="R29" s="3" t="inlineStr">
        <is>
          <t>Pending Human Adjudication</t>
        </is>
      </c>
      <c r="S29" s="3" t="inlineStr">
        <is>
          <t>The printed one-year incidence-difference point estimate is not contained in its paired printed confidence interval.</t>
        </is>
      </c>
      <c r="T29" s="3" t="b">
        <v>1</v>
      </c>
      <c r="U29" s="3" t="inlineStr">
        <is>
          <t>point_interval_containment</t>
        </is>
      </c>
      <c r="V29" s="3" t="inlineStr">
        <is>
          <t>statistical_results</t>
        </is>
      </c>
      <c r="W29" s="3" t="inlineStr">
        <is>
          <t>One-year incidence-difference point estimate lies outside its confidence interval</t>
        </is>
      </c>
      <c r="X29" s="3" t="inlineStr">
        <is>
          <t>2024</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is>
          <t>NOT REPRODUCED: prior71-versus58 sum double-counted the13 parent; stable ID retained only for production-layout confirmation.</t>
        </is>
      </c>
      <c r="C30" s="2" t="b">
        <v>0</v>
      </c>
      <c r="D30" s="2" t="inlineStr">
        <is>
          <t>Numeric or arithmetic inconsistency</t>
        </is>
      </c>
      <c r="E30" s="2" t="b">
        <v>0</v>
      </c>
      <c r="F30" s="2" t="inlineStr">
        <is>
          <t>C001</t>
        </is>
      </c>
      <c r="G30" s="2" t="inlineStr">
        <is>
          <t>2024::jama.2024.19585::C001</t>
        </is>
      </c>
      <c r="H30" s="2" t="inlineStr"/>
      <c r="I30" s="2" t="inlineStr">
        <is>
          <t>jama_dupuis_2024_oi_240111_1733431204.38761.pdf — Figure 1, PDF p. 5, usual-care branch.</t>
        </is>
      </c>
      <c r="J30" s="2" t="b">
        <v>0</v>
      </c>
      <c r="K30" s="2" t="inlineStr">
        <is>
          <t>jama.2024.19585</t>
        </is>
      </c>
      <c r="L30" s="2" t="inlineStr"/>
      <c r="M30" s="2" t="inlineStr">
        <is>
          <t>S_W</t>
        </is>
      </c>
      <c r="N30" s="2" t="inlineStr">
        <is>
          <t>The retained candidate concerns nested counts within main Figure1; recheck explicitly finds7+4+2=13 and top-level sum58, reconciling the displayed total.</t>
        </is>
      </c>
      <c r="O30" s="2" t="inlineStr">
        <is>
          <t>../../2024/jama.2024.19585/.ai_paper_validation/final_report_1_5_3.html</t>
        </is>
      </c>
      <c r="P30" s="2" t="inlineStr">
        <is>
          <t>2024/jama.2024.19585/.ai_paper_validation/final_report_1_5_3.md</t>
        </is>
      </c>
      <c r="Q30" s="2" t="inlineStr">
        <is>
          <t>C001</t>
        </is>
      </c>
      <c r="R30" s="2" t="inlineStr">
        <is>
          <t>Pending Human Adjudication</t>
        </is>
      </c>
      <c r="S30" s="2" t="inlineStr">
        <is>
          <t>Stable C001 is retained for human confirmation of Figure 1's visual parent-child hierarchy. The direct source supports reconciliation, not a 71-versus-58 mismatch: the nested reasons sum to their parent and the top-level reasons sum to 58.</t>
        </is>
      </c>
      <c r="T30" s="2" t="b">
        <v>1</v>
      </c>
      <c r="U30" s="2" t="inlineStr">
        <is>
          <t>flow_hierarchy</t>
        </is>
      </c>
      <c r="V30" s="2" t="inlineStr">
        <is>
          <t>statistical_results</t>
        </is>
      </c>
      <c r="W30" s="2" t="inlineStr">
        <is>
          <t>Usual-care exclusion hierarchy requires source-layout confirmation</t>
        </is>
      </c>
      <c r="X30" s="2" t="inlineStr">
        <is>
          <t>2024</t>
        </is>
      </c>
      <c r="Y30" s="2" t="inlineStr">
        <is>
          <t>meta_report/consistency_reclassification_2026-09-04/reclassified_candidates.json</t>
        </is>
      </c>
      <c r="Z30" s="2" t="inlineStr">
        <is>
          <t>S_W</t>
        </is>
      </c>
      <c r="AA30" s="2" t="inlineStr">
        <is>
          <t>statistical_results</t>
        </is>
      </c>
      <c r="AB30" s="2" t="inlineStr">
        <is>
          <t>exclude</t>
        </is>
      </c>
    </row>
    <row r="31" ht="95" customHeight="1">
      <c r="A31" s="3" t="b">
        <v>0</v>
      </c>
      <c r="B31" s="3" t="inlineStr">
        <is>
          <t>A different unreported rejection population/definition remains possible.</t>
        </is>
      </c>
      <c r="C31" s="3" t="b">
        <v>0</v>
      </c>
      <c r="D31" s="3" t="inlineStr">
        <is>
          <t>Cross-document numeric inconsistency</t>
        </is>
      </c>
      <c r="E31" s="3" t="b">
        <v>1</v>
      </c>
      <c r="F31" s="3" t="inlineStr">
        <is>
          <t>C002</t>
        </is>
      </c>
      <c r="G31" s="3" t="inlineStr">
        <is>
          <t>2024::jama.2024.19585::C002</t>
        </is>
      </c>
      <c r="H31" s="3" t="inlineStr"/>
      <c r="I31" s="3" t="inlineStr">
        <is>
          <t>jama_dupuis_2024_oi_240111_1733431204.38761.pdf — narrative, PDF p. 2 and joi240111supp2_prod_1733431204.76024.pdf — eTable 3, PDF p. 6.</t>
        </is>
      </c>
      <c r="J31" s="3" t="b">
        <v>1</v>
      </c>
      <c r="K31" s="3" t="inlineStr">
        <is>
          <t>jama.2024.19585</t>
        </is>
      </c>
      <c r="L31" s="3" t="inlineStr"/>
      <c r="M31" s="3" t="inlineStr">
        <is>
          <t>S_C</t>
        </is>
      </c>
      <c r="N31" s="3" t="inlineStr">
        <is>
          <t>Main rejected-statement percentage6.4% conflicts with142/1350=10.5% from the supplied non-plan eTable3 site counts.</t>
        </is>
      </c>
      <c r="O31" s="3" t="inlineStr">
        <is>
          <t>../../2024/jama.2024.19585/.ai_paper_validation/final_report_1_5_3.html</t>
        </is>
      </c>
      <c r="P31" s="3" t="inlineStr">
        <is>
          <t>2024/jama.2024.19585/.ai_paper_validation/final_report_1_5_3.md</t>
        </is>
      </c>
      <c r="Q31" s="3" t="inlineStr">
        <is>
          <t>C002</t>
        </is>
      </c>
      <c r="R31" s="3" t="inlineStr">
        <is>
          <t>Pending Human Adjudication</t>
        </is>
      </c>
      <c r="S31" s="3" t="inlineStr">
        <is>
          <t>The main text reports 6.4% rejected across intervention sites, whereas the displayed eTable 3 reject counts and equal denominators imply 142/1,350 = 10.5%.</t>
        </is>
      </c>
      <c r="T31" s="3" t="b">
        <v>1</v>
      </c>
      <c r="U31" s="3" t="inlineStr">
        <is>
          <t>aggregate_percentage</t>
        </is>
      </c>
      <c r="V31" s="3" t="inlineStr">
        <is>
          <t>internal_nonstatistical</t>
        </is>
      </c>
      <c r="W31" s="3" t="inlineStr">
        <is>
          <t>Main-text rejected-statement percentage conflicts with the supplement counts</t>
        </is>
      </c>
      <c r="X31" s="3" t="inlineStr">
        <is>
          <t>2024</t>
        </is>
      </c>
      <c r="Y31" s="3" t="inlineStr">
        <is>
          <t>meta_report/consistency_reclassification_2026-09-04/reclassified_candidates.json</t>
        </is>
      </c>
      <c r="Z31" s="3" t="inlineStr">
        <is>
          <t>S_C</t>
        </is>
      </c>
      <c r="AA31" s="3" t="inlineStr">
        <is>
          <t>internal_nonstatistical</t>
        </is>
      </c>
      <c r="AB31" s="3" t="inlineStr">
        <is>
          <t>retain</t>
        </is>
      </c>
    </row>
    <row r="32" ht="95" customHeight="1">
      <c r="A32" s="2" t="b">
        <v>0</v>
      </c>
      <c r="B32" s="2" t="inlineStr">
        <is>
          <t>Difference might be an undefined generic heading; numerical odds-ratio error is not established.</t>
        </is>
      </c>
      <c r="C32" s="2" t="b">
        <v>0</v>
      </c>
      <c r="D32" s="2" t="inlineStr">
        <is>
          <t>Measure, label, or scale inconsistency</t>
        </is>
      </c>
      <c r="E32" s="2" t="b">
        <v>0</v>
      </c>
      <c r="F32" s="2" t="inlineStr">
        <is>
          <t>C003</t>
        </is>
      </c>
      <c r="G32" s="2" t="inlineStr">
        <is>
          <t>2024::jama.2024.19585::C003</t>
        </is>
      </c>
      <c r="H32" s="2" t="inlineStr"/>
      <c r="I3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2" t="b">
        <v>0</v>
      </c>
      <c r="K32" s="2" t="inlineStr">
        <is>
          <t>jama.2024.19585</t>
        </is>
      </c>
      <c r="L32" s="2" t="inlineStr"/>
      <c r="M32" s="2" t="inlineStr">
        <is>
          <t>S_W</t>
        </is>
      </c>
      <c r="N32" s="2" t="inlineStr">
        <is>
          <t>Within one results supplement, eTable10 labels modeled effects Difference while eMethods expressly defines the relevant analyses as logistic odds ratios.</t>
        </is>
      </c>
      <c r="O32" s="2" t="inlineStr">
        <is>
          <t>../../2024/jama.2024.19585/.ai_paper_validation/final_report_1_5_3.html</t>
        </is>
      </c>
      <c r="P32" s="2" t="inlineStr">
        <is>
          <t>2024/jama.2024.19585/.ai_paper_validation/final_report_1_5_3.md</t>
        </is>
      </c>
      <c r="Q32" s="2" t="inlineStr">
        <is>
          <t>C003</t>
        </is>
      </c>
      <c r="R32" s="2" t="inlineStr">
        <is>
          <t>Pending Human Adjudication</t>
        </is>
      </c>
      <c r="S32" s="2" t="inlineStr">
        <is>
          <t>eTable 10 labels its modeled-effect columns Difference (95% CI), while eMethods states that the documentation, any-intervention, and symptom-specific-intervention analyses estimate odds ratios using logistic regression.</t>
        </is>
      </c>
      <c r="T32" s="2" t="b">
        <v>1</v>
      </c>
      <c r="U32" s="2" t="inlineStr">
        <is>
          <t>effect_measure_label</t>
        </is>
      </c>
      <c r="V32" s="2" t="inlineStr">
        <is>
          <t>internal_nonstatistical</t>
        </is>
      </c>
      <c r="W32" s="2" t="inlineStr">
        <is>
          <t>eTable 10 labels logistic-regression odds ratios as differences</t>
        </is>
      </c>
      <c r="X32" s="2" t="inlineStr">
        <is>
          <t>2024</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is>
          <t>Mixed relations; identical44/159 and27/149 counts do not establish which threshold was implemented.</t>
        </is>
      </c>
      <c r="C33" s="3" t="b">
        <v>1</v>
      </c>
      <c r="D33" s="3" t="inlineStr">
        <is>
          <t>Measure, label, or scale inconsistency</t>
        </is>
      </c>
      <c r="E33" s="3" t="b">
        <v>1</v>
      </c>
      <c r="F33" s="3" t="inlineStr">
        <is>
          <t>C001</t>
        </is>
      </c>
      <c r="G33" s="3" t="inlineStr">
        <is>
          <t>2024::jama.2024.2302::C001</t>
        </is>
      </c>
      <c r="H33" s="3" t="inlineStr"/>
      <c r="I33" s="3" t="inlineStr">
        <is>
          <t>main article — PDF p. 6, Table 2; results supplement — PDF p. 5, eTable 2; protocol — PDF p. 2; SAP — PDF p. 4.</t>
        </is>
      </c>
      <c r="J33" s="3" t="b">
        <v>0</v>
      </c>
      <c r="K33" s="3" t="inlineStr">
        <is>
          <t>jama.2024.2302</t>
        </is>
      </c>
      <c r="L33" s="3" t="inlineStr">
        <is>
          <t>endpoint_definition_window_hierarchy</t>
        </is>
      </c>
      <c r="M33" s="3" t="inlineStr">
        <is>
          <t>P_R</t>
        </is>
      </c>
      <c r="N33" s="3" t="inlineStr">
        <is>
          <t>Main Table2 and SAP define&gt;=1 SAE, while matched results eTable2 and protocol use&gt;1. This explicitly spans report-plan, protocol-SAP, and main-results-supplement definitions.</t>
        </is>
      </c>
      <c r="O33" s="3" t="inlineStr">
        <is>
          <t>../../2024/jama.2024.2302/.ai_paper_validation/final_report_1_5_3.html</t>
        </is>
      </c>
      <c r="P33" s="3" t="inlineStr">
        <is>
          <t>2024/jama.2024.2302/.ai_paper_validation/final_report_1_5_3.md</t>
        </is>
      </c>
      <c r="Q33" s="3" t="inlineStr">
        <is>
          <t>C001</t>
        </is>
      </c>
      <c r="R33" s="3" t="inlineStr">
        <is>
          <t>Pending Human Adjudication</t>
        </is>
      </c>
      <c r="S33" s="3" t="inlineStr">
        <is>
          <t>Matched primary SAE results are labeled ≥1/“any” in the main article and SAP but &gt;1 in the protocol and eTable.</t>
        </is>
      </c>
      <c r="T33" s="3" t="b">
        <v>1</v>
      </c>
      <c r="U33" s="3" t="inlineStr">
        <is>
          <t>endpoint_threshold</t>
        </is>
      </c>
      <c r="V33" s="3" t="inlineStr">
        <is>
          <t>protocol_report</t>
        </is>
      </c>
      <c r="W33" s="3" t="inlineStr">
        <is>
          <t>Primary SAE endpoint threshold label</t>
        </is>
      </c>
      <c r="X33" s="3" t="inlineStr">
        <is>
          <t>2024</t>
        </is>
      </c>
      <c r="Y33" s="3" t="inlineStr">
        <is>
          <t>meta_report/consistency_reclassification_2026-09-04/reclassified_candidates.json</t>
        </is>
      </c>
      <c r="Z33" s="3" t="inlineStr">
        <is>
          <t>P_R</t>
        </is>
      </c>
      <c r="AA33" s="3" t="inlineStr">
        <is>
          <t>protocol_report</t>
        </is>
      </c>
      <c r="AB33" s="3" t="inlineStr">
        <is>
          <t>retain</t>
        </is>
      </c>
    </row>
    <row r="34" ht="95" customHeight="1">
      <c r="A34" s="2" t="b">
        <v>0</v>
      </c>
      <c r="B34" s="2" t="inlineStr">
        <is>
          <t>SAP explicitly calls18/15 incorrect and identifies8/5 as intended. This is disclosed plan correction, not observed-result disagreement or an undisclosed deviation.</t>
        </is>
      </c>
      <c r="C34" s="2" t="b">
        <v>1</v>
      </c>
      <c r="D34" s="2" t="inlineStr">
        <is>
          <t>Cross-document numeric inconsistency</t>
        </is>
      </c>
      <c r="E34" s="2" t="b">
        <v>0</v>
      </c>
      <c r="F34" s="2" t="inlineStr">
        <is>
          <t>C002</t>
        </is>
      </c>
      <c r="G34" s="2" t="inlineStr">
        <is>
          <t>2024::jama.2024.2302::C002</t>
        </is>
      </c>
      <c r="H34" s="2" t="inlineStr"/>
      <c r="I34" s="2" t="inlineStr">
        <is>
          <t>protocol — PDF p. 3; protocol — PDF p. 12; SAP — PDF p. 3.</t>
        </is>
      </c>
      <c r="J34" s="2" t="b">
        <v>1</v>
      </c>
      <c r="K34" s="2" t="inlineStr">
        <is>
          <t>jama.2024.2302</t>
        </is>
      </c>
      <c r="L34" s="2" t="inlineStr"/>
      <c r="M34" s="2" t="inlineStr">
        <is>
          <t>P_P</t>
        </is>
      </c>
      <c r="N34" s="2" t="inlineStr">
        <is>
          <t>Protocol planning medians18/15 conflict with its own8/5 medians and the SAP's8/5; all compared numbers are planning assumptions.</t>
        </is>
      </c>
      <c r="O34" s="2" t="inlineStr">
        <is>
          <t>../../2024/jama.2024.2302/.ai_paper_validation/final_report_1_5_3.html</t>
        </is>
      </c>
      <c r="P34" s="2" t="inlineStr">
        <is>
          <t>2024/jama.2024.2302/.ai_paper_validation/final_report_1_5_3.md</t>
        </is>
      </c>
      <c r="Q34" s="2" t="inlineStr">
        <is>
          <t>C002</t>
        </is>
      </c>
      <c r="R34" s="2" t="inlineStr">
        <is>
          <t>Pending Human Adjudication</t>
        </is>
      </c>
      <c r="S34" s="2" t="inlineStr">
        <is>
          <t>Protocol/SAP locations print incompatible arm-specific planned median hospital-day values.</t>
        </is>
      </c>
      <c r="T34" s="2" t="b">
        <v>0</v>
      </c>
      <c r="U34" s="2" t="inlineStr">
        <is>
          <t>planning_medians</t>
        </is>
      </c>
      <c r="V34" s="2" t="inlineStr">
        <is>
          <t>plan_material</t>
        </is>
      </c>
      <c r="W34" s="2" t="inlineStr">
        <is>
          <t>Planned hospital-day medians</t>
        </is>
      </c>
      <c r="X34" s="2" t="inlineStr">
        <is>
          <t>2024</t>
        </is>
      </c>
      <c r="Y34" s="2" t="inlineStr">
        <is>
          <t>meta_report/consistency_reclassification_2026-09-04/reclassified_candidates.json</t>
        </is>
      </c>
      <c r="Z34" s="2" t="inlineStr">
        <is>
          <t>P_P</t>
        </is>
      </c>
      <c r="AA34" s="2" t="inlineStr">
        <is>
          <t>plan_material</t>
        </is>
      </c>
      <c r="AB34" s="2" t="inlineStr">
        <is>
          <t>retain</t>
        </is>
      </c>
    </row>
    <row r="35" ht="95" customHeight="1">
      <c r="A35" s="3" t="b">
        <v>0</v>
      </c>
      <c r="B35" s="3" t="inlineStr">
        <is>
          <t>Final outcome-specific code/amendment is missing; SAP's approximate log-scale quantiles are contextual, not a separate coded plan-internal candidate.</t>
        </is>
      </c>
      <c r="C35" s="3" t="b">
        <v>1</v>
      </c>
      <c r="D35" s="3" t="inlineStr">
        <is>
          <t>Statistical reporting inconsistency</t>
        </is>
      </c>
      <c r="E35" s="3" t="b">
        <v>1</v>
      </c>
      <c r="F35" s="3" t="inlineStr">
        <is>
          <t>C003</t>
        </is>
      </c>
      <c r="G35" s="3" t="inlineStr">
        <is>
          <t>2024::jama.2024.2302::C003</t>
        </is>
      </c>
      <c r="H35" s="3" t="inlineStr"/>
      <c r="I35" s="3" t="inlineStr">
        <is>
          <t>main article — PDF p. 4; SAP — PDF p. 8.</t>
        </is>
      </c>
      <c r="J35" s="3" t="b">
        <v>0</v>
      </c>
      <c r="K35" s="3" t="inlineStr">
        <is>
          <t>jama.2024.2302</t>
        </is>
      </c>
      <c r="L35" s="3" t="inlineStr">
        <is>
          <t>analysis_specification</t>
        </is>
      </c>
      <c r="M35" s="3" t="inlineStr">
        <is>
          <t>P_R</t>
        </is>
      </c>
      <c r="N35" s="3" t="inlineStr">
        <is>
          <t>Main common categorical/count intervention prior range0.33-3.0 differs from SAP categorical0.2-4 and count0.33-3.3 descriptions.</t>
        </is>
      </c>
      <c r="O35" s="3" t="inlineStr">
        <is>
          <t>../../2024/jama.2024.2302/.ai_paper_validation/final_report_1_5_3.html</t>
        </is>
      </c>
      <c r="P35" s="3" t="inlineStr">
        <is>
          <t>2024/jama.2024.2302/.ai_paper_validation/final_report_1_5_3.md</t>
        </is>
      </c>
      <c r="Q35" s="3" t="inlineStr">
        <is>
          <t>C003</t>
        </is>
      </c>
      <c r="R35" s="3" t="inlineStr">
        <is>
          <t>Pending Human Adjudication</t>
        </is>
      </c>
      <c r="S35" s="3" t="inlineStr">
        <is>
          <t>The article’s common intervention-prior range differs from the SAP’s class-specific prior descriptions.</t>
        </is>
      </c>
      <c r="T35" s="3" t="b">
        <v>0</v>
      </c>
      <c r="U35" s="3" t="inlineStr">
        <is>
          <t>prior_specification</t>
        </is>
      </c>
      <c r="V35" s="3" t="inlineStr">
        <is>
          <t>protocol_report</t>
        </is>
      </c>
      <c r="W35" s="3" t="inlineStr">
        <is>
          <t>Bayesian intervention priors</t>
        </is>
      </c>
      <c r="X35" s="3" t="inlineStr">
        <is>
          <t>2024</t>
        </is>
      </c>
      <c r="Y35" s="3" t="inlineStr">
        <is>
          <t>meta_report/consistency_reclassification_2026-09-04/reclassified_candidates.json</t>
        </is>
      </c>
      <c r="Z35" s="3" t="inlineStr">
        <is>
          <t>P_R</t>
        </is>
      </c>
      <c r="AA35" s="3" t="inlineStr">
        <is>
          <t>protocol_report</t>
        </is>
      </c>
      <c r="AB35" s="3" t="inlineStr">
        <is>
          <t>retain</t>
        </is>
      </c>
    </row>
    <row r="36" ht="95" customHeight="1">
      <c r="A36" s="2" t="b">
        <v>0</v>
      </c>
      <c r="B36" s="2" t="inlineStr">
        <is>
          <t>Mixed report-plan and internal-SAP boundary wording; covariate context supports possible shorthand but final coding is unknown.</t>
        </is>
      </c>
      <c r="C36" s="2" t="b">
        <v>1</v>
      </c>
      <c r="D36" s="2" t="inlineStr">
        <is>
          <t>Measure, label, or scale inconsistency</t>
        </is>
      </c>
      <c r="E36" s="2" t="b">
        <v>1</v>
      </c>
      <c r="F36" s="2" t="inlineStr">
        <is>
          <t>C004</t>
        </is>
      </c>
      <c r="G36" s="2" t="inlineStr">
        <is>
          <t>2024::jama.2024.2302::C004</t>
        </is>
      </c>
      <c r="H36" s="2" t="inlineStr"/>
      <c r="I36" s="2" t="inlineStr">
        <is>
          <t>main article — PDF p. 8, Figure 3; SAP — PDF p. 3; SAP — PDF p. 8; SAP — PDF p. 9.</t>
        </is>
      </c>
      <c r="J36" s="2" t="b">
        <v>0</v>
      </c>
      <c r="K36" s="2" t="inlineStr">
        <is>
          <t>jama.2024.2302</t>
        </is>
      </c>
      <c r="L36" s="2" t="inlineStr">
        <is>
          <t>analysis_specification</t>
        </is>
      </c>
      <c r="M36" s="2" t="inlineStr">
        <is>
          <t>P_R</t>
        </is>
      </c>
      <c r="N36" s="2" t="inlineStr">
        <is>
          <t>Actual Figure3 upperGA group&gt;=28 differs from SAP subgroup/stratification&gt;28 wording; the SAP itself also uses&gt;=28 for its covariate.</t>
        </is>
      </c>
      <c r="O36" s="2" t="inlineStr">
        <is>
          <t>../../2024/jama.2024.2302/.ai_paper_validation/final_report_1_5_3.html</t>
        </is>
      </c>
      <c r="P36" s="2" t="inlineStr">
        <is>
          <t>2024/jama.2024.2302/.ai_paper_validation/final_report_1_5_3.md</t>
        </is>
      </c>
      <c r="Q36" s="2" t="inlineStr">
        <is>
          <t>C004</t>
        </is>
      </c>
      <c r="R36" s="2" t="inlineStr">
        <is>
          <t>Pending Human Adjudication</t>
        </is>
      </c>
      <c r="S36" s="2" t="inlineStr">
        <is>
          <t>The actual-result subgroup label ≥28 weeks differs from planned SAP wording &gt;28 weeks.</t>
        </is>
      </c>
      <c r="T36" s="2" t="b">
        <v>0</v>
      </c>
      <c r="U36" s="2" t="inlineStr">
        <is>
          <t>subgroup_threshold</t>
        </is>
      </c>
      <c r="V36" s="2" t="inlineStr">
        <is>
          <t>protocol_report</t>
        </is>
      </c>
      <c r="W36" s="2" t="inlineStr">
        <is>
          <t>Gestational-age boundary</t>
        </is>
      </c>
      <c r="X36" s="2" t="inlineStr">
        <is>
          <t>2024</t>
        </is>
      </c>
      <c r="Y36" s="2" t="inlineStr">
        <is>
          <t>meta_report/consistency_reclassification_2026-09-04/reclassified_candidates.json</t>
        </is>
      </c>
      <c r="Z36" s="2" t="inlineStr">
        <is>
          <t>P_R</t>
        </is>
      </c>
      <c r="AA36" s="2" t="inlineStr">
        <is>
          <t>protocol_report</t>
        </is>
      </c>
      <c r="AB36" s="2" t="inlineStr">
        <is>
          <t>retain</t>
        </is>
      </c>
    </row>
    <row r="37" ht="95" customHeight="1">
      <c r="A37" s="3" t="b">
        <v>0</v>
      </c>
      <c r="B37" s="3" t="inlineStr">
        <is>
          <t>Mixed report-plan and internal/between-plan terminology; enrollment and randomization may be operationally simultaneous but are not defined as equal.</t>
        </is>
      </c>
      <c r="C37" s="3" t="b">
        <v>1</v>
      </c>
      <c r="D37" s="3" t="inlineStr">
        <is>
          <t>Measure, label, or scale inconsistency</t>
        </is>
      </c>
      <c r="E37" s="3" t="b">
        <v>1</v>
      </c>
      <c r="F37" s="3" t="inlineStr">
        <is>
          <t>C005</t>
        </is>
      </c>
      <c r="G37" s="3" t="inlineStr">
        <is>
          <t>2024::jama.2024.2302::C005</t>
        </is>
      </c>
      <c r="H37" s="3" t="inlineStr"/>
      <c r="I37" s="3" t="inlineStr">
        <is>
          <t>protocol — PDF p. 3; protocol — PDF p. 11; SAP — PDF p. 7; main article — PDF p. 3. Main article — PDF p. 6 footnote g is secondary-outcome context only, as it attaches to the hospital-stay row.</t>
        </is>
      </c>
      <c r="J37" s="3" t="b">
        <v>0</v>
      </c>
      <c r="K37" s="3" t="inlineStr">
        <is>
          <t>jama.2024.2302</t>
        </is>
      </c>
      <c r="L37" s="3" t="inlineStr">
        <is>
          <t>endpoint_definition_window_hierarchy</t>
        </is>
      </c>
      <c r="M37" s="3" t="inlineStr">
        <is>
          <t>P_R</t>
        </is>
      </c>
      <c r="N37" s="3" t="inlineStr">
        <is>
          <t>Article/SAP use randomization as primarySAE timezero whereas protocol definitions use enrollment; verifier also records both terms inside protocol.</t>
        </is>
      </c>
      <c r="O37" s="3" t="inlineStr">
        <is>
          <t>../../2024/jama.2024.2302/.ai_paper_validation/final_report_1_5_3.html</t>
        </is>
      </c>
      <c r="P37" s="3" t="inlineStr">
        <is>
          <t>2024/jama.2024.2302/.ai_paper_validation/final_report_1_5_3.md</t>
        </is>
      </c>
      <c r="Q37" s="3" t="inlineStr">
        <is>
          <t>C005</t>
        </is>
      </c>
      <c r="R37" s="3" t="inlineStr">
        <is>
          <t>Pending Human Adjudication</t>
        </is>
      </c>
      <c r="S37" s="3" t="inlineStr">
        <is>
          <t>Primary SAE ascertainment is labeled from enrollment in protocol text and from randomization in SAP/main-article text.</t>
        </is>
      </c>
      <c r="T37" s="3" t="b">
        <v>0</v>
      </c>
      <c r="U37" s="3" t="inlineStr">
        <is>
          <t>outcome_time_origin</t>
        </is>
      </c>
      <c r="V37" s="3" t="inlineStr">
        <is>
          <t>protocol_report</t>
        </is>
      </c>
      <c r="W37" s="3" t="inlineStr">
        <is>
          <t>Primary-outcome time origin</t>
        </is>
      </c>
      <c r="X37" s="3" t="inlineStr">
        <is>
          <t>2024</t>
        </is>
      </c>
      <c r="Y37" s="3" t="inlineStr">
        <is>
          <t>meta_report/consistency_reclassification_2026-09-04/reclassified_candidates.json</t>
        </is>
      </c>
      <c r="Z37" s="3" t="inlineStr">
        <is>
          <t>P_R</t>
        </is>
      </c>
      <c r="AA37" s="3" t="inlineStr">
        <is>
          <t>protocol_report</t>
        </is>
      </c>
      <c r="AB37" s="3" t="inlineStr">
        <is>
          <t>retain</t>
        </is>
      </c>
    </row>
    <row r="38" ht="95" customHeight="1">
      <c r="A38" s="2" t="b">
        <v>0</v>
      </c>
      <c r="B38" s="2" t="inlineStr">
        <is>
          <t>This is ambiguity of timezero, not proven differing derivation; article wording may be shorthand.</t>
        </is>
      </c>
      <c r="C38" s="2" t="b">
        <v>1</v>
      </c>
      <c r="D38" s="2" t="inlineStr">
        <is>
          <t>Cross-document numeric inconsistency</t>
        </is>
      </c>
      <c r="E38" s="2" t="b">
        <v>1</v>
      </c>
      <c r="F38" s="2" t="inlineStr">
        <is>
          <t>C001</t>
        </is>
      </c>
      <c r="G38" s="2" t="inlineStr">
        <is>
          <t>2024::jama.2024.23898::C001</t>
        </is>
      </c>
      <c r="H38" s="2" t="inlineStr"/>
      <c r="I38" s="2" t="inlineStr">
        <is>
          <t>main article — PDF p. 1; main article — PDF p. 5; main article — PDF p. 6; SAP — PDF p. 9.</t>
        </is>
      </c>
      <c r="J38" s="2" t="b">
        <v>1</v>
      </c>
      <c r="K38" s="2" t="inlineStr">
        <is>
          <t>jama.2024.23898</t>
        </is>
      </c>
      <c r="L38" s="2" t="inlineStr">
        <is>
          <t>endpoint_definition_window_hierarchy</t>
        </is>
      </c>
      <c r="M38" s="2" t="inlineStr">
        <is>
          <t>P_R</t>
        </is>
      </c>
      <c r="N38" s="2" t="inlineStr">
        <is>
          <t>Main primaryGI-3 labels72hours after surgery/operation, whereas SAP explicitly says72hours after start of operation.</t>
        </is>
      </c>
      <c r="O38" s="2" t="inlineStr">
        <is>
          <t>../../2024/jama.2024.23898/.ai_paper_validation/final_report_1_5_3.html</t>
        </is>
      </c>
      <c r="P38" s="2" t="inlineStr">
        <is>
          <t>2024/jama.2024.23898/.ai_paper_validation/final_report_1_5_3.md</t>
        </is>
      </c>
      <c r="Q38" s="2" t="inlineStr">
        <is>
          <t>C001</t>
        </is>
      </c>
      <c r="R38" s="2" t="inlineStr">
        <is>
          <t>Pending Human Adjudication</t>
        </is>
      </c>
      <c r="S38" s="2" t="inlineStr">
        <is>
          <t>The matched primary GI-3 result is described as 72 hours “after surgery/operation” in the article but as 72 hours “after the start of operation” in the SAP; the printed clock origin is not explicitly aligned.</t>
        </is>
      </c>
      <c r="T38" s="2" t="b">
        <v>0</v>
      </c>
      <c r="U38" s="2" t="inlineStr">
        <is>
          <t>outcome_time_origin</t>
        </is>
      </c>
      <c r="V38" s="2" t="inlineStr">
        <is>
          <t>protocol_report</t>
        </is>
      </c>
      <c r="W38" s="2" t="inlineStr">
        <is>
          <t>Primary-outcome 72-hour clock origin is not stated consistently</t>
        </is>
      </c>
      <c r="X38" s="2" t="inlineStr">
        <is>
          <t>2024</t>
        </is>
      </c>
      <c r="Y38" s="2" t="inlineStr">
        <is>
          <t>meta_report/consistency_reclassification_2026-09-04/reclassified_candidates.json</t>
        </is>
      </c>
      <c r="Z38" s="2" t="inlineStr">
        <is>
          <t>P_R</t>
        </is>
      </c>
      <c r="AA38" s="2" t="inlineStr">
        <is>
          <t>protocol_report</t>
        </is>
      </c>
      <c r="AB38" s="2" t="inlineStr">
        <is>
          <t>retain</t>
        </is>
      </c>
    </row>
    <row r="39" ht="95" customHeight="1">
      <c r="A39" s="3" t="b">
        <v>0</v>
      </c>
      <c r="B39" s="3" t="inlineStr">
        <is>
          <t>A distinct final endpoint or amendment remains possible but no supplied final record resolves it.</t>
        </is>
      </c>
      <c r="C39" s="3" t="b">
        <v>1</v>
      </c>
      <c r="D39" s="3" t="inlineStr">
        <is>
          <t>Cross-document numeric inconsistency</t>
        </is>
      </c>
      <c r="E39" s="3" t="b">
        <v>1</v>
      </c>
      <c r="F39" s="3" t="inlineStr">
        <is>
          <t>C002</t>
        </is>
      </c>
      <c r="G39" s="3" t="inlineStr">
        <is>
          <t>2024::jama.2024.23898::C002</t>
        </is>
      </c>
      <c r="H39" s="3" t="inlineStr"/>
      <c r="I39" s="3" t="inlineStr">
        <is>
          <t>main article — PDF p. 4; main article — PDF p. 6; protocol — PDF p. 17; SAP — PDF p. 11.</t>
        </is>
      </c>
      <c r="J39" s="3" t="b">
        <v>1</v>
      </c>
      <c r="K39" s="3" t="inlineStr">
        <is>
          <t>jama.2024.23898</t>
        </is>
      </c>
      <c r="L39" s="3" t="inlineStr">
        <is>
          <t>endpoint_definition_window_hierarchy</t>
        </is>
      </c>
      <c r="M39" s="3" t="inlineStr">
        <is>
          <t>P_R</t>
        </is>
      </c>
      <c r="N39" s="3" t="inlineStr">
        <is>
          <t>Main reports cumulative opioid consumption through24hours; protocol and SAP define the matched outcome through72hours.</t>
        </is>
      </c>
      <c r="O39" s="3" t="inlineStr">
        <is>
          <t>../../2024/jama.2024.23898/.ai_paper_validation/final_report_1_5_3.html</t>
        </is>
      </c>
      <c r="P39" s="3" t="inlineStr">
        <is>
          <t>2024/jama.2024.23898/.ai_paper_validation/final_report_1_5_3.md</t>
        </is>
      </c>
      <c r="Q39" s="3" t="inlineStr">
        <is>
          <t>C002</t>
        </is>
      </c>
      <c r="R39" s="3" t="inlineStr">
        <is>
          <t>Pending Human Adjudication</t>
        </is>
      </c>
      <c r="S39" s="3" t="inlineStr">
        <is>
          <t>The article defines and reports postoperative morphine-equivalent consumption through 24 hours, while the protocol and SAP define the matched endpoint through 72 hours.</t>
        </is>
      </c>
      <c r="T39" s="3" t="b">
        <v>0</v>
      </c>
      <c r="U39" s="3" t="inlineStr">
        <is>
          <t>outcome_window</t>
        </is>
      </c>
      <c r="V39" s="3" t="inlineStr">
        <is>
          <t>protocol_report</t>
        </is>
      </c>
      <c r="W39" s="3" t="inlineStr">
        <is>
          <t>Postoperative opioid-consumption window is 24 hours versus 72 hours</t>
        </is>
      </c>
      <c r="X39" s="3" t="inlineStr">
        <is>
          <t>2024</t>
        </is>
      </c>
      <c r="Y39" s="3" t="inlineStr">
        <is>
          <t>meta_report/consistency_reclassification_2026-09-04/reclassified_candidates.json</t>
        </is>
      </c>
      <c r="Z39" s="3" t="inlineStr">
        <is>
          <t>P_R</t>
        </is>
      </c>
      <c r="AA39" s="3" t="inlineStr">
        <is>
          <t>protocol_report</t>
        </is>
      </c>
      <c r="AB39" s="3" t="inlineStr">
        <is>
          <t>retain</t>
        </is>
      </c>
    </row>
    <row r="40" ht="95" customHeight="1">
      <c r="A40" s="2" t="b">
        <v>0</v>
      </c>
      <c r="B40" s="2" t="inlineStr">
        <is>
          <t>Mixed report-plan and internal-article discrepancy; actual31/34 counts may be30-day counts under a90-day label or reflect a changed window.</t>
        </is>
      </c>
      <c r="C40" s="2" t="b">
        <v>1</v>
      </c>
      <c r="D40" s="2" t="inlineStr">
        <is>
          <t>Cross-document numeric inconsistency</t>
        </is>
      </c>
      <c r="E40" s="2" t="b">
        <v>1</v>
      </c>
      <c r="F40" s="2" t="inlineStr">
        <is>
          <t>C003</t>
        </is>
      </c>
      <c r="G40" s="2" t="inlineStr">
        <is>
          <t>2024::jama.2024.23898::C003</t>
        </is>
      </c>
      <c r="H40" s="2" t="inlineStr"/>
      <c r="I40" s="2" t="inlineStr">
        <is>
          <t>main article — PDF p. 4; main article — PDF p. 8; protocol — PDF p. 18; SAP — PDF p. 10; SAP — PDF p. 27.</t>
        </is>
      </c>
      <c r="J40" s="2" t="b">
        <v>1</v>
      </c>
      <c r="K40" s="2" t="inlineStr">
        <is>
          <t>jama.2024.23898</t>
        </is>
      </c>
      <c r="L40" s="2" t="inlineStr">
        <is>
          <t>endpoint_definition_window_hierarchy</t>
        </is>
      </c>
      <c r="M40" s="2" t="inlineStr">
        <is>
          <t>P_R</t>
        </is>
      </c>
      <c r="N40" s="2" t="inlineStr">
        <is>
          <t>Main Table3 reports readmissions within90days, whereas main Methods and protocol/SAP definitions including dummy-table heading specify30days.</t>
        </is>
      </c>
      <c r="O40" s="2" t="inlineStr">
        <is>
          <t>../../2024/jama.2024.23898/.ai_paper_validation/final_report_1_5_3.html</t>
        </is>
      </c>
      <c r="P40" s="2" t="inlineStr">
        <is>
          <t>2024/jama.2024.23898/.ai_paper_validation/final_report_1_5_3.md</t>
        </is>
      </c>
      <c r="Q40" s="2" t="inlineStr">
        <is>
          <t>C003</t>
        </is>
      </c>
      <c r="R40" s="2" t="inlineStr">
        <is>
          <t>Pending Human Adjudication</t>
        </is>
      </c>
      <c r="S40" s="2" t="inlineStr">
        <is>
          <t>Table 3 labels 31 versus 34 unplanned readmissions within 90 days, while article Methods, protocol, and SAP define the endpoint within 30 days.</t>
        </is>
      </c>
      <c r="T40" s="2" t="b">
        <v>1</v>
      </c>
      <c r="U40" s="2" t="inlineStr">
        <is>
          <t>outcome_window</t>
        </is>
      </c>
      <c r="V40" s="2" t="inlineStr">
        <is>
          <t>protocol_report</t>
        </is>
      </c>
      <c r="W40" s="2" t="inlineStr">
        <is>
          <t>Unplanned-readmission window is 90 days versus 30 days</t>
        </is>
      </c>
      <c r="X40" s="2" t="inlineStr">
        <is>
          <t>2024</t>
        </is>
      </c>
      <c r="Y40" s="2" t="inlineStr">
        <is>
          <t>meta_report/consistency_reclassification_2026-09-04/reclassified_candidates.json</t>
        </is>
      </c>
      <c r="Z40" s="2" t="inlineStr">
        <is>
          <t>P_R</t>
        </is>
      </c>
      <c r="AA40" s="2" t="inlineStr">
        <is>
          <t>protocol_report</t>
        </is>
      </c>
      <c r="AB40" s="2" t="inlineStr">
        <is>
          <t>retain</t>
        </is>
      </c>
    </row>
    <row r="41" ht="95" customHeight="1">
      <c r="A41" s="3" t="b">
        <v>0</v>
      </c>
      <c r="B41" s="3" t="inlineStr">
        <is>
          <t>Protocol explicitly says e.g.; eFigure says definitions were not predefined. This is a candidate plan/report difference with disclosed exploratory categorization, not proof of protocol violation.</t>
        </is>
      </c>
      <c r="C41" s="3" t="b">
        <v>1</v>
      </c>
      <c r="D41" s="3" t="inlineStr">
        <is>
          <t>Measure, label, or scale inconsistency</t>
        </is>
      </c>
      <c r="E41" s="3" t="b">
        <v>1</v>
      </c>
      <c r="F41" s="3" t="inlineStr">
        <is>
          <t>C004</t>
        </is>
      </c>
      <c r="G41" s="3" t="inlineStr">
        <is>
          <t>2024::jama.2024.23898::C004</t>
        </is>
      </c>
      <c r="H41" s="3" t="inlineStr"/>
      <c r="I41" s="3" t="inlineStr">
        <is>
          <t>protocol — PDF p. 17; protocol — PDF p. 18; SAP — PDF p. 15; results supplement — PDF p. 2.</t>
        </is>
      </c>
      <c r="J41" s="3" t="b">
        <v>0</v>
      </c>
      <c r="K41" s="3" t="inlineStr">
        <is>
          <t>jama.2024.23898</t>
        </is>
      </c>
      <c r="L41" s="3" t="inlineStr">
        <is>
          <t>analysis_specification</t>
        </is>
      </c>
      <c r="M41" s="3" t="inlineStr">
        <is>
          <t>P_R</t>
        </is>
      </c>
      <c r="N41" s="3" t="inlineStr">
        <is>
          <t>Reported eFigure lowERAS&lt;5/10 places40% in low, unlike the protocol's example30%-60% middle band.</t>
        </is>
      </c>
      <c r="O41" s="3" t="inlineStr">
        <is>
          <t>../../2024/jama.2024.23898/.ai_paper_validation/final_report_1_5_3.html</t>
        </is>
      </c>
      <c r="P41" s="3" t="inlineStr">
        <is>
          <t>2024/jama.2024.23898/.ai_paper_validation/final_report_1_5_3.md</t>
        </is>
      </c>
      <c r="Q41" s="3" t="inlineStr">
        <is>
          <t>C004</t>
        </is>
      </c>
      <c r="R41" s="3" t="inlineStr">
        <is>
          <t>Pending Human Adjudication</t>
        </is>
      </c>
      <c r="S41" s="3" t="inlineStr">
        <is>
          <t>The protocol gives example ERAS compliance bands of 0–30%, 30–60%, and greater than 60%, whereas the eFigure defines low as fewer than 5 and high as at least 7 of 10 criteria; the printed definitions are not directly reconciled.</t>
        </is>
      </c>
      <c r="T41" s="3" t="b">
        <v>0</v>
      </c>
      <c r="U41" s="3" t="inlineStr">
        <is>
          <t>subgroup_cutpoints</t>
        </is>
      </c>
      <c r="V41" s="3" t="inlineStr">
        <is>
          <t>protocol_report</t>
        </is>
      </c>
      <c r="W41" s="3" t="inlineStr">
        <is>
          <t>ERAS subgroup cut points differ from the protocol bands</t>
        </is>
      </c>
      <c r="X41" s="3" t="inlineStr">
        <is>
          <t>2024</t>
        </is>
      </c>
      <c r="Y41" s="3" t="inlineStr">
        <is>
          <t>meta_report/consistency_reclassification_2026-09-04/reclassified_candidates.json</t>
        </is>
      </c>
      <c r="Z41" s="3" t="inlineStr">
        <is>
          <t>P_R</t>
        </is>
      </c>
      <c r="AA41" s="3" t="inlineStr">
        <is>
          <t>protocol_report</t>
        </is>
      </c>
      <c r="AB41" s="3" t="inlineStr">
        <is>
          <t>retain</t>
        </is>
      </c>
    </row>
    <row r="42" ht="95" customHeight="1">
      <c r="A42" s="2" t="b">
        <v>0</v>
      </c>
      <c r="B42" s="2" t="inlineStr">
        <is>
          <t>Do not count plan involvement merely because SAP corroborates one side of the internal figure-label mismatch.</t>
        </is>
      </c>
      <c r="C42" s="2" t="b">
        <v>0</v>
      </c>
      <c r="D42" s="2" t="inlineStr">
        <is>
          <t>Statistical reporting inconsistency</t>
        </is>
      </c>
      <c r="E42" s="2" t="b">
        <v>0</v>
      </c>
      <c r="F42" s="2" t="inlineStr">
        <is>
          <t>C005</t>
        </is>
      </c>
      <c r="G42" s="2" t="inlineStr">
        <is>
          <t>2024::jama.2024.23898::C005</t>
        </is>
      </c>
      <c r="H42" s="2" t="inlineStr"/>
      <c r="I42" s="2" t="inlineStr">
        <is>
          <t>results supplement — PDF p. 2; SAP — PDF p. 15.</t>
        </is>
      </c>
      <c r="J42" s="2" t="b">
        <v>0</v>
      </c>
      <c r="K42" s="2" t="inlineStr">
        <is>
          <t>jama.2024.23898</t>
        </is>
      </c>
      <c r="L42" s="2" t="inlineStr"/>
      <c r="M42" s="2" t="inlineStr">
        <is>
          <t>S_W</t>
        </is>
      </c>
      <c r="N42" s="2" t="inlineStr">
        <is>
          <t>One results eFigure labels subgroup intervals99% in its legend and95% in its caption; SAP99% convention supports the legend only.</t>
        </is>
      </c>
      <c r="O42" s="2" t="inlineStr">
        <is>
          <t>../../2024/jama.2024.23898/.ai_paper_validation/final_report_1_5_3.html</t>
        </is>
      </c>
      <c r="P42" s="2" t="inlineStr">
        <is>
          <t>2024/jama.2024.23898/.ai_paper_validation/final_report_1_5_3.md</t>
        </is>
      </c>
      <c r="Q42" s="2" t="inlineStr">
        <is>
          <t>C005</t>
        </is>
      </c>
      <c r="R42" s="2" t="inlineStr">
        <is>
          <t>Pending Human Adjudication</t>
        </is>
      </c>
      <c r="S42" s="2" t="inlineStr">
        <is>
          <t>The eFigure legend labels horizontal subgroup intervals as 99% CIs, while its caption calls the displayed within-subgroup intervals 95% CIs.</t>
        </is>
      </c>
      <c r="T42" s="2" t="b">
        <v>1</v>
      </c>
      <c r="U42" s="2" t="inlineStr">
        <is>
          <t>confidence_level_label</t>
        </is>
      </c>
      <c r="V42" s="2" t="inlineStr">
        <is>
          <t>statistical_results</t>
        </is>
      </c>
      <c r="W42" s="2" t="inlineStr">
        <is>
          <t>The eFigure assigns both 99% and 95% labels to the same intervals</t>
        </is>
      </c>
      <c r="X42" s="2" t="inlineStr">
        <is>
          <t>2024</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SAP is framework support, not a separately targeted plan/report deviation; overall versus timepoint narrative rule is absent.</t>
        </is>
      </c>
      <c r="C43" s="3" t="b">
        <v>0</v>
      </c>
      <c r="D43" s="3" t="inlineStr">
        <is>
          <t>Statistical reporting inconsistency</t>
        </is>
      </c>
      <c r="E43" s="3" t="b">
        <v>0</v>
      </c>
      <c r="F43" s="3" t="inlineStr">
        <is>
          <t>C006</t>
        </is>
      </c>
      <c r="G43" s="3" t="inlineStr">
        <is>
          <t>2024::jama.2024.23898::C006</t>
        </is>
      </c>
      <c r="H43" s="3" t="inlineStr"/>
      <c r="I43" s="3" t="inlineStr">
        <is>
          <t>main article — PDF p. 5; main article — PDF p. 6; SAP — PDF p. 13; SAP — PDF p. 14.</t>
        </is>
      </c>
      <c r="J43" s="3" t="b">
        <v>0</v>
      </c>
      <c r="K43" s="3" t="inlineStr">
        <is>
          <t>jama.2024.23898</t>
        </is>
      </c>
      <c r="L43" s="3" t="inlineStr"/>
      <c r="M43" s="3" t="inlineStr">
        <is>
          <t>S_W</t>
        </is>
      </c>
      <c r="N43" s="3" t="inlineStr">
        <is>
          <t>Main day5EQ-5D row givesP=.04 and95%CI excluding0 while its Results says no statistically significantEQ-5D difference. SAP confirms the nominal framework.</t>
        </is>
      </c>
      <c r="O43" s="3" t="inlineStr">
        <is>
          <t>../../2024/jama.2024.23898/.ai_paper_validation/final_report_1_5_3.html</t>
        </is>
      </c>
      <c r="P43" s="3" t="inlineStr">
        <is>
          <t>2024/jama.2024.23898/.ai_paper_validation/final_report_1_5_3.md</t>
        </is>
      </c>
      <c r="Q43" s="3" t="inlineStr">
        <is>
          <t>C006</t>
        </is>
      </c>
      <c r="R43" s="3" t="inlineStr">
        <is>
          <t>Pending Human Adjudication</t>
        </is>
      </c>
      <c r="S43" s="3" t="inlineStr">
        <is>
          <t>Table 2 reports a day-5 EQ-5D-5L contrast with a 95% CI excluding zero and P=.04, whereas Results says there was no statistically significant EQ-5D-5L difference between groups.</t>
        </is>
      </c>
      <c r="T43" s="3" t="b">
        <v>1</v>
      </c>
      <c r="U43" s="3" t="inlineStr">
        <is>
          <t>narrative_inference</t>
        </is>
      </c>
      <c r="V43" s="3" t="inlineStr">
        <is>
          <t>statistical_results</t>
        </is>
      </c>
      <c r="W43" s="3" t="inlineStr">
        <is>
          <t>Day-5 EQ-5D inference conflicts with blanket no-difference prose</t>
        </is>
      </c>
      <c r="X43" s="3" t="inlineStr">
        <is>
          <t>2024</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is>
          <t>Mixed report-plan and main-results-supplement labels; article could use shorthand or describe an extreme-level contrast. Distinct from C004's numerical cutpoints.</t>
        </is>
      </c>
      <c r="C44" s="2" t="b">
        <v>1</v>
      </c>
      <c r="D44" s="2" t="inlineStr">
        <is>
          <t>Measure, label, or scale inconsistency</t>
        </is>
      </c>
      <c r="E44" s="2" t="b">
        <v>1</v>
      </c>
      <c r="F44" s="2" t="inlineStr">
        <is>
          <t>C007</t>
        </is>
      </c>
      <c r="G44" s="2" t="inlineStr">
        <is>
          <t>2024::jama.2024.23898::C007</t>
        </is>
      </c>
      <c r="H44" s="2" t="inlineStr"/>
      <c r="I44" s="2" t="inlineStr">
        <is>
          <t>main article — PDF p. 5; SAP — PDF p. 15; results supplement — PDF p. 2.</t>
        </is>
      </c>
      <c r="J44" s="2" t="b">
        <v>0</v>
      </c>
      <c r="K44" s="2" t="inlineStr">
        <is>
          <t>jama.2024.23898</t>
        </is>
      </c>
      <c r="L44" s="2" t="inlineStr">
        <is>
          <t>analysis_specification</t>
        </is>
      </c>
      <c r="M44" s="2" t="inlineStr">
        <is>
          <t>P_R</t>
        </is>
      </c>
      <c r="N44" s="2" t="inlineStr">
        <is>
          <t>Main Methods callsERAS high versus low, but SAP and reported eFigure identify high/moderate/low for the displayed interaction.</t>
        </is>
      </c>
      <c r="O44" s="2" t="inlineStr">
        <is>
          <t>../../2024/jama.2024.23898/.ai_paper_validation/final_report_1_5_3.html</t>
        </is>
      </c>
      <c r="P44" s="2" t="inlineStr">
        <is>
          <t>2024/jama.2024.23898/.ai_paper_validation/final_report_1_5_3.md</t>
        </is>
      </c>
      <c r="Q44" s="2" t="inlineStr">
        <is>
          <t>C007</t>
        </is>
      </c>
      <c r="R44" s="2" t="inlineStr">
        <is>
          <t>Pending Human Adjudication</t>
        </is>
      </c>
      <c r="S44" s="2" t="inlineStr">
        <is>
          <t>Article Methods calls the ERAS subgroup “high vs low,” while the SAP and eFigure name high, moderate, and low strata for the displayed interaction.</t>
        </is>
      </c>
      <c r="T44" s="2" t="b">
        <v>1</v>
      </c>
      <c r="U44" s="2" t="inlineStr">
        <is>
          <t>subgroup_levels</t>
        </is>
      </c>
      <c r="V44" s="2" t="inlineStr">
        <is>
          <t>protocol_report</t>
        </is>
      </c>
      <c r="W44" s="2" t="inlineStr">
        <is>
          <t>ERAS subgroup is labeled as two levels versus three levels</t>
        </is>
      </c>
      <c r="X44" s="2" t="inlineStr">
        <is>
          <t>2024</t>
        </is>
      </c>
      <c r="Y44" s="2" t="inlineStr">
        <is>
          <t>meta_report/consistency_reclassification_2026-09-04/reclassified_candidates.json</t>
        </is>
      </c>
      <c r="Z44" s="2" t="inlineStr">
        <is>
          <t>P_R</t>
        </is>
      </c>
      <c r="AA44" s="2" t="inlineStr">
        <is>
          <t>protocol_report</t>
        </is>
      </c>
      <c r="AB44" s="2" t="inlineStr">
        <is>
          <t>retain</t>
        </is>
      </c>
    </row>
    <row r="45" ht="95" customHeight="1">
      <c r="A45" s="3" t="b">
        <v>0</v>
      </c>
      <c r="B45" s="3" t="inlineStr"/>
      <c r="C45" s="3" t="b">
        <v>0</v>
      </c>
      <c r="D45" s="3" t="inlineStr">
        <is>
          <t>Denominator, proportion, or total inconsistency</t>
        </is>
      </c>
      <c r="E45" s="3" t="b">
        <v>0</v>
      </c>
      <c r="F45" s="3" t="inlineStr">
        <is>
          <t>C001</t>
        </is>
      </c>
      <c r="G45" s="3" t="inlineStr">
        <is>
          <t>2024::jama.2024.25786::C001</t>
        </is>
      </c>
      <c r="H45" s="3" t="inlineStr"/>
      <c r="I45" s="3" t="inlineStr">
        <is>
          <t>Supplement 2, eTable 2, PDF p. 15, liberal oxygen group, walk-in transport row.</t>
        </is>
      </c>
      <c r="J45" s="3" t="b">
        <v>0</v>
      </c>
      <c r="K45" s="3" t="inlineStr">
        <is>
          <t>jama.2024.25786</t>
        </is>
      </c>
      <c r="L45" s="3" t="inlineStr"/>
      <c r="M45" s="3" t="inlineStr">
        <is>
          <t>S_W</t>
        </is>
      </c>
      <c r="N45" s="3" t="inlineStr">
        <is>
          <t>Results-supplement eTable2 pairs4/743 with5.3%, whereas the printed fraction gives0.5%.</t>
        </is>
      </c>
      <c r="O45" s="3" t="inlineStr">
        <is>
          <t>../../2024/jama.2024.25786/.ai_paper_validation/final_report_1_5_3.html</t>
        </is>
      </c>
      <c r="P45" s="3" t="inlineStr">
        <is>
          <t>2024/jama.2024.25786/.ai_paper_validation/final_report_1_5_3.md</t>
        </is>
      </c>
      <c r="Q45" s="3" t="inlineStr">
        <is>
          <t>C001</t>
        </is>
      </c>
      <c r="R45" s="3" t="inlineStr">
        <is>
          <t>Pending Human Adjudication</t>
        </is>
      </c>
      <c r="S45" s="3" t="inlineStr">
        <is>
          <t>The liberal-group walk-in transport cell does not reconcile under its printed count/total/percentage format.</t>
        </is>
      </c>
      <c r="T45" s="3" t="b">
        <v>1</v>
      </c>
      <c r="U45" s="3" t="inlineStr">
        <is>
          <t>count_percentage</t>
        </is>
      </c>
      <c r="V45" s="3" t="inlineStr">
        <is>
          <t>statistical_results</t>
        </is>
      </c>
      <c r="W45" s="3" t="inlineStr">
        <is>
          <t>Liberal walk-in transport percentage does not reconcile with 4/743</t>
        </is>
      </c>
      <c r="X45" s="3" t="inlineStr">
        <is>
          <t>2024</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Denominator, proportion, or total inconsistency</t>
        </is>
      </c>
      <c r="E46" s="2" t="b">
        <v>0</v>
      </c>
      <c r="F46" s="2" t="inlineStr">
        <is>
          <t>C002</t>
        </is>
      </c>
      <c r="G46" s="2" t="inlineStr">
        <is>
          <t>2024::jama.2024.25786::C002</t>
        </is>
      </c>
      <c r="H46" s="2" t="inlineStr"/>
      <c r="I46" s="2" t="inlineStr">
        <is>
          <t>Supplement 2, eTable 2, PDF p. 15, liberal oxygen group, vascular surgery row.</t>
        </is>
      </c>
      <c r="J46" s="2" t="b">
        <v>0</v>
      </c>
      <c r="K46" s="2" t="inlineStr">
        <is>
          <t>jama.2024.25786</t>
        </is>
      </c>
      <c r="L46" s="2" t="inlineStr"/>
      <c r="M46" s="2" t="inlineStr">
        <is>
          <t>S_W</t>
        </is>
      </c>
      <c r="N46" s="2" t="inlineStr">
        <is>
          <t>Results-supplement eTable2 pairs0/747 with1.1%, inconsistent with its own count/total format.</t>
        </is>
      </c>
      <c r="O46" s="2" t="inlineStr">
        <is>
          <t>../../2024/jama.2024.25786/.ai_paper_validation/final_report_1_5_3.html</t>
        </is>
      </c>
      <c r="P46" s="2" t="inlineStr">
        <is>
          <t>2024/jama.2024.25786/.ai_paper_validation/final_report_1_5_3.md</t>
        </is>
      </c>
      <c r="Q46" s="2" t="inlineStr">
        <is>
          <t>C002</t>
        </is>
      </c>
      <c r="R46" s="2" t="inlineStr">
        <is>
          <t>Pending Human Adjudication</t>
        </is>
      </c>
      <c r="S46" s="2" t="inlineStr">
        <is>
          <t>The liberal vascular-surgery cell pairs a zero numerator with a nonzero percentage.</t>
        </is>
      </c>
      <c r="T46" s="2" t="b">
        <v>1</v>
      </c>
      <c r="U46" s="2" t="inlineStr">
        <is>
          <t>count_percentage</t>
        </is>
      </c>
      <c r="V46" s="2" t="inlineStr">
        <is>
          <t>statistical_results</t>
        </is>
      </c>
      <c r="W46" s="2" t="inlineStr">
        <is>
          <t>Liberal vascular-surgery percentage is nonzero with a printed zero numerator</t>
        </is>
      </c>
      <c r="X46" s="2" t="inlineStr">
        <is>
          <t>2024</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is>
          <t>Original cross-document category is within one non-plan PDF; precise model identity remains conditional.</t>
        </is>
      </c>
      <c r="C47" s="3" t="b">
        <v>0</v>
      </c>
      <c r="D47" s="3" t="inlineStr">
        <is>
          <t>Cross-document numeric inconsistency</t>
        </is>
      </c>
      <c r="E47" s="3" t="b">
        <v>0</v>
      </c>
      <c r="F47" s="3" t="inlineStr">
        <is>
          <t>C003</t>
        </is>
      </c>
      <c r="G47" s="3" t="inlineStr">
        <is>
          <t>2024::jama.2024.25786::C003</t>
        </is>
      </c>
      <c r="H47" s="3" t="inlineStr"/>
      <c r="I47" s="3" t="inlineStr">
        <is>
          <t>Supplement 2, eTable 4, PDF p. 17, further-adjusted primary outcome; Supplement 2, eTable 7, PDF p. 20, all-patient adjusted odds ratio; relevant methods Main article, PDF p. 5.</t>
        </is>
      </c>
      <c r="J47" s="3" t="b">
        <v>1</v>
      </c>
      <c r="K47" s="3" t="inlineStr">
        <is>
          <t>jama.2024.25786</t>
        </is>
      </c>
      <c r="L47" s="3" t="inlineStr"/>
      <c r="M47" s="3" t="inlineStr">
        <is>
          <t>S_W</t>
        </is>
      </c>
      <c r="N47" s="3" t="inlineStr">
        <is>
          <t>Matched eTables4 and7 within the same results supplement print upper95% limits1.41 and1.39 forOR0.98. Main methods only provide model context.</t>
        </is>
      </c>
      <c r="O47" s="3" t="inlineStr">
        <is>
          <t>../../2024/jama.2024.25786/.ai_paper_validation/final_report_1_5_3.html</t>
        </is>
      </c>
      <c r="P47" s="3" t="inlineStr">
        <is>
          <t>2024/jama.2024.25786/.ai_paper_validation/final_report_1_5_3.md</t>
        </is>
      </c>
      <c r="Q47" s="3" t="inlineStr">
        <is>
          <t>C003</t>
        </is>
      </c>
      <c r="R47" s="3" t="inlineStr">
        <is>
          <t>Pending Human Adjudication</t>
        </is>
      </c>
      <c r="S47" s="3" t="inlineStr">
        <is>
          <t>Two apparently matched all-patient adjusted results show different displayed upper confidence limits without a table-specific model distinction.</t>
        </is>
      </c>
      <c r="T47" s="3" t="b">
        <v>1</v>
      </c>
      <c r="U47" s="3" t="inlineStr">
        <is>
          <t>interval_repeat</t>
        </is>
      </c>
      <c r="V47" s="3" t="inlineStr">
        <is>
          <t>internal_nonstatistical</t>
        </is>
      </c>
      <c r="W47" s="3" t="inlineStr">
        <is>
          <t>Matched all-patient adjusted confidence-interval upper limit differs between eTables 4 and 7</t>
        </is>
      </c>
      <c r="X47" s="3" t="inlineStr">
        <is>
          <t>2024</t>
        </is>
      </c>
      <c r="Y47" s="3" t="inlineStr">
        <is>
          <t>meta_report/consistency_reclassification_2026-09-04/reclassified_candidates.json</t>
        </is>
      </c>
      <c r="Z47" s="3" t="inlineStr">
        <is>
          <t>S_W</t>
        </is>
      </c>
      <c r="AA47" s="3" t="inlineStr">
        <is>
          <t>internal_nonstatistical</t>
        </is>
      </c>
      <c r="AB47" s="3" t="inlineStr">
        <is>
          <t>retain</t>
        </is>
      </c>
    </row>
    <row r="48" ht="95" customHeight="1">
      <c r="A48" s="2" t="b">
        <v>0</v>
      </c>
      <c r="B48" s="2" t="inlineStr">
        <is>
          <t>Mixed cross-file repeated percentage and within-table arithmetic relationship.</t>
        </is>
      </c>
      <c r="C48" s="2" t="b">
        <v>0</v>
      </c>
      <c r="D48" s="2" t="inlineStr">
        <is>
          <t>Cross-document numeric inconsistency</t>
        </is>
      </c>
      <c r="E48" s="2" t="b">
        <v>1</v>
      </c>
      <c r="F48" s="2" t="inlineStr">
        <is>
          <t>C004</t>
        </is>
      </c>
      <c r="G48" s="2" t="inlineStr">
        <is>
          <t>2024::jama.2024.25786::C004</t>
        </is>
      </c>
      <c r="H48" s="2" t="inlineStr"/>
      <c r="I48" s="2" t="inlineStr">
        <is>
          <t>Main article, Figure 4, PDF p. 8, AIS score less than 3; Supplement 2, eTable 7, PDF p. 20, AIS less than 3.</t>
        </is>
      </c>
      <c r="J48" s="2" t="b">
        <v>1</v>
      </c>
      <c r="K48" s="2" t="inlineStr">
        <is>
          <t>jama.2024.25786</t>
        </is>
      </c>
      <c r="L48" s="2" t="inlineStr"/>
      <c r="M48" s="2" t="inlineStr">
        <is>
          <t>S_C</t>
        </is>
      </c>
      <c r="N48" s="2" t="inlineStr">
        <is>
          <t>Main Figure4 gives48/473(10.1) while results eTable7 gives48/473(9.2), also inconsistent with its own fraction.</t>
        </is>
      </c>
      <c r="O48" s="2" t="inlineStr">
        <is>
          <t>../../2024/jama.2024.25786/.ai_paper_validation/final_report_1_5_3.html</t>
        </is>
      </c>
      <c r="P48" s="2" t="inlineStr">
        <is>
          <t>2024/jama.2024.25786/.ai_paper_validation/final_report_1_5_3.md</t>
        </is>
      </c>
      <c r="Q48" s="2" t="inlineStr">
        <is>
          <t>C004</t>
        </is>
      </c>
      <c r="R48" s="2" t="inlineStr">
        <is>
          <t>Pending Human Adjudication</t>
        </is>
      </c>
      <c r="S48" s="2" t="inlineStr">
        <is>
          <t>The eTable 7 liberal AIS-less-than-3 percentage conflicts with its printed count/denominator and the matched Figure 4 display.</t>
        </is>
      </c>
      <c r="T48" s="2" t="b">
        <v>1</v>
      </c>
      <c r="U48" s="2" t="inlineStr">
        <is>
          <t>percentage_repeat</t>
        </is>
      </c>
      <c r="V48" s="2" t="inlineStr">
        <is>
          <t>internal_nonstatistical</t>
        </is>
      </c>
      <c r="W48" s="2" t="inlineStr">
        <is>
          <t>AIS less-than-3 subgroup percentage conflicts with its count and matched Figure 4</t>
        </is>
      </c>
      <c r="X48" s="2" t="inlineStr">
        <is>
          <t>2024</t>
        </is>
      </c>
      <c r="Y48" s="2" t="inlineStr">
        <is>
          <t>meta_report/consistency_reclassification_2026-09-04/reclassified_candidates.json</t>
        </is>
      </c>
      <c r="Z48" s="2" t="inlineStr">
        <is>
          <t>S_C</t>
        </is>
      </c>
      <c r="AA48" s="2" t="inlineStr">
        <is>
          <t>internal_nonstatistical</t>
        </is>
      </c>
      <c r="AB48" s="2" t="inlineStr">
        <is>
          <t>retain</t>
        </is>
      </c>
    </row>
    <row r="49" ht="95" customHeight="1">
      <c r="A49" s="3" t="b">
        <v>0</v>
      </c>
      <c r="B49" s="3" t="inlineStr">
        <is>
          <t>Mixed cross-file and internal arithmetic; unspecified truncation could explain20.2.</t>
        </is>
      </c>
      <c r="C49" s="3" t="b">
        <v>0</v>
      </c>
      <c r="D49" s="3" t="inlineStr">
        <is>
          <t>Cross-document numeric inconsistency</t>
        </is>
      </c>
      <c r="E49" s="3" t="b">
        <v>1</v>
      </c>
      <c r="F49" s="3" t="inlineStr">
        <is>
          <t>C005</t>
        </is>
      </c>
      <c r="G49" s="3" t="inlineStr">
        <is>
          <t>2024::jama.2024.25786::C005</t>
        </is>
      </c>
      <c r="H49" s="3" t="inlineStr"/>
      <c r="I49" s="3" t="inlineStr">
        <is>
          <t>Main article, Figure 4, PDF p. 8, known lung disease, yes; Supplement 2, eTable 7, PDF p. 20, known lung disease, yes.</t>
        </is>
      </c>
      <c r="J49" s="3" t="b">
        <v>1</v>
      </c>
      <c r="K49" s="3" t="inlineStr">
        <is>
          <t>jama.2024.25786</t>
        </is>
      </c>
      <c r="L49" s="3" t="inlineStr"/>
      <c r="M49" s="3" t="inlineStr">
        <is>
          <t>S_C</t>
        </is>
      </c>
      <c r="N49" s="3" t="inlineStr">
        <is>
          <t>Main Figure4 gives14/69(20.3) while results eTable7 gives14/69(20.2); the latter differs from ordinary nearest rounding.</t>
        </is>
      </c>
      <c r="O49" s="3" t="inlineStr">
        <is>
          <t>../../2024/jama.2024.25786/.ai_paper_validation/final_report_1_5_3.html</t>
        </is>
      </c>
      <c r="P49" s="3" t="inlineStr">
        <is>
          <t>2024/jama.2024.25786/.ai_paper_validation/final_report_1_5_3.md</t>
        </is>
      </c>
      <c r="Q49" s="3" t="inlineStr">
        <is>
          <t>C005</t>
        </is>
      </c>
      <c r="R49" s="3" t="inlineStr">
        <is>
          <t>Pending Human Adjudication</t>
        </is>
      </c>
      <c r="S49" s="3" t="inlineStr">
        <is>
          <t>The eTable 7 liberal known-lung-disease percentage differs from the matched Figure 4 percentage despite the same printed count and denominator.</t>
        </is>
      </c>
      <c r="T49" s="3" t="b">
        <v>1</v>
      </c>
      <c r="U49" s="3" t="inlineStr">
        <is>
          <t>rounding_repeat</t>
        </is>
      </c>
      <c r="V49" s="3" t="inlineStr">
        <is>
          <t>internal_nonstatistical</t>
        </is>
      </c>
      <c r="W49" s="3" t="inlineStr">
        <is>
          <t>Known-lung-disease subgroup percentage conflicts with its count and matched Figure 4</t>
        </is>
      </c>
      <c r="X49" s="3" t="inlineStr">
        <is>
          <t>2024</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is>
          <t>Mixed cross-file counts and within-table total; four Swiss-law consent omissions per arm offer a plausible but unlabelled restriction.</t>
        </is>
      </c>
      <c r="C50" s="2" t="b">
        <v>0</v>
      </c>
      <c r="D50" s="2" t="inlineStr">
        <is>
          <t>Cross-document numeric inconsistency</t>
        </is>
      </c>
      <c r="E50" s="2" t="b">
        <v>1</v>
      </c>
      <c r="F50" s="2" t="inlineStr">
        <is>
          <t>C006</t>
        </is>
      </c>
      <c r="G50" s="2" t="inlineStr">
        <is>
          <t>2024::jama.2024.25786::C006</t>
        </is>
      </c>
      <c r="H50" s="2" t="inlineStr"/>
      <c r="I50" s="2" t="inlineStr">
        <is>
          <t>Supplement 2, eTable 10, PDF p. 24, exclusion after randomization; Main article, Figure 1, PDF p. 3, excluded after randomization.</t>
        </is>
      </c>
      <c r="J50" s="2" t="b">
        <v>1</v>
      </c>
      <c r="K50" s="2" t="inlineStr">
        <is>
          <t>jama.2024.25786</t>
        </is>
      </c>
      <c r="L50" s="2" t="inlineStr"/>
      <c r="M50" s="2" t="inlineStr">
        <is>
          <t>S_C</t>
        </is>
      </c>
      <c r="N50" s="2" t="inlineStr">
        <is>
          <t>Results eTable10 gives55+67=122 against its ownN130, while main Figure1 gives59+71=130.</t>
        </is>
      </c>
      <c r="O50" s="2" t="inlineStr">
        <is>
          <t>../../2024/jama.2024.25786/.ai_paper_validation/final_report_1_5_3.html</t>
        </is>
      </c>
      <c r="P50" s="2" t="inlineStr">
        <is>
          <t>2024/jama.2024.25786/.ai_paper_validation/final_report_1_5_3.md</t>
        </is>
      </c>
      <c r="Q50" s="2" t="inlineStr">
        <is>
          <t>C006</t>
        </is>
      </c>
      <c r="R50" s="2" t="inlineStr">
        <is>
          <t>Pending Human Adjudication</t>
        </is>
      </c>
      <c r="S50" s="2" t="inlineStr">
        <is>
          <t>eTable 10’s postrandomization-exclusion total and group counts do not reconcile with each other or with Figure 1 without an explained population restriction.</t>
        </is>
      </c>
      <c r="T50" s="2" t="b">
        <v>1</v>
      </c>
      <c r="U50" s="2" t="inlineStr">
        <is>
          <t>flow_total</t>
        </is>
      </c>
      <c r="V50" s="2" t="inlineStr">
        <is>
          <t>internal_nonstatistical</t>
        </is>
      </c>
      <c r="W50" s="2" t="inlineStr">
        <is>
          <t>Postrandomization-exclusion total and group counts do not reconcile across eTable 10 and Figure 1</t>
        </is>
      </c>
      <c r="X50" s="2" t="inlineStr">
        <is>
          <t>2024</t>
        </is>
      </c>
      <c r="Y50" s="2" t="inlineStr">
        <is>
          <t>meta_report/consistency_reclassification_2026-09-04/reclassified_candidates.json</t>
        </is>
      </c>
      <c r="Z50" s="2" t="inlineStr">
        <is>
          <t>S_C</t>
        </is>
      </c>
      <c r="AA50" s="2" t="inlineStr">
        <is>
          <t>internal_nonstatistical</t>
        </is>
      </c>
      <c r="AB50" s="2" t="inlineStr">
        <is>
          <t>retain</t>
        </is>
      </c>
    </row>
    <row r="51" ht="95" customHeight="1">
      <c r="A51" s="3" t="b">
        <v>0</v>
      </c>
      <c r="B51" s="3" t="inlineStr">
        <is>
          <t>Main is corroborative; the two unassigned cases are already explained by a footnote, so that two-person gap is not another discrepancy.</t>
        </is>
      </c>
      <c r="C51" s="3" t="b">
        <v>0</v>
      </c>
      <c r="D51" s="3" t="inlineStr">
        <is>
          <t>Denominator, proportion, or total inconsistency</t>
        </is>
      </c>
      <c r="E51" s="3" t="b">
        <v>0</v>
      </c>
      <c r="F51" s="3" t="inlineStr">
        <is>
          <t>C007</t>
        </is>
      </c>
      <c r="G51" s="3" t="inlineStr">
        <is>
          <t>2024::jama.2024.25786::C007</t>
        </is>
      </c>
      <c r="H51" s="3" t="inlineStr"/>
      <c r="I51" s="3" t="inlineStr">
        <is>
          <t>Supplement 2, eTable 10, PDF p. 24, secondary exclusion; count comparator Main article, Figure 1, PDF p. 3.</t>
        </is>
      </c>
      <c r="J51" s="3" t="b">
        <v>0</v>
      </c>
      <c r="K51" s="3" t="inlineStr">
        <is>
          <t>jama.2024.25786</t>
        </is>
      </c>
      <c r="L51" s="3" t="inlineStr"/>
      <c r="M51" s="3" t="inlineStr">
        <is>
          <t>S_W</t>
        </is>
      </c>
      <c r="N51" s="3" t="inlineStr">
        <is>
          <t>Results eTable10 pairs174/750 and165/758 with51%/49%, which instead partition339 cross-arm exclusions. Main Figure1 agrees with the counts.</t>
        </is>
      </c>
      <c r="O51" s="3" t="inlineStr">
        <is>
          <t>../../2024/jama.2024.25786/.ai_paper_validation/final_report_1_5_3.html</t>
        </is>
      </c>
      <c r="P51" s="3" t="inlineStr">
        <is>
          <t>2024/jama.2024.25786/.ai_paper_validation/final_report_1_5_3.md</t>
        </is>
      </c>
      <c r="Q51" s="3" t="inlineStr">
        <is>
          <t>C007</t>
        </is>
      </c>
      <c r="R51" s="3" t="inlineStr">
        <is>
          <t>Pending Human Adjudication</t>
        </is>
      </c>
      <c r="S51" s="3" t="inlineStr">
        <is>
          <t>eTable 10 pairs within-group denominators with percentages that instead partition the classified cross-group total.</t>
        </is>
      </c>
      <c r="T51" s="3" t="b">
        <v>1</v>
      </c>
      <c r="U51" s="3" t="inlineStr">
        <is>
          <t>denominator_estimand</t>
        </is>
      </c>
      <c r="V51" s="3" t="inlineStr">
        <is>
          <t>statistical_results</t>
        </is>
      </c>
      <c r="W51" s="3" t="inlineStr">
        <is>
          <t>Secondary-exclusion cells pair within-group denominators with cross-group partition percentages</t>
        </is>
      </c>
      <c r="X51" s="3" t="inlineStr">
        <is>
          <t>2024</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is>
          <t>Notation defect remains observed even though arithmetic reconciles; not a negated candidate.</t>
        </is>
      </c>
      <c r="C52" s="2" t="b">
        <v>0</v>
      </c>
      <c r="D52" s="2" t="inlineStr">
        <is>
          <t>Measure, label, or scale inconsistency</t>
        </is>
      </c>
      <c r="E52" s="2" t="b">
        <v>0</v>
      </c>
      <c r="F52" s="2" t="inlineStr">
        <is>
          <t>C008</t>
        </is>
      </c>
      <c r="G52" s="2" t="inlineStr">
        <is>
          <t>2024::jama.2024.25786::C008</t>
        </is>
      </c>
      <c r="H52" s="2" t="inlineStr"/>
      <c r="I52" s="2" t="inlineStr">
        <is>
          <t>Supplement 2, eTable 11, PDF p. 25, primary outcome with missing counted as event.</t>
        </is>
      </c>
      <c r="J52" s="2" t="b">
        <v>0</v>
      </c>
      <c r="K52" s="2" t="inlineStr">
        <is>
          <t>jama.2024.25786</t>
        </is>
      </c>
      <c r="L52" s="2" t="inlineStr"/>
      <c r="M52" s="2" t="inlineStr">
        <is>
          <t>S_W</t>
        </is>
      </c>
      <c r="N52" s="2" t="inlineStr">
        <is>
          <t>Results eTable11 prints135//750 with a doubled separator despite its own single-slash count convention; numerical18.0% reconciles.</t>
        </is>
      </c>
      <c r="O52" s="2" t="inlineStr">
        <is>
          <t>../../2024/jama.2024.25786/.ai_paper_validation/final_report_1_5_3.html</t>
        </is>
      </c>
      <c r="P52" s="2" t="inlineStr">
        <is>
          <t>2024/jama.2024.25786/.ai_paper_validation/final_report_1_5_3.md</t>
        </is>
      </c>
      <c r="Q52" s="2" t="inlineStr">
        <is>
          <t>C008</t>
        </is>
      </c>
      <c r="R52" s="2" t="inlineStr">
        <is>
          <t>Pending Human Adjudication</t>
        </is>
      </c>
      <c r="S52" s="2" t="inlineStr">
        <is>
          <t>The restrictive missing-as-event primary-outcome count has a doubled numerator/denominator separator despite otherwise reconciling numerically.</t>
        </is>
      </c>
      <c r="T52" s="2" t="b">
        <v>1</v>
      </c>
      <c r="U52" s="2" t="inlineStr">
        <is>
          <t>count_notation</t>
        </is>
      </c>
      <c r="V52" s="2" t="inlineStr">
        <is>
          <t>internal_nonstatistical</t>
        </is>
      </c>
      <c r="W52" s="2" t="inlineStr">
        <is>
          <t>Missing-as-event primary count uses a doubled numerator/denominator separator</t>
        </is>
      </c>
      <c r="X52" s="2" t="inlineStr">
        <is>
          <t>2024</t>
        </is>
      </c>
      <c r="Y52" s="2" t="inlineStr">
        <is>
          <t>meta_report/consistency_reclassification_2026-09-04/reclassified_candidates.json</t>
        </is>
      </c>
      <c r="Z52" s="2" t="inlineStr">
        <is>
          <t>S_W</t>
        </is>
      </c>
      <c r="AA52" s="2" t="inlineStr">
        <is>
          <t>internal_nonstatistical</t>
        </is>
      </c>
      <c r="AB52" s="2" t="inlineStr">
        <is>
          <t>retain</t>
        </is>
      </c>
    </row>
    <row r="53" ht="95" customHeight="1">
      <c r="A53" s="3" t="b">
        <v>0</v>
      </c>
      <c r="B53" s="3" t="inlineStr"/>
      <c r="C53" s="3" t="b">
        <v>0</v>
      </c>
      <c r="D53" s="3" t="inlineStr">
        <is>
          <t>Denominator, proportion, or total inconsistency</t>
        </is>
      </c>
      <c r="E53" s="3" t="b">
        <v>0</v>
      </c>
      <c r="F53" s="3" t="inlineStr">
        <is>
          <t>C001</t>
        </is>
      </c>
      <c r="G53" s="3" t="inlineStr">
        <is>
          <t>2024::jama.2024.4183::C001</t>
        </is>
      </c>
      <c r="H53" s="3" t="inlineStr"/>
      <c r="I53" s="3" t="inlineStr">
        <is>
          <t>Main article p. 1; Main article p. 6.</t>
        </is>
      </c>
      <c r="J53" s="3" t="b">
        <v>0</v>
      </c>
      <c r="K53" s="3" t="inlineStr">
        <is>
          <t>jama.2024.4183</t>
        </is>
      </c>
      <c r="L53" s="3" t="inlineStr"/>
      <c r="M53" s="3" t="inlineStr">
        <is>
          <t>S_W</t>
        </is>
      </c>
      <c r="N53" s="3" t="inlineStr">
        <is>
          <t>Main abstract phase2 allocations combine percentages based on191/157 and151/122, summing114%/115%; Figure2 supplies nonattender context.</t>
        </is>
      </c>
      <c r="O53" s="3" t="inlineStr">
        <is>
          <t>../../2024/jama.2024.4183/.ai_paper_validation/final_report_1_5_3.html</t>
        </is>
      </c>
      <c r="P53" s="3" t="inlineStr">
        <is>
          <t>2024/jama.2024.4183/.ai_paper_validation/final_report_1_5_3.md</t>
        </is>
      </c>
      <c r="Q53" s="3" t="inlineStr">
        <is>
          <t>C001</t>
        </is>
      </c>
      <c r="R53" s="3" t="inlineStr">
        <is>
          <t>Pending Human Adjudication</t>
        </is>
      </c>
      <c r="S53" s="3" t="inlineStr">
        <is>
          <t>Abstract phase-2 allocation percentages mix incompatible denominators.</t>
        </is>
      </c>
      <c r="T53" s="3" t="b">
        <v>1</v>
      </c>
      <c r="U53" s="3" t="inlineStr">
        <is>
          <t>denominator_population</t>
        </is>
      </c>
      <c r="V53" s="3" t="inlineStr">
        <is>
          <t>statistical_results</t>
        </is>
      </c>
      <c r="W53" s="3" t="inlineStr">
        <is>
          <t>Abstract phase-2 allocation percentages mix incompatible denominators</t>
        </is>
      </c>
      <c r="X53" s="3" t="inlineStr">
        <is>
          <t>2024</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C002</t>
        </is>
      </c>
      <c r="G54" s="2" t="inlineStr">
        <is>
          <t>2024::jama.2024.4183::C002</t>
        </is>
      </c>
      <c r="H54" s="2" t="inlineStr"/>
      <c r="I54" s="2" t="inlineStr">
        <is>
          <t>Main article p. 5, baseline Table.</t>
        </is>
      </c>
      <c r="J54" s="2" t="b">
        <v>0</v>
      </c>
      <c r="K54" s="2" t="inlineStr">
        <is>
          <t>jama.2024.4183</t>
        </is>
      </c>
      <c r="L54" s="2" t="inlineStr"/>
      <c r="M54" s="2" t="inlineStr">
        <is>
          <t>S_W</t>
        </is>
      </c>
      <c r="N54" s="2" t="inlineStr">
        <is>
          <t>Main baseline table gives105+145=250 within each n245 arm, and male145 does not yield57.1%.</t>
        </is>
      </c>
      <c r="O54" s="2" t="inlineStr">
        <is>
          <t>../../2024/jama.2024.4183/.ai_paper_validation/final_report_1_5_3.html</t>
        </is>
      </c>
      <c r="P54" s="2" t="inlineStr">
        <is>
          <t>2024/jama.2024.4183/.ai_paper_validation/final_report_1_5_3.md</t>
        </is>
      </c>
      <c r="Q54" s="2" t="inlineStr">
        <is>
          <t>C002</t>
        </is>
      </c>
      <c r="R54" s="2" t="inlineStr">
        <is>
          <t>Pending Human Adjudication</t>
        </is>
      </c>
      <c r="S54" s="2" t="inlineStr">
        <is>
          <t>Main baseline sex counts exceed both printed arm denominators.</t>
        </is>
      </c>
      <c r="T54" s="2" t="b">
        <v>1</v>
      </c>
      <c r="U54" s="2" t="inlineStr">
        <is>
          <t>count_total</t>
        </is>
      </c>
      <c r="V54" s="2" t="inlineStr">
        <is>
          <t>statistical_results</t>
        </is>
      </c>
      <c r="W54" s="2" t="inlineStr">
        <is>
          <t>Main baseline sex counts exceed both printed arm denominators</t>
        </is>
      </c>
      <c r="X54" s="2" t="inlineStr">
        <is>
          <t>2024</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C003</t>
        </is>
      </c>
      <c r="G55" s="3" t="inlineStr">
        <is>
          <t>2024::jama.2024.4183::C003</t>
        </is>
      </c>
      <c r="H55" s="3" t="inlineStr"/>
      <c r="I55" s="3" t="inlineStr">
        <is>
          <t>Main article p. 4; Main article p. 6.</t>
        </is>
      </c>
      <c r="J55" s="3" t="b">
        <v>0</v>
      </c>
      <c r="K55" s="3" t="inlineStr">
        <is>
          <t>jama.2024.4183</t>
        </is>
      </c>
      <c r="L55" s="3" t="inlineStr"/>
      <c r="M55" s="3" t="inlineStr">
        <is>
          <t>S_W</t>
        </is>
      </c>
      <c r="N55" s="3" t="inlineStr">
        <is>
          <t>Main initial randomized491 parent does not equal245+245=490 branches; later exclusion pertains to analysis total.</t>
        </is>
      </c>
      <c r="O55" s="3" t="inlineStr">
        <is>
          <t>../../2024/jama.2024.4183/.ai_paper_validation/final_report_1_5_3.html</t>
        </is>
      </c>
      <c r="P55" s="3" t="inlineStr">
        <is>
          <t>2024/jama.2024.4183/.ai_paper_validation/final_report_1_5_3.md</t>
        </is>
      </c>
      <c r="Q55" s="3" t="inlineStr">
        <is>
          <t>C003</t>
        </is>
      </c>
      <c r="R55" s="3" t="inlineStr">
        <is>
          <t>Pending Human Adjudication</t>
        </is>
      </c>
      <c r="S55" s="3" t="inlineStr">
        <is>
          <t>Displayed randomization total does not equal its two initial branches.</t>
        </is>
      </c>
      <c r="T55" s="3" t="b">
        <v>1</v>
      </c>
      <c r="U55" s="3" t="inlineStr">
        <is>
          <t>flow_total</t>
        </is>
      </c>
      <c r="V55" s="3" t="inlineStr">
        <is>
          <t>statistical_results</t>
        </is>
      </c>
      <c r="W55" s="3" t="inlineStr">
        <is>
          <t>Displayed randomization total does not equal its two initial branches</t>
        </is>
      </c>
      <c r="X55" s="3" t="inlineStr">
        <is>
          <t>2024</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Analysis-unit or population inconsistency</t>
        </is>
      </c>
      <c r="E56" s="2" t="b">
        <v>0</v>
      </c>
      <c r="F56" s="2" t="inlineStr">
        <is>
          <t>C004</t>
        </is>
      </c>
      <c r="G56" s="2" t="inlineStr">
        <is>
          <t>2024::jama.2024.4183::C004</t>
        </is>
      </c>
      <c r="H56" s="2" t="inlineStr"/>
      <c r="I56" s="2" t="inlineStr">
        <is>
          <t>Main article p. 1; Main article p. 4; Main article p. 6.</t>
        </is>
      </c>
      <c r="J56" s="2" t="b">
        <v>0</v>
      </c>
      <c r="K56" s="2" t="inlineStr">
        <is>
          <t>jama.2024.4183</t>
        </is>
      </c>
      <c r="L56" s="2" t="inlineStr"/>
      <c r="M56" s="2" t="inlineStr">
        <is>
          <t>S_W</t>
        </is>
      </c>
      <c r="N56" s="2" t="inlineStr">
        <is>
          <t>Main Results calls the same40+35 continuation-assigned patients attendees, whereas abstract/Figure2 call them nonattendees.</t>
        </is>
      </c>
      <c r="O56" s="2" t="inlineStr">
        <is>
          <t>../../2024/jama.2024.4183/.ai_paper_validation/final_report_1_5_3.html</t>
        </is>
      </c>
      <c r="P56" s="2" t="inlineStr">
        <is>
          <t>2024/jama.2024.4183/.ai_paper_validation/final_report_1_5_3.md</t>
        </is>
      </c>
      <c r="Q56" s="2" t="inlineStr">
        <is>
          <t>C004</t>
        </is>
      </c>
      <c r="R56" s="2" t="inlineStr">
        <is>
          <t>Pending Human Adjudication</t>
        </is>
      </c>
      <c r="S56" s="2" t="inlineStr">
        <is>
          <t>Results reverses attendance status for continuation assignments.</t>
        </is>
      </c>
      <c r="T56" s="2" t="b">
        <v>1</v>
      </c>
      <c r="U56" s="2" t="inlineStr">
        <is>
          <t>flow_population_label</t>
        </is>
      </c>
      <c r="V56" s="2" t="inlineStr">
        <is>
          <t>statistical_results</t>
        </is>
      </c>
      <c r="W56" s="2" t="inlineStr">
        <is>
          <t>Results reverses attendance status for continuation assignments</t>
        </is>
      </c>
      <c r="X56" s="2" t="inlineStr">
        <is>
          <t>2024</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Mixed cross-file/internal repetitions if abstract parenthetical applies to both rescue strategies; it may apply only to switch. Related to C006 but a distinct contrast.</t>
        </is>
      </c>
      <c r="C57" s="3" t="b">
        <v>0</v>
      </c>
      <c r="D57" s="3" t="inlineStr">
        <is>
          <t>Statistical reporting inconsistency</t>
        </is>
      </c>
      <c r="E57" s="3" t="b">
        <v>1</v>
      </c>
      <c r="F57" s="3" t="inlineStr">
        <is>
          <t>C005</t>
        </is>
      </c>
      <c r="G57" s="3" t="inlineStr">
        <is>
          <t>2024::jama.2024.4183::C005</t>
        </is>
      </c>
      <c r="H57" s="3" t="inlineStr"/>
      <c r="I57" s="3" t="inlineStr">
        <is>
          <t>Main article p. 1; Main article p. 5; Supplement 2 p. 21.</t>
        </is>
      </c>
      <c r="J57" s="3" t="b">
        <v>0</v>
      </c>
      <c r="K57" s="3" t="inlineStr">
        <is>
          <t>jama.2024.4183</t>
        </is>
      </c>
      <c r="L57" s="3" t="inlineStr"/>
      <c r="M57" s="3" t="inlineStr">
        <is>
          <t>S_C</t>
        </is>
      </c>
      <c r="N57" s="3" t="inlineStr">
        <is>
          <t>Conditional abstract interval6%-11% for increasedCNRT differs from2%-11% explicitly printed in main Results and results eTable4.</t>
        </is>
      </c>
      <c r="O57" s="3" t="inlineStr">
        <is>
          <t>../../2024/jama.2024.4183/.ai_paper_validation/final_report_1_5_3.html</t>
        </is>
      </c>
      <c r="P57" s="3" t="inlineStr">
        <is>
          <t>2024/jama.2024.4183/.ai_paper_validation/final_report_1_5_3.md</t>
        </is>
      </c>
      <c r="Q57" s="3" t="inlineStr">
        <is>
          <t>C005</t>
        </is>
      </c>
      <c r="R57" s="3" t="inlineStr">
        <is>
          <t>Pending Human Adjudication</t>
        </is>
      </c>
      <c r="S57" s="3" t="inlineStr">
        <is>
          <t>CNRT dose-increase primary CrI differs between abstract and matched results.</t>
        </is>
      </c>
      <c r="T57" s="3" t="b">
        <v>1</v>
      </c>
      <c r="U57" s="3" t="inlineStr">
        <is>
          <t>credible_interval_repeat</t>
        </is>
      </c>
      <c r="V57" s="3" t="inlineStr">
        <is>
          <t>statistical_results</t>
        </is>
      </c>
      <c r="W57" s="3" t="inlineStr">
        <is>
          <t>CNRT dose-increase primary CrI differs between abstract and matched results</t>
        </is>
      </c>
      <c r="X57" s="3" t="inlineStr">
        <is>
          <t>2024</t>
        </is>
      </c>
      <c r="Y57" s="3" t="inlineStr">
        <is>
          <t>meta_report/consistency_reclassification_2026-09-04/reclassified_candidates.json</t>
        </is>
      </c>
      <c r="Z57" s="3" t="inlineStr">
        <is>
          <t>S_C</t>
        </is>
      </c>
      <c r="AA57" s="3" t="inlineStr">
        <is>
          <t>statistical_results</t>
        </is>
      </c>
      <c r="AB57" s="3" t="inlineStr">
        <is>
          <t>retain</t>
        </is>
      </c>
    </row>
    <row r="58" ht="95" customHeight="1">
      <c r="A58" s="2" t="b">
        <v>0</v>
      </c>
      <c r="B58" s="2" t="inlineStr">
        <is>
          <t>Mixed cross-file and internal repetitions; separate switch contrast from C005.</t>
        </is>
      </c>
      <c r="C58" s="2" t="b">
        <v>0</v>
      </c>
      <c r="D58" s="2" t="inlineStr">
        <is>
          <t>Statistical reporting inconsistency</t>
        </is>
      </c>
      <c r="E58" s="2" t="b">
        <v>1</v>
      </c>
      <c r="F58" s="2" t="inlineStr">
        <is>
          <t>C006</t>
        </is>
      </c>
      <c r="G58" s="2" t="inlineStr">
        <is>
          <t>2024::jama.2024.4183::C006</t>
        </is>
      </c>
      <c r="H58" s="2" t="inlineStr"/>
      <c r="I58" s="2" t="inlineStr">
        <is>
          <t>Main article p. 1; Main article p. 5; Supplement 2 p. 21.</t>
        </is>
      </c>
      <c r="J58" s="2" t="b">
        <v>0</v>
      </c>
      <c r="K58" s="2" t="inlineStr">
        <is>
          <t>jama.2024.4183</t>
        </is>
      </c>
      <c r="L58" s="2" t="inlineStr"/>
      <c r="M58" s="2" t="inlineStr">
        <is>
          <t>S_C</t>
        </is>
      </c>
      <c r="N58" s="2" t="inlineStr">
        <is>
          <t>CNRT-switch interval is6%-11% in main abstract,2%-11% in main Results, and2%-10% in results eTable4.</t>
        </is>
      </c>
      <c r="O58" s="2" t="inlineStr">
        <is>
          <t>../../2024/jama.2024.4183/.ai_paper_validation/final_report_1_5_3.html</t>
        </is>
      </c>
      <c r="P58" s="2" t="inlineStr">
        <is>
          <t>2024/jama.2024.4183/.ai_paper_validation/final_report_1_5_3.md</t>
        </is>
      </c>
      <c r="Q58" s="2" t="inlineStr">
        <is>
          <t>C006</t>
        </is>
      </c>
      <c r="R58" s="2" t="inlineStr">
        <is>
          <t>Pending Human Adjudication</t>
        </is>
      </c>
      <c r="S58" s="2" t="inlineStr">
        <is>
          <t>CNRT switch primary CrI differs across abstract, Results, and eTable.</t>
        </is>
      </c>
      <c r="T58" s="2" t="b">
        <v>1</v>
      </c>
      <c r="U58" s="2" t="inlineStr">
        <is>
          <t>credible_interval_repeat</t>
        </is>
      </c>
      <c r="V58" s="2" t="inlineStr">
        <is>
          <t>statistical_results</t>
        </is>
      </c>
      <c r="W58" s="2" t="inlineStr">
        <is>
          <t>CNRT switch primary CrI differs across abstract, Results, and eTable</t>
        </is>
      </c>
      <c r="X58" s="2" t="inlineStr">
        <is>
          <t>2024</t>
        </is>
      </c>
      <c r="Y58" s="2" t="inlineStr">
        <is>
          <t>meta_report/consistency_reclassification_2026-09-04/reclassified_candidates.json</t>
        </is>
      </c>
      <c r="Z58" s="2" t="inlineStr">
        <is>
          <t>S_C</t>
        </is>
      </c>
      <c r="AA58" s="2" t="inlineStr">
        <is>
          <t>statistical_results</t>
        </is>
      </c>
      <c r="AB58" s="2" t="inlineStr">
        <is>
          <t>retain</t>
        </is>
      </c>
    </row>
    <row r="59" ht="95" customHeight="1">
      <c r="A59" s="3" t="b">
        <v>0</v>
      </c>
      <c r="B59" s="3" t="inlineStr">
        <is>
          <t>Mixed cross-file sign/reference mismatch and main internal narrative direction mismatch.</t>
        </is>
      </c>
      <c r="C59" s="3" t="b">
        <v>0</v>
      </c>
      <c r="D59" s="3" t="inlineStr">
        <is>
          <t>Measure, label, or scale inconsistency</t>
        </is>
      </c>
      <c r="E59" s="3" t="b">
        <v>1</v>
      </c>
      <c r="F59" s="3" t="inlineStr">
        <is>
          <t>C007</t>
        </is>
      </c>
      <c r="G59" s="3" t="inlineStr">
        <is>
          <t>2024::jama.2024.4183::C007</t>
        </is>
      </c>
      <c r="H59" s="3" t="inlineStr"/>
      <c r="I59" s="3" t="inlineStr">
        <is>
          <t>Main article p. 1; Main article p. 5; Main article p. 7; Supplement 2 p. 21.</t>
        </is>
      </c>
      <c r="J59" s="3" t="b">
        <v>0</v>
      </c>
      <c r="K59" s="3" t="inlineStr">
        <is>
          <t>jama.2024.4183</t>
        </is>
      </c>
      <c r="L59" s="3" t="inlineStr"/>
      <c r="M59" s="3" t="inlineStr">
        <is>
          <t>S_C</t>
        </is>
      </c>
      <c r="N59" s="3" t="inlineStr">
        <is>
          <t>Main switch-versus-continuationRD-3% differs from+3% in results eTable4, while main text calls continuation worse despite own0% switch versus3% stay values.</t>
        </is>
      </c>
      <c r="O59" s="3" t="inlineStr">
        <is>
          <t>../../2024/jama.2024.4183/.ai_paper_validation/final_report_1_5_3.html</t>
        </is>
      </c>
      <c r="P59" s="3" t="inlineStr">
        <is>
          <t>2024/jama.2024.4183/.ai_paper_validation/final_report_1_5_3.md</t>
        </is>
      </c>
      <c r="Q59" s="3" t="inlineStr">
        <is>
          <t>C007</t>
        </is>
      </c>
      <c r="R59" s="3" t="inlineStr">
        <is>
          <t>Pending Human Adjudication</t>
        </is>
      </c>
      <c r="S59" s="3" t="inlineStr">
        <is>
          <t>Varenicline-to-CNRT switch contrast has inconsistent sign and reference.</t>
        </is>
      </c>
      <c r="T59" s="3" t="b">
        <v>1</v>
      </c>
      <c r="U59" s="3" t="inlineStr">
        <is>
          <t>contrast_sign_direction</t>
        </is>
      </c>
      <c r="V59" s="3" t="inlineStr">
        <is>
          <t>internal_nonstatistical</t>
        </is>
      </c>
      <c r="W59" s="3" t="inlineStr">
        <is>
          <t>Varenicline-to-CNRT switch contrast has inconsistent sign and reference</t>
        </is>
      </c>
      <c r="X59" s="3" t="inlineStr">
        <is>
          <t>2024</t>
        </is>
      </c>
      <c r="Y59" s="3" t="inlineStr">
        <is>
          <t>meta_report/consistency_reclassification_2026-09-04/reclassified_candidates.json</t>
        </is>
      </c>
      <c r="Z59" s="3" t="inlineStr">
        <is>
          <t>S_C</t>
        </is>
      </c>
      <c r="AA59" s="3" t="inlineStr">
        <is>
          <t>internal_nonstatistical</t>
        </is>
      </c>
      <c r="AB59" s="3" t="inlineStr">
        <is>
          <t>retain</t>
        </is>
      </c>
    </row>
    <row r="60" ht="95" customHeight="1">
      <c r="A60" s="2" t="b">
        <v>0</v>
      </c>
      <c r="B60" s="2" t="inlineStr"/>
      <c r="C60" s="2" t="b">
        <v>0</v>
      </c>
      <c r="D60" s="2" t="inlineStr">
        <is>
          <t>Statistical reporting inconsistency</t>
        </is>
      </c>
      <c r="E60" s="2" t="b">
        <v>1</v>
      </c>
      <c r="F60" s="2" t="inlineStr">
        <is>
          <t>C008</t>
        </is>
      </c>
      <c r="G60" s="2" t="inlineStr">
        <is>
          <t>2024::jama.2024.4183::C008</t>
        </is>
      </c>
      <c r="H60" s="2" t="inlineStr"/>
      <c r="I60" s="2" t="inlineStr">
        <is>
          <t>Main article p. 1; Main article p. 5; Supplement 2 p. 21.</t>
        </is>
      </c>
      <c r="J60" s="2" t="b">
        <v>0</v>
      </c>
      <c r="K60" s="2" t="inlineStr">
        <is>
          <t>jama.2024.4183</t>
        </is>
      </c>
      <c r="L60" s="2" t="inlineStr"/>
      <c r="M60" s="2" t="inlineStr">
        <is>
          <t>S_C</t>
        </is>
      </c>
      <c r="N60" s="2" t="inlineStr">
        <is>
          <t>Main increased-vareniclineRD18% interval13%-24% differs from results eTable4 interval13%-23%.</t>
        </is>
      </c>
      <c r="O60" s="2" t="inlineStr">
        <is>
          <t>../../2024/jama.2024.4183/.ai_paper_validation/final_report_1_5_3.html</t>
        </is>
      </c>
      <c r="P60" s="2" t="inlineStr">
        <is>
          <t>2024/jama.2024.4183/.ai_paper_validation/final_report_1_5_3.md</t>
        </is>
      </c>
      <c r="Q60" s="2" t="inlineStr">
        <is>
          <t>C008</t>
        </is>
      </c>
      <c r="R60" s="2" t="inlineStr">
        <is>
          <t>Pending Human Adjudication</t>
        </is>
      </c>
      <c r="S60" s="2" t="inlineStr">
        <is>
          <t>Increased-varenicline primary CrI upper endpoint differs.</t>
        </is>
      </c>
      <c r="T60" s="2" t="b">
        <v>1</v>
      </c>
      <c r="U60" s="2" t="inlineStr">
        <is>
          <t>credible_interval_repeat</t>
        </is>
      </c>
      <c r="V60" s="2" t="inlineStr">
        <is>
          <t>statistical_results</t>
        </is>
      </c>
      <c r="W60" s="2" t="inlineStr">
        <is>
          <t>Increased-varenicline primary CrI upper endpoint differs</t>
        </is>
      </c>
      <c r="X60" s="2" t="inlineStr">
        <is>
          <t>2024</t>
        </is>
      </c>
      <c r="Y60" s="2" t="inlineStr">
        <is>
          <t>meta_report/consistency_reclassification_2026-09-04/reclassified_candidates.json</t>
        </is>
      </c>
      <c r="Z60" s="2" t="inlineStr">
        <is>
          <t>S_C</t>
        </is>
      </c>
      <c r="AA60" s="2" t="inlineStr">
        <is>
          <t>statistical_results</t>
        </is>
      </c>
      <c r="AB60" s="2" t="inlineStr">
        <is>
          <t>retain</t>
        </is>
      </c>
    </row>
    <row r="61" ht="95" customHeight="1">
      <c r="A61" s="3" t="b">
        <v>0</v>
      </c>
      <c r="B61" s="3" t="inlineStr"/>
      <c r="C61" s="3" t="b">
        <v>0</v>
      </c>
      <c r="D61" s="3" t="inlineStr">
        <is>
          <t>Statistical reporting inconsistency</t>
        </is>
      </c>
      <c r="E61" s="3" t="b">
        <v>1</v>
      </c>
      <c r="F61" s="3" t="inlineStr">
        <is>
          <t>C009</t>
        </is>
      </c>
      <c r="G61" s="3" t="inlineStr">
        <is>
          <t>2024::jama.2024.4183::C009</t>
        </is>
      </c>
      <c r="H61" s="3" t="inlineStr"/>
      <c r="I61" s="3" t="inlineStr">
        <is>
          <t>Main article p. 7; Supplement 2 p. 21.</t>
        </is>
      </c>
      <c r="J61" s="3" t="b">
        <v>0</v>
      </c>
      <c r="K61" s="3" t="inlineStr">
        <is>
          <t>jama.2024.4183</t>
        </is>
      </c>
      <c r="L61" s="3" t="inlineStr"/>
      <c r="M61" s="3" t="inlineStr">
        <is>
          <t>S_C</t>
        </is>
      </c>
      <c r="N61" s="3" t="inlineStr">
        <is>
          <t>Main phase1-abstainerRD6% interval-5%-16% differs from results eTable4 interval-4%-16%.</t>
        </is>
      </c>
      <c r="O61" s="3" t="inlineStr">
        <is>
          <t>../../2024/jama.2024.4183/.ai_paper_validation/final_report_1_5_3.html</t>
        </is>
      </c>
      <c r="P61" s="3" t="inlineStr">
        <is>
          <t>2024/jama.2024.4183/.ai_paper_validation/final_report_1_5_3.md</t>
        </is>
      </c>
      <c r="Q61" s="3" t="inlineStr">
        <is>
          <t>C009</t>
        </is>
      </c>
      <c r="R61" s="3" t="inlineStr">
        <is>
          <t>Pending Human Adjudication</t>
        </is>
      </c>
      <c r="S61" s="3" t="inlineStr">
        <is>
          <t>Phase-1 abstainer primary CrI lower endpoint differs.</t>
        </is>
      </c>
      <c r="T61" s="3" t="b">
        <v>1</v>
      </c>
      <c r="U61" s="3" t="inlineStr">
        <is>
          <t>credible_interval_repeat</t>
        </is>
      </c>
      <c r="V61" s="3" t="inlineStr">
        <is>
          <t>statistical_results</t>
        </is>
      </c>
      <c r="W61" s="3" t="inlineStr">
        <is>
          <t>Phase-1 abstainer primary CrI lower endpoint differs</t>
        </is>
      </c>
      <c r="X61" s="3" t="inlineStr">
        <is>
          <t>2024</t>
        </is>
      </c>
      <c r="Y61" s="3" t="inlineStr">
        <is>
          <t>meta_report/consistency_reclassification_2026-09-04/reclassified_candidates.json</t>
        </is>
      </c>
      <c r="Z61" s="3" t="inlineStr">
        <is>
          <t>S_C</t>
        </is>
      </c>
      <c r="AA61" s="3" t="inlineStr">
        <is>
          <t>statistical_results</t>
        </is>
      </c>
      <c r="AB61" s="3" t="inlineStr">
        <is>
          <t>retain</t>
        </is>
      </c>
    </row>
    <row r="62" ht="95" customHeight="1">
      <c r="A62" s="2" t="b">
        <v>0</v>
      </c>
      <c r="B62" s="2" t="inlineStr">
        <is>
          <t>Whether paired interval describes that beta distribution is not explicit; no reported-result comparator.</t>
        </is>
      </c>
      <c r="C62" s="2" t="b">
        <v>1</v>
      </c>
      <c r="D62" s="2" t="inlineStr">
        <is>
          <t>Statistical reporting inconsistency</t>
        </is>
      </c>
      <c r="E62" s="2" t="b">
        <v>0</v>
      </c>
      <c r="F62" s="2" t="inlineStr">
        <is>
          <t>C010</t>
        </is>
      </c>
      <c r="G62" s="2" t="inlineStr">
        <is>
          <t>2024::jama.2024.4183::C010</t>
        </is>
      </c>
      <c r="H62" s="2" t="inlineStr"/>
      <c r="I62" s="2" t="inlineStr">
        <is>
          <t>Protocol p. 32, Figure 2.</t>
        </is>
      </c>
      <c r="J62" s="2" t="b">
        <v>0</v>
      </c>
      <c r="K62" s="2" t="inlineStr">
        <is>
          <t>jama.2024.4183</t>
        </is>
      </c>
      <c r="L62" s="2" t="inlineStr"/>
      <c r="M62" s="2" t="inlineStr">
        <is>
          <t>P_P</t>
        </is>
      </c>
      <c r="N62" s="2" t="inlineStr">
        <is>
          <t>Within protocolFigure2,Beta(785,869) yields mean0.4746 and diagnostic95%quantiles0.4506-0.4987 rather than paired0.50(0.40-0.60).</t>
        </is>
      </c>
      <c r="O62" s="2" t="inlineStr">
        <is>
          <t>../../2024/jama.2024.4183/.ai_paper_validation/final_report_1_5_3.html</t>
        </is>
      </c>
      <c r="P62" s="2" t="inlineStr">
        <is>
          <t>2024/jama.2024.4183/.ai_paper_validation/final_report_1_5_3.md</t>
        </is>
      </c>
      <c r="Q62" s="2" t="inlineStr">
        <is>
          <t>C010</t>
        </is>
      </c>
      <c r="R62" s="2" t="inlineStr">
        <is>
          <t>Pending Human Adjudication</t>
        </is>
      </c>
      <c r="S62" s="2" t="inlineStr">
        <is>
          <t>Protocol beta parameters do not reproduce the paired varenicline response probability.</t>
        </is>
      </c>
      <c r="T62" s="2" t="b">
        <v>0</v>
      </c>
      <c r="U62" s="2" t="inlineStr">
        <is>
          <t>prior_parameter_identity</t>
        </is>
      </c>
      <c r="V62" s="2" t="inlineStr">
        <is>
          <t>plan_material</t>
        </is>
      </c>
      <c r="W62" s="2" t="inlineStr">
        <is>
          <t>Protocol beta parameters do not reproduce the paired varenicline response probability</t>
        </is>
      </c>
      <c r="X62" s="2" t="inlineStr">
        <is>
          <t>2024</t>
        </is>
      </c>
      <c r="Y62" s="2" t="inlineStr">
        <is>
          <t>meta_report/consistency_reclassification_2026-09-04/reclassified_candidates.json</t>
        </is>
      </c>
      <c r="Z62" s="2" t="inlineStr">
        <is>
          <t>P_P</t>
        </is>
      </c>
      <c r="AA62" s="2" t="inlineStr">
        <is>
          <t>plan_material</t>
        </is>
      </c>
      <c r="AB62" s="2" t="inlineStr">
        <is>
          <t>retain</t>
        </is>
      </c>
    </row>
    <row r="63" ht="95" customHeight="1">
      <c r="A63" s="3" t="b">
        <v>0</v>
      </c>
      <c r="B63" s="3" t="inlineStr">
        <is>
          <t>Common simulation realizations are unconfirmed; independent MonteCarlo sets could explain the rise.</t>
        </is>
      </c>
      <c r="C63" s="3" t="b">
        <v>1</v>
      </c>
      <c r="D63" s="3" t="inlineStr">
        <is>
          <t>Statistical reporting inconsistency</t>
        </is>
      </c>
      <c r="E63" s="3" t="b">
        <v>0</v>
      </c>
      <c r="F63" s="3" t="inlineStr">
        <is>
          <t>C011</t>
        </is>
      </c>
      <c r="G63" s="3" t="inlineStr">
        <is>
          <t>2024::jama.2024.4183::C011</t>
        </is>
      </c>
      <c r="H63" s="3" t="inlineStr"/>
      <c r="I63" s="3" t="inlineStr">
        <is>
          <t>Protocol p. 34, Table 3.</t>
        </is>
      </c>
      <c r="J63" s="3" t="b">
        <v>0</v>
      </c>
      <c r="K63" s="3" t="inlineStr">
        <is>
          <t>jama.2024.4183</t>
        </is>
      </c>
      <c r="L63" s="3" t="inlineStr"/>
      <c r="M63" s="3" t="inlineStr">
        <is>
          <t>P_P</t>
        </is>
      </c>
      <c r="N63" s="3" t="inlineStr">
        <is>
          <t>ProtocolTable3 power rises0.948 to0.980 as posterior threshold tightens0.80 to0.85, conflicting with nested detection on one simulation set.</t>
        </is>
      </c>
      <c r="O63" s="3" t="inlineStr">
        <is>
          <t>../../2024/jama.2024.4183/.ai_paper_validation/final_report_1_5_3.html</t>
        </is>
      </c>
      <c r="P63" s="3" t="inlineStr">
        <is>
          <t>2024/jama.2024.4183/.ai_paper_validation/final_report_1_5_3.md</t>
        </is>
      </c>
      <c r="Q63" s="3" t="inlineStr">
        <is>
          <t>C011</t>
        </is>
      </c>
      <c r="R63" s="3" t="inlineStr">
        <is>
          <t>Pending Human Adjudication</t>
        </is>
      </c>
      <c r="S63" s="3" t="inlineStr">
        <is>
          <t>Protocol Aim-1 power increases at a stricter nested threshold.</t>
        </is>
      </c>
      <c r="T63" s="3" t="b">
        <v>0</v>
      </c>
      <c r="U63" s="3" t="inlineStr">
        <is>
          <t>power_monotonicity</t>
        </is>
      </c>
      <c r="V63" s="3" t="inlineStr">
        <is>
          <t>plan_material</t>
        </is>
      </c>
      <c r="W63" s="3" t="inlineStr">
        <is>
          <t>Protocol Aim-1 power increases at a stricter nested threshold</t>
        </is>
      </c>
      <c r="X63" s="3" t="inlineStr">
        <is>
          <t>2024</t>
        </is>
      </c>
      <c r="Y63" s="3" t="inlineStr">
        <is>
          <t>meta_report/consistency_reclassification_2026-09-04/reclassified_candidates.json</t>
        </is>
      </c>
      <c r="Z63" s="3" t="inlineStr">
        <is>
          <t>P_P</t>
        </is>
      </c>
      <c r="AA63" s="3" t="inlineStr">
        <is>
          <t>plan_material</t>
        </is>
      </c>
      <c r="AB63" s="3" t="inlineStr">
        <is>
          <t>retain</t>
        </is>
      </c>
    </row>
    <row r="64" ht="95" customHeight="1">
      <c r="A64" s="2" t="b">
        <v>0</v>
      </c>
      <c r="B64" s="2" t="inlineStr"/>
      <c r="C64" s="2" t="b">
        <v>1</v>
      </c>
      <c r="D64" s="2" t="inlineStr">
        <is>
          <t>Measure, label, or scale inconsistency</t>
        </is>
      </c>
      <c r="E64" s="2" t="b">
        <v>0</v>
      </c>
      <c r="F64" s="2" t="inlineStr">
        <is>
          <t>C012</t>
        </is>
      </c>
      <c r="G64" s="2" t="inlineStr">
        <is>
          <t>2024::jama.2024.4183::C012</t>
        </is>
      </c>
      <c r="H64" s="2" t="inlineStr"/>
      <c r="I64" s="2" t="inlineStr">
        <is>
          <t>Protocol p. 29; Protocol p. 33; Protocol p. 34.</t>
        </is>
      </c>
      <c r="J64" s="2" t="b">
        <v>0</v>
      </c>
      <c r="K64" s="2" t="inlineStr">
        <is>
          <t>jama.2024.4183</t>
        </is>
      </c>
      <c r="L64" s="2" t="inlineStr"/>
      <c r="M64" s="2" t="inlineStr">
        <is>
          <t>P_P</t>
        </is>
      </c>
      <c r="N64" s="2" t="inlineStr">
        <is>
          <t>ProtocolTable3 repeatsVARvsNPL for third effect0.195 even though its own contrast definitions and0.399-0.204 matchVARvsNPL+.</t>
        </is>
      </c>
      <c r="O64" s="2" t="inlineStr">
        <is>
          <t>../../2024/jama.2024.4183/.ai_paper_validation/final_report_1_5_3.html</t>
        </is>
      </c>
      <c r="P64" s="2" t="inlineStr">
        <is>
          <t>2024/jama.2024.4183/.ai_paper_validation/final_report_1_5_3.md</t>
        </is>
      </c>
      <c r="Q64" s="2" t="inlineStr">
        <is>
          <t>C012</t>
        </is>
      </c>
      <c r="R64" s="2" t="inlineStr">
        <is>
          <t>Pending Human Adjudication</t>
        </is>
      </c>
      <c r="S64" s="2" t="inlineStr">
        <is>
          <t>Protocol Table 3 duplicates an Aim-2 comparator label.</t>
        </is>
      </c>
      <c r="T64" s="2" t="b">
        <v>0</v>
      </c>
      <c r="U64" s="2" t="inlineStr">
        <is>
          <t>contrast_label</t>
        </is>
      </c>
      <c r="V64" s="2" t="inlineStr">
        <is>
          <t>plan_material</t>
        </is>
      </c>
      <c r="W64" s="2" t="inlineStr">
        <is>
          <t>Protocol Table 3 duplicates an Aim-2 comparator label</t>
        </is>
      </c>
      <c r="X64" s="2" t="inlineStr">
        <is>
          <t>2024</t>
        </is>
      </c>
      <c r="Y64" s="2" t="inlineStr">
        <is>
          <t>meta_report/consistency_reclassification_2026-09-04/reclassified_candidates.json</t>
        </is>
      </c>
      <c r="Z64" s="2" t="inlineStr">
        <is>
          <t>P_P</t>
        </is>
      </c>
      <c r="AA64" s="2" t="inlineStr">
        <is>
          <t>plan_material</t>
        </is>
      </c>
      <c r="AB64" s="2" t="inlineStr">
        <is>
          <t>retain</t>
        </is>
      </c>
    </row>
    <row r="65" ht="95" customHeight="1">
      <c r="A65" s="3" t="b">
        <v>0</v>
      </c>
      <c r="B65" s="3" t="inlineStr"/>
      <c r="C65" s="3" t="b">
        <v>0</v>
      </c>
      <c r="D65" s="3" t="inlineStr">
        <is>
          <t>Measure, label, or scale inconsistency</t>
        </is>
      </c>
      <c r="E65" s="3" t="b">
        <v>0</v>
      </c>
      <c r="F65" s="3" t="inlineStr">
        <is>
          <t>C013</t>
        </is>
      </c>
      <c r="G65" s="3" t="inlineStr">
        <is>
          <t>2024::jama.2024.4183::C013</t>
        </is>
      </c>
      <c r="H65" s="3" t="inlineStr"/>
      <c r="I65" s="3" t="inlineStr">
        <is>
          <t>Supplement 2 p. 19, ETable 3.</t>
        </is>
      </c>
      <c r="J65" s="3" t="b">
        <v>0</v>
      </c>
      <c r="K65" s="3" t="inlineStr">
        <is>
          <t>jama.2024.4183</t>
        </is>
      </c>
      <c r="L65" s="3" t="inlineStr"/>
      <c r="M65" s="3" t="inlineStr">
        <is>
          <t>S_W</t>
        </is>
      </c>
      <c r="N65" s="3" t="inlineStr">
        <is>
          <t>Results eTable3 raceOther cell4.9(2) reverses its n(%) order, with2/41=4.9%.</t>
        </is>
      </c>
      <c r="O65" s="3" t="inlineStr">
        <is>
          <t>../../2024/jama.2024.4183/.ai_paper_validation/final_report_1_5_3.html</t>
        </is>
      </c>
      <c r="P65" s="3" t="inlineStr">
        <is>
          <t>2024/jama.2024.4183/.ai_paper_validation/final_report_1_5_3.md</t>
        </is>
      </c>
      <c r="Q65" s="3" t="inlineStr">
        <is>
          <t>C013</t>
        </is>
      </c>
      <c r="R65" s="3" t="inlineStr">
        <is>
          <t>Pending Human Adjudication</t>
        </is>
      </c>
      <c r="S65" s="3" t="inlineStr">
        <is>
          <t>ETable 3 reverses count and percentage in one n (%) cell.</t>
        </is>
      </c>
      <c r="T65" s="3" t="b">
        <v>1</v>
      </c>
      <c r="U65" s="3" t="inlineStr">
        <is>
          <t>count_percent_order</t>
        </is>
      </c>
      <c r="V65" s="3" t="inlineStr">
        <is>
          <t>internal_nonstatistical</t>
        </is>
      </c>
      <c r="W65" s="3" t="inlineStr">
        <is>
          <t>ETable 3 reverses count and percentage in one n (%) cell</t>
        </is>
      </c>
      <c r="X65" s="3" t="inlineStr">
        <is>
          <t>2024</t>
        </is>
      </c>
      <c r="Y65" s="3" t="inlineStr">
        <is>
          <t>meta_report/consistency_reclassification_2026-09-04/reclassified_candidates.json</t>
        </is>
      </c>
      <c r="Z65" s="3" t="inlineStr">
        <is>
          <t>S_W</t>
        </is>
      </c>
      <c r="AA65" s="3" t="inlineStr">
        <is>
          <t>internal_nonstatistical</t>
        </is>
      </c>
      <c r="AB65" s="3" t="inlineStr">
        <is>
          <t>retain</t>
        </is>
      </c>
    </row>
    <row r="66" ht="95" customHeight="1">
      <c r="A66" s="2" t="b">
        <v>0</v>
      </c>
      <c r="B66" s="2" t="inlineStr"/>
      <c r="C66" s="2" t="b">
        <v>0</v>
      </c>
      <c r="D66" s="2" t="inlineStr">
        <is>
          <t>Statistical reporting inconsistency</t>
        </is>
      </c>
      <c r="E66" s="2" t="b">
        <v>0</v>
      </c>
      <c r="F66" s="2" t="inlineStr">
        <is>
          <t>C014</t>
        </is>
      </c>
      <c r="G66" s="2" t="inlineStr">
        <is>
          <t>2024::jama.2024.4183::C014</t>
        </is>
      </c>
      <c r="H66" s="2" t="inlineStr"/>
      <c r="I66" s="2" t="inlineStr">
        <is>
          <t>Supplement 2 p. 10; Supplement 2 p. 15.</t>
        </is>
      </c>
      <c r="J66" s="2" t="b">
        <v>0</v>
      </c>
      <c r="K66" s="2" t="inlineStr">
        <is>
          <t>jama.2024.4183</t>
        </is>
      </c>
      <c r="L66" s="2" t="inlineStr"/>
      <c r="M66" s="2" t="inlineStr">
        <is>
          <t>S_W</t>
        </is>
      </c>
      <c r="N66" s="2" t="inlineStr">
        <is>
          <t>Within results supplement,EOT+30CNRT-switch narrative1.0%(7.0%-1.3%) disagrees with eFigure2's5/51,10%(7%-13%), and has reversed/noncontaining bounds.</t>
        </is>
      </c>
      <c r="O66" s="2" t="inlineStr">
        <is>
          <t>../../2024/jama.2024.4183/.ai_paper_validation/final_report_1_5_3.html</t>
        </is>
      </c>
      <c r="P66" s="2" t="inlineStr">
        <is>
          <t>2024/jama.2024.4183/.ai_paper_validation/final_report_1_5_3.md</t>
        </is>
      </c>
      <c r="Q66" s="2" t="inlineStr">
        <is>
          <t>C014</t>
        </is>
      </c>
      <c r="R66" s="2" t="inlineStr">
        <is>
          <t>Pending Human Adjudication</t>
        </is>
      </c>
      <c r="S66" s="2" t="inlineStr">
        <is>
          <t>EOT+30 CNRT-switch cell estimate and CrI do not reconcile with matched figure as printed.</t>
        </is>
      </c>
      <c r="T66" s="2" t="b">
        <v>1</v>
      </c>
      <c r="U66" s="2" t="inlineStr">
        <is>
          <t>estimate_interval_repeat</t>
        </is>
      </c>
      <c r="V66" s="2" t="inlineStr">
        <is>
          <t>statistical_results</t>
        </is>
      </c>
      <c r="W66" s="2" t="inlineStr">
        <is>
          <t>EOT+30 CNRT-switch cell estimate and CrI do not reconcile with matched figure as printed</t>
        </is>
      </c>
      <c r="X66" s="2" t="inlineStr">
        <is>
          <t>2024</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0</v>
      </c>
      <c r="F67" s="3" t="inlineStr">
        <is>
          <t>C015</t>
        </is>
      </c>
      <c r="G67" s="3" t="inlineStr">
        <is>
          <t>2024::jama.2024.4183::C015</t>
        </is>
      </c>
      <c r="H67" s="3" t="inlineStr"/>
      <c r="I67" s="3" t="inlineStr">
        <is>
          <t>Supplement 2 p. 10; Supplement 2 p. 15.</t>
        </is>
      </c>
      <c r="J67" s="3" t="b">
        <v>0</v>
      </c>
      <c r="K67" s="3" t="inlineStr">
        <is>
          <t>jama.2024.4183</t>
        </is>
      </c>
      <c r="L67" s="3" t="inlineStr"/>
      <c r="M67" s="3" t="inlineStr">
        <is>
          <t>S_W</t>
        </is>
      </c>
      <c r="N67" s="3" t="inlineStr">
        <is>
          <t>Within results supplement,EOT+30increasedCNRT narrative8%(5%-1.1%) disagrees with eFigure2's8%(5%-11%).</t>
        </is>
      </c>
      <c r="O67" s="3" t="inlineStr">
        <is>
          <t>../../2024/jama.2024.4183/.ai_paper_validation/final_report_1_5_3.html</t>
        </is>
      </c>
      <c r="P67" s="3" t="inlineStr">
        <is>
          <t>2024/jama.2024.4183/.ai_paper_validation/final_report_1_5_3.md</t>
        </is>
      </c>
      <c r="Q67" s="3" t="inlineStr">
        <is>
          <t>C015</t>
        </is>
      </c>
      <c r="R67" s="3" t="inlineStr">
        <is>
          <t>Pending Human Adjudication</t>
        </is>
      </c>
      <c r="S67" s="3" t="inlineStr">
        <is>
          <t>EOT+30 increased-CNRT cell CrI upper endpoint does not reconcile with matched figure as printed.</t>
        </is>
      </c>
      <c r="T67" s="3" t="b">
        <v>1</v>
      </c>
      <c r="U67" s="3" t="inlineStr">
        <is>
          <t>credible_interval_repeat</t>
        </is>
      </c>
      <c r="V67" s="3" t="inlineStr">
        <is>
          <t>statistical_results</t>
        </is>
      </c>
      <c r="W67" s="3" t="inlineStr">
        <is>
          <t>EOT+30 increased-CNRT cell CrI upper endpoint does not reconcile with matched figure as printed</t>
        </is>
      </c>
      <c r="X67" s="3" t="inlineStr">
        <is>
          <t>2024</t>
        </is>
      </c>
      <c r="Y67" s="3" t="inlineStr">
        <is>
          <t>meta_report/consistency_reclassification_2026-09-04/reclassified_candidates.json</t>
        </is>
      </c>
      <c r="Z67" s="3" t="inlineStr">
        <is>
          <t>S_W</t>
        </is>
      </c>
      <c r="AA67" s="3" t="inlineStr">
        <is>
          <t>statistical_results</t>
        </is>
      </c>
      <c r="AB67" s="3" t="inlineStr">
        <is>
          <t>retain</t>
        </is>
      </c>
    </row>
    <row r="68" ht="95" customHeight="1">
      <c r="A68" s="2" t="b">
        <v>0</v>
      </c>
      <c r="B68" s="2" t="inlineStr">
        <is>
          <t>Different estimand from C014's arm-specific response cell, so not a duplicate.</t>
        </is>
      </c>
      <c r="C68" s="2" t="b">
        <v>0</v>
      </c>
      <c r="D68" s="2" t="inlineStr">
        <is>
          <t>Statistical reporting inconsistency</t>
        </is>
      </c>
      <c r="E68" s="2" t="b">
        <v>0</v>
      </c>
      <c r="F68" s="2" t="inlineStr">
        <is>
          <t>C016</t>
        </is>
      </c>
      <c r="G68" s="2" t="inlineStr">
        <is>
          <t>2024::jama.2024.4183::C016</t>
        </is>
      </c>
      <c r="H68" s="2" t="inlineStr"/>
      <c r="I68" s="2" t="inlineStr">
        <is>
          <t>Supplement 2 p. 10; Supplement 2 p. 33.</t>
        </is>
      </c>
      <c r="J68" s="2" t="b">
        <v>0</v>
      </c>
      <c r="K68" s="2" t="inlineStr">
        <is>
          <t>jama.2024.4183</t>
        </is>
      </c>
      <c r="L68" s="2" t="inlineStr"/>
      <c r="M68" s="2" t="inlineStr">
        <is>
          <t>S_W</t>
        </is>
      </c>
      <c r="N68" s="2" t="inlineStr">
        <is>
          <t>Within results supplement,CNRT-switchARD6%(3%-1.0%) narrative disagrees with eTable9's6%(3%-10%).</t>
        </is>
      </c>
      <c r="O68" s="2" t="inlineStr">
        <is>
          <t>../../2024/jama.2024.4183/.ai_paper_validation/final_report_1_5_3.html</t>
        </is>
      </c>
      <c r="P68" s="2" t="inlineStr">
        <is>
          <t>2024/jama.2024.4183/.ai_paper_validation/final_report_1_5_3.md</t>
        </is>
      </c>
      <c r="Q68" s="2" t="inlineStr">
        <is>
          <t>C016</t>
        </is>
      </c>
      <c r="R68" s="2" t="inlineStr">
        <is>
          <t>Pending Human Adjudication</t>
        </is>
      </c>
      <c r="S68" s="2" t="inlineStr">
        <is>
          <t>EOT+30 CNRT-switch ARD CrI upper endpoint does not reconcile with matched table as printed.</t>
        </is>
      </c>
      <c r="T68" s="2" t="b">
        <v>1</v>
      </c>
      <c r="U68" s="2" t="inlineStr">
        <is>
          <t>credible_interval_repeat</t>
        </is>
      </c>
      <c r="V68" s="2" t="inlineStr">
        <is>
          <t>statistical_results</t>
        </is>
      </c>
      <c r="W68" s="2" t="inlineStr">
        <is>
          <t>EOT+30 CNRT-switch ARD CrI upper endpoint does not reconcile with matched table as printed</t>
        </is>
      </c>
      <c r="X68" s="2" t="inlineStr">
        <is>
          <t>2024</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is>
          <t>Multiple repeated affected outputs intentionally preserved as one source candidate; distinct arm from C015.</t>
        </is>
      </c>
      <c r="C69" s="3" t="b">
        <v>0</v>
      </c>
      <c r="D69" s="3" t="inlineStr">
        <is>
          <t>Statistical reporting inconsistency</t>
        </is>
      </c>
      <c r="E69" s="3" t="b">
        <v>0</v>
      </c>
      <c r="F69" s="3" t="inlineStr">
        <is>
          <t>C017</t>
        </is>
      </c>
      <c r="G69" s="3" t="inlineStr">
        <is>
          <t>2024::jama.2024.4183::C017</t>
        </is>
      </c>
      <c r="H69" s="3" t="inlineStr"/>
      <c r="I69" s="3" t="inlineStr">
        <is>
          <t>Supplement 2 p. 10; Supplement 2 p. 11; Supplement 2 p. 15; Supplement 2 p. 33; Supplement 2 p. 34.</t>
        </is>
      </c>
      <c r="J69" s="3" t="b">
        <v>0</v>
      </c>
      <c r="K69" s="3" t="inlineStr">
        <is>
          <t>jama.2024.4183</t>
        </is>
      </c>
      <c r="L69" s="3" t="inlineStr"/>
      <c r="M69" s="3" t="inlineStr">
        <is>
          <t>S_W</t>
        </is>
      </c>
      <c r="N69" s="3" t="inlineStr">
        <is>
          <t>Within results supplement,increased-varenicline narrative repeats8%(5%-1.1%) for its cell and twoARDs, while matched eFigure/eTables give8%(5%-11%).</t>
        </is>
      </c>
      <c r="O69" s="3" t="inlineStr">
        <is>
          <t>../../2024/jama.2024.4183/.ai_paper_validation/final_report_1_5_3.html</t>
        </is>
      </c>
      <c r="P69" s="3" t="inlineStr">
        <is>
          <t>2024/jama.2024.4183/.ai_paper_validation/final_report_1_5_3.md</t>
        </is>
      </c>
      <c r="Q69" s="3" t="inlineStr">
        <is>
          <t>C017</t>
        </is>
      </c>
      <c r="R69" s="3" t="inlineStr">
        <is>
          <t>Pending Human Adjudication</t>
        </is>
      </c>
      <c r="S69" s="3" t="inlineStr">
        <is>
          <t>EOT+30 increased-varenicline narrative has repeated intervals that do not reconcile as printed.</t>
        </is>
      </c>
      <c r="T69" s="3" t="b">
        <v>1</v>
      </c>
      <c r="U69" s="3" t="inlineStr">
        <is>
          <t>credible_interval_repeat</t>
        </is>
      </c>
      <c r="V69" s="3" t="inlineStr">
        <is>
          <t>statistical_results</t>
        </is>
      </c>
      <c r="W69" s="3" t="inlineStr">
        <is>
          <t>EOT+30 increased-varenicline narrative has repeated intervals that do not reconcile as printed</t>
        </is>
      </c>
      <c r="X69" s="3" t="inlineStr">
        <is>
          <t>2024</t>
        </is>
      </c>
      <c r="Y69" s="3" t="inlineStr">
        <is>
          <t>meta_report/consistency_reclassification_2026-09-04/reclassified_candidates.json</t>
        </is>
      </c>
      <c r="Z69" s="3" t="inlineStr">
        <is>
          <t>S_W</t>
        </is>
      </c>
      <c r="AA69" s="3" t="inlineStr">
        <is>
          <t>statistical_results</t>
        </is>
      </c>
      <c r="AB69" s="3" t="inlineStr">
        <is>
          <t>retain</t>
        </is>
      </c>
    </row>
    <row r="70" ht="95" customHeight="1">
      <c r="A70" s="2" t="b">
        <v>0</v>
      </c>
      <c r="B70" s="2" t="inlineStr"/>
      <c r="C70" s="2" t="b">
        <v>0</v>
      </c>
      <c r="D70" s="2" t="inlineStr">
        <is>
          <t>Statistical reporting inconsistency</t>
        </is>
      </c>
      <c r="E70" s="2" t="b">
        <v>0</v>
      </c>
      <c r="F70" s="2" t="inlineStr">
        <is>
          <t>C018</t>
        </is>
      </c>
      <c r="G70" s="2" t="inlineStr">
        <is>
          <t>2024::jama.2024.4183::C018</t>
        </is>
      </c>
      <c r="H70" s="2" t="inlineStr"/>
      <c r="I70" s="2" t="inlineStr">
        <is>
          <t>Supplement 2 p. 11; Supplement 2 p. 15; Supplement 2 p. 35.</t>
        </is>
      </c>
      <c r="J70" s="2" t="b">
        <v>0</v>
      </c>
      <c r="K70" s="2" t="inlineStr">
        <is>
          <t>jama.2024.4183</t>
        </is>
      </c>
      <c r="L70" s="2" t="inlineStr"/>
      <c r="M70" s="2" t="inlineStr">
        <is>
          <t>S_W</t>
        </is>
      </c>
      <c r="N70" s="2" t="inlineStr">
        <is>
          <t>Within results supplement,abstainerARD1.1% narrative differs from11% in eTable11 and its67%-56% displayed cell difference.</t>
        </is>
      </c>
      <c r="O70" s="2" t="inlineStr">
        <is>
          <t>../../2024/jama.2024.4183/.ai_paper_validation/final_report_1_5_3.html</t>
        </is>
      </c>
      <c r="P70" s="2" t="inlineStr">
        <is>
          <t>2024/jama.2024.4183/.ai_paper_validation/final_report_1_5_3.md</t>
        </is>
      </c>
      <c r="Q70" s="2" t="inlineStr">
        <is>
          <t>C018</t>
        </is>
      </c>
      <c r="R70" s="2" t="inlineStr">
        <is>
          <t>Pending Human Adjudication</t>
        </is>
      </c>
      <c r="S70" s="2" t="inlineStr">
        <is>
          <t>EOT+30 abstainer ARD is 1.1% in narrative but 11% in eTable.</t>
        </is>
      </c>
      <c r="T70" s="2" t="b">
        <v>1</v>
      </c>
      <c r="U70" s="2" t="inlineStr">
        <is>
          <t>estimate_repeat</t>
        </is>
      </c>
      <c r="V70" s="2" t="inlineStr">
        <is>
          <t>statistical_results</t>
        </is>
      </c>
      <c r="W70" s="2" t="inlineStr">
        <is>
          <t>EOT+30 abstainer ARD is 1.1% in narrative but 11% in eTable</t>
        </is>
      </c>
      <c r="X70" s="2" t="inlineStr">
        <is>
          <t>2024</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0</v>
      </c>
      <c r="D71" s="3" t="inlineStr">
        <is>
          <t>Measure, label, or scale inconsistency</t>
        </is>
      </c>
      <c r="E71" s="3" t="b">
        <v>0</v>
      </c>
      <c r="F71" s="3" t="inlineStr">
        <is>
          <t>C019</t>
        </is>
      </c>
      <c r="G71" s="3" t="inlineStr">
        <is>
          <t>2024::jama.2024.4183::C019</t>
        </is>
      </c>
      <c r="H71" s="3" t="inlineStr"/>
      <c r="I71" s="3" t="inlineStr">
        <is>
          <t>Supplement 2 p. 11; Supplement 2 p. 31; Supplement 2 p. 33.</t>
        </is>
      </c>
      <c r="J71" s="3" t="b">
        <v>0</v>
      </c>
      <c r="K71" s="3" t="inlineStr">
        <is>
          <t>jama.2024.4183</t>
        </is>
      </c>
      <c r="L71" s="3" t="inlineStr"/>
      <c r="M71" s="3" t="inlineStr">
        <is>
          <t>S_W</t>
        </is>
      </c>
      <c r="N71" s="3" t="inlineStr">
        <is>
          <t>Results-supplement sixmonthCNRT-switch narrative cites compliance eTable7 rather than matched outcome eTable9 in the same PDF.</t>
        </is>
      </c>
      <c r="O71" s="3" t="inlineStr">
        <is>
          <t>../../2024/jama.2024.4183/.ai_paper_validation/final_report_1_5_3.html</t>
        </is>
      </c>
      <c r="P71" s="3" t="inlineStr">
        <is>
          <t>2024/jama.2024.4183/.ai_paper_validation/final_report_1_5_3.md</t>
        </is>
      </c>
      <c r="Q71" s="3" t="inlineStr">
        <is>
          <t>C019</t>
        </is>
      </c>
      <c r="R71" s="3" t="inlineStr">
        <is>
          <t>Pending Human Adjudication</t>
        </is>
      </c>
      <c r="S71" s="3" t="inlineStr">
        <is>
          <t>The six-month CNRT-switch cross-reference does not directly identify the matched outcome table.</t>
        </is>
      </c>
      <c r="T71" s="3" t="b">
        <v>1</v>
      </c>
      <c r="U71" s="3" t="inlineStr">
        <is>
          <t>cross_reference</t>
        </is>
      </c>
      <c r="V71" s="3" t="inlineStr">
        <is>
          <t>internal_nonstatistical</t>
        </is>
      </c>
      <c r="W71" s="3" t="inlineStr">
        <is>
          <t>Six-month CNRT-switch cross-reference does not directly identify the matched table</t>
        </is>
      </c>
      <c r="X71" s="3" t="inlineStr">
        <is>
          <t>2024</t>
        </is>
      </c>
      <c r="Y71" s="3" t="inlineStr">
        <is>
          <t>meta_report/consistency_reclassification_2026-09-04/reclassified_candidates.json</t>
        </is>
      </c>
      <c r="Z71" s="3" t="inlineStr">
        <is>
          <t>S_W</t>
        </is>
      </c>
      <c r="AA71" s="3" t="inlineStr">
        <is>
          <t>internal_nonstatistical</t>
        </is>
      </c>
      <c r="AB71" s="3" t="inlineStr">
        <is>
          <t>retain</t>
        </is>
      </c>
    </row>
    <row r="72" ht="95" customHeight="1">
      <c r="A72" s="2" t="b">
        <v>0</v>
      </c>
      <c r="B72" s="2" t="inlineStr">
        <is>
          <t>Several result fields bundled in one retained candidate; no cross-file source or plan relationship.</t>
        </is>
      </c>
      <c r="C72" s="2" t="b">
        <v>0</v>
      </c>
      <c r="D72" s="2" t="inlineStr">
        <is>
          <t>Statistical reporting inconsistency</t>
        </is>
      </c>
      <c r="E72" s="2" t="b">
        <v>0</v>
      </c>
      <c r="F72" s="2" t="inlineStr">
        <is>
          <t>C020</t>
        </is>
      </c>
      <c r="G72" s="2" t="inlineStr">
        <is>
          <t>2024::jama.2024.4183::C020</t>
        </is>
      </c>
      <c r="H72" s="2" t="inlineStr"/>
      <c r="I72" s="2" t="inlineStr">
        <is>
          <t>Supplement 2 p. 12; Supplement 2 p. 16; Supplement 2 p. 35.</t>
        </is>
      </c>
      <c r="J72" s="2" t="b">
        <v>0</v>
      </c>
      <c r="K72" s="2" t="inlineStr">
        <is>
          <t>jama.2024.4183</t>
        </is>
      </c>
      <c r="L72" s="2" t="inlineStr"/>
      <c r="M72" s="2" t="inlineStr">
        <is>
          <t>S_W</t>
        </is>
      </c>
      <c r="N72" s="2" t="inlineStr">
        <is>
          <t>Within results supplement,sixmonthabstainer narrative+1%(-1.3%,-1.1%),probability55%,direction text conflict with eTable11+1%(-11%,12%),56% and paired figure values.</t>
        </is>
      </c>
      <c r="O72" s="2" t="inlineStr">
        <is>
          <t>../../2024/jama.2024.4183/.ai_paper_validation/final_report_1_5_3.html</t>
        </is>
      </c>
      <c r="P72" s="2" t="inlineStr">
        <is>
          <t>2024/jama.2024.4183/.ai_paper_validation/final_report_1_5_3.md</t>
        </is>
      </c>
      <c r="Q72" s="2" t="inlineStr">
        <is>
          <t>C020</t>
        </is>
      </c>
      <c r="R72" s="2" t="inlineStr">
        <is>
          <t>Pending Human Adjudication</t>
        </is>
      </c>
      <c r="S72" s="2" t="inlineStr">
        <is>
          <t>Six-month abstainer narrative interval and direction do not reconcile with matched sources.</t>
        </is>
      </c>
      <c r="T72" s="2" t="b">
        <v>1</v>
      </c>
      <c r="U72" s="2" t="inlineStr">
        <is>
          <t>interval_direction_repeat</t>
        </is>
      </c>
      <c r="V72" s="2" t="inlineStr">
        <is>
          <t>statistical_results</t>
        </is>
      </c>
      <c r="W72" s="2" t="inlineStr">
        <is>
          <t>Six-month abstainer narrative interval and direction do not reconcile with matched sources</t>
        </is>
      </c>
      <c r="X72" s="2" t="inlineStr">
        <is>
          <t>2024</t>
        </is>
      </c>
      <c r="Y72" s="2" t="inlineStr">
        <is>
          <t>meta_report/consistency_reclassification_2026-09-04/reclassified_candidates.json</t>
        </is>
      </c>
      <c r="Z72" s="2" t="inlineStr">
        <is>
          <t>S_W</t>
        </is>
      </c>
      <c r="AA72" s="2" t="inlineStr">
        <is>
          <t>statistical_results</t>
        </is>
      </c>
      <c r="AB72" s="2" t="inlineStr">
        <is>
          <t>retain</t>
        </is>
      </c>
    </row>
    <row r="73" ht="95" customHeight="1">
      <c r="A73" s="3" t="b">
        <v>0</v>
      </c>
      <c r="B73" s="3" t="inlineStr"/>
      <c r="C73" s="3" t="b">
        <v>0</v>
      </c>
      <c r="D73" s="3" t="inlineStr">
        <is>
          <t>Measure, label, or scale inconsistency</t>
        </is>
      </c>
      <c r="E73" s="3" t="b">
        <v>0</v>
      </c>
      <c r="F73" s="3" t="inlineStr">
        <is>
          <t>C021</t>
        </is>
      </c>
      <c r="G73" s="3" t="inlineStr">
        <is>
          <t>2024::jama.2024.4183::C021</t>
        </is>
      </c>
      <c r="H73" s="3" t="inlineStr"/>
      <c r="I73" s="3" t="inlineStr">
        <is>
          <t>Supplement 2 p. 10; Supplement 2 p. 34; Supplement 2 p. 35.</t>
        </is>
      </c>
      <c r="J73" s="3" t="b">
        <v>0</v>
      </c>
      <c r="K73" s="3" t="inlineStr">
        <is>
          <t>jama.2024.4183</t>
        </is>
      </c>
      <c r="L73" s="3" t="inlineStr"/>
      <c r="M73" s="3" t="inlineStr">
        <is>
          <t>S_W</t>
        </is>
      </c>
      <c r="N73" s="3" t="inlineStr">
        <is>
          <t>Results-supplement phase1-abstainer summary cites nonabstainer eTable10 rather than its matched eTable11 in the same PDF.</t>
        </is>
      </c>
      <c r="O73" s="3" t="inlineStr">
        <is>
          <t>../../2024/jama.2024.4183/.ai_paper_validation/final_report_1_5_3.html</t>
        </is>
      </c>
      <c r="P73" s="3" t="inlineStr">
        <is>
          <t>2024/jama.2024.4183/.ai_paper_validation/final_report_1_5_3.md</t>
        </is>
      </c>
      <c r="Q73" s="3" t="inlineStr">
        <is>
          <t>C021</t>
        </is>
      </c>
      <c r="R73" s="3" t="inlineStr">
        <is>
          <t>Pending Human Adjudication</t>
        </is>
      </c>
      <c r="S73" s="3" t="inlineStr">
        <is>
          <t>The phase-1-abstainer summary cross-reference does not directly identify the matched table.</t>
        </is>
      </c>
      <c r="T73" s="3" t="b">
        <v>1</v>
      </c>
      <c r="U73" s="3" t="inlineStr">
        <is>
          <t>cross_reference</t>
        </is>
      </c>
      <c r="V73" s="3" t="inlineStr">
        <is>
          <t>internal_nonstatistical</t>
        </is>
      </c>
      <c r="W73" s="3" t="inlineStr">
        <is>
          <t>Phase-1-abstainer summary cross-reference does not directly identify the matched table</t>
        </is>
      </c>
      <c r="X73" s="3" t="inlineStr">
        <is>
          <t>2024</t>
        </is>
      </c>
      <c r="Y73" s="3" t="inlineStr">
        <is>
          <t>meta_report/consistency_reclassification_2026-09-04/reclassified_candidates.json</t>
        </is>
      </c>
      <c r="Z73" s="3" t="inlineStr">
        <is>
          <t>S_W</t>
        </is>
      </c>
      <c r="AA73" s="3" t="inlineStr">
        <is>
          <t>internal_nonstatistical</t>
        </is>
      </c>
      <c r="AB73" s="3" t="inlineStr">
        <is>
          <t>retain</t>
        </is>
      </c>
    </row>
    <row r="74" ht="95" customHeight="1">
      <c r="A74" s="2" t="b">
        <v>0</v>
      </c>
      <c r="B74" s="2" t="inlineStr"/>
      <c r="C74" s="2" t="b">
        <v>0</v>
      </c>
      <c r="D74" s="2" t="inlineStr">
        <is>
          <t>Measure, label, or scale inconsistency</t>
        </is>
      </c>
      <c r="E74" s="2" t="b">
        <v>0</v>
      </c>
      <c r="F74" s="2" t="inlineStr">
        <is>
          <t>C022</t>
        </is>
      </c>
      <c r="G74" s="2" t="inlineStr">
        <is>
          <t>2024::jama.2024.4183::C022</t>
        </is>
      </c>
      <c r="H74" s="2" t="inlineStr"/>
      <c r="I74" s="2" t="inlineStr">
        <is>
          <t>Supplement 2 p. 12; Supplement 2 p. 33; Supplement 2 p. 34.</t>
        </is>
      </c>
      <c r="J74" s="2" t="b">
        <v>0</v>
      </c>
      <c r="K74" s="2" t="inlineStr">
        <is>
          <t>jama.2024.4183</t>
        </is>
      </c>
      <c r="L74" s="2" t="inlineStr"/>
      <c r="M74" s="2" t="inlineStr">
        <is>
          <t>S_W</t>
        </is>
      </c>
      <c r="N74" s="2" t="inlineStr">
        <is>
          <t>Results-supplement VARplus-versus-switch clause cites continuation-reference eTable9 rather than direct-switch-reference eTable10 in the same PDF.</t>
        </is>
      </c>
      <c r="O74" s="2" t="inlineStr">
        <is>
          <t>../../2024/jama.2024.4183/.ai_paper_validation/final_report_1_5_3.html</t>
        </is>
      </c>
      <c r="P74" s="2" t="inlineStr">
        <is>
          <t>2024/jama.2024.4183/.ai_paper_validation/final_report_1_5_3.md</t>
        </is>
      </c>
      <c r="Q74" s="2" t="inlineStr">
        <is>
          <t>C022</t>
        </is>
      </c>
      <c r="R74" s="2" t="inlineStr">
        <is>
          <t>Pending Human Adjudication</t>
        </is>
      </c>
      <c r="S74" s="2" t="inlineStr">
        <is>
          <t>The VAR-plus-versus-switch cross-reference does not directly identify the matched direct-contrast table.</t>
        </is>
      </c>
      <c r="T74" s="2" t="b">
        <v>1</v>
      </c>
      <c r="U74" s="2" t="inlineStr">
        <is>
          <t>cross_reference</t>
        </is>
      </c>
      <c r="V74" s="2" t="inlineStr">
        <is>
          <t>internal_nonstatistical</t>
        </is>
      </c>
      <c r="W74" s="2" t="inlineStr">
        <is>
          <t>Six-month VAR-plus-versus-switch cross-reference does not directly identify the matched table</t>
        </is>
      </c>
      <c r="X74" s="2" t="inlineStr">
        <is>
          <t>2024</t>
        </is>
      </c>
      <c r="Y74" s="2" t="inlineStr">
        <is>
          <t>meta_report/consistency_reclassification_2026-09-04/reclassified_candidates.json</t>
        </is>
      </c>
      <c r="Z74" s="2" t="inlineStr">
        <is>
          <t>S_W</t>
        </is>
      </c>
      <c r="AA74" s="2" t="inlineStr">
        <is>
          <t>internal_nonstatistical</t>
        </is>
      </c>
      <c r="AB74" s="2" t="inlineStr">
        <is>
          <t>retain</t>
        </is>
      </c>
    </row>
    <row r="75" ht="95" customHeight="1">
      <c r="A75" s="3" t="b">
        <v>0</v>
      </c>
      <c r="B75" s="3" t="inlineStr">
        <is>
          <t>Separate employment row block from C013's race cell.</t>
        </is>
      </c>
      <c r="C75" s="3" t="b">
        <v>0</v>
      </c>
      <c r="D75" s="3" t="inlineStr">
        <is>
          <t>Measure, label, or scale inconsistency</t>
        </is>
      </c>
      <c r="E75" s="3" t="b">
        <v>0</v>
      </c>
      <c r="F75" s="3" t="inlineStr">
        <is>
          <t>C023</t>
        </is>
      </c>
      <c r="G75" s="3" t="inlineStr">
        <is>
          <t>2024::jama.2024.4183::C023</t>
        </is>
      </c>
      <c r="H75" s="3" t="inlineStr"/>
      <c r="I75" s="3" t="inlineStr">
        <is>
          <t>Supplement 2 p. 19, ETable 3.</t>
        </is>
      </c>
      <c r="J75" s="3" t="b">
        <v>0</v>
      </c>
      <c r="K75" s="3" t="inlineStr">
        <is>
          <t>jama.2024.4183</t>
        </is>
      </c>
      <c r="L75" s="3" t="inlineStr"/>
      <c r="M75" s="3" t="inlineStr">
        <is>
          <t>S_W</t>
        </is>
      </c>
      <c r="N75" s="3" t="inlineStr">
        <is>
          <t>Results eTable3 employment heading n(%) disagrees with all16 cells displaying percentage(count).</t>
        </is>
      </c>
      <c r="O75" s="3" t="inlineStr">
        <is>
          <t>../../2024/jama.2024.4183/.ai_paper_validation/final_report_1_5_3.html</t>
        </is>
      </c>
      <c r="P75" s="3" t="inlineStr">
        <is>
          <t>2024/jama.2024.4183/.ai_paper_validation/final_report_1_5_3.md</t>
        </is>
      </c>
      <c r="Q75" s="3" t="inlineStr">
        <is>
          <t>C023</t>
        </is>
      </c>
      <c r="R75" s="3" t="inlineStr">
        <is>
          <t>Pending Human Adjudication</t>
        </is>
      </c>
      <c r="S75" s="3" t="inlineStr">
        <is>
          <t>ETable 3 employment value order differs from the declared n (%) heading.</t>
        </is>
      </c>
      <c r="T75" s="3" t="b">
        <v>1</v>
      </c>
      <c r="U75" s="3" t="inlineStr">
        <is>
          <t>count_percent_order</t>
        </is>
      </c>
      <c r="V75" s="3" t="inlineStr">
        <is>
          <t>internal_nonstatistical</t>
        </is>
      </c>
      <c r="W75" s="3" t="inlineStr">
        <is>
          <t>ETable 3 employment value order differs from declared n (%)</t>
        </is>
      </c>
      <c r="X75" s="3" t="inlineStr">
        <is>
          <t>2024</t>
        </is>
      </c>
      <c r="Y75" s="3" t="inlineStr">
        <is>
          <t>meta_report/consistency_reclassification_2026-09-04/reclassified_candidates.json</t>
        </is>
      </c>
      <c r="Z75" s="3" t="inlineStr">
        <is>
          <t>S_W</t>
        </is>
      </c>
      <c r="AA75" s="3" t="inlineStr">
        <is>
          <t>internal_nonstatistical</t>
        </is>
      </c>
      <c r="AB75" s="3" t="inlineStr">
        <is>
          <t>retain</t>
        </is>
      </c>
    </row>
    <row r="76" ht="95" customHeight="1">
      <c r="A76" s="2" t="b">
        <v>0</v>
      </c>
      <c r="B76" s="2" t="inlineStr">
        <is>
          <t>Distinct from C023: reordering values does not supply the missing participant per column.</t>
        </is>
      </c>
      <c r="C76" s="2" t="b">
        <v>0</v>
      </c>
      <c r="D76" s="2" t="inlineStr">
        <is>
          <t>Denominator, proportion, or total inconsistency</t>
        </is>
      </c>
      <c r="E76" s="2" t="b">
        <v>0</v>
      </c>
      <c r="F76" s="2" t="inlineStr">
        <is>
          <t>C024</t>
        </is>
      </c>
      <c r="G76" s="2" t="inlineStr">
        <is>
          <t>2024::jama.2024.4183::C024</t>
        </is>
      </c>
      <c r="H76" s="2" t="inlineStr"/>
      <c r="I76" s="2" t="inlineStr">
        <is>
          <t>Supplement 2 p. 19, ETable 3.</t>
        </is>
      </c>
      <c r="J76" s="2" t="b">
        <v>0</v>
      </c>
      <c r="K76" s="2" t="inlineStr">
        <is>
          <t>jama.2024.4183</t>
        </is>
      </c>
      <c r="L76" s="2" t="inlineStr"/>
      <c r="M76" s="2" t="inlineStr">
        <is>
          <t>S_W</t>
        </is>
      </c>
      <c r="N76" s="2" t="inlineStr">
        <is>
          <t>Results eTable3 employed/unemployed counts sum49/50 and38/39 with no missingness category.</t>
        </is>
      </c>
      <c r="O76" s="2" t="inlineStr">
        <is>
          <t>../../2024/jama.2024.4183/.ai_paper_validation/final_report_1_5_3.html</t>
        </is>
      </c>
      <c r="P76" s="2" t="inlineStr">
        <is>
          <t>2024/jama.2024.4183/.ai_paper_validation/final_report_1_5_3.md</t>
        </is>
      </c>
      <c r="Q76" s="2" t="inlineStr">
        <is>
          <t>C024</t>
        </is>
      </c>
      <c r="R76" s="2" t="inlineStr">
        <is>
          <t>Pending Human Adjudication</t>
        </is>
      </c>
      <c r="S76" s="2" t="inlineStr">
        <is>
          <t>ETable 3 employment totals do not close to two printed column Ns.</t>
        </is>
      </c>
      <c r="T76" s="2" t="b">
        <v>1</v>
      </c>
      <c r="U76" s="2" t="inlineStr">
        <is>
          <t>category_total</t>
        </is>
      </c>
      <c r="V76" s="2" t="inlineStr">
        <is>
          <t>statistical_results</t>
        </is>
      </c>
      <c r="W76" s="2" t="inlineStr">
        <is>
          <t>ETable 3 employment totals do not close to two printed column Ns</t>
        </is>
      </c>
      <c r="X76" s="2" t="inlineStr">
        <is>
          <t>2024</t>
        </is>
      </c>
      <c r="Y76" s="2" t="inlineStr">
        <is>
          <t>meta_report/consistency_reclassification_2026-09-04/reclassified_candidates.json</t>
        </is>
      </c>
      <c r="Z76" s="2" t="inlineStr">
        <is>
          <t>S_W</t>
        </is>
      </c>
      <c r="AA76" s="2" t="inlineStr">
        <is>
          <t>statistical_results</t>
        </is>
      </c>
      <c r="AB76" s="2" t="inlineStr">
        <is>
          <t>retain</t>
        </is>
      </c>
    </row>
    <row r="77" ht="95" customHeight="1">
      <c r="A77" s="3" t="b">
        <v>0</v>
      </c>
      <c r="B77" s="3" t="inlineStr">
        <is>
          <t>Disposition-category identity is conditional.</t>
        </is>
      </c>
      <c r="C77" s="3" t="b">
        <v>0</v>
      </c>
      <c r="D77" s="3" t="inlineStr">
        <is>
          <t>Denominator, proportion, or total inconsistency</t>
        </is>
      </c>
      <c r="E77" s="3" t="b">
        <v>0</v>
      </c>
      <c r="F77" s="3" t="inlineStr">
        <is>
          <t>C001</t>
        </is>
      </c>
      <c r="G77" s="3" t="inlineStr">
        <is>
          <t>2024::jama.2024.6063::C001</t>
        </is>
      </c>
      <c r="H77" s="3" t="inlineStr"/>
      <c r="I77" s="3" t="inlineStr">
        <is>
          <t>Main article — PDF p. 3; Main article — PDF p. 7.</t>
        </is>
      </c>
      <c r="J77" s="3" t="b">
        <v>0</v>
      </c>
      <c r="K77" s="3" t="inlineStr">
        <is>
          <t>jama.2024.6063</t>
        </is>
      </c>
      <c r="L77" s="3" t="inlineStr"/>
      <c r="M77" s="3" t="inlineStr">
        <is>
          <t>S_W</t>
        </is>
      </c>
      <c r="N77" s="3" t="inlineStr">
        <is>
          <t>Main Figure1 gives21placebo discontinuations/111completers but Results gives23withdrawals/losses and implied109completers.</t>
        </is>
      </c>
      <c r="O77" s="3" t="inlineStr">
        <is>
          <t>../../2024/jama.2024.6063/.ai_paper_validation/final_report_1_5_3.html</t>
        </is>
      </c>
      <c r="P77" s="3" t="inlineStr">
        <is>
          <t>2024/jama.2024.6063/.ai_paper_validation/final_report_1_5_3.md</t>
        </is>
      </c>
      <c r="Q77" s="3" t="inlineStr">
        <is>
          <t>C001</t>
        </is>
      </c>
      <c r="R77" s="3" t="inlineStr">
        <is>
          <t>Pending Human Adjudication</t>
        </is>
      </c>
      <c r="S77" s="3" t="inlineStr">
        <is>
          <t>Figure 1 and Results print different placebo-arm discontinuation/completion counts if their disposition terms refer to the same participants.</t>
        </is>
      </c>
      <c r="T77" s="3" t="b">
        <v>1</v>
      </c>
      <c r="U77" s="3" t="inlineStr">
        <is>
          <t>flow_count_repeat</t>
        </is>
      </c>
      <c r="V77" s="3" t="inlineStr">
        <is>
          <t>statistical_results</t>
        </is>
      </c>
      <c r="W77" s="3" t="inlineStr">
        <is>
          <t>Placebo discontinuation counts differ between Figure 1 and the Results text</t>
        </is>
      </c>
      <c r="X77" s="3" t="inlineStr">
        <is>
          <t>2024</t>
        </is>
      </c>
      <c r="Y77" s="3" t="inlineStr">
        <is>
          <t>meta_report/consistency_reclassification_2026-09-04/reclassified_candidates.json</t>
        </is>
      </c>
      <c r="Z77" s="3" t="inlineStr">
        <is>
          <t>S_W</t>
        </is>
      </c>
      <c r="AA77" s="3" t="inlineStr">
        <is>
          <t>statistical_results</t>
        </is>
      </c>
      <c r="AB77" s="3" t="inlineStr">
        <is>
          <t>retain</t>
        </is>
      </c>
    </row>
    <row r="78" ht="95" customHeight="1">
      <c r="A78" s="2" t="b">
        <v>0</v>
      </c>
      <c r="B78" s="2" t="inlineStr">
        <is>
          <t>A narrower footnote population is possible; separate from C016's main95% discrepancy.</t>
        </is>
      </c>
      <c r="C78" s="2" t="b">
        <v>0</v>
      </c>
      <c r="D78" s="2" t="inlineStr">
        <is>
          <t>Denominator, proportion, or total inconsistency</t>
        </is>
      </c>
      <c r="E78" s="2" t="b">
        <v>0</v>
      </c>
      <c r="F78" s="2" t="inlineStr">
        <is>
          <t>C002</t>
        </is>
      </c>
      <c r="G78" s="2" t="inlineStr">
        <is>
          <t>2024::jama.2024.6063::C002</t>
        </is>
      </c>
      <c r="H78" s="2" t="inlineStr"/>
      <c r="I78" s="2" t="inlineStr">
        <is>
          <t>Supplement 3 — PDF p. 3.</t>
        </is>
      </c>
      <c r="J78" s="2" t="b">
        <v>0</v>
      </c>
      <c r="K78" s="2" t="inlineStr">
        <is>
          <t>jama.2024.6063</t>
        </is>
      </c>
      <c r="L78" s="2" t="inlineStr"/>
      <c r="M78" s="2" t="inlineStr">
        <is>
          <t>S_W</t>
        </is>
      </c>
      <c r="N78" s="2" t="inlineStr">
        <is>
          <t>Results eTable2 row n167 and percentage-supported83+84 conflict with its footnote n165.</t>
        </is>
      </c>
      <c r="O78" s="2" t="inlineStr">
        <is>
          <t>../../2024/jama.2024.6063/.ai_paper_validation/final_report_1_5_3.html</t>
        </is>
      </c>
      <c r="P78" s="2" t="inlineStr">
        <is>
          <t>2024/jama.2024.6063/.ai_paper_validation/final_report_1_5_3.md</t>
        </is>
      </c>
      <c r="Q78" s="2" t="inlineStr">
        <is>
          <t>C002</t>
        </is>
      </c>
      <c r="R78" s="2" t="inlineStr">
        <is>
          <t>Pending Human Adjudication</t>
        </is>
      </c>
      <c r="S78" s="2" t="inlineStr">
        <is>
          <t>The overall eTable 2 row is supported by 167 participants while its adherence footnote names 165.</t>
        </is>
      </c>
      <c r="T78" s="2" t="b">
        <v>1</v>
      </c>
      <c r="U78" s="2" t="inlineStr">
        <is>
          <t>denominator_footnote</t>
        </is>
      </c>
      <c r="V78" s="2" t="inlineStr">
        <is>
          <t>statistical_results</t>
        </is>
      </c>
      <c r="W78" s="2" t="inlineStr">
        <is>
          <t>eTable 2 names 167 and 165 for the overall adherence population</t>
        </is>
      </c>
      <c r="X78" s="2" t="inlineStr">
        <is>
          <t>2024</t>
        </is>
      </c>
      <c r="Y78" s="2" t="inlineStr">
        <is>
          <t>meta_report/consistency_reclassification_2026-09-04/reclassified_candidates.json</t>
        </is>
      </c>
      <c r="Z78" s="2" t="inlineStr">
        <is>
          <t>S_W</t>
        </is>
      </c>
      <c r="AA78" s="2" t="inlineStr">
        <is>
          <t>statistical_results</t>
        </is>
      </c>
      <c r="AB78" s="2" t="inlineStr">
        <is>
          <t>retain</t>
        </is>
      </c>
    </row>
    <row r="79" ht="95" customHeight="1">
      <c r="A79" s="3" t="b">
        <v>0</v>
      </c>
      <c r="B79" s="3" t="inlineStr"/>
      <c r="C79" s="3" t="b">
        <v>0</v>
      </c>
      <c r="D79" s="3" t="inlineStr">
        <is>
          <t>Denominator, proportion, or total inconsistency</t>
        </is>
      </c>
      <c r="E79" s="3" t="b">
        <v>0</v>
      </c>
      <c r="F79" s="3" t="inlineStr">
        <is>
          <t>C003</t>
        </is>
      </c>
      <c r="G79" s="3" t="inlineStr">
        <is>
          <t>2024::jama.2024.6063::C003</t>
        </is>
      </c>
      <c r="H79" s="3" t="inlineStr"/>
      <c r="I79" s="3" t="inlineStr">
        <is>
          <t>Supplement 3 — PDF p. 8.</t>
        </is>
      </c>
      <c r="J79" s="3" t="b">
        <v>0</v>
      </c>
      <c r="K79" s="3" t="inlineStr">
        <is>
          <t>jama.2024.6063</t>
        </is>
      </c>
      <c r="L79" s="3" t="inlineStr"/>
      <c r="M79" s="3" t="inlineStr">
        <is>
          <t>S_W</t>
        </is>
      </c>
      <c r="N79" s="3" t="inlineStr">
        <is>
          <t>Results eTable5 krill smaller1unit10/107 is printed12%, versus ordinary9%.</t>
        </is>
      </c>
      <c r="O79" s="3" t="inlineStr">
        <is>
          <t>../../2024/jama.2024.6063/.ai_paper_validation/final_report_1_5_3.html</t>
        </is>
      </c>
      <c r="P79" s="3" t="inlineStr">
        <is>
          <t>2024/jama.2024.6063/.ai_paper_validation/final_report_1_5_3.md</t>
        </is>
      </c>
      <c r="Q79" s="3" t="inlineStr">
        <is>
          <t>C003</t>
        </is>
      </c>
      <c r="R79" s="3" t="inlineStr">
        <is>
          <t>Pending Human Adjudication</t>
        </is>
      </c>
      <c r="S79" s="3" t="inlineStr">
        <is>
          <t>The printed 12% does not reproduce from the printed krill count 10 and total 107.</t>
        </is>
      </c>
      <c r="T79" s="3" t="b">
        <v>1</v>
      </c>
      <c r="U79" s="3" t="inlineStr">
        <is>
          <t>count_percentage</t>
        </is>
      </c>
      <c r="V79" s="3" t="inlineStr">
        <is>
          <t>statistical_results</t>
        </is>
      </c>
      <c r="W79" s="3" t="inlineStr">
        <is>
          <t>eTable 5 krill “Smaller by 1 unit” percentage conflicts with 10 of 107</t>
        </is>
      </c>
      <c r="X79" s="3" t="inlineStr">
        <is>
          <t>2024</t>
        </is>
      </c>
      <c r="Y79" s="3" t="inlineStr">
        <is>
          <t>meta_report/consistency_reclassification_2026-09-04/reclassified_candidates.json</t>
        </is>
      </c>
      <c r="Z79" s="3" t="inlineStr">
        <is>
          <t>S_W</t>
        </is>
      </c>
      <c r="AA79" s="3" t="inlineStr">
        <is>
          <t>statistical_results</t>
        </is>
      </c>
      <c r="AB79" s="3" t="inlineStr">
        <is>
          <t>retain</t>
        </is>
      </c>
    </row>
    <row r="80" ht="95" customHeight="1">
      <c r="A80" s="2" t="b">
        <v>0</v>
      </c>
      <c r="B80" s="2" t="inlineStr"/>
      <c r="C80" s="2" t="b">
        <v>0</v>
      </c>
      <c r="D80" s="2" t="inlineStr">
        <is>
          <t>Denominator, proportion, or total inconsistency</t>
        </is>
      </c>
      <c r="E80" s="2" t="b">
        <v>0</v>
      </c>
      <c r="F80" s="2" t="inlineStr">
        <is>
          <t>C004</t>
        </is>
      </c>
      <c r="G80" s="2" t="inlineStr">
        <is>
          <t>2024::jama.2024.6063::C004</t>
        </is>
      </c>
      <c r="H80" s="2" t="inlineStr"/>
      <c r="I80" s="2" t="inlineStr">
        <is>
          <t>Supplement 3 — PDF p. 8.</t>
        </is>
      </c>
      <c r="J80" s="2" t="b">
        <v>0</v>
      </c>
      <c r="K80" s="2" t="inlineStr">
        <is>
          <t>jama.2024.6063</t>
        </is>
      </c>
      <c r="L80" s="2" t="inlineStr"/>
      <c r="M80" s="2" t="inlineStr">
        <is>
          <t>S_W</t>
        </is>
      </c>
      <c r="N80" s="2" t="inlineStr">
        <is>
          <t>Results eTable5 krill nochange80/107 is printed72%, versus ordinary75%.</t>
        </is>
      </c>
      <c r="O80" s="2" t="inlineStr">
        <is>
          <t>../../2024/jama.2024.6063/.ai_paper_validation/final_report_1_5_3.html</t>
        </is>
      </c>
      <c r="P80" s="2" t="inlineStr">
        <is>
          <t>2024/jama.2024.6063/.ai_paper_validation/final_report_1_5_3.md</t>
        </is>
      </c>
      <c r="Q80" s="2" t="inlineStr">
        <is>
          <t>C004</t>
        </is>
      </c>
      <c r="R80" s="2" t="inlineStr">
        <is>
          <t>Pending Human Adjudication</t>
        </is>
      </c>
      <c r="S80" s="2" t="inlineStr">
        <is>
          <t>The printed 72% does not reproduce from the printed krill count 80 and total 107.</t>
        </is>
      </c>
      <c r="T80" s="2" t="b">
        <v>1</v>
      </c>
      <c r="U80" s="2" t="inlineStr">
        <is>
          <t>count_percentage</t>
        </is>
      </c>
      <c r="V80" s="2" t="inlineStr">
        <is>
          <t>statistical_results</t>
        </is>
      </c>
      <c r="W80" s="2" t="inlineStr">
        <is>
          <t>eTable 5 krill “No change” percentage conflicts with 80 of 107</t>
        </is>
      </c>
      <c r="X80" s="2" t="inlineStr">
        <is>
          <t>2024</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C005</t>
        </is>
      </c>
      <c r="G81" s="3" t="inlineStr">
        <is>
          <t>2024::jama.2024.6063::C005</t>
        </is>
      </c>
      <c r="H81" s="3" t="inlineStr"/>
      <c r="I81" s="3" t="inlineStr">
        <is>
          <t>Supplement 3 — PDF p. 8.</t>
        </is>
      </c>
      <c r="J81" s="3" t="b">
        <v>0</v>
      </c>
      <c r="K81" s="3" t="inlineStr">
        <is>
          <t>jama.2024.6063</t>
        </is>
      </c>
      <c r="L81" s="3" t="inlineStr"/>
      <c r="M81" s="3" t="inlineStr">
        <is>
          <t>S_W</t>
        </is>
      </c>
      <c r="N81" s="3" t="inlineStr">
        <is>
          <t>Results eTable5 krill larger1unit12/107 is printed12%, versus ordinary11%.</t>
        </is>
      </c>
      <c r="O81" s="3" t="inlineStr">
        <is>
          <t>../../2024/jama.2024.6063/.ai_paper_validation/final_report_1_5_3.html</t>
        </is>
      </c>
      <c r="P81" s="3" t="inlineStr">
        <is>
          <t>2024/jama.2024.6063/.ai_paper_validation/final_report_1_5_3.md</t>
        </is>
      </c>
      <c r="Q81" s="3" t="inlineStr">
        <is>
          <t>C005</t>
        </is>
      </c>
      <c r="R81" s="3" t="inlineStr">
        <is>
          <t>Pending Human Adjudication</t>
        </is>
      </c>
      <c r="S81" s="3" t="inlineStr">
        <is>
          <t>The printed 12% does not reproduce from the printed krill count 12 and total 107.</t>
        </is>
      </c>
      <c r="T81" s="3" t="b">
        <v>1</v>
      </c>
      <c r="U81" s="3" t="inlineStr">
        <is>
          <t>count_percentage</t>
        </is>
      </c>
      <c r="V81" s="3" t="inlineStr">
        <is>
          <t>statistical_results</t>
        </is>
      </c>
      <c r="W81" s="3" t="inlineStr">
        <is>
          <t>eTable 5 krill “Larger by 1 unit” percentage conflicts with 12 of 107</t>
        </is>
      </c>
      <c r="X81" s="3" t="inlineStr">
        <is>
          <t>2024</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C006</t>
        </is>
      </c>
      <c r="G82" s="2" t="inlineStr">
        <is>
          <t>2024::jama.2024.6063::C006</t>
        </is>
      </c>
      <c r="H82" s="2" t="inlineStr"/>
      <c r="I82" s="2" t="inlineStr">
        <is>
          <t>Supplement 3 — PDF p. 8.</t>
        </is>
      </c>
      <c r="J82" s="2" t="b">
        <v>0</v>
      </c>
      <c r="K82" s="2" t="inlineStr">
        <is>
          <t>jama.2024.6063</t>
        </is>
      </c>
      <c r="L82" s="2" t="inlineStr"/>
      <c r="M82" s="2" t="inlineStr">
        <is>
          <t>S_W</t>
        </is>
      </c>
      <c r="N82" s="2" t="inlineStr">
        <is>
          <t>Results eTable5 placebo smaller2units2/109 is printed1.9%, versus ordinary1.8%.</t>
        </is>
      </c>
      <c r="O82" s="2" t="inlineStr">
        <is>
          <t>../../2024/jama.2024.6063/.ai_paper_validation/final_report_1_5_3.html</t>
        </is>
      </c>
      <c r="P82" s="2" t="inlineStr">
        <is>
          <t>2024/jama.2024.6063/.ai_paper_validation/final_report_1_5_3.md</t>
        </is>
      </c>
      <c r="Q82" s="2" t="inlineStr">
        <is>
          <t>C006</t>
        </is>
      </c>
      <c r="R82" s="2" t="inlineStr">
        <is>
          <t>Pending Human Adjudication</t>
        </is>
      </c>
      <c r="S82" s="2" t="inlineStr">
        <is>
          <t>The printed 1.9% does not reproduce from the printed placebo count 2 and total 109 at one-decimal precision.</t>
        </is>
      </c>
      <c r="T82" s="2" t="b">
        <v>1</v>
      </c>
      <c r="U82" s="2" t="inlineStr">
        <is>
          <t>rounding</t>
        </is>
      </c>
      <c r="V82" s="2" t="inlineStr">
        <is>
          <t>statistical_results</t>
        </is>
      </c>
      <c r="W82" s="2" t="inlineStr">
        <is>
          <t>eTable 5 placebo “Smaller by 2 units” percentage conflicts with 2 of 109</t>
        </is>
      </c>
      <c r="X82" s="2" t="inlineStr">
        <is>
          <t>2024</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Denominator, proportion, or total inconsistency</t>
        </is>
      </c>
      <c r="E83" s="3" t="b">
        <v>0</v>
      </c>
      <c r="F83" s="3" t="inlineStr">
        <is>
          <t>C007</t>
        </is>
      </c>
      <c r="G83" s="3" t="inlineStr">
        <is>
          <t>2024::jama.2024.6063::C007</t>
        </is>
      </c>
      <c r="H83" s="3" t="inlineStr"/>
      <c r="I83" s="3" t="inlineStr">
        <is>
          <t>Supplement 3 — PDF p. 8.</t>
        </is>
      </c>
      <c r="J83" s="3" t="b">
        <v>0</v>
      </c>
      <c r="K83" s="3" t="inlineStr">
        <is>
          <t>jama.2024.6063</t>
        </is>
      </c>
      <c r="L83" s="3" t="inlineStr"/>
      <c r="M83" s="3" t="inlineStr">
        <is>
          <t>S_W</t>
        </is>
      </c>
      <c r="N83" s="3" t="inlineStr">
        <is>
          <t>Results eTable5 placebo smaller1unit16/109 is printed12%, versus ordinary15%.</t>
        </is>
      </c>
      <c r="O83" s="3" t="inlineStr">
        <is>
          <t>../../2024/jama.2024.6063/.ai_paper_validation/final_report_1_5_3.html</t>
        </is>
      </c>
      <c r="P83" s="3" t="inlineStr">
        <is>
          <t>2024/jama.2024.6063/.ai_paper_validation/final_report_1_5_3.md</t>
        </is>
      </c>
      <c r="Q83" s="3" t="inlineStr">
        <is>
          <t>C007</t>
        </is>
      </c>
      <c r="R83" s="3" t="inlineStr">
        <is>
          <t>Pending Human Adjudication</t>
        </is>
      </c>
      <c r="S83" s="3" t="inlineStr">
        <is>
          <t>The printed 12% does not reproduce from the printed placebo count 16 and total 109.</t>
        </is>
      </c>
      <c r="T83" s="3" t="b">
        <v>1</v>
      </c>
      <c r="U83" s="3" t="inlineStr">
        <is>
          <t>count_percentage</t>
        </is>
      </c>
      <c r="V83" s="3" t="inlineStr">
        <is>
          <t>statistical_results</t>
        </is>
      </c>
      <c r="W83" s="3" t="inlineStr">
        <is>
          <t>eTable 5 placebo “Smaller by 1 unit” percentage conflicts with 16 of 109</t>
        </is>
      </c>
      <c r="X83" s="3" t="inlineStr">
        <is>
          <t>2024</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Denominator, proportion, or total inconsistency</t>
        </is>
      </c>
      <c r="E84" s="2" t="b">
        <v>0</v>
      </c>
      <c r="F84" s="2" t="inlineStr">
        <is>
          <t>C008</t>
        </is>
      </c>
      <c r="G84" s="2" t="inlineStr">
        <is>
          <t>2024::jama.2024.6063::C008</t>
        </is>
      </c>
      <c r="H84" s="2" t="inlineStr"/>
      <c r="I84" s="2" t="inlineStr">
        <is>
          <t>Supplement 3 — PDF p. 8.</t>
        </is>
      </c>
      <c r="J84" s="2" t="b">
        <v>0</v>
      </c>
      <c r="K84" s="2" t="inlineStr">
        <is>
          <t>jama.2024.6063</t>
        </is>
      </c>
      <c r="L84" s="2" t="inlineStr"/>
      <c r="M84" s="2" t="inlineStr">
        <is>
          <t>S_W</t>
        </is>
      </c>
      <c r="N84" s="2" t="inlineStr">
        <is>
          <t>Results eTable5 placebo nochange75/109 is printed72%, versus ordinary69%.</t>
        </is>
      </c>
      <c r="O84" s="2" t="inlineStr">
        <is>
          <t>../../2024/jama.2024.6063/.ai_paper_validation/final_report_1_5_3.html</t>
        </is>
      </c>
      <c r="P84" s="2" t="inlineStr">
        <is>
          <t>2024/jama.2024.6063/.ai_paper_validation/final_report_1_5_3.md</t>
        </is>
      </c>
      <c r="Q84" s="2" t="inlineStr">
        <is>
          <t>C008</t>
        </is>
      </c>
      <c r="R84" s="2" t="inlineStr">
        <is>
          <t>Pending Human Adjudication</t>
        </is>
      </c>
      <c r="S84" s="2" t="inlineStr">
        <is>
          <t>The printed 72% does not reproduce from the printed placebo count 75 and total 109.</t>
        </is>
      </c>
      <c r="T84" s="2" t="b">
        <v>1</v>
      </c>
      <c r="U84" s="2" t="inlineStr">
        <is>
          <t>count_percentage</t>
        </is>
      </c>
      <c r="V84" s="2" t="inlineStr">
        <is>
          <t>statistical_results</t>
        </is>
      </c>
      <c r="W84" s="2" t="inlineStr">
        <is>
          <t>eTable 5 placebo “No change” percentage conflicts with 75 of 109</t>
        </is>
      </c>
      <c r="X84" s="2" t="inlineStr">
        <is>
          <t>2024</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is>
          <t>Descriptive subtraction is diagnostic, not adjusted-model reconstruction; coincidence/production cause is unproven.</t>
        </is>
      </c>
      <c r="C85" s="3" t="b">
        <v>0</v>
      </c>
      <c r="D85" s="3" t="inlineStr">
        <is>
          <t>Numeric or arithmetic inconsistency</t>
        </is>
      </c>
      <c r="E85" s="3" t="b">
        <v>0</v>
      </c>
      <c r="F85" s="3" t="inlineStr">
        <is>
          <t>C009</t>
        </is>
      </c>
      <c r="G85" s="3" t="inlineStr">
        <is>
          <t>2024::jama.2024.6063::C009</t>
        </is>
      </c>
      <c r="H85" s="3" t="inlineStr"/>
      <c r="I85" s="3" t="inlineStr">
        <is>
          <t>Supplement 3 — PDF p. 5.</t>
        </is>
      </c>
      <c r="J85" s="3" t="b">
        <v>0</v>
      </c>
      <c r="K85" s="3" t="inlineStr">
        <is>
          <t>jama.2024.6063</t>
        </is>
      </c>
      <c r="L85" s="3" t="inlineStr"/>
      <c r="M85" s="3" t="inlineStr">
        <is>
          <t>S_W</t>
        </is>
      </c>
      <c r="N85" s="3" t="inlineStr">
        <is>
          <t>Within results eTable4,week4weight-bearingpain repeats both function-arm change estimates/intervals despite separate outcome labels.</t>
        </is>
      </c>
      <c r="O85" s="3" t="inlineStr">
        <is>
          <t>../../2024/jama.2024.6063/.ai_paper_validation/final_report_1_5_3.html</t>
        </is>
      </c>
      <c r="P85" s="3" t="inlineStr">
        <is>
          <t>2024/jama.2024.6063/.ai_paper_validation/final_report_1_5_3.md</t>
        </is>
      </c>
      <c r="Q85" s="3" t="inlineStr">
        <is>
          <t>C009</t>
        </is>
      </c>
      <c r="R85" s="3" t="inlineStr">
        <is>
          <t>Pending Human Adjudication</t>
        </is>
      </c>
      <c r="S85" s="3" t="inlineStr">
        <is>
          <t>eTable 4 prints the same two week-4 arm-change estimate/interval pairs for weight-bearing pain and function.</t>
        </is>
      </c>
      <c r="T85" s="3" t="b">
        <v>1</v>
      </c>
      <c r="U85" s="3" t="inlineStr">
        <is>
          <t>duplicated_output</t>
        </is>
      </c>
      <c r="V85" s="3" t="inlineStr">
        <is>
          <t>statistical_results</t>
        </is>
      </c>
      <c r="W85" s="3" t="inlineStr">
        <is>
          <t>eTable 4 repeats week-4 function changes in the weight-bearing-pain row</t>
        </is>
      </c>
      <c r="X85" s="3" t="inlineStr">
        <is>
          <t>2024</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Distinct pair of rows from C009/C011; model-versus-descriptive differences alone are not proof.</t>
        </is>
      </c>
      <c r="C86" s="2" t="b">
        <v>0</v>
      </c>
      <c r="D86" s="2" t="inlineStr">
        <is>
          <t>Statistical reporting inconsistency</t>
        </is>
      </c>
      <c r="E86" s="2" t="b">
        <v>0</v>
      </c>
      <c r="F86" s="2" t="inlineStr">
        <is>
          <t>C010</t>
        </is>
      </c>
      <c r="G86" s="2" t="inlineStr">
        <is>
          <t>2024::jama.2024.6063::C010</t>
        </is>
      </c>
      <c r="H86" s="2" t="inlineStr"/>
      <c r="I86" s="2" t="inlineStr">
        <is>
          <t>Supplement 3 — PDF p. 6.</t>
        </is>
      </c>
      <c r="J86" s="2" t="b">
        <v>0</v>
      </c>
      <c r="K86" s="2" t="inlineStr">
        <is>
          <t>jama.2024.6063</t>
        </is>
      </c>
      <c r="L86" s="2" t="inlineStr"/>
      <c r="M86" s="2" t="inlineStr">
        <is>
          <t>S_W</t>
        </is>
      </c>
      <c r="N86" s="2" t="inlineStr">
        <is>
          <t>Within results eTable4,week12legstrength repeats the complete week4backpain changes,effect,interval,andP=.53.</t>
        </is>
      </c>
      <c r="O86" s="2" t="inlineStr">
        <is>
          <t>../../2024/jama.2024.6063/.ai_paper_validation/final_report_1_5_3.html</t>
        </is>
      </c>
      <c r="P86" s="2" t="inlineStr">
        <is>
          <t>2024/jama.2024.6063/.ai_paper_validation/final_report_1_5_3.md</t>
        </is>
      </c>
      <c r="Q86" s="2" t="inlineStr">
        <is>
          <t>C010</t>
        </is>
      </c>
      <c r="R86" s="2" t="inlineStr">
        <is>
          <t>Pending Human Adjudication</t>
        </is>
      </c>
      <c r="S86" s="2" t="inlineStr">
        <is>
          <t>eTable 4 prints the complete week-4 back-pain output again for week-12 lower-leg strength.</t>
        </is>
      </c>
      <c r="T86" s="2" t="b">
        <v>1</v>
      </c>
      <c r="U86" s="2" t="inlineStr">
        <is>
          <t>duplicated_output</t>
        </is>
      </c>
      <c r="V86" s="2" t="inlineStr">
        <is>
          <t>statistical_results</t>
        </is>
      </c>
      <c r="W86" s="2" t="inlineStr">
        <is>
          <t>eTable 4 repeats week-4 back-pain results in week-12 lower-leg strength</t>
        </is>
      </c>
      <c r="X86" s="2" t="inlineStr">
        <is>
          <t>2024</t>
        </is>
      </c>
      <c r="Y86" s="2" t="inlineStr">
        <is>
          <t>meta_report/consistency_reclassification_2026-09-04/reclassified_candidates.json</t>
        </is>
      </c>
      <c r="Z86" s="2" t="inlineStr">
        <is>
          <t>S_W</t>
        </is>
      </c>
      <c r="AA86" s="2" t="inlineStr">
        <is>
          <t>statistical_results</t>
        </is>
      </c>
      <c r="AB86" s="2" t="inlineStr">
        <is>
          <t>retain</t>
        </is>
      </c>
    </row>
    <row r="87" ht="95" customHeight="1">
      <c r="A87" s="3" t="b">
        <v>0</v>
      </c>
      <c r="B87" s="3" t="inlineStr">
        <is>
          <t>Separate paired measures from C009/C010; identical outputs are a candidate, not proof of copying.</t>
        </is>
      </c>
      <c r="C87" s="3" t="b">
        <v>0</v>
      </c>
      <c r="D87" s="3" t="inlineStr">
        <is>
          <t>Statistical reporting inconsistency</t>
        </is>
      </c>
      <c r="E87" s="3" t="b">
        <v>0</v>
      </c>
      <c r="F87" s="3" t="inlineStr">
        <is>
          <t>C011</t>
        </is>
      </c>
      <c r="G87" s="3" t="inlineStr">
        <is>
          <t>2024::jama.2024.6063::C011</t>
        </is>
      </c>
      <c r="H87" s="3" t="inlineStr"/>
      <c r="I87" s="3" t="inlineStr">
        <is>
          <t>Supplement 3 — PDF p. 6.</t>
        </is>
      </c>
      <c r="J87" s="3" t="b">
        <v>0</v>
      </c>
      <c r="K87" s="3" t="inlineStr">
        <is>
          <t>jama.2024.6063</t>
        </is>
      </c>
      <c r="L87" s="3" t="inlineStr"/>
      <c r="M87" s="3" t="inlineStr">
        <is>
          <t>S_W</t>
        </is>
      </c>
      <c r="N87" s="3" t="inlineStr">
        <is>
          <t>Within results eTable4,week12fastingglucose repeats hsCRP's between-group0.07(-1.19,1.33),P=.92.</t>
        </is>
      </c>
      <c r="O87" s="3" t="inlineStr">
        <is>
          <t>../../2024/jama.2024.6063/.ai_paper_validation/final_report_1_5_3.html</t>
        </is>
      </c>
      <c r="P87" s="3" t="inlineStr">
        <is>
          <t>2024/jama.2024.6063/.ai_paper_validation/final_report_1_5_3.md</t>
        </is>
      </c>
      <c r="Q87" s="3" t="inlineStr">
        <is>
          <t>C011</t>
        </is>
      </c>
      <c r="R87" s="3" t="inlineStr">
        <is>
          <t>Pending Human Adjudication</t>
        </is>
      </c>
      <c r="S87" s="3" t="inlineStr">
        <is>
          <t>eTable 4 prints the same between-group estimate, interval, and P value for week-12 hsCRP and fasting glucose.</t>
        </is>
      </c>
      <c r="T87" s="3" t="b">
        <v>1</v>
      </c>
      <c r="U87" s="3" t="inlineStr">
        <is>
          <t>duplicated_output</t>
        </is>
      </c>
      <c r="V87" s="3" t="inlineStr">
        <is>
          <t>statistical_results</t>
        </is>
      </c>
      <c r="W87" s="3" t="inlineStr">
        <is>
          <t>eTable 4 repeats the week-12 hsCRP result in fasting glucose</t>
        </is>
      </c>
      <c r="X87" s="3" t="inlineStr">
        <is>
          <t>2024</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Mixed internal-main and cross-file sign discrepancy; common signed operand order is undefined.</t>
        </is>
      </c>
      <c r="C88" s="2" t="b">
        <v>0</v>
      </c>
      <c r="D88" s="2" t="inlineStr">
        <is>
          <t>Cross-document numeric inconsistency</t>
        </is>
      </c>
      <c r="E88" s="2" t="b">
        <v>1</v>
      </c>
      <c r="F88" s="2" t="inlineStr">
        <is>
          <t>C012</t>
        </is>
      </c>
      <c r="G88" s="2" t="inlineStr">
        <is>
          <t>2024::jama.2024.6063::C012</t>
        </is>
      </c>
      <c r="H88" s="2" t="inlineStr"/>
      <c r="I88" s="2" t="inlineStr">
        <is>
          <t>Main article — PDF p. 2; Main article — PDF p. 1; Main article — PDF p. 6; Main article — PDF p. 7; Supplement 3 — PDF p. 2.</t>
        </is>
      </c>
      <c r="J88" s="2" t="b">
        <v>1</v>
      </c>
      <c r="K88" s="2" t="inlineStr">
        <is>
          <t>jama.2024.6063</t>
        </is>
      </c>
      <c r="L88" s="2" t="inlineStr"/>
      <c r="M88" s="2" t="inlineStr">
        <is>
          <t>S_C</t>
        </is>
      </c>
      <c r="N88" s="2" t="inlineStr">
        <is>
          <t>Main KeyPoints gives+0.30 but its own abstract/table/Results give-0.3 and results eTable1 gives-0.27 for otherwise matched primary fields.</t>
        </is>
      </c>
      <c r="O88" s="2" t="inlineStr">
        <is>
          <t>../../2024/jama.2024.6063/.ai_paper_validation/final_report_1_5_3.html</t>
        </is>
      </c>
      <c r="P88" s="2" t="inlineStr">
        <is>
          <t>2024/jama.2024.6063/.ai_paper_validation/final_report_1_5_3.md</t>
        </is>
      </c>
      <c r="Q88" s="2" t="inlineStr">
        <is>
          <t>C012</t>
        </is>
      </c>
      <c r="R88" s="2" t="inlineStr">
        <is>
          <t>Pending Human Adjudication</t>
        </is>
      </c>
      <c r="S88" s="2" t="inlineStr">
        <is>
          <t>Otherwise matched displays of the 24-week primary result print +0.30 in Key Points and -0.3/-0.27 elsewhere, without defining a common signed operand order.</t>
        </is>
      </c>
      <c r="T88" s="2" t="b">
        <v>1</v>
      </c>
      <c r="U88" s="2" t="inlineStr">
        <is>
          <t>sign_repeat</t>
        </is>
      </c>
      <c r="V88" s="2" t="inlineStr">
        <is>
          <t>internal_nonstatistical</t>
        </is>
      </c>
      <c r="W88" s="2" t="inlineStr">
        <is>
          <t>Key Points and other matched primary-result displays use opposite signs</t>
        </is>
      </c>
      <c r="X88" s="2" t="inlineStr">
        <is>
          <t>2024</t>
        </is>
      </c>
      <c r="Y88" s="2" t="inlineStr">
        <is>
          <t>meta_report/consistency_reclassification_2026-09-04/reclassified_candidates.json</t>
        </is>
      </c>
      <c r="Z88" s="2" t="inlineStr">
        <is>
          <t>S_C</t>
        </is>
      </c>
      <c r="AA88" s="2" t="inlineStr">
        <is>
          <t>internal_nonstatistical</t>
        </is>
      </c>
      <c r="AB88" s="2" t="inlineStr">
        <is>
          <t>retain</t>
        </is>
      </c>
    </row>
    <row r="89" ht="95" customHeight="1">
      <c r="A89" s="3" t="b">
        <v>0</v>
      </c>
      <c r="B89" s="3" t="inlineStr">
        <is>
          <t>Mixed internal-main/cross-file counts; coding-category equivalence remains conditional.</t>
        </is>
      </c>
      <c r="C89" s="3" t="b">
        <v>0</v>
      </c>
      <c r="D89" s="3" t="inlineStr">
        <is>
          <t>Cross-document numeric inconsistency</t>
        </is>
      </c>
      <c r="E89" s="3" t="b">
        <v>1</v>
      </c>
      <c r="F89" s="3" t="inlineStr">
        <is>
          <t>C013</t>
        </is>
      </c>
      <c r="G89" s="3" t="inlineStr">
        <is>
          <t>2024::jama.2024.6063::C013</t>
        </is>
      </c>
      <c r="H89" s="3" t="inlineStr"/>
      <c r="I89" s="3" t="inlineStr">
        <is>
          <t>Main article — PDF p. 1; Main article — PDF p. 8; Supplement 3 — PDF p. 10.</t>
        </is>
      </c>
      <c r="J89" s="3" t="b">
        <v>1</v>
      </c>
      <c r="K89" s="3" t="inlineStr">
        <is>
          <t>jama.2024.6063</t>
        </is>
      </c>
      <c r="L89" s="3" t="inlineStr"/>
      <c r="M89" s="3" t="inlineStr">
        <is>
          <t>S_C</t>
        </is>
      </c>
      <c r="N89" s="3" t="inlineStr">
        <is>
          <t>Main Table3 placeboextremitypain count6 differs from5 in its abstract/narrative and results eTable7.</t>
        </is>
      </c>
      <c r="O89" s="3" t="inlineStr">
        <is>
          <t>../../2024/jama.2024.6063/.ai_paper_validation/final_report_1_5_3.html</t>
        </is>
      </c>
      <c r="P89" s="3" t="inlineStr">
        <is>
          <t>2024/jama.2024.6063/.ai_paper_validation/final_report_1_5_3.md</t>
        </is>
      </c>
      <c r="Q89" s="3" t="inlineStr">
        <is>
          <t>C013</t>
        </is>
      </c>
      <c r="R89" s="3" t="inlineStr">
        <is>
          <t>Pending Human Adjudication</t>
        </is>
      </c>
      <c r="S89" s="3" t="inlineStr">
        <is>
          <t>Table 3 prints six placebo Pain in extremity events, while matched Abstract, narrative, and eTable 7 displays print five.</t>
        </is>
      </c>
      <c r="T89" s="3" t="b">
        <v>1</v>
      </c>
      <c r="U89" s="3" t="inlineStr">
        <is>
          <t>adverse_event_count</t>
        </is>
      </c>
      <c r="V89" s="3" t="inlineStr">
        <is>
          <t>internal_nonstatistical</t>
        </is>
      </c>
      <c r="W89" s="3" t="inlineStr">
        <is>
          <t>Placebo extremity-pain event count is 6 in Table 3 and 5 elsewhere</t>
        </is>
      </c>
      <c r="X89" s="3" t="inlineStr">
        <is>
          <t>2024</t>
        </is>
      </c>
      <c r="Y89" s="3" t="inlineStr">
        <is>
          <t>meta_report/consistency_reclassification_2026-09-04/reclassified_candidates.json</t>
        </is>
      </c>
      <c r="Z89" s="3" t="inlineStr">
        <is>
          <t>S_C</t>
        </is>
      </c>
      <c r="AA89" s="3" t="inlineStr">
        <is>
          <t>internal_nonstatistical</t>
        </is>
      </c>
      <c r="AB89" s="3" t="inlineStr">
        <is>
          <t>retain</t>
        </is>
      </c>
    </row>
    <row r="90" ht="95" customHeight="1">
      <c r="A90" s="2" t="b">
        <v>0</v>
      </c>
      <c r="B90" s="2" t="inlineStr">
        <is>
          <t>Cross-file destination/content mismatch; main narrative corroborates intended eTable7.</t>
        </is>
      </c>
      <c r="C90" s="2" t="b">
        <v>0</v>
      </c>
      <c r="D90" s="2" t="inlineStr">
        <is>
          <t>Measure, label, or scale inconsistency</t>
        </is>
      </c>
      <c r="E90" s="2" t="b">
        <v>1</v>
      </c>
      <c r="F90" s="2" t="inlineStr">
        <is>
          <t>C014</t>
        </is>
      </c>
      <c r="G90" s="2" t="inlineStr">
        <is>
          <t>2024::jama.2024.6063::C014</t>
        </is>
      </c>
      <c r="H90" s="2" t="inlineStr"/>
      <c r="I90" s="2" t="inlineStr">
        <is>
          <t>Main article — PDF p. 8; Supplement 3 — PDF p. 5; Supplement 3 — PDF p. 10.</t>
        </is>
      </c>
      <c r="J90" s="2" t="b">
        <v>0</v>
      </c>
      <c r="K90" s="2" t="inlineStr">
        <is>
          <t>jama.2024.6063</t>
        </is>
      </c>
      <c r="L90" s="2" t="inlineStr"/>
      <c r="M90" s="2" t="inlineStr">
        <is>
          <t>S_C</t>
        </is>
      </c>
      <c r="N90" s="2" t="inlineStr">
        <is>
          <t>Main Table3 adverse-event footnote cites eTable4 but supplied results supplement eTable4 is secondary endpoints and eTable7 contains the stated adverse-event detail.</t>
        </is>
      </c>
      <c r="O90" s="2" t="inlineStr">
        <is>
          <t>../../2024/jama.2024.6063/.ai_paper_validation/final_report_1_5_3.html</t>
        </is>
      </c>
      <c r="P90" s="2" t="inlineStr">
        <is>
          <t>2024/jama.2024.6063/.ai_paper_validation/final_report_1_5_3.md</t>
        </is>
      </c>
      <c r="Q90" s="2" t="inlineStr">
        <is>
          <t>C014</t>
        </is>
      </c>
      <c r="R90" s="2" t="inlineStr">
        <is>
          <t>Pending Human Adjudication</t>
        </is>
      </c>
      <c r="S90" s="2" t="inlineStr">
        <is>
          <t>Table 3 footnote a directs regular-adverse-event detail to eTable 4, whereas eTable 7 is the supplied adverse-event table cited by the narrative.</t>
        </is>
      </c>
      <c r="T90" s="2" t="b">
        <v>1</v>
      </c>
      <c r="U90" s="2" t="inlineStr">
        <is>
          <t>cross_reference</t>
        </is>
      </c>
      <c r="V90" s="2" t="inlineStr">
        <is>
          <t>internal_nonstatistical</t>
        </is>
      </c>
      <c r="W90" s="2" t="inlineStr">
        <is>
          <t>Table 3 regular-adverse-event footnote points to eTable 4 instead of eTable 7</t>
        </is>
      </c>
      <c r="X90" s="2" t="inlineStr">
        <is>
          <t>2024</t>
        </is>
      </c>
      <c r="Y90" s="2" t="inlineStr">
        <is>
          <t>meta_report/consistency_reclassification_2026-09-04/reclassified_candidates.json</t>
        </is>
      </c>
      <c r="Z90" s="2" t="inlineStr">
        <is>
          <t>S_C</t>
        </is>
      </c>
      <c r="AA90" s="2" t="inlineStr">
        <is>
          <t>internal_nonstatistical</t>
        </is>
      </c>
      <c r="AB90" s="2" t="inlineStr">
        <is>
          <t>retain</t>
        </is>
      </c>
    </row>
    <row r="91" ht="95" customHeight="1">
      <c r="A91" s="3" t="b">
        <v>0</v>
      </c>
      <c r="B91" s="3" t="inlineStr">
        <is>
          <t>Cross-file destination/content mismatch; separate regular-versus-serious-event footnotes from C014.</t>
        </is>
      </c>
      <c r="C91" s="3" t="b">
        <v>0</v>
      </c>
      <c r="D91" s="3" t="inlineStr">
        <is>
          <t>Measure, label, or scale inconsistency</t>
        </is>
      </c>
      <c r="E91" s="3" t="b">
        <v>1</v>
      </c>
      <c r="F91" s="3" t="inlineStr">
        <is>
          <t>C015</t>
        </is>
      </c>
      <c r="G91" s="3" t="inlineStr">
        <is>
          <t>2024::jama.2024.6063::C015</t>
        </is>
      </c>
      <c r="H91" s="3" t="inlineStr"/>
      <c r="I91" s="3" t="inlineStr">
        <is>
          <t>Main article — PDF p. 8; Supplement 3 — PDF p. 8; Supplement 3 — PDF p. 9; Supplement 3 — PDF p. 14.</t>
        </is>
      </c>
      <c r="J91" s="3" t="b">
        <v>0</v>
      </c>
      <c r="K91" s="3" t="inlineStr">
        <is>
          <t>jama.2024.6063</t>
        </is>
      </c>
      <c r="L91" s="3" t="inlineStr"/>
      <c r="M91" s="3" t="inlineStr">
        <is>
          <t>S_C</t>
        </is>
      </c>
      <c r="N91" s="3" t="inlineStr">
        <is>
          <t>Main Table3 serious-event footnote cites eTables5/6 but results supplement uses those forWORMS/analgesics and places serious events in eTable8.</t>
        </is>
      </c>
      <c r="O91" s="3" t="inlineStr">
        <is>
          <t>../../2024/jama.2024.6063/.ai_paper_validation/final_report_1_5_3.html</t>
        </is>
      </c>
      <c r="P91" s="3" t="inlineStr">
        <is>
          <t>2024/jama.2024.6063/.ai_paper_validation/final_report_1_5_3.md</t>
        </is>
      </c>
      <c r="Q91" s="3" t="inlineStr">
        <is>
          <t>C015</t>
        </is>
      </c>
      <c r="R91" s="3" t="inlineStr">
        <is>
          <t>Pending Human Adjudication</t>
        </is>
      </c>
      <c r="S91" s="3" t="inlineStr">
        <is>
          <t>Table 3 footnote c directs serious-adverse-event detail to eTables 5 and 6, while eTable 8 contains the supplied serious-adverse-event detail.</t>
        </is>
      </c>
      <c r="T91" s="3" t="b">
        <v>1</v>
      </c>
      <c r="U91" s="3" t="inlineStr">
        <is>
          <t>cross_reference</t>
        </is>
      </c>
      <c r="V91" s="3" t="inlineStr">
        <is>
          <t>internal_nonstatistical</t>
        </is>
      </c>
      <c r="W91" s="3" t="inlineStr">
        <is>
          <t>Table 3 serious-adverse-event footnote points to eTables 5 and 6 instead of eTable 8</t>
        </is>
      </c>
      <c r="X91" s="3" t="inlineStr">
        <is>
          <t>2024</t>
        </is>
      </c>
      <c r="Y91" s="3" t="inlineStr">
        <is>
          <t>meta_report/consistency_reclassification_2026-09-04/reclassified_candidates.json</t>
        </is>
      </c>
      <c r="Z91" s="3" t="inlineStr">
        <is>
          <t>S_C</t>
        </is>
      </c>
      <c r="AA91" s="3" t="inlineStr">
        <is>
          <t>internal_nonstatistical</t>
        </is>
      </c>
      <c r="AB91" s="3" t="inlineStr">
        <is>
          <t>retain</t>
        </is>
      </c>
    </row>
    <row r="92" ht="95" customHeight="1">
      <c r="A92" s="2" t="b">
        <v>0</v>
      </c>
      <c r="B92" s="2" t="inlineStr">
        <is>
          <t>Main numerator/denominator unknown; C002 separately records the eTable167versus165 discrepancy, so not a duplicate and no added internal relation here.</t>
        </is>
      </c>
      <c r="C92" s="2" t="b">
        <v>0</v>
      </c>
      <c r="D92" s="2" t="inlineStr">
        <is>
          <t>Cross-document numeric inconsistency</t>
        </is>
      </c>
      <c r="E92" s="2" t="b">
        <v>1</v>
      </c>
      <c r="F92" s="2" t="inlineStr">
        <is>
          <t>C016</t>
        </is>
      </c>
      <c r="G92" s="2" t="inlineStr">
        <is>
          <t>2024::jama.2024.6063::C016</t>
        </is>
      </c>
      <c r="H92" s="2" t="inlineStr"/>
      <c r="I92" s="2" t="inlineStr">
        <is>
          <t>Main article — PDF p. 7; Supplement 3 — PDF p. 3.</t>
        </is>
      </c>
      <c r="J92" s="2" t="b">
        <v>1</v>
      </c>
      <c r="K92" s="2" t="inlineStr">
        <is>
          <t>jama.2024.6063</t>
        </is>
      </c>
      <c r="L92" s="2" t="inlineStr"/>
      <c r="M92" s="2" t="inlineStr">
        <is>
          <t>S_C</t>
        </is>
      </c>
      <c r="N92" s="2" t="inlineStr">
        <is>
          <t>Main95%adherence statement disagrees with163/167=97.6% from its cited results eTable2.</t>
        </is>
      </c>
      <c r="O92" s="2" t="inlineStr">
        <is>
          <t>../../2024/jama.2024.6063/.ai_paper_validation/final_report_1_5_3.html</t>
        </is>
      </c>
      <c r="P92" s="2" t="inlineStr">
        <is>
          <t>2024/jama.2024.6063/.ai_paper_validation/final_report_1_5_3.md</t>
        </is>
      </c>
      <c r="Q92" s="2" t="inlineStr">
        <is>
          <t>C016</t>
        </is>
      </c>
      <c r="R92" s="2" t="inlineStr">
        <is>
          <t>Pending Human Adjudication</t>
        </is>
      </c>
      <c r="S92" s="2" t="inlineStr">
        <is>
          <t>The main text’s 95% 24-week adherence statement does not reproduce from the cited eTable 2 overall row, conditional on a shared population.</t>
        </is>
      </c>
      <c r="T92" s="2" t="b">
        <v>1</v>
      </c>
      <c r="U92" s="2" t="inlineStr">
        <is>
          <t>aggregate_percentage</t>
        </is>
      </c>
      <c r="V92" s="2" t="inlineStr">
        <is>
          <t>internal_nonstatistical</t>
        </is>
      </c>
      <c r="W92" s="2" t="inlineStr">
        <is>
          <t>Main-text 95% adherence does not reproduce the cited eTable 2 overall result</t>
        </is>
      </c>
      <c r="X92" s="2" t="inlineStr">
        <is>
          <t>2024</t>
        </is>
      </c>
      <c r="Y92" s="2" t="inlineStr">
        <is>
          <t>meta_report/consistency_reclassification_2026-09-04/reclassified_candidates.json</t>
        </is>
      </c>
      <c r="Z92" s="2" t="inlineStr">
        <is>
          <t>S_C</t>
        </is>
      </c>
      <c r="AA92" s="2" t="inlineStr">
        <is>
          <t>internal_nonstatistical</t>
        </is>
      </c>
      <c r="AB9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92"/>
  <pageMargins left="0.75" right="0.75" top="1" bottom="1"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36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58" customHeight="1">
      <c r="A2" s="2" t="inlineStr">
        <is>
          <t>2024::jama.2024.0318::C001</t>
        </is>
      </c>
      <c r="B2" s="2" t="n">
        <v>0</v>
      </c>
      <c r="C2" s="2" t="inlineStr">
        <is>
          <t>Source evidence</t>
        </is>
      </c>
      <c r="D2" s="2" t="inlineStr">
        <is>
          <t>The figure states 305 Available for long-term follow-up and randomized, then shows 193 Randomized to undergo bariatric surgery and 122 Randomized to undergo medical/lifestyle intervention. Its enrolled counts are 166 and 96.</t>
        </is>
      </c>
    </row>
    <row r="3" ht="48" customHeight="1">
      <c r="A3" s="3" t="inlineStr">
        <is>
          <t>2024::jama.2024.0318::C001</t>
        </is>
      </c>
      <c r="B3" s="3" t="n">
        <v>1</v>
      </c>
      <c r="C3" s="3" t="inlineStr">
        <is>
          <t>Reported-versus-comparator</t>
        </is>
      </c>
      <c r="D3" s="3" t="inlineStr">
        <is>
          <t>Reported parent: 305 available. Comparator branches: 193 + 122 = 315. Separately, enrolled counts 166 + 96 = 262.</t>
        </is>
      </c>
    </row>
    <row r="4" ht="48" customHeight="1">
      <c r="A4" s="2" t="inlineStr">
        <is>
          <t>2024::jama.2024.0318::C001</t>
        </is>
      </c>
      <c r="B4" s="2" t="n">
        <v>2</v>
      </c>
      <c r="C4" s="2" t="inlineStr">
        <is>
          <t>Calculation</t>
        </is>
      </c>
      <c r="D4" s="2" t="inlineStr">
        <is>
          <t>193 + 122 = 315; 315 - 305 = 10. Separately, 166 + 96 = 262, and 262 / 305 × 100 = 85.90%, consistent with the printed 86% after rounding.</t>
        </is>
      </c>
    </row>
    <row r="5" ht="58" customHeight="1">
      <c r="A5" s="3" t="inlineStr">
        <is>
          <t>2024::jama.2024.0318::C001</t>
        </is>
      </c>
      <c r="B5" s="3" t="n">
        <v>3</v>
      </c>
      <c r="C5" s="3" t="inlineStr">
        <is>
          <t>Alternative source-grounded interpretations</t>
        </is>
      </c>
      <c r="D5"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58" customHeight="1">
      <c r="A6" s="2" t="inlineStr">
        <is>
          <t>2024::jama.2024.0318::C002</t>
        </is>
      </c>
      <c r="B6" s="2" t="n">
        <v>0</v>
      </c>
      <c r="C6" s="2" t="inlineStr">
        <is>
          <t>Source evidence</t>
        </is>
      </c>
      <c r="D6"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48" customHeight="1">
      <c r="A7" s="3" t="inlineStr">
        <is>
          <t>2024::jama.2024.0318::C002</t>
        </is>
      </c>
      <c r="B7" s="3" t="n">
        <v>1</v>
      </c>
      <c r="C7" s="3" t="inlineStr">
        <is>
          <t>Reported-versus-comparator</t>
        </is>
      </c>
      <c r="D7" s="3" t="inlineStr">
        <is>
          <t>Reported headings and main-text pointer: year 12. Comparator footnote definitions: year 7.</t>
        </is>
      </c>
    </row>
    <row r="8" ht="48" customHeight="1">
      <c r="A8" s="2" t="inlineStr">
        <is>
          <t>2024::jama.2024.0318::C002</t>
        </is>
      </c>
      <c r="B8" s="2" t="n">
        <v>2</v>
      </c>
      <c r="C8" s="2" t="inlineStr">
        <is>
          <t>Calculation</t>
        </is>
      </c>
      <c r="D8" s="2" t="inlineStr">
        <is>
          <t>No arithmetic is required: year 12 and year 7 are distinct timepoint definitions.</t>
        </is>
      </c>
    </row>
    <row r="9" ht="48" customHeight="1">
      <c r="A9" s="3" t="inlineStr">
        <is>
          <t>2024::jama.2024.0318::C002</t>
        </is>
      </c>
      <c r="B9" s="3" t="n">
        <v>3</v>
      </c>
      <c r="C9" s="3" t="inlineStr">
        <is>
          <t>Alternative source-grounded interpretations</t>
        </is>
      </c>
      <c r="D9" s="3" t="inlineStr">
        <is>
          <t>Footnotes may retain residual year-7 wording; the title/columns may be wrong; or the table may intentionally combine year-12 descriptive values with year-7 modeled quantities without a printed explanation.</t>
        </is>
      </c>
    </row>
    <row r="10" ht="58" customHeight="1">
      <c r="A10" s="2" t="inlineStr">
        <is>
          <t>2024::jama.2024.0318::C003</t>
        </is>
      </c>
      <c r="B10" s="2" t="n">
        <v>0</v>
      </c>
      <c r="C10" s="2" t="inlineStr">
        <is>
          <t>Source evidence</t>
        </is>
      </c>
      <c r="D10" s="2" t="inlineStr">
        <is>
          <t>Main-paper pages 1 and 3 print a surgery-minus-medical/lifestyle difference of -1.1% (95% CI, -1.7% to -0.5%) with P = .002; page 3 points to eTable 2. eTable 2 prints -1.1 (-1.7, -0.5) under its year-12 heading with P &lt; .001.</t>
        </is>
      </c>
    </row>
    <row r="11" ht="48" customHeight="1">
      <c r="A11" s="3" t="inlineStr">
        <is>
          <t>2024::jama.2024.0318::C003</t>
        </is>
      </c>
      <c r="B11" s="3" t="n">
        <v>1</v>
      </c>
      <c r="C11" s="3" t="inlineStr">
        <is>
          <t>Reported-versus-comparator</t>
        </is>
      </c>
      <c r="D11" s="3" t="inlineStr">
        <is>
          <t>Main result: P = .002. Supplement comparator for the matching displayed estimate and interval: P &lt; .001.</t>
        </is>
      </c>
    </row>
    <row r="12" ht="48" customHeight="1">
      <c r="A12" s="2" t="inlineStr">
        <is>
          <t>2024::jama.2024.0318::C003</t>
        </is>
      </c>
      <c r="B12" s="2" t="n">
        <v>2</v>
      </c>
      <c r="C12" s="2" t="inlineStr">
        <is>
          <t>Calculation</t>
        </is>
      </c>
      <c r="D12" s="2" t="inlineStr">
        <is>
          <t>The estimate and interval agree at displayed precision. .002 &lt; .001 is false, so a displayed P value of .002 is incompatible with &lt;.001 for an otherwise matched result.</t>
        </is>
      </c>
    </row>
    <row r="13" ht="48" customHeight="1">
      <c r="A13" s="3" t="inlineStr">
        <is>
          <t>2024::jama.2024.0318::C003</t>
        </is>
      </c>
      <c r="B13" s="3" t="n">
        <v>3</v>
      </c>
      <c r="C13" s="3" t="inlineStr">
        <is>
          <t>Alternative source-grounded interpretations</t>
        </is>
      </c>
      <c r="D13" s="3" t="inlineStr">
        <is>
          <t>One P value may be intended; the supplement may use a different unlabeled timepoint, test, model, or variance method. C002's conflicting timepoint footnotes leave the supplement estimand incompletely defined.</t>
        </is>
      </c>
    </row>
    <row r="14" ht="48" customHeight="1">
      <c r="A14" s="2" t="inlineStr">
        <is>
          <t>2024::jama.2024.0318::C004</t>
        </is>
      </c>
      <c r="B14" s="2" t="n">
        <v>0</v>
      </c>
      <c r="C14" s="2" t="inlineStr">
        <is>
          <t>Source evidence</t>
        </is>
      </c>
      <c r="D14" s="2" t="inlineStr">
        <is>
          <t>The narrative states HbA1c less than or equal to 6.5% with P = .002; Table 2. The cited table row is HbA1c &lt;6.5%, %, with 17.3% and 37.7%, OR 2.89 (95% CI 1.48-5.64), and P = .002.</t>
        </is>
      </c>
    </row>
    <row r="15" ht="48" customHeight="1">
      <c r="A15" s="3" t="inlineStr">
        <is>
          <t>2024::jama.2024.0318::C004</t>
        </is>
      </c>
      <c r="B15" s="3" t="n">
        <v>1</v>
      </c>
      <c r="C15" s="3" t="inlineStr">
        <is>
          <t>Reported-versus-comparator</t>
        </is>
      </c>
      <c r="D15" s="3" t="inlineStr">
        <is>
          <t>Reported narrative operator: &lt;=6.5%. Table comparator operator: &lt;6.5%, linked by the same P value and direct Table 2 citation.</t>
        </is>
      </c>
    </row>
    <row r="16" ht="48" customHeight="1">
      <c r="A16" s="2" t="inlineStr">
        <is>
          <t>2024::jama.2024.0318::C004</t>
        </is>
      </c>
      <c r="B16" s="2" t="n">
        <v>2</v>
      </c>
      <c r="C16" s="2" t="inlineStr">
        <is>
          <t>Calculation</t>
        </is>
      </c>
      <c r="D16" s="2" t="inlineStr">
        <is>
          <t>{x: x &lt; 6.5} is a subset of {x: x &lt;= 6.5}; only values exactly equal to 6.5 differ in membership.</t>
        </is>
      </c>
    </row>
    <row r="17" ht="48" customHeight="1">
      <c r="A17" s="3" t="inlineStr">
        <is>
          <t>2024::jama.2024.0318::C004</t>
        </is>
      </c>
      <c r="B17" s="3" t="n">
        <v>3</v>
      </c>
      <c r="C17" s="3" t="inlineStr">
        <is>
          <t>Alternative source-grounded interpretations</t>
        </is>
      </c>
      <c r="D17" s="3" t="inlineStr">
        <is>
          <t>The prose may be imprecise, the table may omit equality, or an undocumented measurement-precision/rounding convention may reconcile the labels. The package does not report the number at exactly 6.5%.</t>
        </is>
      </c>
    </row>
    <row r="18" ht="58" customHeight="1">
      <c r="A18" s="2" t="inlineStr">
        <is>
          <t>2024::jama.2024.0318::C005</t>
        </is>
      </c>
      <c r="B18" s="2" t="n">
        <v>0</v>
      </c>
      <c r="C18" s="2" t="inlineStr">
        <is>
          <t>Source evidence</t>
        </is>
      </c>
      <c r="D18" s="2" t="inlineStr">
        <is>
          <t>The abstract reports 4 deaths (2.2%), 2 in each group. The displayed enrolled groups are 96 medical/lifestyle and 166 surgery. Table 3 reports 2 (2.1%) of 96 and 2 (1.2%) of 166; the Results narrative also states four deaths, two per group.</t>
        </is>
      </c>
    </row>
    <row r="19" ht="48" customHeight="1">
      <c r="A19" s="3" t="inlineStr">
        <is>
          <t>2024::jama.2024.0318::C005</t>
        </is>
      </c>
      <c r="B19" s="3" t="n">
        <v>1</v>
      </c>
      <c r="C19" s="3" t="inlineStr">
        <is>
          <t>Reported-versus-comparator</t>
        </is>
      </c>
      <c r="D19" s="3" t="inlineStr">
        <is>
          <t>Abstract: four deaths, 2.2%. Comparator: four deaths among displayed group denominators totaling 262.</t>
        </is>
      </c>
    </row>
    <row r="20" ht="48" customHeight="1">
      <c r="A20" s="2" t="inlineStr">
        <is>
          <t>2024::jama.2024.0318::C005</t>
        </is>
      </c>
      <c r="B20" s="2" t="n">
        <v>2</v>
      </c>
      <c r="C20" s="2" t="inlineStr">
        <is>
          <t>Calculation</t>
        </is>
      </c>
      <c r="D20" s="2" t="inlineStr">
        <is>
          <t>2 / 96 × 100 = 2.0833% → 2.1%; 2 / 166 × 100 = 1.2048% → 1.2%; 4 / (96 + 166) × 100 = 1.5267% → 1.5%, not 2.2%.</t>
        </is>
      </c>
    </row>
    <row r="21" ht="58" customHeight="1">
      <c r="A21" s="3" t="inlineStr">
        <is>
          <t>2024::jama.2024.0318::C005</t>
        </is>
      </c>
      <c r="B21" s="3" t="n">
        <v>3</v>
      </c>
      <c r="C21" s="3" t="inlineStr">
        <is>
          <t>Alternative source-grounded interpretations</t>
        </is>
      </c>
      <c r="D21" s="3" t="inlineStr">
        <is>
          <t>The abstract may use an unstated risk-set denominator or measure; its percentage may be a transcription difference; or Table 3 may represent a population not distinguished in the abstract. The package does not identify the abstract denominator.</t>
        </is>
      </c>
    </row>
    <row r="22" ht="48" customHeight="1">
      <c r="A22" s="2" t="inlineStr">
        <is>
          <t>2024::jama.2024.0318::C006</t>
        </is>
      </c>
      <c r="B22" s="2" t="n">
        <v>0</v>
      </c>
      <c r="C22" s="2" t="inlineStr">
        <is>
          <t>Source evidence</t>
        </is>
      </c>
      <c r="D22" s="2" t="inlineStr">
        <is>
          <t>The main article describes BMI 27 to &lt;35 versus BMI 35 or greater and cites eFigure 6. eFigure 6 repeatedly labels the groups BMI &lt;35 and BMI &gt;35 for the corresponding HbA1c and weight-loss analysis.</t>
        </is>
      </c>
    </row>
    <row r="23" ht="48" customHeight="1">
      <c r="A23" s="3" t="inlineStr">
        <is>
          <t>2024::jama.2024.0318::C006</t>
        </is>
      </c>
      <c r="B23" s="3" t="n">
        <v>1</v>
      </c>
      <c r="C23" s="3" t="inlineStr">
        <is>
          <t>Reported-versus-comparator</t>
        </is>
      </c>
      <c r="D23" s="3" t="inlineStr">
        <is>
          <t>Main higher subgroup: BMI &gt;=35. eFigure higher subgroup: BMI &gt;35, with lower subgroup BMI &lt;35.</t>
        </is>
      </c>
    </row>
    <row r="24" ht="48" customHeight="1">
      <c r="A24" s="2" t="inlineStr">
        <is>
          <t>2024::jama.2024.0318::C006</t>
        </is>
      </c>
      <c r="B24" s="2" t="n">
        <v>2</v>
      </c>
      <c r="C24" s="2" t="inlineStr">
        <is>
          <t>Calculation</t>
        </is>
      </c>
      <c r="D24" s="2" t="inlineStr">
        <is>
          <t>The complement of {x: x &lt; 35} is {x: x &gt;= 35}. The figure pair {x: x &lt; 35} and {x: x &gt; 35} leaves x = 35 unassigned, whereas the main-text higher set includes it.</t>
        </is>
      </c>
    </row>
    <row r="25" ht="48" customHeight="1">
      <c r="A25" s="3" t="inlineStr">
        <is>
          <t>2024::jama.2024.0318::C006</t>
        </is>
      </c>
      <c r="B25" s="3" t="n">
        <v>3</v>
      </c>
      <c r="C25" s="3" t="inlineStr">
        <is>
          <t>Alternative source-grounded interpretations</t>
        </is>
      </c>
      <c r="D25" s="3" t="inlineStr">
        <is>
          <t>The figure may have omitted equality; the main wording may be imprecise; or no participant may have had unrounded BMI exactly 35. The supplied package does not establish which operator was implemented.</t>
        </is>
      </c>
    </row>
    <row r="26" ht="74" customHeight="1">
      <c r="A26" s="2" t="inlineStr">
        <is>
          <t>2024::jama.2024.0572::C001</t>
        </is>
      </c>
      <c r="B26" s="2" t="n">
        <v>0</v>
      </c>
      <c r="C26" s="2" t="inlineStr">
        <is>
          <t>Source evidence</t>
        </is>
      </c>
      <c r="D26"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90" customHeight="1">
      <c r="A27" s="3" t="inlineStr">
        <is>
          <t>2024::jama.2024.0572::C001</t>
        </is>
      </c>
      <c r="B27" s="3" t="n">
        <v>1</v>
      </c>
      <c r="C27" s="3" t="inlineStr">
        <is>
          <t>Reported-versus-comparator</t>
        </is>
      </c>
      <c r="D27"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58" customHeight="1">
      <c r="A28" s="2" t="inlineStr">
        <is>
          <t>2024::jama.2024.0572::C001</t>
        </is>
      </c>
      <c r="B28" s="2" t="n">
        <v>2</v>
      </c>
      <c r="C28" s="2" t="inlineStr">
        <is>
          <t>Calculation</t>
        </is>
      </c>
      <c r="D28"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74" customHeight="1">
      <c r="A29" s="3" t="inlineStr">
        <is>
          <t>2024::jama.2024.0572::C001</t>
        </is>
      </c>
      <c r="B29" s="3" t="n">
        <v>3</v>
      </c>
      <c r="C29" s="3" t="inlineStr">
        <is>
          <t>Alternative source-grounded interpretations</t>
        </is>
      </c>
      <c r="D29"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90" customHeight="1">
      <c r="A30" s="2" t="inlineStr">
        <is>
          <t>2024::jama.2024.0572::C002</t>
        </is>
      </c>
      <c r="B30" s="2" t="n">
        <v>0</v>
      </c>
      <c r="C30" s="2" t="inlineStr">
        <is>
          <t>Source evidence</t>
        </is>
      </c>
      <c r="D30"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74" customHeight="1">
      <c r="A31" s="3" t="inlineStr">
        <is>
          <t>2024::jama.2024.0572::C002</t>
        </is>
      </c>
      <c r="B31" s="3" t="n">
        <v>1</v>
      </c>
      <c r="C31" s="3" t="inlineStr">
        <is>
          <t>Reported-versus-comparator</t>
        </is>
      </c>
      <c r="D31"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58" customHeight="1">
      <c r="A32" s="2" t="inlineStr">
        <is>
          <t>2024::jama.2024.0572::C002</t>
        </is>
      </c>
      <c r="B32" s="2" t="n">
        <v>2</v>
      </c>
      <c r="C32" s="2" t="inlineStr">
        <is>
          <t>Calculation</t>
        </is>
      </c>
      <c r="D32"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74" customHeight="1">
      <c r="A33" s="3" t="inlineStr">
        <is>
          <t>2024::jama.2024.0572::C002</t>
        </is>
      </c>
      <c r="B33" s="3" t="n">
        <v>3</v>
      </c>
      <c r="C33" s="3" t="inlineStr">
        <is>
          <t>Alternative source-grounded interpretations</t>
        </is>
      </c>
      <c r="D33"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48" customHeight="1">
      <c r="A34" s="2" t="inlineStr">
        <is>
          <t>2024::jama.2024.11057::C001</t>
        </is>
      </c>
      <c r="B34" s="2" t="n">
        <v>0</v>
      </c>
      <c r="C34" s="2" t="inlineStr">
        <is>
          <t>Source evidence</t>
        </is>
      </c>
      <c r="D34" s="2" t="inlineStr">
        <is>
          <t>D001 states “6 weeks before and 8 weeks after”; D002 states “a week before and 8 weeks afterward”; D003 states “1 week preceding” and 8 weeks afterward.</t>
        </is>
      </c>
    </row>
    <row r="35" ht="48" customHeight="1">
      <c r="A35" s="3" t="inlineStr">
        <is>
          <t>2024::jama.2024.11057::C001</t>
        </is>
      </c>
      <c r="B35" s="3" t="n">
        <v>1</v>
      </c>
      <c r="C35" s="3" t="inlineStr">
        <is>
          <t>Reported-versus-comparator</t>
        </is>
      </c>
      <c r="D35" s="3" t="inlineStr">
        <is>
          <t>6 weeks before in D001 versus 1 week before in D002 and D003, with the intervention name, quit-date subgroup, temporal anchor, and week unit matched. All three print an 8-week post-quit period.</t>
        </is>
      </c>
    </row>
    <row r="36" ht="48" customHeight="1">
      <c r="A36" s="2" t="inlineStr">
        <is>
          <t>2024::jama.2024.11057::C001</t>
        </is>
      </c>
      <c r="B36" s="2" t="n">
        <v>2</v>
      </c>
      <c r="C36" s="2" t="inlineStr">
        <is>
          <t>Calculation</t>
        </is>
      </c>
      <c r="D36" s="2" t="inlineStr">
        <is>
          <t>6 weeks - 1 week = 5 weeks; 6 weeks != 1 week.</t>
        </is>
      </c>
    </row>
    <row r="37" ht="58" customHeight="1">
      <c r="A37" s="3" t="inlineStr">
        <is>
          <t>2024::jama.2024.11057::C001</t>
        </is>
      </c>
      <c r="B37" s="3" t="n">
        <v>3</v>
      </c>
      <c r="C37" s="3" t="inlineStr">
        <is>
          <t>Alternative source-grounded interpretations</t>
        </is>
      </c>
      <c r="D37"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58" customHeight="1">
      <c r="A38" s="2" t="inlineStr">
        <is>
          <t>2024::jama.2024.11057::C002</t>
        </is>
      </c>
      <c r="B38" s="2" t="n">
        <v>0</v>
      </c>
      <c r="C38" s="2" t="inlineStr">
        <is>
          <t>Source evidence</t>
        </is>
      </c>
      <c r="D38" s="2" t="inlineStr">
        <is>
          <t>eTable 4 prints motivation as 4.1 (0.8) in both groups and confidence as 3.2 (1.1) and 3.5 (1.1) under median (IQR). The same table prints other median-IQR rows as endpoint pairs, including 30.0 (27.0-30.0) and 4.0 (3.0-5.0).</t>
        </is>
      </c>
    </row>
    <row r="39" ht="48" customHeight="1">
      <c r="A39" s="3" t="inlineStr">
        <is>
          <t>2024::jama.2024.11057::C002</t>
        </is>
      </c>
      <c r="B39" s="3" t="n">
        <v>1</v>
      </c>
      <c r="C39" s="3" t="inlineStr">
        <is>
          <t>Reported-versus-comparator</t>
        </is>
      </c>
      <c r="D39" s="3" t="inlineStr">
        <is>
          <t>A median (IQR) label with one parenthetical value versus the same table's median (IQR) rows with two hyphen-separated endpoint values. D001 Table 1 also uses endpoint-form IQRs for the same measures.</t>
        </is>
      </c>
    </row>
    <row r="40" ht="48" customHeight="1">
      <c r="A40" s="2" t="inlineStr">
        <is>
          <t>2024::jama.2024.11057::C002</t>
        </is>
      </c>
      <c r="B40" s="2" t="n">
        <v>2</v>
      </c>
      <c r="C40" s="2" t="inlineStr">
        <is>
          <t>Calculation</t>
        </is>
      </c>
      <c r="D40" s="2" t="inlineStr">
        <is>
          <t>The comparator format has two values inside parentheses; each affected cell has one. Rounding cannot create two unprinted endpoints from one displayed value.</t>
        </is>
      </c>
    </row>
    <row r="41" ht="58" customHeight="1">
      <c r="A41" s="3" t="inlineStr">
        <is>
          <t>2024::jama.2024.11057::C002</t>
        </is>
      </c>
      <c r="B41" s="3" t="n">
        <v>3</v>
      </c>
      <c r="C41" s="3" t="inlineStr">
        <is>
          <t>Alternative source-grounded interpretations</t>
        </is>
      </c>
      <c r="D41" s="3" t="inlineStr">
        <is>
          <t>The cells may be means (SDs), scalar IQR widths under an unstated convention, or medians with omitted endpoints. The supplied package does not define the intended convention or provide analysis output to resolve it.</t>
        </is>
      </c>
    </row>
    <row r="42" ht="58" customHeight="1">
      <c r="A42" s="2" t="inlineStr">
        <is>
          <t>2024::jama.2024.11057::C003</t>
        </is>
      </c>
      <c r="B42" s="2" t="n">
        <v>0</v>
      </c>
      <c r="C42" s="2" t="inlineStr">
        <is>
          <t>Source evidence</t>
        </is>
      </c>
      <c r="D42" s="2" t="inlineStr">
        <is>
          <t>D003 p. 5 defines IPRW as inverse probability of retention weighting and otherwise uses IPRW, but its repeated-PPA sentence prints IPWR with RR 2.21 (95% CI 1.67-2.93). D003 p. 14 and D001 p. 4 label the matching analysis IPRW.</t>
        </is>
      </c>
    </row>
    <row r="43" ht="48" customHeight="1">
      <c r="A43" s="3" t="inlineStr">
        <is>
          <t>2024::jama.2024.11057::C003</t>
        </is>
      </c>
      <c r="B43" s="3" t="n">
        <v>1</v>
      </c>
      <c r="C43" s="3" t="inlineStr">
        <is>
          <t>Reported-versus-comparator</t>
        </is>
      </c>
      <c r="D43" s="3" t="inlineStr">
        <is>
          <t>Undefined IPWR versus the defined and repeatedly printed IPRW for the same weighted repeated-PPA result; the RR and confidence interval match.</t>
        </is>
      </c>
    </row>
    <row r="44" ht="48" customHeight="1">
      <c r="A44" s="2" t="inlineStr">
        <is>
          <t>2024::jama.2024.11057::C003</t>
        </is>
      </c>
      <c r="B44" s="2" t="n">
        <v>2</v>
      </c>
      <c r="C44" s="2" t="inlineStr">
        <is>
          <t>Calculation</t>
        </is>
      </c>
      <c r="D44" s="2" t="inlineStr">
        <is>
          <t>IPWR != IPRW; the matched-result anchors are RR 2.21 = 2.21 and 1.67-2.93 = 1.67-2.93.</t>
        </is>
      </c>
    </row>
    <row r="45" ht="48" customHeight="1">
      <c r="A45" s="3" t="inlineStr">
        <is>
          <t>2024::jama.2024.11057::C003</t>
        </is>
      </c>
      <c r="B45" s="3" t="n">
        <v>3</v>
      </c>
      <c r="C45" s="3" t="inlineStr">
        <is>
          <t>Alternative source-grounded interpretations</t>
        </is>
      </c>
      <c r="D45" s="3" t="inlineStr">
        <is>
          <t>IPWR could be an unstated second abbreviation, but no supplied source defines it and the identical eTable result is labelled IPRW. A typographical transposition is plausible but is not asserted as a correction.</t>
        </is>
      </c>
    </row>
    <row r="46" ht="48" customHeight="1">
      <c r="A46" s="2" t="inlineStr">
        <is>
          <t>2024::jama.2024.12829::C001</t>
        </is>
      </c>
      <c r="B46" s="2" t="n">
        <v>0</v>
      </c>
      <c r="C46" s="2" t="inlineStr">
        <is>
          <t>Source evidence</t>
        </is>
      </c>
      <c r="D46" s="2" t="inlineStr">
        <is>
          <t>BA n=249; male 172 (69.1) and female 77 (30.1).</t>
        </is>
      </c>
    </row>
    <row r="47" ht="48" customHeight="1">
      <c r="A47" s="3" t="inlineStr">
        <is>
          <t>2024::jama.2024.12829::C001</t>
        </is>
      </c>
      <c r="B47" s="3" t="n">
        <v>1</v>
      </c>
      <c r="C47" s="3" t="inlineStr">
        <is>
          <t>Reported-versus-comparator</t>
        </is>
      </c>
      <c r="D47" s="3" t="inlineStr">
        <is>
          <t>Reported female 30.1% versus 77/249.</t>
        </is>
      </c>
    </row>
    <row r="48" ht="48" customHeight="1">
      <c r="A48" s="2" t="inlineStr">
        <is>
          <t>2024::jama.2024.12829::C001</t>
        </is>
      </c>
      <c r="B48" s="2" t="n">
        <v>2</v>
      </c>
      <c r="C48" s="2" t="inlineStr">
        <is>
          <t>Calculation</t>
        </is>
      </c>
      <c r="D48" s="2" t="inlineStr">
        <is>
          <t>172+77=249; 77/249×100=30.9237%, ordinarily 30.9%; printed sex percentages total 99.2%.</t>
        </is>
      </c>
    </row>
    <row r="49" ht="48" customHeight="1">
      <c r="A49" s="3" t="inlineStr">
        <is>
          <t>2024::jama.2024.12829::C001</t>
        </is>
      </c>
      <c r="B49" s="3" t="n">
        <v>3</v>
      </c>
      <c r="C49" s="3" t="inlineStr">
        <is>
          <t>Alternative source-grounded interpretations</t>
        </is>
      </c>
      <c r="D49" s="3" t="inlineStr">
        <is>
          <t>A hidden row denominator, transcription difference, or another displayed input could explain the observation; the source does not identify the production field that should govern.</t>
        </is>
      </c>
    </row>
    <row r="50" ht="48" customHeight="1">
      <c r="A50" s="2" t="inlineStr">
        <is>
          <t>2024::jama.2024.12829::C002</t>
        </is>
      </c>
      <c r="B50" s="2" t="n">
        <v>0</v>
      </c>
      <c r="C50" s="2" t="inlineStr">
        <is>
          <t>Source evidence</t>
        </is>
      </c>
      <c r="D50" s="2" t="inlineStr">
        <is>
          <t>Both tables print BA n=249 and ischemic stroke 215 (86.4); the complement is 34 (13.7).</t>
        </is>
      </c>
    </row>
    <row r="51" ht="48" customHeight="1">
      <c r="A51" s="3" t="inlineStr">
        <is>
          <t>2024::jama.2024.12829::C002</t>
        </is>
      </c>
      <c r="B51" s="3" t="n">
        <v>1</v>
      </c>
      <c r="C51" s="3" t="inlineStr">
        <is>
          <t>Reported-versus-comparator</t>
        </is>
      </c>
      <c r="D51" s="3" t="inlineStr">
        <is>
          <t>Reported 86.4% versus 215/249.</t>
        </is>
      </c>
    </row>
    <row r="52" ht="48" customHeight="1">
      <c r="A52" s="2" t="inlineStr">
        <is>
          <t>2024::jama.2024.12829::C002</t>
        </is>
      </c>
      <c r="B52" s="2" t="n">
        <v>2</v>
      </c>
      <c r="C52" s="2" t="inlineStr">
        <is>
          <t>Calculation</t>
        </is>
      </c>
      <c r="D52" s="2" t="inlineStr">
        <is>
          <t>215/249×100=86.3454%, ordinarily 86.3%; 34/249×100=13.6546%, ordinarily 13.7%; counts sum to 249.</t>
        </is>
      </c>
    </row>
    <row r="53" ht="48" customHeight="1">
      <c r="A53" s="3" t="inlineStr">
        <is>
          <t>2024::jama.2024.12829::C002</t>
        </is>
      </c>
      <c r="B53" s="3" t="n">
        <v>3</v>
      </c>
      <c r="C53" s="3" t="inlineStr">
        <is>
          <t>Alternative source-grounded interpretations</t>
        </is>
      </c>
      <c r="D53" s="3" t="inlineStr">
        <is>
          <t>An unstated rounding convention could produce the repeated presentation; the difference is near the ordinary rounding boundary and should not be called definitively erroneous.</t>
        </is>
      </c>
    </row>
    <row r="54" ht="48" customHeight="1">
      <c r="A54" s="2" t="inlineStr">
        <is>
          <t>2024::jama.2024.12829::C003</t>
        </is>
      </c>
      <c r="B54" s="2" t="n">
        <v>0</v>
      </c>
      <c r="C54" s="2" t="inlineStr">
        <is>
          <t>Source evidence</t>
        </is>
      </c>
      <c r="D54" s="2" t="inlineStr">
        <is>
          <t>The BA header is n=249; footnote a states that 241 of 249 underwent BA. Procedure rows include 182 (75.5), 214 (88.8), and 42 (17.4).</t>
        </is>
      </c>
    </row>
    <row r="55" ht="48" customHeight="1">
      <c r="A55" s="3" t="inlineStr">
        <is>
          <t>2024::jama.2024.12829::C003</t>
        </is>
      </c>
      <c r="B55" s="3" t="n">
        <v>1</v>
      </c>
      <c r="C55" s="3" t="inlineStr">
        <is>
          <t>Reported-versus-comparator</t>
        </is>
      </c>
      <c r="D55" s="3" t="inlineStr">
        <is>
          <t>Header 249 versus the linked footnoted procedure-applicable denominator 241.</t>
        </is>
      </c>
    </row>
    <row r="56" ht="48" customHeight="1">
      <c r="A56" s="2" t="inlineStr">
        <is>
          <t>2024::jama.2024.12829::C003</t>
        </is>
      </c>
      <c r="B56" s="2" t="n">
        <v>2</v>
      </c>
      <c r="C56" s="2" t="inlineStr">
        <is>
          <t>Calculation</t>
        </is>
      </c>
      <c r="D56" s="2" t="inlineStr">
        <is>
          <t>182+48+11=241; 182/241=75.5%, 214/241=88.8%, and 42/241=17.4% at one decimal.</t>
        </is>
      </c>
    </row>
    <row r="57" ht="48" customHeight="1">
      <c r="A57" s="3" t="inlineStr">
        <is>
          <t>2024::jama.2024.12829::C003</t>
        </is>
      </c>
      <c r="B57" s="3" t="n">
        <v>3</v>
      </c>
      <c r="C57" s="3" t="inlineStr">
        <is>
          <t>Alternative source-grounded interpretations</t>
        </is>
      </c>
      <c r="D57" s="3" t="inlineStr">
        <is>
          <t>The header may provide randomized-arm context and the footnote may sufficiently define the 241 denominator for procedure rows. The observation is not established incorrect arithmetic.</t>
        </is>
      </c>
    </row>
    <row r="58" ht="48" customHeight="1">
      <c r="A58" s="2" t="inlineStr">
        <is>
          <t>2024::jama.2024.12829::C004</t>
        </is>
      </c>
      <c r="B58" s="2" t="n">
        <v>0</v>
      </c>
      <c r="C58" s="2" t="inlineStr">
        <is>
          <t>Source evidence</t>
        </is>
      </c>
      <c r="D58" s="2" t="inlineStr">
        <is>
          <t>BA header n=249; primary-outcome cell 9 (3.9).</t>
        </is>
      </c>
    </row>
    <row r="59" ht="48" customHeight="1">
      <c r="A59" s="3" t="inlineStr">
        <is>
          <t>2024::jama.2024.12829::C004</t>
        </is>
      </c>
      <c r="B59" s="3" t="n">
        <v>1</v>
      </c>
      <c r="C59" s="3" t="inlineStr">
        <is>
          <t>Reported-versus-comparator</t>
        </is>
      </c>
      <c r="D59" s="3" t="inlineStr">
        <is>
          <t>Reported 3.9% versus 9/249.</t>
        </is>
      </c>
    </row>
    <row r="60" ht="48" customHeight="1">
      <c r="A60" s="2" t="inlineStr">
        <is>
          <t>2024::jama.2024.12829::C004</t>
        </is>
      </c>
      <c r="B60" s="2" t="n">
        <v>2</v>
      </c>
      <c r="C60" s="2" t="inlineStr">
        <is>
          <t>Calculation</t>
        </is>
      </c>
      <c r="D60" s="2" t="inlineStr">
        <is>
          <t>9/249×100=3.6145%, ordinarily 3.6%. Diagnostically, 9/233×100=3.8627%, ordinarily 3.9%.</t>
        </is>
      </c>
    </row>
    <row r="61" ht="48" customHeight="1">
      <c r="A61" s="3" t="inlineStr">
        <is>
          <t>2024::jama.2024.12829::C004</t>
        </is>
      </c>
      <c r="B61" s="3" t="n">
        <v>3</v>
      </c>
      <c r="C61" s="3" t="inlineStr">
        <is>
          <t>Alternative source-grounded interpretations</t>
        </is>
      </c>
      <c r="D61" s="3" t="inlineStr">
        <is>
          <t>The 233 comparison is a diagnostic inference from a separately supplied PPS total, not a Table S6 label. An unlabelled analysis set or display rule remains possible.</t>
        </is>
      </c>
    </row>
    <row r="62" ht="48" customHeight="1">
      <c r="A62" s="2" t="inlineStr">
        <is>
          <t>2024::jama.2024.12829::C005</t>
        </is>
      </c>
      <c r="B62" s="2" t="n">
        <v>0</v>
      </c>
      <c r="C62" s="2" t="inlineStr">
        <is>
          <t>Source evidence</t>
        </is>
      </c>
      <c r="D62" s="2" t="inlineStr">
        <is>
          <t>Headers are BA/AMM 233/238; site totals are 256 and 245; cells include 4 (2.9), 19 (16.1), 7 (6.3), and 15 (11.2).</t>
        </is>
      </c>
    </row>
    <row r="63" ht="48" customHeight="1">
      <c r="A63" s="3" t="inlineStr">
        <is>
          <t>2024::jama.2024.12829::C005</t>
        </is>
      </c>
      <c r="B63" s="3" t="n">
        <v>1</v>
      </c>
      <c r="C63" s="3" t="inlineStr">
        <is>
          <t>Reported-versus-comparator</t>
        </is>
      </c>
      <c r="D63" s="3" t="inlineStr">
        <is>
          <t>Header total 471 versus site total 501, with cell percentages inconsistent with the headers.</t>
        </is>
      </c>
    </row>
    <row r="64" ht="48" customHeight="1">
      <c r="A64" s="2" t="inlineStr">
        <is>
          <t>2024::jama.2024.12829::C005</t>
        </is>
      </c>
      <c r="B64" s="2" t="n">
        <v>2</v>
      </c>
      <c r="C64" s="2" t="inlineStr">
        <is>
          <t>Calculation</t>
        </is>
      </c>
      <c r="D64" s="2" t="inlineStr">
        <is>
          <t>233+238=471; 256+245=501. Rounded cells are diagnostically compatible with site-by-arm denominators summing to 249/252, not printed as such.</t>
        </is>
      </c>
    </row>
    <row r="65" ht="48" customHeight="1">
      <c r="A65" s="3" t="inlineStr">
        <is>
          <t>2024::jama.2024.12829::C005</t>
        </is>
      </c>
      <c r="B65" s="3" t="n">
        <v>3</v>
      </c>
      <c r="C65" s="3" t="inlineStr">
        <is>
          <t>Alternative source-grounded interpretations</t>
        </is>
      </c>
      <c r="D65" s="3" t="inlineStr">
        <is>
          <t>Derived site-by-arm denominators are diagnostic only. A different disclosed analysis population could explain the table if identified.</t>
        </is>
      </c>
    </row>
    <row r="66" ht="48" customHeight="1">
      <c r="A66" s="2" t="inlineStr">
        <is>
          <t>2024::jama.2024.12829::C006</t>
        </is>
      </c>
      <c r="B66" s="2" t="n">
        <v>0</v>
      </c>
      <c r="C66" s="2" t="inlineStr">
        <is>
          <t>Source evidence</t>
        </is>
      </c>
      <c r="D66" s="2" t="inlineStr">
        <is>
          <t>PPS headers print 249/252; rows include 9 (3.9), 33 (13.9), 6 (2.6), and 20 (8.4).</t>
        </is>
      </c>
    </row>
    <row r="67" ht="48" customHeight="1">
      <c r="A67" s="3" t="inlineStr">
        <is>
          <t>2024::jama.2024.12829::C006</t>
        </is>
      </c>
      <c r="B67" s="3" t="n">
        <v>1</v>
      </c>
      <c r="C67" s="3" t="inlineStr">
        <is>
          <t>Reported-versus-comparator</t>
        </is>
      </c>
      <c r="D67" s="3" t="inlineStr">
        <is>
          <t>Displayed 249/252 headers versus supplied PPS denominators 233/238.</t>
        </is>
      </c>
    </row>
    <row r="68" ht="48" customHeight="1">
      <c r="A68" s="2" t="inlineStr">
        <is>
          <t>2024::jama.2024.12829::C006</t>
        </is>
      </c>
      <c r="B68" s="2" t="n">
        <v>2</v>
      </c>
      <c r="C68" s="2" t="inlineStr">
        <is>
          <t>Calculation</t>
        </is>
      </c>
      <c r="D68" s="2" t="inlineStr">
        <is>
          <t>9/233=3.9%, 33/238=13.9%, 6/233=2.6%, and 20/238=8.4% at one decimal.</t>
        </is>
      </c>
    </row>
    <row r="69" ht="48" customHeight="1">
      <c r="A69" s="3" t="inlineStr">
        <is>
          <t>2024::jama.2024.12829::C006</t>
        </is>
      </c>
      <c r="B69" s="3" t="n">
        <v>3</v>
      </c>
      <c r="C69" s="3" t="inlineStr">
        <is>
          <t>Alternative source-grounded interpretations</t>
        </is>
      </c>
      <c r="D69" s="3" t="inlineStr">
        <is>
          <t>A copy-forward header is only an inferred mechanism. An outcome-specific PPS could exist but is not identified.</t>
        </is>
      </c>
    </row>
    <row r="70" ht="48" customHeight="1">
      <c r="A70" s="2" t="inlineStr">
        <is>
          <t>2024::jama.2024.12829::C007</t>
        </is>
      </c>
      <c r="B70" s="2" t="n">
        <v>0</v>
      </c>
      <c r="C70" s="2" t="inlineStr">
        <is>
          <t>Source evidence</t>
        </is>
      </c>
      <c r="D70" s="2" t="inlineStr">
        <is>
          <t>ATS headers print 249/252; primary values include 11 (4.5) and 34 (13.4).</t>
        </is>
      </c>
    </row>
    <row r="71" ht="48" customHeight="1">
      <c r="A71" s="3" t="inlineStr">
        <is>
          <t>2024::jama.2024.12829::C007</t>
        </is>
      </c>
      <c r="B71" s="3" t="n">
        <v>1</v>
      </c>
      <c r="C71" s="3" t="inlineStr">
        <is>
          <t>Reported-versus-comparator</t>
        </is>
      </c>
      <c r="D71" s="3" t="inlineStr">
        <is>
          <t>Displayed headers 249/252 versus supplied ATS denominators 247/254.</t>
        </is>
      </c>
    </row>
    <row r="72" ht="48" customHeight="1">
      <c r="A72" s="2" t="inlineStr">
        <is>
          <t>2024::jama.2024.12829::C007</t>
        </is>
      </c>
      <c r="B72" s="2" t="n">
        <v>2</v>
      </c>
      <c r="C72" s="2" t="inlineStr">
        <is>
          <t>Calculation</t>
        </is>
      </c>
      <c r="D72" s="2" t="inlineStr">
        <is>
          <t>11/247=4.5% and 34/254=13.4% at one decimal.</t>
        </is>
      </c>
    </row>
    <row r="73" ht="48" customHeight="1">
      <c r="A73" s="3" t="inlineStr">
        <is>
          <t>2024::jama.2024.12829::C007</t>
        </is>
      </c>
      <c r="B73" s="3" t="n">
        <v>3</v>
      </c>
      <c r="C73" s="3" t="inlineStr">
        <is>
          <t>Alternative source-grounded interpretations</t>
        </is>
      </c>
      <c r="D73" s="3" t="inlineStr">
        <is>
          <t>Copied primary headers are not directly observed; a different ATS definition remains possible if documented.</t>
        </is>
      </c>
    </row>
    <row r="74" ht="48" customHeight="1">
      <c r="A74" s="2" t="inlineStr">
        <is>
          <t>2024::jama.2024.12829::C008</t>
        </is>
      </c>
      <c r="B74" s="2" t="n">
        <v>0</v>
      </c>
      <c r="C74" s="2" t="inlineStr">
        <is>
          <t>Source evidence</t>
        </is>
      </c>
      <c r="D74" s="2" t="inlineStr">
        <is>
          <t>Eligibility is 70%-99%; Table 1 includes AMM 2 at 60%-69% and one participant in each arm at 100%.</t>
        </is>
      </c>
    </row>
    <row r="75" ht="48" customHeight="1">
      <c r="A75" s="3" t="inlineStr">
        <is>
          <t>2024::jama.2024.12829::C008</t>
        </is>
      </c>
      <c r="B75" s="3" t="n">
        <v>1</v>
      </c>
      <c r="C75" s="3" t="inlineStr">
        <is>
          <t>Reported-versus-comparator</t>
        </is>
      </c>
      <c r="D75" s="3" t="inlineStr">
        <is>
          <t>Eligibility interval 70%-99% versus displayed analysed baseline categories outside that interval.</t>
        </is>
      </c>
    </row>
    <row r="76" ht="48" customHeight="1">
      <c r="A76" s="2" t="inlineStr">
        <is>
          <t>2024::jama.2024.12829::C008</t>
        </is>
      </c>
      <c r="B76" s="2" t="n">
        <v>2</v>
      </c>
      <c r="C76" s="2" t="inlineStr">
        <is>
          <t>Calculation</t>
        </is>
      </c>
      <c r="D76" s="2" t="inlineStr">
        <is>
          <t>2+1+1=4 displayed participants are outside the inclusive 70%-99% interval.</t>
        </is>
      </c>
    </row>
    <row r="77" ht="48" customHeight="1">
      <c r="A77" s="3" t="inlineStr">
        <is>
          <t>2024::jama.2024.12829::C008</t>
        </is>
      </c>
      <c r="B77" s="3" t="n">
        <v>3</v>
      </c>
      <c r="C77" s="3" t="inlineStr">
        <is>
          <t>Alternative source-grounded interpretations</t>
        </is>
      </c>
      <c r="D77" s="3" t="inlineStr">
        <is>
          <t>Eligibility and table measurements may be from different times/readers or angiograms; retained protocol deviations are also possible. The sources do not establish identity conditions.</t>
        </is>
      </c>
    </row>
    <row r="78" ht="48" customHeight="1">
      <c r="A78" s="2" t="inlineStr">
        <is>
          <t>2024::jama.2024.12829::C009</t>
        </is>
      </c>
      <c r="B78" s="2" t="n">
        <v>0</v>
      </c>
      <c r="C78" s="2" t="inlineStr">
        <is>
          <t>Source evidence</t>
        </is>
      </c>
      <c r="D78" s="2" t="inlineStr">
        <is>
          <t>DOC-002 prints 30±3d; DOC-001 and DOC-003 print 30±7 days/30d±7d.</t>
        </is>
      </c>
    </row>
    <row r="79" ht="48" customHeight="1">
      <c r="A79" s="3" t="inlineStr">
        <is>
          <t>2024::jama.2024.12829::C009</t>
        </is>
      </c>
      <c r="B79" s="3" t="n">
        <v>1</v>
      </c>
      <c r="C79" s="3" t="inlineStr">
        <is>
          <t>Reported-versus-comparator</t>
        </is>
      </c>
      <c r="D79" s="3" t="inlineStr">
        <is>
          <t>±3 versus ±7 for the matched nominal 30-day visit.</t>
        </is>
      </c>
    </row>
    <row r="80" ht="48" customHeight="1">
      <c r="A80" s="2" t="inlineStr">
        <is>
          <t>2024::jama.2024.12829::C009</t>
        </is>
      </c>
      <c r="B80" s="2" t="n">
        <v>2</v>
      </c>
      <c r="C80" s="2" t="inlineStr">
        <is>
          <t>Calculation</t>
        </is>
      </c>
      <c r="D80" s="2" t="inlineStr">
        <is>
          <t>30±3 spans days 27-33 (numerical endpoint-to-endpoint width 6); 30±7 spans days 23-37 (width 14); half-widths differ by 4 days.</t>
        </is>
      </c>
    </row>
    <row r="81" ht="48" customHeight="1">
      <c r="A81" s="3" t="inlineStr">
        <is>
          <t>2024::jama.2024.12829::C009</t>
        </is>
      </c>
      <c r="B81" s="3" t="n">
        <v>3</v>
      </c>
      <c r="C81" s="3" t="inlineStr">
        <is>
          <t>Alternative source-grounded interpretations</t>
        </is>
      </c>
      <c r="D81" s="3" t="inlineStr">
        <is>
          <t>The graphic may depict a tighter operational contact window while the article/protocol allow a wider assessment window, but no source defines that distinction.</t>
        </is>
      </c>
    </row>
    <row r="82" ht="48" customHeight="1">
      <c r="A82" s="2" t="inlineStr">
        <is>
          <t>2024::jama.2024.12829::C010</t>
        </is>
      </c>
      <c r="B82" s="2" t="n">
        <v>0</v>
      </c>
      <c r="C82" s="2" t="inlineStr">
        <is>
          <t>Source evidence</t>
        </is>
      </c>
      <c r="D82" s="2" t="inlineStr">
        <is>
          <t>The synopsis prints 21-90 days; the body prints 14-90 days.</t>
        </is>
      </c>
    </row>
    <row r="83" ht="48" customHeight="1">
      <c r="A83" s="3" t="inlineStr">
        <is>
          <t>2024::jama.2024.12829::C010</t>
        </is>
      </c>
      <c r="B83" s="3" t="n">
        <v>1</v>
      </c>
      <c r="C83" s="3" t="inlineStr">
        <is>
          <t>Reported-versus-comparator</t>
        </is>
      </c>
      <c r="D83" s="3" t="inlineStr">
        <is>
          <t>Same-version lower bound 21 versus 14 days.</t>
        </is>
      </c>
    </row>
    <row r="84" ht="48" customHeight="1">
      <c r="A84" s="2" t="inlineStr">
        <is>
          <t>2024::jama.2024.12829::C010</t>
        </is>
      </c>
      <c r="B84" s="2" t="n">
        <v>2</v>
      </c>
      <c r="C84" s="2" t="inlineStr">
        <is>
          <t>Calculation</t>
        </is>
      </c>
      <c r="D84" s="2" t="inlineStr">
        <is>
          <t>Lower bounds differ by 21-14=7 days.</t>
        </is>
      </c>
    </row>
    <row r="85" ht="48" customHeight="1">
      <c r="A85" s="3" t="inlineStr">
        <is>
          <t>2024::jama.2024.12829::C010</t>
        </is>
      </c>
      <c r="B85" s="3" t="n">
        <v>3</v>
      </c>
      <c r="C85" s="3" t="inlineStr">
        <is>
          <t>Alternative source-grounded interpretations</t>
        </is>
      </c>
      <c r="D85" s="3" t="inlineStr">
        <is>
          <t>A stale synopsis, unmarked amendment, or other production difference could explain the mismatch; the governing criterion is not established.</t>
        </is>
      </c>
    </row>
    <row r="86" ht="48" customHeight="1">
      <c r="A86" s="2" t="inlineStr">
        <is>
          <t>2024::jama.2024.12829::C011</t>
        </is>
      </c>
      <c r="B86" s="2" t="n">
        <v>0</v>
      </c>
      <c r="C86" s="2" t="inlineStr">
        <is>
          <t>Source evidence</t>
        </is>
      </c>
      <c r="D86" s="2" t="inlineStr">
        <is>
          <t>BA header n=249; three-month aspirin 234 (93.9).</t>
        </is>
      </c>
    </row>
    <row r="87" ht="48" customHeight="1">
      <c r="A87" s="3" t="inlineStr">
        <is>
          <t>2024::jama.2024.12829::C011</t>
        </is>
      </c>
      <c r="B87" s="3" t="n">
        <v>1</v>
      </c>
      <c r="C87" s="3" t="inlineStr">
        <is>
          <t>Reported-versus-comparator</t>
        </is>
      </c>
      <c r="D87" s="3" t="inlineStr">
        <is>
          <t>Reported 93.9% versus 234/249.</t>
        </is>
      </c>
    </row>
    <row r="88" ht="48" customHeight="1">
      <c r="A88" s="2" t="inlineStr">
        <is>
          <t>2024::jama.2024.12829::C011</t>
        </is>
      </c>
      <c r="B88" s="2" t="n">
        <v>2</v>
      </c>
      <c r="C88" s="2" t="inlineStr">
        <is>
          <t>Calculation</t>
        </is>
      </c>
      <c r="D88" s="2" t="inlineStr">
        <is>
          <t>234/249×100=93.9759%, ordinarily 94.0%; truncation would display 93.9%.</t>
        </is>
      </c>
    </row>
    <row r="89" ht="48" customHeight="1">
      <c r="A89" s="3" t="inlineStr">
        <is>
          <t>2024::jama.2024.12829::C011</t>
        </is>
      </c>
      <c r="B89" s="3" t="n">
        <v>3</v>
      </c>
      <c r="C89" s="3" t="inlineStr">
        <is>
          <t>Alternative source-grounded interpretations</t>
        </is>
      </c>
      <c r="D89" s="3" t="inlineStr">
        <is>
          <t>Truncation, weighting, an undisclosed evaluated denominator, or missingness handling could explain the presentation. No alternative integer denominator no larger than 249 is identified as the answer.</t>
        </is>
      </c>
    </row>
    <row r="90" ht="48" customHeight="1">
      <c r="A90" s="2" t="inlineStr">
        <is>
          <t>2024::jama.2024.12829::C012</t>
        </is>
      </c>
      <c r="B90" s="2" t="n">
        <v>0</v>
      </c>
      <c r="C90" s="2" t="inlineStr">
        <is>
          <t>Source evidence</t>
        </is>
      </c>
      <c r="D90" s="2" t="inlineStr">
        <is>
          <t>The figure labels 1st (2021/05/30), then 2nd (2021/11/20, 2022/09/07, and 2023/04/10).</t>
        </is>
      </c>
    </row>
    <row r="91" ht="48" customHeight="1">
      <c r="A91" s="3" t="inlineStr">
        <is>
          <t>2024::jama.2024.12829::C012</t>
        </is>
      </c>
      <c r="B91" s="3" t="n">
        <v>1</v>
      </c>
      <c r="C91" s="3" t="inlineStr">
        <is>
          <t>Reported-versus-comparator</t>
        </is>
      </c>
      <c r="D91" s="3" t="inlineStr">
        <is>
          <t>Four chronologically distinct dated boxes versus two unique ordinal labels.</t>
        </is>
      </c>
    </row>
    <row r="92" ht="48" customHeight="1">
      <c r="A92" s="2" t="inlineStr">
        <is>
          <t>2024::jama.2024.12829::C012</t>
        </is>
      </c>
      <c r="B92" s="2" t="n">
        <v>2</v>
      </c>
      <c r="C92" s="2" t="inlineStr">
        <is>
          <t>Calculation</t>
        </is>
      </c>
      <c r="D92" s="2" t="inlineStr">
        <is>
          <t>Four dated boxes contain only two unique ordinals; 2nd meeting appears three times.</t>
        </is>
      </c>
    </row>
    <row r="93" ht="48" customHeight="1">
      <c r="A93" s="3" t="inlineStr">
        <is>
          <t>2024::jama.2024.12829::C012</t>
        </is>
      </c>
      <c r="B93" s="3" t="n">
        <v>3</v>
      </c>
      <c r="C93" s="3" t="inlineStr">
        <is>
          <t>Alternative source-grounded interpretations</t>
        </is>
      </c>
      <c r="D93" s="3" t="inlineStr">
        <is>
          <t>An unprinted review-cycle convention could use 2nd repeatedly. The figure does not label such a cycle; its case-count arithmetic separately reconciles.</t>
        </is>
      </c>
    </row>
    <row r="94" ht="48" customHeight="1">
      <c r="A94" s="2" t="inlineStr">
        <is>
          <t>2024::jama.2024.12829::C013</t>
        </is>
      </c>
      <c r="B94" s="2" t="n">
        <v>0</v>
      </c>
      <c r="C94" s="2" t="inlineStr">
        <is>
          <t>Source evidence</t>
        </is>
      </c>
      <c r="D94" s="2" t="inlineStr">
        <is>
          <t>V2.0 p. 35 and V2.3 p. 96 each print visit 8, visit 9, visit 10, visit 11, visit 9, and visit 11 require patients to undergo face-to-face follow-up; the schedule identifies visits 8-11 as four recurring visits.</t>
        </is>
      </c>
    </row>
    <row r="95" ht="48" customHeight="1">
      <c r="A95" s="3" t="inlineStr">
        <is>
          <t>2024::jama.2024.12829::C013</t>
        </is>
      </c>
      <c r="B95" s="3" t="n">
        <v>1</v>
      </c>
      <c r="C95" s="3" t="inlineStr">
        <is>
          <t>Reported-versus-comparator</t>
        </is>
      </c>
      <c r="D95" s="3" t="inlineStr">
        <is>
          <t>Six visit tokens 8,9,10,11,9,11 versus the four-visit schedule 8-11.</t>
        </is>
      </c>
    </row>
    <row r="96" ht="48" customHeight="1">
      <c r="A96" s="2" t="inlineStr">
        <is>
          <t>2024::jama.2024.12829::C013</t>
        </is>
      </c>
      <c r="B96" s="2" t="n">
        <v>2</v>
      </c>
      <c r="C96" s="2" t="inlineStr">
        <is>
          <t>Calculation</t>
        </is>
      </c>
      <c r="D96" s="2" t="inlineStr">
        <is>
          <t>Six tokens contain four unique identifiers; 9 and 11 each occur twice.</t>
        </is>
      </c>
    </row>
    <row r="97" ht="48" customHeight="1">
      <c r="A97" s="3" t="inlineStr">
        <is>
          <t>2024::jama.2024.12829::C013</t>
        </is>
      </c>
      <c r="B97" s="3" t="n">
        <v>3</v>
      </c>
      <c r="C97" s="3" t="inlineStr">
        <is>
          <t>Alternative source-grounded interpretations</t>
        </is>
      </c>
      <c r="D97" s="3" t="inlineStr">
        <is>
          <t>The sentence plausibly lists visits 8-11 and then names visits 9 and 11 as the face-to-face subset, with missing clarifying syntax. A six-visit sequence is not established.</t>
        </is>
      </c>
    </row>
    <row r="98" ht="48" customHeight="1">
      <c r="A98" s="2" t="inlineStr">
        <is>
          <t>2024::jama.2024.12829::C014</t>
        </is>
      </c>
      <c r="B98" s="2" t="n">
        <v>0</v>
      </c>
      <c r="C98" s="2" t="inlineStr">
        <is>
          <t>Source evidence</t>
        </is>
      </c>
      <c r="D98" s="2" t="inlineStr">
        <is>
          <t>Table S9 prints BA 8 (3.3) and header 249; Table S10 supplies ATS N=247.</t>
        </is>
      </c>
    </row>
    <row r="99" ht="48" customHeight="1">
      <c r="A99" s="3" t="inlineStr">
        <is>
          <t>2024::jama.2024.12829::C014</t>
        </is>
      </c>
      <c r="B99" s="3" t="n">
        <v>1</v>
      </c>
      <c r="C99" s="3" t="inlineStr">
        <is>
          <t>Reported-versus-comparator</t>
        </is>
      </c>
      <c r="D99" s="3" t="inlineStr">
        <is>
          <t>Reported 3.3% versus both 8/249 and 8/247.</t>
        </is>
      </c>
    </row>
    <row r="100" ht="48" customHeight="1">
      <c r="A100" s="2" t="inlineStr">
        <is>
          <t>2024::jama.2024.12829::C014</t>
        </is>
      </c>
      <c r="B100" s="2" t="n">
        <v>2</v>
      </c>
      <c r="C100" s="2" t="inlineStr">
        <is>
          <t>Calculation</t>
        </is>
      </c>
      <c r="D100" s="2" t="inlineStr">
        <is>
          <t>8/249×100=3.2129% and 8/247×100=3.2389%; both ordinarily round to 3.2%.</t>
        </is>
      </c>
    </row>
    <row r="101" ht="48" customHeight="1">
      <c r="A101" s="3" t="inlineStr">
        <is>
          <t>2024::jama.2024.12829::C014</t>
        </is>
      </c>
      <c r="B101" s="3" t="n">
        <v>3</v>
      </c>
      <c r="C101" s="3" t="inlineStr">
        <is>
          <t>Alternative source-grounded interpretations</t>
        </is>
      </c>
      <c r="D101" s="3" t="inlineStr">
        <is>
          <t>An unprinted outcome-specific risk set or nonstandard display rule could explain 3.3%; neither is supplied.</t>
        </is>
      </c>
    </row>
    <row r="102" ht="48" customHeight="1">
      <c r="A102" s="2" t="inlineStr">
        <is>
          <t>2024::jama.2024.12829::C015</t>
        </is>
      </c>
      <c r="B102" s="2" t="n">
        <v>0</v>
      </c>
      <c r="C102" s="2" t="inlineStr">
        <is>
          <t>Source evidence</t>
        </is>
      </c>
      <c r="D102" s="2" t="inlineStr">
        <is>
          <t>Narrative: 11 excluded due to consent withdrawal. Figure: BA 7 plus AMM 3 consent withdrawals, plus 1 erroneous randomization assignment.</t>
        </is>
      </c>
    </row>
    <row r="103" ht="48" customHeight="1">
      <c r="A103" s="3" t="inlineStr">
        <is>
          <t>2024::jama.2024.12829::C015</t>
        </is>
      </c>
      <c r="B103" s="3" t="n">
        <v>1</v>
      </c>
      <c r="C103" s="3" t="inlineStr">
        <is>
          <t>Reported-versus-comparator</t>
        </is>
      </c>
      <c r="D103" s="3" t="inlineStr">
        <is>
          <t>Narrative reason category for 11 versus Figure reason categories totaling 10+1.</t>
        </is>
      </c>
    </row>
    <row r="104" ht="48" customHeight="1">
      <c r="A104" s="2" t="inlineStr">
        <is>
          <t>2024::jama.2024.12829::C015</t>
        </is>
      </c>
      <c r="B104" s="2" t="n">
        <v>2</v>
      </c>
      <c r="C104" s="2" t="inlineStr">
        <is>
          <t>Calculation</t>
        </is>
      </c>
      <c r="D104" s="2" t="inlineStr">
        <is>
          <t>7+3=10 consent withdrawals; 10+1=11 total removals; the 501-person analysed total reconciles.</t>
        </is>
      </c>
    </row>
    <row r="105" ht="48" customHeight="1">
      <c r="A105" s="3" t="inlineStr">
        <is>
          <t>2024::jama.2024.12829::C015</t>
        </is>
      </c>
      <c r="B105" s="3" t="n">
        <v>3</v>
      </c>
      <c r="C105" s="3" t="inlineStr">
        <is>
          <t>Alternative source-grounded interpretations</t>
        </is>
      </c>
      <c r="D105" s="3" t="inlineStr">
        <is>
          <t>The narrative may use umbrella shorthand, or the erroneously assigned participant may also have withdrawn consent; Figure 1 presents a separate reason.</t>
        </is>
      </c>
    </row>
    <row r="106" ht="48" customHeight="1">
      <c r="A106" s="2" t="inlineStr">
        <is>
          <t>2024::jama.2024.12829::C016</t>
        </is>
      </c>
      <c r="B106" s="2" t="n">
        <v>0</v>
      </c>
      <c r="C106" s="2" t="inlineStr">
        <is>
          <t>Source evidence</t>
        </is>
      </c>
      <c r="D106" s="2" t="inlineStr">
        <is>
          <t>Main result: BA 11 (4.4) and AMM 34 (13.5) under 249/252. Centre-adjusted Table S6 has the matched composite wording and headers but prints BA 9 (3.9) and AMM 34 (13.5).</t>
        </is>
      </c>
    </row>
    <row r="107" ht="48" customHeight="1">
      <c r="A107" s="3" t="inlineStr">
        <is>
          <t>2024::jama.2024.12829::C016</t>
        </is>
      </c>
      <c r="B107" s="3" t="n">
        <v>1</v>
      </c>
      <c r="C107" s="3" t="inlineStr">
        <is>
          <t>Reported-versus-comparator</t>
        </is>
      </c>
      <c r="D107" s="3" t="inlineStr">
        <is>
          <t>Table S6 BA count 9 versus matched main BA count 11.</t>
        </is>
      </c>
    </row>
    <row r="108" ht="48" customHeight="1">
      <c r="A108" s="2" t="inlineStr">
        <is>
          <t>2024::jama.2024.12829::C016</t>
        </is>
      </c>
      <c r="B108" s="2" t="n">
        <v>2</v>
      </c>
      <c r="C108" s="2" t="inlineStr">
        <is>
          <t>Calculation</t>
        </is>
      </c>
      <c r="D108" s="2" t="inlineStr">
        <is>
          <t>11-9=2; AMM remains 34. Table S10's related no-revascularization composite has BA 9, but Table S6 retains revascularization in its label.</t>
        </is>
      </c>
    </row>
    <row r="109" ht="48" customHeight="1">
      <c r="A109" s="3" t="inlineStr">
        <is>
          <t>2024::jama.2024.12829::C016</t>
        </is>
      </c>
      <c r="B109" s="3" t="n">
        <v>3</v>
      </c>
      <c r="C109" s="3" t="inlineStr">
        <is>
          <t>Alternative source-grounded interpretations</t>
        </is>
      </c>
      <c r="D109" s="3" t="inlineStr">
        <is>
          <t>An unlabelled alternative set or carryover of the Table S10 no-revascularization count could explain the entry. Centre adjustment alone does not explain two fewer observed events.</t>
        </is>
      </c>
    </row>
    <row r="110" ht="48" customHeight="1">
      <c r="A110" s="2" t="inlineStr">
        <is>
          <t>2024::jama.2024.12829::C017</t>
        </is>
      </c>
      <c r="B110" s="2" t="n">
        <v>0</v>
      </c>
      <c r="C110" s="2" t="inlineStr">
        <is>
          <t>Source evidence</t>
        </is>
      </c>
      <c r="D110" s="2" t="inlineStr">
        <is>
          <t>For stroke outside the qualifying-artery territory within one year: BA 3 (1.2), AMM 4 (1.6), incidence difference −0.4% (95% CI, −2.4 to −1.7).</t>
        </is>
      </c>
    </row>
    <row r="111" ht="48" customHeight="1">
      <c r="A111" s="3" t="inlineStr">
        <is>
          <t>2024::jama.2024.12829::C017</t>
        </is>
      </c>
      <c r="B111" s="3" t="n">
        <v>1</v>
      </c>
      <c r="C111" s="3" t="inlineStr">
        <is>
          <t>Reported-versus-comparator</t>
        </is>
      </c>
      <c r="D111" s="3" t="inlineStr">
        <is>
          <t>Point estimate −0.4% versus interval [−2.4%, −1.7%].</t>
        </is>
      </c>
    </row>
    <row r="112" ht="48" customHeight="1">
      <c r="A112" s="2" t="inlineStr">
        <is>
          <t>2024::jama.2024.12829::C017</t>
        </is>
      </c>
      <c r="B112" s="2" t="n">
        <v>2</v>
      </c>
      <c r="C112" s="2" t="inlineStr">
        <is>
          <t>Calculation</t>
        </is>
      </c>
      <c r="D112" s="2" t="inlineStr">
        <is>
          <t>−0.4 is outside [−2.4,−1.7]; (3/249−4/252)×100=−0.3825 percentage points, which rounds to −0.4%.</t>
        </is>
      </c>
    </row>
    <row r="113" ht="48" customHeight="1">
      <c r="A113" s="3" t="inlineStr">
        <is>
          <t>2024::jama.2024.12829::C017</t>
        </is>
      </c>
      <c r="B113" s="3" t="n">
        <v>3</v>
      </c>
      <c r="C113" s="3" t="inlineStr">
        <is>
          <t>Alternative source-grounded interpretations</t>
        </is>
      </c>
      <c r="D113" s="3" t="inlineStr">
        <is>
          <t>A confidence-limit sign/value may be transcribed, or point and interval may use undisclosed different estimands/methods. The exact CI method is not supplied.</t>
        </is>
      </c>
    </row>
    <row r="114" ht="74" customHeight="1">
      <c r="A114" s="2" t="inlineStr">
        <is>
          <t>2024::jama.2024.19585::C001</t>
        </is>
      </c>
      <c r="B114" s="2" t="n">
        <v>0</v>
      </c>
      <c r="C114" s="2" t="inlineStr">
        <is>
          <t>Source evidence</t>
        </is>
      </c>
      <c r="D114"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48" customHeight="1">
      <c r="A115" s="3" t="inlineStr">
        <is>
          <t>2024::jama.2024.19585::C001</t>
        </is>
      </c>
      <c r="B115" s="3" t="n">
        <v>1</v>
      </c>
      <c r="C115" s="3" t="inlineStr">
        <is>
          <t>Reported-versus-comparator</t>
        </is>
      </c>
      <c r="D115" s="3" t="inlineStr">
        <is>
          <t>The printed exclusion total is 58; the source-layout comparator is the top-level hierarchy, not a flat list of all displayed counts.</t>
        </is>
      </c>
    </row>
    <row r="116" ht="48" customHeight="1">
      <c r="A116" s="2" t="inlineStr">
        <is>
          <t>2024::jama.2024.19585::C001</t>
        </is>
      </c>
      <c r="B116" s="2" t="n">
        <v>2</v>
      </c>
      <c r="C116" s="2" t="inlineStr">
        <is>
          <t>Calculation</t>
        </is>
      </c>
      <c r="D116" s="2" t="inlineStr">
        <is>
          <t>7 + 4 + 2 = 13. Then 13 + 15 + 14 + 7 + 4 + 3 + 2 = 58. The surrounding flow also reconciles: 323 - 58 = 265 and 265 - 41 = 224.</t>
        </is>
      </c>
    </row>
    <row r="117" ht="48" customHeight="1">
      <c r="A117" s="3" t="inlineStr">
        <is>
          <t>2024::jama.2024.19585::C001</t>
        </is>
      </c>
      <c r="B117" s="3" t="n">
        <v>3</v>
      </c>
      <c r="C117" s="3" t="inlineStr">
        <is>
          <t>Alternative source-grounded interpretations</t>
        </is>
      </c>
      <c r="D117" s="3" t="inlineStr">
        <is>
          <t>A production-layout error could make the indentation misleading, although the parallel branch supports the hierarchy interpretation. No flat 71-versus-58 comparison is carried forward.</t>
        </is>
      </c>
    </row>
    <row r="118" ht="48" customHeight="1">
      <c r="A118" s="2" t="inlineStr">
        <is>
          <t>2024::jama.2024.19585::C002</t>
        </is>
      </c>
      <c r="B118" s="2" t="n">
        <v>0</v>
      </c>
      <c r="C118" s="2" t="inlineStr">
        <is>
          <t>Source evidence</t>
        </is>
      </c>
      <c r="D118" s="2" t="inlineStr">
        <is>
          <t>The main text prints 40.8% adopted, 48.7% adapted, and 6.4% rejected across intervention sites. eTable 3 prints n=135 at each of 10 sites and reject counts of 15, 23, 5, 25, 9, 25, 12, 11, 11, and 6.</t>
        </is>
      </c>
    </row>
    <row r="119" ht="48" customHeight="1">
      <c r="A119" s="3" t="inlineStr">
        <is>
          <t>2024::jama.2024.19585::C002</t>
        </is>
      </c>
      <c r="B119" s="3" t="n">
        <v>1</v>
      </c>
      <c r="C119" s="3" t="inlineStr">
        <is>
          <t>Reported-versus-comparator</t>
        </is>
      </c>
      <c r="D119" s="3" t="inlineStr">
        <is>
          <t>Reported: 6.4% rejected. Comparator from the displayed eTable 3 rejection counts and denominators: 10.5% to one decimal place.</t>
        </is>
      </c>
    </row>
    <row r="120" ht="58" customHeight="1">
      <c r="A120" s="2" t="inlineStr">
        <is>
          <t>2024::jama.2024.19585::C002</t>
        </is>
      </c>
      <c r="B120" s="2" t="n">
        <v>2</v>
      </c>
      <c r="C120" s="2" t="inlineStr">
        <is>
          <t>Calculation</t>
        </is>
      </c>
      <c r="D120" s="2" t="inlineStr">
        <is>
          <t>Rejects = 15 + 23 + 5 + 25 + 9 + 25 + 12 + 11 + 11 + 6 = 142; total decisions = 10 x 135 = 1,350; 142 / 1,350 x 100 = 10.5185...%, or 10.5%. Keep and adapt totals are 551 and 657, reproducing 40.8% and 48.7%, respectively.</t>
        </is>
      </c>
    </row>
    <row r="121" ht="74" customHeight="1">
      <c r="A121" s="3" t="inlineStr">
        <is>
          <t>2024::jama.2024.19585::C002</t>
        </is>
      </c>
      <c r="B121" s="3" t="n">
        <v>3</v>
      </c>
      <c r="C121" s="3" t="inlineStr">
        <is>
          <t>Alternative source-grounded interpretations</t>
        </is>
      </c>
      <c r="D121"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74" customHeight="1">
      <c r="A122" s="2" t="inlineStr">
        <is>
          <t>2024::jama.2024.19585::C003</t>
        </is>
      </c>
      <c r="B122" s="2" t="n">
        <v>0</v>
      </c>
      <c r="C122" s="2" t="inlineStr">
        <is>
          <t>Source evidence</t>
        </is>
      </c>
      <c r="D122"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48" customHeight="1">
      <c r="A123" s="3" t="inlineStr">
        <is>
          <t>2024::jama.2024.19585::C003</t>
        </is>
      </c>
      <c r="B123" s="3" t="n">
        <v>1</v>
      </c>
      <c r="C123" s="3" t="inlineStr">
        <is>
          <t>Reported-versus-comparator</t>
        </is>
      </c>
      <c r="D123" s="3" t="inlineStr">
        <is>
          <t>Reported table label: Difference (95% CI). Methods comparator: odds ratio, a multiplicative effect measure with null value 1.</t>
        </is>
      </c>
    </row>
    <row r="124" ht="48" customHeight="1">
      <c r="A124" s="2" t="inlineStr">
        <is>
          <t>2024::jama.2024.19585::C003</t>
        </is>
      </c>
      <c r="B124" s="2" t="n">
        <v>2</v>
      </c>
      <c r="C124" s="2" t="inlineStr">
        <is>
          <t>Calculation</t>
        </is>
      </c>
      <c r="D124" s="2" t="inlineStr">
        <is>
          <t>No arithmetic reconstruction is needed. The representative estimates and intervals are organized around the multiplicative null of 1, consistent with the named odds-ratio estimand.</t>
        </is>
      </c>
    </row>
    <row r="125" ht="58" customHeight="1">
      <c r="A125" s="3" t="inlineStr">
        <is>
          <t>2024::jama.2024.19585::C003</t>
        </is>
      </c>
      <c r="B125" s="3" t="n">
        <v>3</v>
      </c>
      <c r="C125" s="3" t="inlineStr">
        <is>
          <t>Alternative source-grounded interpretations</t>
        </is>
      </c>
      <c r="D125" s="3" t="inlineStr">
        <is>
          <t>Difference may have been intended as a generic umbrella label for the modeled comparison while every cell remains an odds ratio. The package does not define that usage or identify any block as an additive difference.</t>
        </is>
      </c>
    </row>
    <row r="126" ht="48" customHeight="1">
      <c r="A126" s="2" t="inlineStr">
        <is>
          <t>2024::jama.2024.2302::C001</t>
        </is>
      </c>
      <c r="B126" s="2" t="n">
        <v>0</v>
      </c>
      <c r="C126" s="2" t="inlineStr">
        <is>
          <t>Source evidence</t>
        </is>
      </c>
      <c r="D126" s="2" t="inlineStr">
        <is>
          <t>Table 2 reports 44/159 and 27/149 as “Had ≥1 serious adverse event”; eTable 2 uses the same counts, percentages, and denominators under “Infant had &gt; 1 SAE.”</t>
        </is>
      </c>
    </row>
    <row r="127" ht="48" customHeight="1">
      <c r="A127" s="3" t="inlineStr">
        <is>
          <t>2024::jama.2024.2302::C001</t>
        </is>
      </c>
      <c r="B127" s="3" t="n">
        <v>1</v>
      </c>
      <c r="C127" s="3" t="inlineStr">
        <is>
          <t>Reported-versus-comparator</t>
        </is>
      </c>
      <c r="D127" s="3" t="inlineStr">
        <is>
          <t>≥1, “at least 1,” and “any” include exactly one SAE; &gt;1 means at least two SAEs.</t>
        </is>
      </c>
    </row>
    <row r="128" ht="48" customHeight="1">
      <c r="A128" s="2" t="inlineStr">
        <is>
          <t>2024::jama.2024.2302::C001</t>
        </is>
      </c>
      <c r="B128" s="2" t="n">
        <v>2</v>
      </c>
      <c r="C128" s="2" t="inlineStr">
        <is>
          <t>Calculation</t>
        </is>
      </c>
      <c r="D128" s="2" t="inlineStr">
        <is>
          <t>44/159 = 27.67% (28%) and 27/149 = 18.12% (18%). The differing sets are {k: k ≥ 1} and {k: k &gt; 1}.</t>
        </is>
      </c>
    </row>
    <row r="129" ht="48" customHeight="1">
      <c r="A129" s="3" t="inlineStr">
        <is>
          <t>2024::jama.2024.2302::C001</t>
        </is>
      </c>
      <c r="B129" s="3" t="n">
        <v>3</v>
      </c>
      <c r="C129" s="3" t="inlineStr">
        <is>
          <t>Alternative source-grounded interpretations</t>
        </is>
      </c>
      <c r="D129" s="3" t="inlineStr">
        <is>
          <t>Repeated “any,” “at least one,” and ≥1 wording supports the possibility that &gt;1 was used informally for more than zero. The number with exactly one SAE is not supplied.</t>
        </is>
      </c>
    </row>
    <row r="130" ht="48" customHeight="1">
      <c r="A130" s="2" t="inlineStr">
        <is>
          <t>2024::jama.2024.2302::C002</t>
        </is>
      </c>
      <c r="B130" s="2" t="n">
        <v>0</v>
      </c>
      <c r="C130" s="2" t="inlineStr">
        <is>
          <t>Source evidence</t>
        </is>
      </c>
      <c r="D130" s="2" t="inlineStr">
        <is>
          <t>Protocol p. 3 gives planned medians 18 early/15 late; p. 12 gives medians 8/5 and means 18/13. The SAP explicitly calls the p. 3 18/15 medians incorrect and identifies 8/5 as intended.</t>
        </is>
      </c>
    </row>
    <row r="131" ht="48" customHeight="1">
      <c r="A131" s="3" t="inlineStr">
        <is>
          <t>2024::jama.2024.2302::C002</t>
        </is>
      </c>
      <c r="B131" s="3" t="n">
        <v>1</v>
      </c>
      <c r="C131" s="3" t="inlineStr">
        <is>
          <t>Reported-versus-comparator</t>
        </is>
      </c>
      <c r="D131" s="3" t="inlineStr">
        <is>
          <t>Planned median pairs 18/15 versus 8/5 days for the same early/late contrast.</t>
        </is>
      </c>
    </row>
    <row r="132" ht="48" customHeight="1">
      <c r="A132" s="2" t="inlineStr">
        <is>
          <t>2024::jama.2024.2302::C002</t>
        </is>
      </c>
      <c r="B132" s="2" t="n">
        <v>2</v>
      </c>
      <c r="C132" s="2" t="inlineStr">
        <is>
          <t>Calculation</t>
        </is>
      </c>
      <c r="D132" s="2" t="inlineStr">
        <is>
          <t>18−15=3, 8−5=3, 18−8=10, and 15−5=10 days.</t>
        </is>
      </c>
    </row>
    <row r="133" ht="48" customHeight="1">
      <c r="A133" s="3" t="inlineStr">
        <is>
          <t>2024::jama.2024.2302::C002</t>
        </is>
      </c>
      <c r="B133" s="3" t="n">
        <v>3</v>
      </c>
      <c r="C133" s="3" t="inlineStr">
        <is>
          <t>Alternative source-grounded interpretations</t>
        </is>
      </c>
      <c r="D133" s="3" t="inlineStr">
        <is>
          <t>The page-12 mean/median distinction and the SAP’s explicit 8/5 clarification are supported. Amendment or drafting history is not supplied.</t>
        </is>
      </c>
    </row>
    <row r="134" ht="48" customHeight="1">
      <c r="A134" s="2" t="inlineStr">
        <is>
          <t>2024::jama.2024.2302::C003</t>
        </is>
      </c>
      <c r="B134" s="2" t="n">
        <v>0</v>
      </c>
      <c r="C134" s="2" t="inlineStr">
        <is>
          <t>Source evidence</t>
        </is>
      </c>
      <c r="D134" s="2" t="inlineStr">
        <is>
          <t>The article states 0.33-3.0 for categorical and count intervention effects. The SAP gives categorical OR 0.2-4 with Normal(0, SD=0.7) on log-OR scale, and count RR 0.33-3.3.</t>
        </is>
      </c>
    </row>
    <row r="135" ht="48" customHeight="1">
      <c r="A135" s="3" t="inlineStr">
        <is>
          <t>2024::jama.2024.2302::C003</t>
        </is>
      </c>
      <c r="B135" s="3" t="n">
        <v>1</v>
      </c>
      <c r="C135" s="3" t="inlineStr">
        <is>
          <t>Reported-versus-comparator</t>
        </is>
      </c>
      <c r="D135" s="3" t="inlineStr">
        <is>
          <t>A common 0.33-3.0 range versus categorical 0.2-4 and count 0.33-3.3 ranges.</t>
        </is>
      </c>
    </row>
    <row r="136" ht="48" customHeight="1">
      <c r="A136" s="2" t="inlineStr">
        <is>
          <t>2024::jama.2024.2302::C003</t>
        </is>
      </c>
      <c r="B136" s="2" t="n">
        <v>2</v>
      </c>
      <c r="C136" s="2" t="inlineStr">
        <is>
          <t>Calculation</t>
        </is>
      </c>
      <c r="D136" s="2" t="inlineStr">
        <is>
          <t>Categorical endpoint differences: 0.33−0.20=0.13 and 4.0−3.0=1.0; count upper-endpoint difference: 3.3−3.0=0.3.</t>
        </is>
      </c>
    </row>
    <row r="137" ht="48" customHeight="1">
      <c r="A137" s="3" t="inlineStr">
        <is>
          <t>2024::jama.2024.2302::C003</t>
        </is>
      </c>
      <c r="B137" s="3" t="n">
        <v>3</v>
      </c>
      <c r="C137" s="3" t="inlineStr">
        <is>
          <t>Alternative source-grounded interpretations</t>
        </is>
      </c>
      <c r="D137" s="3" t="inlineStr">
        <is>
          <t>The supplied documents do not select which stated range governed each final model. Amendment, simplification, and implementation history are not supplied.</t>
        </is>
      </c>
    </row>
    <row r="138" ht="48" customHeight="1">
      <c r="A138" s="2" t="inlineStr">
        <is>
          <t>2024::jama.2024.2302::C004</t>
        </is>
      </c>
      <c r="B138" s="2" t="n">
        <v>0</v>
      </c>
      <c r="C138" s="2" t="inlineStr">
        <is>
          <t>Source evidence</t>
        </is>
      </c>
      <c r="D138" s="2" t="inlineStr">
        <is>
          <t>Figure 3 reports &lt;28 wk and ≥28 wk. SAP pp. 3 and 9 use &lt;28/&gt;28; SAP p. 8 itself uses &lt;28/≥28.</t>
        </is>
      </c>
    </row>
    <row r="139" ht="48" customHeight="1">
      <c r="A139" s="3" t="inlineStr">
        <is>
          <t>2024::jama.2024.2302::C004</t>
        </is>
      </c>
      <c r="B139" s="3" t="n">
        <v>1</v>
      </c>
      <c r="C139" s="3" t="inlineStr">
        <is>
          <t>Reported-versus-comparator</t>
        </is>
      </c>
      <c r="D139" s="3" t="inlineStr">
        <is>
          <t>≥28 includes exactly 28 weeks; &gt;28 excludes it.</t>
        </is>
      </c>
    </row>
    <row r="140" ht="48" customHeight="1">
      <c r="A140" s="2" t="inlineStr">
        <is>
          <t>2024::jama.2024.2302::C004</t>
        </is>
      </c>
      <c r="B140" s="2" t="n">
        <v>2</v>
      </c>
      <c r="C140" s="2" t="inlineStr">
        <is>
          <t>Calculation</t>
        </is>
      </c>
      <c r="D140" s="2" t="inlineStr">
        <is>
          <t>At exactly 28 weeks, GA≥28 is true and GA&gt;28 is false. The Figure 3 subgroup denominators partition the analysis populations: 102+57=159 and 99+50=149.</t>
        </is>
      </c>
    </row>
    <row r="141" ht="48" customHeight="1">
      <c r="A141" s="3" t="inlineStr">
        <is>
          <t>2024::jama.2024.2302::C004</t>
        </is>
      </c>
      <c r="B141" s="3" t="n">
        <v>3</v>
      </c>
      <c r="C141" s="3" t="inlineStr">
        <is>
          <t>Alternative source-grounded interpretations</t>
        </is>
      </c>
      <c r="D141" s="3" t="inlineStr">
        <is>
          <t>SAP p. 8 and the article’s complete displayed partition support a possible inconsistent &gt;28 label. Exact gestational-age coding and exactly-28-week assignment are not supplied.</t>
        </is>
      </c>
    </row>
    <row r="142" ht="48" customHeight="1">
      <c r="A142" s="2" t="inlineStr">
        <is>
          <t>2024::jama.2024.2302::C005</t>
        </is>
      </c>
      <c r="B142" s="2" t="n">
        <v>0</v>
      </c>
      <c r="C142" s="2" t="inlineStr">
        <is>
          <t>Source evidence</t>
        </is>
      </c>
      <c r="D142" s="2" t="inlineStr">
        <is>
          <t>Protocol text defines SAE ascertainment from enrollment through 10 months after enrollment; the SAP and main article state primary-outcome collection for 10 months after randomization.</t>
        </is>
      </c>
    </row>
    <row r="143" ht="48" customHeight="1">
      <c r="A143" s="3" t="inlineStr">
        <is>
          <t>2024::jama.2024.2302::C005</t>
        </is>
      </c>
      <c r="B143" s="3" t="n">
        <v>1</v>
      </c>
      <c r="C143" s="3" t="inlineStr">
        <is>
          <t>Reported-versus-comparator</t>
        </is>
      </c>
      <c r="D143" s="3" t="inlineStr">
        <is>
          <t>[enrollment, enrollment + 10 months] versus [randomization, randomization + 10 months].</t>
        </is>
      </c>
    </row>
    <row r="144" ht="48" customHeight="1">
      <c r="A144" s="2" t="inlineStr">
        <is>
          <t>2024::jama.2024.2302::C005</t>
        </is>
      </c>
      <c r="B144" s="2" t="n">
        <v>2</v>
      </c>
      <c r="C144" s="2" t="inlineStr">
        <is>
          <t>Calculation</t>
        </is>
      </c>
      <c r="D144" s="2" t="inlineStr">
        <is>
          <t>The two windows have the same duration but different named origins unless enrollment equals randomization; the supplied package does not define that equality.</t>
        </is>
      </c>
    </row>
    <row r="145" ht="48" customHeight="1">
      <c r="A145" s="3" t="inlineStr">
        <is>
          <t>2024::jama.2024.2302::C005</t>
        </is>
      </c>
      <c r="B145" s="3" t="n">
        <v>3</v>
      </c>
      <c r="C145" s="3" t="inlineStr">
        <is>
          <t>Alternative source-grounded interpretations</t>
        </is>
      </c>
      <c r="D145" s="3" t="inlineStr">
        <is>
          <t>The protocol’s mixed terminology supports possible interchangeable usage. Operational simultaneity and any event-count difference are not supplied.</t>
        </is>
      </c>
    </row>
    <row r="146" ht="48" customHeight="1">
      <c r="A146" s="2" t="inlineStr">
        <is>
          <t>2024::jama.2024.23898::C001</t>
        </is>
      </c>
      <c r="B146" s="2" t="n">
        <v>0</v>
      </c>
      <c r="C146" s="2" t="inlineStr">
        <is>
          <t>Source evidence</t>
        </is>
      </c>
      <c r="D146" s="2" t="inlineStr">
        <is>
          <t>The article reports the same 160/279 versus 164/278 GI-3 result as “72 hours after surgery,” “at 72 hours after operation,” and “by 72 h after operation.”</t>
        </is>
      </c>
    </row>
    <row r="147" ht="48" customHeight="1">
      <c r="A147" s="3" t="inlineStr">
        <is>
          <t>2024::jama.2024.23898::C001</t>
        </is>
      </c>
      <c r="B147" s="3" t="n">
        <v>1</v>
      </c>
      <c r="C147" s="3" t="inlineStr">
        <is>
          <t>Reported-versus-comparator</t>
        </is>
      </c>
      <c r="D147" s="3" t="inlineStr">
        <is>
          <t>The SAP defines the same GI-3 composite “at 72 hours after the start of operation.”</t>
        </is>
      </c>
    </row>
    <row r="148" ht="48" customHeight="1">
      <c r="A148" s="2" t="inlineStr">
        <is>
          <t>2024::jama.2024.23898::C001</t>
        </is>
      </c>
      <c r="B148" s="2" t="n">
        <v>2</v>
      </c>
      <c r="C148" s="2" t="inlineStr">
        <is>
          <t>Calculation</t>
        </is>
      </c>
      <c r="D148" s="2" t="inlineStr">
        <is>
          <t>No numerical recalculation is claimed. The matched counts and effects agree; the reproducible comparison is the presence versus absence of “start of operation.”</t>
        </is>
      </c>
    </row>
    <row r="149" ht="48" customHeight="1">
      <c r="A149" s="3" t="inlineStr">
        <is>
          <t>2024::jama.2024.23898::C001</t>
        </is>
      </c>
      <c r="B149" s="3" t="n">
        <v>3</v>
      </c>
      <c r="C149" s="3" t="inlineStr">
        <is>
          <t>Alternative source-grounded interpretations</t>
        </is>
      </c>
      <c r="D149" s="3" t="inlineStr">
        <is>
          <t>“After surgery/operation” may be shorthand for the SAP origin, or the final derivation may have used completion of surgery, anaesthesia start, or another timestamp not supplied.</t>
        </is>
      </c>
    </row>
    <row r="150" ht="48" customHeight="1">
      <c r="A150" s="2" t="inlineStr">
        <is>
          <t>2024::jama.2024.23898::C002</t>
        </is>
      </c>
      <c r="B150" s="2" t="n">
        <v>0</v>
      </c>
      <c r="C150" s="2" t="inlineStr">
        <is>
          <t>Source evidence</t>
        </is>
      </c>
      <c r="D150" s="2" t="inlineStr">
        <is>
          <t>The article names postoperative opioid consumption “up to 24 hours” and reports OME medians 70.6 mg versus 45.0 mg, each n=210.</t>
        </is>
      </c>
    </row>
    <row r="151" ht="48" customHeight="1">
      <c r="A151" s="3" t="inlineStr">
        <is>
          <t>2024::jama.2024.23898::C002</t>
        </is>
      </c>
      <c r="B151" s="3" t="n">
        <v>1</v>
      </c>
      <c r="C151" s="3" t="inlineStr">
        <is>
          <t>Reported-versus-comparator</t>
        </is>
      </c>
      <c r="D151" s="3" t="inlineStr">
        <is>
          <t>The protocol specifies cumulative morphine-equivalent consumption until 72 hours after operation start; the SAP specifies total in-hospital opioid consumption up to 72 hours.</t>
        </is>
      </c>
    </row>
    <row r="152" ht="48" customHeight="1">
      <c r="A152" s="2" t="inlineStr">
        <is>
          <t>2024::jama.2024.23898::C002</t>
        </is>
      </c>
      <c r="B152" s="2" t="n">
        <v>2</v>
      </c>
      <c r="C152" s="2" t="inlineStr">
        <is>
          <t>Calculation</t>
        </is>
      </c>
      <c r="D152" s="2" t="inlineStr">
        <is>
          <t>72 hours − 24 hours = 48 hours. Aggregate 24-hour medians cannot reconstruct 72-hour medians.</t>
        </is>
      </c>
    </row>
    <row r="153" ht="48" customHeight="1">
      <c r="A153" s="3" t="inlineStr">
        <is>
          <t>2024::jama.2024.23898::C002</t>
        </is>
      </c>
      <c r="B153" s="3" t="n">
        <v>3</v>
      </c>
      <c r="C153" s="3" t="inlineStr">
        <is>
          <t>Alternative source-grounded interpretations</t>
        </is>
      </c>
      <c r="D153" s="3" t="inlineStr">
        <is>
          <t>The final analysis may intentionally report a distinct 24-hour measure, or the planned 72-hour endpoint may have changed before final analysis.</t>
        </is>
      </c>
    </row>
    <row r="154" ht="48" customHeight="1">
      <c r="A154" s="2" t="inlineStr">
        <is>
          <t>2024::jama.2024.23898::C003</t>
        </is>
      </c>
      <c r="B154" s="2" t="n">
        <v>0</v>
      </c>
      <c r="C154" s="2" t="inlineStr">
        <is>
          <t>Source evidence</t>
        </is>
      </c>
      <c r="D154" s="2" t="inlineStr">
        <is>
          <t>Article Methods says within 30 days; Table 3 says within 90 days and prints 31/279 (11.1%) versus 34/278 (12.2%).</t>
        </is>
      </c>
    </row>
    <row r="155" ht="48" customHeight="1">
      <c r="A155" s="3" t="inlineStr">
        <is>
          <t>2024::jama.2024.23898::C003</t>
        </is>
      </c>
      <c r="B155" s="3" t="n">
        <v>1</v>
      </c>
      <c r="C155" s="3" t="inlineStr">
        <is>
          <t>Reported-versus-comparator</t>
        </is>
      </c>
      <c r="D155" s="3" t="inlineStr">
        <is>
          <t>The protocol and SAP (including the SAP dummy-table heading) specify unplanned readmission within 30 days.</t>
        </is>
      </c>
    </row>
    <row r="156" ht="48" customHeight="1">
      <c r="A156" s="2" t="inlineStr">
        <is>
          <t>2024::jama.2024.23898::C003</t>
        </is>
      </c>
      <c r="B156" s="2" t="n">
        <v>2</v>
      </c>
      <c r="C156" s="2" t="inlineStr">
        <is>
          <t>Calculation</t>
        </is>
      </c>
      <c r="D156" s="2" t="inlineStr">
        <is>
          <t>90 days − 30 days = 60 days; 31 / 279 × 100 = 11.11% and 34 / 278 × 100 = 12.23%, reproducing the printed percentages at one decimal place but not the window.</t>
        </is>
      </c>
    </row>
    <row r="157" ht="48" customHeight="1">
      <c r="A157" s="3" t="inlineStr">
        <is>
          <t>2024::jama.2024.23898::C003</t>
        </is>
      </c>
      <c r="B157" s="3" t="n">
        <v>3</v>
      </c>
      <c r="C157" s="3" t="inlineStr">
        <is>
          <t>Alternative source-grounded interpretations</t>
        </is>
      </c>
      <c r="D157" s="3" t="inlineStr">
        <is>
          <t>Table 3 may contain 30-day counts under a 90-day label, or the final endpoint may have changed to 90 days while other text remained unrevised.</t>
        </is>
      </c>
    </row>
    <row r="158" ht="48" customHeight="1">
      <c r="A158" s="2" t="inlineStr">
        <is>
          <t>2024::jama.2024.23898::C004</t>
        </is>
      </c>
      <c r="B158" s="2" t="n">
        <v>0</v>
      </c>
      <c r="C158" s="2" t="inlineStr">
        <is>
          <t>Source evidence</t>
        </is>
      </c>
      <c r="D158" s="2" t="inlineStr">
        <is>
          <t>The eFigure displays high n=191, moderate n=274, low n=92; it defines high as ≥7/10 and low as &lt;5/10, and says the definitions were not predefined.</t>
        </is>
      </c>
    </row>
    <row r="159" ht="48" customHeight="1">
      <c r="A159" s="3" t="inlineStr">
        <is>
          <t>2024::jama.2024.23898::C004</t>
        </is>
      </c>
      <c r="B159" s="3" t="n">
        <v>1</v>
      </c>
      <c r="C159" s="3" t="inlineStr">
        <is>
          <t>Reported-versus-comparator</t>
        </is>
      </c>
      <c r="D159" s="3" t="inlineStr">
        <is>
          <t>The protocol calls its bands “e.g.” 0–30%, 30–60%, and &gt;60%; the SAP names high/moderate/low without cut points.</t>
        </is>
      </c>
    </row>
    <row r="160" ht="48" customHeight="1">
      <c r="A160" s="2" t="inlineStr">
        <is>
          <t>2024::jama.2024.23898::C004</t>
        </is>
      </c>
      <c r="B160" s="2" t="n">
        <v>2</v>
      </c>
      <c r="C160" s="2" t="inlineStr">
        <is>
          <t>Calculation</t>
        </is>
      </c>
      <c r="D160" s="2" t="inlineStr">
        <is>
          <t>4 / 10 × 100 = 40%. The eFigure classifies 4/10 as low, while 40% is in the protocol’s printed 30–60% example band. 191 + 274 + 92 = 557.</t>
        </is>
      </c>
    </row>
    <row r="161" ht="48" customHeight="1">
      <c r="A161" s="3" t="inlineStr">
        <is>
          <t>2024::jama.2024.23898::C004</t>
        </is>
      </c>
      <c r="B161" s="3" t="n">
        <v>3</v>
      </c>
      <c r="C161" s="3" t="inlineStr">
        <is>
          <t>Alternative source-grounded interpretations</t>
        </is>
      </c>
      <c r="D161" s="3" t="inlineStr">
        <is>
          <t>The “e.g.” bands may be illustrative and a final 0–4/5–6/7–10 rule may have superseded them; alternatively, the scales may not have been aligned. The eFigure does not expressly define moderate.</t>
        </is>
      </c>
    </row>
    <row r="162" ht="48" customHeight="1">
      <c r="A162" s="2" t="inlineStr">
        <is>
          <t>2024::jama.2024.23898::C005</t>
        </is>
      </c>
      <c r="B162" s="2" t="n">
        <v>0</v>
      </c>
      <c r="C162" s="2" t="inlineStr">
        <is>
          <t>Source evidence</t>
        </is>
      </c>
      <c r="D162" s="2" t="inlineStr">
        <is>
          <t>The eFigure legend says “99% CI”; its caption states that right-hand within-subgroup relative risks have “95% confidence interval.”</t>
        </is>
      </c>
    </row>
    <row r="163" ht="48" customHeight="1">
      <c r="A163" s="3" t="inlineStr">
        <is>
          <t>2024::jama.2024.23898::C005</t>
        </is>
      </c>
      <c r="B163" s="3" t="n">
        <v>1</v>
      </c>
      <c r="C163" s="3" t="inlineStr">
        <is>
          <t>Reported-versus-comparator</t>
        </is>
      </c>
      <c r="D163" s="3" t="inlineStr">
        <is>
          <t>The SAP specifies two-sided 1% subgroup tests and corresponding 99% CIs, supporting the legend’s planned convention but not proving the plotted calculation.</t>
        </is>
      </c>
    </row>
    <row r="164" ht="48" customHeight="1">
      <c r="A164" s="2" t="inlineStr">
        <is>
          <t>2024::jama.2024.23898::C005</t>
        </is>
      </c>
      <c r="B164" s="2" t="n">
        <v>2</v>
      </c>
      <c r="C164" s="2" t="inlineStr">
        <is>
          <t>Calculation</t>
        </is>
      </c>
      <c r="D164" s="2" t="inlineStr">
        <is>
          <t>99% − 95% = 4 percentage points; the explicit labels have no rounding tolerance.</t>
        </is>
      </c>
    </row>
    <row r="165" ht="48" customHeight="1">
      <c r="A165" s="3" t="inlineStr">
        <is>
          <t>2024::jama.2024.23898::C005</t>
        </is>
      </c>
      <c r="B165" s="3" t="n">
        <v>3</v>
      </c>
      <c r="C165" s="3" t="inlineStr">
        <is>
          <t>Alternative source-grounded interpretations</t>
        </is>
      </c>
      <c r="D165" s="3" t="inlineStr">
        <is>
          <t>The caption may use generic 95% wording, the legend may be incorrect, or different interval types may have been intended but not distinguished.</t>
        </is>
      </c>
    </row>
    <row r="166" ht="48" customHeight="1">
      <c r="A166" s="2" t="inlineStr">
        <is>
          <t>2024::jama.2024.23898::C006</t>
        </is>
      </c>
      <c r="B166" s="2" t="n">
        <v>0</v>
      </c>
      <c r="C166" s="2" t="inlineStr">
        <is>
          <t>Source evidence</t>
        </is>
      </c>
      <c r="D166" s="2" t="inlineStr">
        <is>
          <t>Day 5 is −0.057 (95% CI, −0.111 to −0.003), P=.04; Results uses blanket “no significant difference” prose for EQ-5D-5L.</t>
        </is>
      </c>
    </row>
    <row r="167" ht="48" customHeight="1">
      <c r="A167" s="3" t="inlineStr">
        <is>
          <t>2024::jama.2024.23898::C006</t>
        </is>
      </c>
      <c r="B167" s="3" t="n">
        <v>1</v>
      </c>
      <c r="C167" s="3" t="inlineStr">
        <is>
          <t>Reported-versus-comparator</t>
        </is>
      </c>
      <c r="D167" s="3" t="inlineStr">
        <is>
          <t>The SAP uses 95% CIs apart from subgroups, no secondary-outcome multiplicity adjustment, and time-by-treatment contrasts at each EQ-5D time point.</t>
        </is>
      </c>
    </row>
    <row r="168" ht="48" customHeight="1">
      <c r="A168" s="2" t="inlineStr">
        <is>
          <t>2024::jama.2024.23898::C006</t>
        </is>
      </c>
      <c r="B168" s="2" t="n">
        <v>2</v>
      </c>
      <c r="C168" s="2" t="inlineStr">
        <is>
          <t>Calculation</t>
        </is>
      </c>
      <c r="D168" s="2" t="inlineStr">
        <is>
          <t>−0.111 &lt; −0.057 &lt; −0.003; zero is outside the interval; .04 &lt; .05.</t>
        </is>
      </c>
    </row>
    <row r="169" ht="48" customHeight="1">
      <c r="A169" s="3" t="inlineStr">
        <is>
          <t>2024::jama.2024.23898::C006</t>
        </is>
      </c>
      <c r="B169" s="3" t="n">
        <v>3</v>
      </c>
      <c r="C169" s="3" t="inlineStr">
        <is>
          <t>Alternative source-grounded interpretations</t>
        </is>
      </c>
      <c r="D169" s="3" t="inlineStr">
        <is>
          <t>The prose may summarize an overall repeated-measures pattern, use an unstated endpoint-level decision rule, or omit mention of a nominal time-point result.</t>
        </is>
      </c>
    </row>
    <row r="170" ht="48" customHeight="1">
      <c r="A170" s="2" t="inlineStr">
        <is>
          <t>2024::jama.2024.23898::C007</t>
        </is>
      </c>
      <c r="B170" s="2" t="n">
        <v>0</v>
      </c>
      <c r="C170" s="2" t="inlineStr">
        <is>
          <t>Source evidence</t>
        </is>
      </c>
      <c r="D170" s="2" t="inlineStr">
        <is>
          <t>The eFigure prints high n=191, moderate n=274, and low n=92, with one interaction P=.966; the SAP names the same three levels.</t>
        </is>
      </c>
    </row>
    <row r="171" ht="48" customHeight="1">
      <c r="A171" s="3" t="inlineStr">
        <is>
          <t>2024::jama.2024.23898::C007</t>
        </is>
      </c>
      <c r="B171" s="3" t="n">
        <v>1</v>
      </c>
      <c r="C171" s="3" t="inlineStr">
        <is>
          <t>Reported-versus-comparator</t>
        </is>
      </c>
      <c r="D171" s="3" t="inlineStr">
        <is>
          <t>The article phrase names only high and low and does not identify it as shorthand or a separate extreme-level contrast.</t>
        </is>
      </c>
    </row>
    <row r="172" ht="48" customHeight="1">
      <c r="A172" s="2" t="inlineStr">
        <is>
          <t>2024::jama.2024.23898::C007</t>
        </is>
      </c>
      <c r="B172" s="2" t="n">
        <v>2</v>
      </c>
      <c r="C172" s="2" t="inlineStr">
        <is>
          <t>Calculation</t>
        </is>
      </c>
      <c r="D172" s="2" t="inlineStr">
        <is>
          <t>191 + 274 + 92 = 557. One interaction P appears beside the three-row factor, supporting a three-level display without reconstructing its coding.</t>
        </is>
      </c>
    </row>
    <row r="173" ht="48" customHeight="1">
      <c r="A173" s="3" t="inlineStr">
        <is>
          <t>2024::jama.2024.23898::C007</t>
        </is>
      </c>
      <c r="B173" s="3" t="n">
        <v>3</v>
      </c>
      <c r="C173" s="3" t="inlineStr">
        <is>
          <t>Alternative source-grounded interpretations</t>
        </is>
      </c>
      <c r="D173" s="3" t="inlineStr">
        <is>
          <t>“High vs low” may be shorthand for the three-level factor, or it may describe an extreme-level contrast while the eFigure displays a separate three-level interaction.</t>
        </is>
      </c>
    </row>
    <row r="174" ht="218" customHeight="1">
      <c r="A174" s="2" t="inlineStr">
        <is>
          <t>2024::jama.2024.25786::C001</t>
        </is>
      </c>
      <c r="B174" s="2" t="n">
        <v>0</v>
      </c>
      <c r="C174" s="2" t="inlineStr">
        <is>
          <t>Source evidence</t>
        </is>
      </c>
      <c r="D174"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202" customHeight="1">
      <c r="A175" s="3" t="inlineStr">
        <is>
          <t>2024::jama.2024.25786::C001</t>
        </is>
      </c>
      <c r="B175" s="3" t="n">
        <v>1</v>
      </c>
      <c r="C175" s="3" t="inlineStr">
        <is>
          <t>Reported-versus-comparator</t>
        </is>
      </c>
      <c r="D175"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70" customHeight="1">
      <c r="A176" s="2" t="inlineStr">
        <is>
          <t>2024::jama.2024.25786::C001</t>
        </is>
      </c>
      <c r="B176" s="2" t="n">
        <v>2</v>
      </c>
      <c r="C176" s="2" t="inlineStr">
        <is>
          <t>Calculation</t>
        </is>
      </c>
      <c r="D176"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54" customHeight="1">
      <c r="A177" s="3" t="inlineStr">
        <is>
          <t>2024::jama.2024.25786::C001</t>
        </is>
      </c>
      <c r="B177" s="3" t="n">
        <v>3</v>
      </c>
      <c r="C177" s="3" t="inlineStr">
        <is>
          <t>Alternative source-grounded interpretations</t>
        </is>
      </c>
      <c r="D177"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6" customHeight="1">
      <c r="A178" s="2" t="inlineStr">
        <is>
          <t>2024::jama.2024.25786::C002</t>
        </is>
      </c>
      <c r="B178" s="2" t="n">
        <v>0</v>
      </c>
      <c r="C178" s="2" t="inlineStr">
        <is>
          <t>Source evidence</t>
        </is>
      </c>
      <c r="D178"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70" customHeight="1">
      <c r="A179" s="3" t="inlineStr">
        <is>
          <t>2024::jama.2024.25786::C002</t>
        </is>
      </c>
      <c r="B179" s="3" t="n">
        <v>1</v>
      </c>
      <c r="C179" s="3" t="inlineStr">
        <is>
          <t>Reported-versus-comparator</t>
        </is>
      </c>
      <c r="D179"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54" customHeight="1">
      <c r="A180" s="2" t="inlineStr">
        <is>
          <t>2024::jama.2024.25786::C002</t>
        </is>
      </c>
      <c r="B180" s="2" t="n">
        <v>2</v>
      </c>
      <c r="C180" s="2" t="inlineStr">
        <is>
          <t>Calculation</t>
        </is>
      </c>
      <c r="D180"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38" customHeight="1">
      <c r="A181" s="3" t="inlineStr">
        <is>
          <t>2024::jama.2024.25786::C002</t>
        </is>
      </c>
      <c r="B181" s="3" t="n">
        <v>3</v>
      </c>
      <c r="C181" s="3" t="inlineStr">
        <is>
          <t>Alternative source-grounded interpretations</t>
        </is>
      </c>
      <c r="D181"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266" customHeight="1">
      <c r="A182" s="2" t="inlineStr">
        <is>
          <t>2024::jama.2024.25786::C003</t>
        </is>
      </c>
      <c r="B182" s="2" t="n">
        <v>0</v>
      </c>
      <c r="C182" s="2" t="inlineStr">
        <is>
          <t>Source evidence</t>
        </is>
      </c>
      <c r="D182"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234" customHeight="1">
      <c r="A183" s="3" t="inlineStr">
        <is>
          <t>2024::jama.2024.25786::C003</t>
        </is>
      </c>
      <c r="B183" s="3" t="n">
        <v>1</v>
      </c>
      <c r="C183" s="3" t="inlineStr">
        <is>
          <t>Reported-versus-comparator</t>
        </is>
      </c>
      <c r="D183"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6" customHeight="1">
      <c r="A184" s="2" t="inlineStr">
        <is>
          <t>2024::jama.2024.25786::C003</t>
        </is>
      </c>
      <c r="B184" s="2" t="n">
        <v>2</v>
      </c>
      <c r="C184" s="2" t="inlineStr">
        <is>
          <t>Calculation</t>
        </is>
      </c>
      <c r="D184"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70" customHeight="1">
      <c r="A185" s="3" t="inlineStr">
        <is>
          <t>2024::jama.2024.25786::C003</t>
        </is>
      </c>
      <c r="B185" s="3" t="n">
        <v>3</v>
      </c>
      <c r="C185" s="3" t="inlineStr">
        <is>
          <t>Alternative source-grounded interpretations</t>
        </is>
      </c>
      <c r="D185"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202" customHeight="1">
      <c r="A186" s="2" t="inlineStr">
        <is>
          <t>2024::jama.2024.25786::C004</t>
        </is>
      </c>
      <c r="B186" s="2" t="n">
        <v>0</v>
      </c>
      <c r="C186" s="2" t="inlineStr">
        <is>
          <t>Source evidence</t>
        </is>
      </c>
      <c r="D186"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6" customHeight="1">
      <c r="A187" s="3" t="inlineStr">
        <is>
          <t>2024::jama.2024.25786::C004</t>
        </is>
      </c>
      <c r="B187" s="3" t="n">
        <v>1</v>
      </c>
      <c r="C187" s="3" t="inlineStr">
        <is>
          <t>Reported-versus-comparator</t>
        </is>
      </c>
      <c r="D187"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54" customHeight="1">
      <c r="A188" s="2" t="inlineStr">
        <is>
          <t>2024::jama.2024.25786::C004</t>
        </is>
      </c>
      <c r="B188" s="2" t="n">
        <v>2</v>
      </c>
      <c r="C188" s="2" t="inlineStr">
        <is>
          <t>Calculation</t>
        </is>
      </c>
      <c r="D188"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38" customHeight="1">
      <c r="A189" s="3" t="inlineStr">
        <is>
          <t>2024::jama.2024.25786::C004</t>
        </is>
      </c>
      <c r="B189" s="3" t="n">
        <v>3</v>
      </c>
      <c r="C189" s="3" t="inlineStr">
        <is>
          <t>Alternative source-grounded interpretations</t>
        </is>
      </c>
      <c r="D189"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218" customHeight="1">
      <c r="A190" s="2" t="inlineStr">
        <is>
          <t>2024::jama.2024.25786::C005</t>
        </is>
      </c>
      <c r="B190" s="2" t="n">
        <v>0</v>
      </c>
      <c r="C190" s="2" t="inlineStr">
        <is>
          <t>Source evidence</t>
        </is>
      </c>
      <c r="D190"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202" customHeight="1">
      <c r="A191" s="3" t="inlineStr">
        <is>
          <t>2024::jama.2024.25786::C005</t>
        </is>
      </c>
      <c r="B191" s="3" t="n">
        <v>1</v>
      </c>
      <c r="C191" s="3" t="inlineStr">
        <is>
          <t>Reported-versus-comparator</t>
        </is>
      </c>
      <c r="D191"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54" customHeight="1">
      <c r="A192" s="2" t="inlineStr">
        <is>
          <t>2024::jama.2024.25786::C005</t>
        </is>
      </c>
      <c r="B192" s="2" t="n">
        <v>2</v>
      </c>
      <c r="C192" s="2" t="inlineStr">
        <is>
          <t>Calculation</t>
        </is>
      </c>
      <c r="D192"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38" customHeight="1">
      <c r="A193" s="3" t="inlineStr">
        <is>
          <t>2024::jama.2024.25786::C005</t>
        </is>
      </c>
      <c r="B193" s="3" t="n">
        <v>3</v>
      </c>
      <c r="C193" s="3" t="inlineStr">
        <is>
          <t>Alternative source-grounded interpretations</t>
        </is>
      </c>
      <c r="D193"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250" customHeight="1">
      <c r="A194" s="2" t="inlineStr">
        <is>
          <t>2024::jama.2024.25786::C006</t>
        </is>
      </c>
      <c r="B194" s="2" t="n">
        <v>0</v>
      </c>
      <c r="C194" s="2" t="inlineStr">
        <is>
          <t>Source evidence</t>
        </is>
      </c>
      <c r="D194"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218" customHeight="1">
      <c r="A195" s="3" t="inlineStr">
        <is>
          <t>2024::jama.2024.25786::C006</t>
        </is>
      </c>
      <c r="B195" s="3" t="n">
        <v>1</v>
      </c>
      <c r="C195" s="3" t="inlineStr">
        <is>
          <t>Reported-versus-comparator</t>
        </is>
      </c>
      <c r="D195"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6" customHeight="1">
      <c r="A196" s="2" t="inlineStr">
        <is>
          <t>2024::jama.2024.25786::C006</t>
        </is>
      </c>
      <c r="B196" s="2" t="n">
        <v>2</v>
      </c>
      <c r="C196" s="2" t="inlineStr">
        <is>
          <t>Calculation</t>
        </is>
      </c>
      <c r="D196"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54" customHeight="1">
      <c r="A197" s="3" t="inlineStr">
        <is>
          <t>2024::jama.2024.25786::C006</t>
        </is>
      </c>
      <c r="B197" s="3" t="n">
        <v>3</v>
      </c>
      <c r="C197" s="3" t="inlineStr">
        <is>
          <t>Alternative source-grounded interpretations</t>
        </is>
      </c>
      <c r="D197"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250" customHeight="1">
      <c r="A198" s="2" t="inlineStr">
        <is>
          <t>2024::jama.2024.25786::C007</t>
        </is>
      </c>
      <c r="B198" s="2" t="n">
        <v>0</v>
      </c>
      <c r="C198" s="2" t="inlineStr">
        <is>
          <t>Source evidence</t>
        </is>
      </c>
      <c r="D198"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218" customHeight="1">
      <c r="A199" s="3" t="inlineStr">
        <is>
          <t>2024::jama.2024.25786::C007</t>
        </is>
      </c>
      <c r="B199" s="3" t="n">
        <v>1</v>
      </c>
      <c r="C199" s="3" t="inlineStr">
        <is>
          <t>Reported-versus-comparator</t>
        </is>
      </c>
      <c r="D199"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70" customHeight="1">
      <c r="A200" s="2" t="inlineStr">
        <is>
          <t>2024::jama.2024.25786::C007</t>
        </is>
      </c>
      <c r="B200" s="2" t="n">
        <v>2</v>
      </c>
      <c r="C200" s="2" t="inlineStr">
        <is>
          <t>Calculation</t>
        </is>
      </c>
      <c r="D200"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54" customHeight="1">
      <c r="A201" s="3" t="inlineStr">
        <is>
          <t>2024::jama.2024.25786::C007</t>
        </is>
      </c>
      <c r="B201" s="3" t="n">
        <v>3</v>
      </c>
      <c r="C201" s="3" t="inlineStr">
        <is>
          <t>Alternative source-grounded interpretations</t>
        </is>
      </c>
      <c r="D201"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234" customHeight="1">
      <c r="A202" s="2" t="inlineStr">
        <is>
          <t>2024::jama.2024.25786::C008</t>
        </is>
      </c>
      <c r="B202" s="2" t="n">
        <v>0</v>
      </c>
      <c r="C202" s="2" t="inlineStr">
        <is>
          <t>Source evidence</t>
        </is>
      </c>
      <c r="D202"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218" customHeight="1">
      <c r="A203" s="3" t="inlineStr">
        <is>
          <t>2024::jama.2024.25786::C008</t>
        </is>
      </c>
      <c r="B203" s="3" t="n">
        <v>1</v>
      </c>
      <c r="C203" s="3" t="inlineStr">
        <is>
          <t>Reported-versus-comparator</t>
        </is>
      </c>
      <c r="D203"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70" customHeight="1">
      <c r="A204" s="2" t="inlineStr">
        <is>
          <t>2024::jama.2024.25786::C008</t>
        </is>
      </c>
      <c r="B204" s="2" t="n">
        <v>2</v>
      </c>
      <c r="C204" s="2" t="inlineStr">
        <is>
          <t>Calculation</t>
        </is>
      </c>
      <c r="D204"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54" customHeight="1">
      <c r="A205" s="3" t="inlineStr">
        <is>
          <t>2024::jama.2024.25786::C008</t>
        </is>
      </c>
      <c r="B205" s="3" t="n">
        <v>3</v>
      </c>
      <c r="C205" s="3" t="inlineStr">
        <is>
          <t>Alternative source-grounded interpretations</t>
        </is>
      </c>
      <c r="D205"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58" customHeight="1">
      <c r="A206" s="2" t="inlineStr">
        <is>
          <t>2024::jama.2024.4183::C001</t>
        </is>
      </c>
      <c r="B206" s="2" t="n">
        <v>0</v>
      </c>
      <c r="C206" s="2" t="inlineStr">
        <is>
          <t>Source evidence</t>
        </is>
      </c>
      <c r="D206" s="2" t="inlineStr">
        <is>
          <t>Among 191 CNRT nonabstainers the abstract prints 90 (47%), 50 (33%), and 51 (34%); among 157 varenicline nonabstainers it prints 39 (32%), 41 (34%), and 77 (49%). Figure 2 shows that 40 and 35 nonattenders were imputed into continuation.</t>
        </is>
      </c>
    </row>
    <row r="207" ht="48" customHeight="1">
      <c r="A207" s="3" t="inlineStr">
        <is>
          <t>2024::jama.2024.4183::C001</t>
        </is>
      </c>
      <c r="B207" s="3" t="n">
        <v>1</v>
      </c>
      <c r="C207" s="3" t="inlineStr">
        <is>
          <t>Reported-versus-comparator</t>
        </is>
      </c>
      <c r="D207" s="3" t="inlineStr">
        <is>
          <t>Printed evidence versus the matched source occurrence or stated consistency rule.</t>
        </is>
      </c>
    </row>
    <row r="208" ht="48" customHeight="1">
      <c r="A208" s="2" t="inlineStr">
        <is>
          <t>2024::jama.2024.4183::C001</t>
        </is>
      </c>
      <c r="B208" s="2" t="n">
        <v>2</v>
      </c>
      <c r="C208" s="2" t="inlineStr">
        <is>
          <t>Calculation</t>
        </is>
      </c>
      <c r="D208" s="2" t="inlineStr">
        <is>
          <t>Reproduce the stated arithmetic or direct printed comparison at displayed precision; see source evidence and consistency rule.</t>
        </is>
      </c>
    </row>
    <row r="209" ht="48" customHeight="1">
      <c r="A209" s="3" t="inlineStr">
        <is>
          <t>2024::jama.2024.4183::C001</t>
        </is>
      </c>
      <c r="B209" s="3" t="n">
        <v>3</v>
      </c>
      <c r="C209" s="3" t="inlineStr">
        <is>
          <t>Alternative source-grounded interpretations</t>
        </is>
      </c>
      <c r="D209" s="3" t="inlineStr">
        <is>
          <t>The supplied package does not state an authoritative correction; alternative production or version explanations require human review.</t>
        </is>
      </c>
    </row>
    <row r="210" ht="48" customHeight="1">
      <c r="A210" s="2" t="inlineStr">
        <is>
          <t>2024::jama.2024.4183::C002</t>
        </is>
      </c>
      <c r="B210" s="2" t="n">
        <v>0</v>
      </c>
      <c r="C210" s="2" t="inlineStr">
        <is>
          <t>Source evidence</t>
        </is>
      </c>
      <c r="D210" s="2" t="inlineStr">
        <is>
          <t>Each arm is n=245, but each prints female 105 (42.9) and male 145 (57.1).</t>
        </is>
      </c>
    </row>
    <row r="211" ht="48" customHeight="1">
      <c r="A211" s="3" t="inlineStr">
        <is>
          <t>2024::jama.2024.4183::C002</t>
        </is>
      </c>
      <c r="B211" s="3" t="n">
        <v>1</v>
      </c>
      <c r="C211" s="3" t="inlineStr">
        <is>
          <t>Reported-versus-comparator</t>
        </is>
      </c>
      <c r="D211" s="3" t="inlineStr">
        <is>
          <t>Printed evidence versus the matched source occurrence or stated consistency rule.</t>
        </is>
      </c>
    </row>
    <row r="212" ht="48" customHeight="1">
      <c r="A212" s="2" t="inlineStr">
        <is>
          <t>2024::jama.2024.4183::C002</t>
        </is>
      </c>
      <c r="B212" s="2" t="n">
        <v>2</v>
      </c>
      <c r="C212" s="2" t="inlineStr">
        <is>
          <t>Calculation</t>
        </is>
      </c>
      <c r="D212" s="2" t="inlineStr">
        <is>
          <t>Reproduce the stated arithmetic or direct printed comparison at displayed precision; see source evidence and consistency rule.</t>
        </is>
      </c>
    </row>
    <row r="213" ht="48" customHeight="1">
      <c r="A213" s="3" t="inlineStr">
        <is>
          <t>2024::jama.2024.4183::C002</t>
        </is>
      </c>
      <c r="B213" s="3" t="n">
        <v>3</v>
      </c>
      <c r="C213" s="3" t="inlineStr">
        <is>
          <t>Alternative source-grounded interpretations</t>
        </is>
      </c>
      <c r="D213" s="3" t="inlineStr">
        <is>
          <t>The supplied package does not state an authoritative correction; alternative production or version explanations require human review.</t>
        </is>
      </c>
    </row>
    <row r="214" ht="48" customHeight="1">
      <c r="A214" s="2" t="inlineStr">
        <is>
          <t>2024::jama.2024.4183::C003</t>
        </is>
      </c>
      <c r="B214" s="2" t="n">
        <v>0</v>
      </c>
      <c r="C214" s="2" t="inlineStr">
        <is>
          <t>Source evidence</t>
        </is>
      </c>
      <c r="D214" s="2" t="inlineStr">
        <is>
          <t>Results/Figure 2 state 491 randomized, followed by branches of 245 CNRT and 245 varenicline; the abstract/analysis population is 490 and one participant was excluded later.</t>
        </is>
      </c>
    </row>
    <row r="215" ht="48" customHeight="1">
      <c r="A215" s="3" t="inlineStr">
        <is>
          <t>2024::jama.2024.4183::C003</t>
        </is>
      </c>
      <c r="B215" s="3" t="n">
        <v>1</v>
      </c>
      <c r="C215" s="3" t="inlineStr">
        <is>
          <t>Reported-versus-comparator</t>
        </is>
      </c>
      <c r="D215" s="3" t="inlineStr">
        <is>
          <t>Printed evidence versus the matched source occurrence or stated consistency rule.</t>
        </is>
      </c>
    </row>
    <row r="216" ht="48" customHeight="1">
      <c r="A216" s="2" t="inlineStr">
        <is>
          <t>2024::jama.2024.4183::C003</t>
        </is>
      </c>
      <c r="B216" s="2" t="n">
        <v>2</v>
      </c>
      <c r="C216" s="2" t="inlineStr">
        <is>
          <t>Calculation</t>
        </is>
      </c>
      <c r="D216" s="2" t="inlineStr">
        <is>
          <t>Reproduce the stated arithmetic or direct printed comparison at displayed precision; see source evidence and consistency rule.</t>
        </is>
      </c>
    </row>
    <row r="217" ht="48" customHeight="1">
      <c r="A217" s="3" t="inlineStr">
        <is>
          <t>2024::jama.2024.4183::C003</t>
        </is>
      </c>
      <c r="B217" s="3" t="n">
        <v>3</v>
      </c>
      <c r="C217" s="3" t="inlineStr">
        <is>
          <t>Alternative source-grounded interpretations</t>
        </is>
      </c>
      <c r="D217" s="3" t="inlineStr">
        <is>
          <t>The supplied package does not state an authoritative correction; alternative production or version explanations require human review.</t>
        </is>
      </c>
    </row>
    <row r="218" ht="48" customHeight="1">
      <c r="A218" s="2" t="inlineStr">
        <is>
          <t>2024::jama.2024.4183::C004</t>
        </is>
      </c>
      <c r="B218" s="2" t="n">
        <v>0</v>
      </c>
      <c r="C218" s="2" t="inlineStr">
        <is>
          <t>Source evidence</t>
        </is>
      </c>
      <c r="D218" s="2" t="inlineStr">
        <is>
          <t>Results says the 40 CNRT and 35 varenicline participants who did attend rerandomization were assigned to continuation; abstract and Figure 2 say they did not return/attend.</t>
        </is>
      </c>
    </row>
    <row r="219" ht="48" customHeight="1">
      <c r="A219" s="3" t="inlineStr">
        <is>
          <t>2024::jama.2024.4183::C004</t>
        </is>
      </c>
      <c r="B219" s="3" t="n">
        <v>1</v>
      </c>
      <c r="C219" s="3" t="inlineStr">
        <is>
          <t>Reported-versus-comparator</t>
        </is>
      </c>
      <c r="D219" s="3" t="inlineStr">
        <is>
          <t>Printed evidence versus the matched source occurrence or stated consistency rule.</t>
        </is>
      </c>
    </row>
    <row r="220" ht="48" customHeight="1">
      <c r="A220" s="2" t="inlineStr">
        <is>
          <t>2024::jama.2024.4183::C004</t>
        </is>
      </c>
      <c r="B220" s="2" t="n">
        <v>2</v>
      </c>
      <c r="C220" s="2" t="inlineStr">
        <is>
          <t>Calculation</t>
        </is>
      </c>
      <c r="D220" s="2" t="inlineStr">
        <is>
          <t>Reproduce the stated arithmetic or direct printed comparison at displayed precision; see source evidence and consistency rule.</t>
        </is>
      </c>
    </row>
    <row r="221" ht="48" customHeight="1">
      <c r="A221" s="3" t="inlineStr">
        <is>
          <t>2024::jama.2024.4183::C004</t>
        </is>
      </c>
      <c r="B221" s="3" t="n">
        <v>3</v>
      </c>
      <c r="C221" s="3" t="inlineStr">
        <is>
          <t>Alternative source-grounded interpretations</t>
        </is>
      </c>
      <c r="D221" s="3" t="inlineStr">
        <is>
          <t>The supplied package does not state an authoritative correction; alternative production or version explanations require human review.</t>
        </is>
      </c>
    </row>
    <row r="222" ht="48" customHeight="1">
      <c r="A222" s="2" t="inlineStr">
        <is>
          <t>2024::jama.2024.4183::C005</t>
        </is>
      </c>
      <c r="B222" s="2" t="n">
        <v>0</v>
      </c>
      <c r="C222" s="2" t="inlineStr">
        <is>
          <t>Source evidence</t>
        </is>
      </c>
      <c r="D222" s="2" t="inlineStr">
        <is>
          <t>After listing both CNRT rescue arms, the abstract's singular following statement gives RD 6%, 95% CrI 6%-11%; Results and eTable 4 explicitly give 6%, 2%-11% for increased CNRT versus continuation.</t>
        </is>
      </c>
    </row>
    <row r="223" ht="48" customHeight="1">
      <c r="A223" s="3" t="inlineStr">
        <is>
          <t>2024::jama.2024.4183::C005</t>
        </is>
      </c>
      <c r="B223" s="3" t="n">
        <v>1</v>
      </c>
      <c r="C223" s="3" t="inlineStr">
        <is>
          <t>Reported-versus-comparator</t>
        </is>
      </c>
      <c r="D223" s="3" t="inlineStr">
        <is>
          <t>Printed evidence versus the matched source occurrence or stated consistency rule.</t>
        </is>
      </c>
    </row>
    <row r="224" ht="48" customHeight="1">
      <c r="A224" s="2" t="inlineStr">
        <is>
          <t>2024::jama.2024.4183::C005</t>
        </is>
      </c>
      <c r="B224" s="2" t="n">
        <v>2</v>
      </c>
      <c r="C224" s="2" t="inlineStr">
        <is>
          <t>Calculation</t>
        </is>
      </c>
      <c r="D224" s="2" t="inlineStr">
        <is>
          <t>Reproduce the stated arithmetic or direct printed comparison at displayed precision; see source evidence and consistency rule.</t>
        </is>
      </c>
    </row>
    <row r="225" ht="48" customHeight="1">
      <c r="A225" s="3" t="inlineStr">
        <is>
          <t>2024::jama.2024.4183::C005</t>
        </is>
      </c>
      <c r="B225" s="3" t="n">
        <v>3</v>
      </c>
      <c r="C225" s="3" t="inlineStr">
        <is>
          <t>Alternative source-grounded interpretations</t>
        </is>
      </c>
      <c r="D225" s="3" t="inlineStr">
        <is>
          <t>The abstract parenthetical may apply only to switching; this card remains conditional on grammatical scope.</t>
        </is>
      </c>
    </row>
    <row r="226" ht="48" customHeight="1">
      <c r="A226" s="2" t="inlineStr">
        <is>
          <t>2024::jama.2024.4183::C006</t>
        </is>
      </c>
      <c r="B226" s="2" t="n">
        <v>0</v>
      </c>
      <c r="C226" s="2" t="inlineStr">
        <is>
          <t>Source evidence</t>
        </is>
      </c>
      <c r="D226" s="2" t="inlineStr">
        <is>
          <t>Switch-to-varenicline versus continuation is RD 6% with CrI 6%-11%, 2%-11%, and 2%-10% at the three locations.</t>
        </is>
      </c>
    </row>
    <row r="227" ht="48" customHeight="1">
      <c r="A227" s="3" t="inlineStr">
        <is>
          <t>2024::jama.2024.4183::C006</t>
        </is>
      </c>
      <c r="B227" s="3" t="n">
        <v>1</v>
      </c>
      <c r="C227" s="3" t="inlineStr">
        <is>
          <t>Reported-versus-comparator</t>
        </is>
      </c>
      <c r="D227" s="3" t="inlineStr">
        <is>
          <t>Printed evidence versus the matched source occurrence or stated consistency rule.</t>
        </is>
      </c>
    </row>
    <row r="228" ht="48" customHeight="1">
      <c r="A228" s="2" t="inlineStr">
        <is>
          <t>2024::jama.2024.4183::C006</t>
        </is>
      </c>
      <c r="B228" s="2" t="n">
        <v>2</v>
      </c>
      <c r="C228" s="2" t="inlineStr">
        <is>
          <t>Calculation</t>
        </is>
      </c>
      <c r="D228" s="2" t="inlineStr">
        <is>
          <t>Reproduce the stated arithmetic or direct printed comparison at displayed precision; see source evidence and consistency rule.</t>
        </is>
      </c>
    </row>
    <row r="229" ht="48" customHeight="1">
      <c r="A229" s="3" t="inlineStr">
        <is>
          <t>2024::jama.2024.4183::C006</t>
        </is>
      </c>
      <c r="B229" s="3" t="n">
        <v>3</v>
      </c>
      <c r="C229" s="3" t="inlineStr">
        <is>
          <t>Alternative source-grounded interpretations</t>
        </is>
      </c>
      <c r="D229" s="3" t="inlineStr">
        <is>
          <t>The supplied package does not state an authoritative correction; alternative production or version explanations require human review.</t>
        </is>
      </c>
    </row>
    <row r="230" ht="48" customHeight="1">
      <c r="A230" s="2" t="inlineStr">
        <is>
          <t>2024::jama.2024.4183::C007</t>
        </is>
      </c>
      <c r="B230" s="2" t="n">
        <v>0</v>
      </c>
      <c r="C230" s="2" t="inlineStr">
        <is>
          <t>Source evidence</t>
        </is>
      </c>
      <c r="D230" s="2" t="inlineStr">
        <is>
          <t>Main text prints switch relative to continuation RD -3% (-4% to -1%) but says continuation was worse; eTable 4 labels switch versus stay and prints +3% (1%-4%); displayed cells are 0% switch and 3% stay.</t>
        </is>
      </c>
    </row>
    <row r="231" ht="48" customHeight="1">
      <c r="A231" s="3" t="inlineStr">
        <is>
          <t>2024::jama.2024.4183::C007</t>
        </is>
      </c>
      <c r="B231" s="3" t="n">
        <v>1</v>
      </c>
      <c r="C231" s="3" t="inlineStr">
        <is>
          <t>Reported-versus-comparator</t>
        </is>
      </c>
      <c r="D231" s="3" t="inlineStr">
        <is>
          <t>Printed evidence versus the matched source occurrence or stated consistency rule.</t>
        </is>
      </c>
    </row>
    <row r="232" ht="48" customHeight="1">
      <c r="A232" s="2" t="inlineStr">
        <is>
          <t>2024::jama.2024.4183::C007</t>
        </is>
      </c>
      <c r="B232" s="2" t="n">
        <v>2</v>
      </c>
      <c r="C232" s="2" t="inlineStr">
        <is>
          <t>Calculation</t>
        </is>
      </c>
      <c r="D232" s="2" t="inlineStr">
        <is>
          <t>Reproduce the stated arithmetic or direct printed comparison at displayed precision; see source evidence and consistency rule.</t>
        </is>
      </c>
    </row>
    <row r="233" ht="48" customHeight="1">
      <c r="A233" s="3" t="inlineStr">
        <is>
          <t>2024::jama.2024.4183::C007</t>
        </is>
      </c>
      <c r="B233" s="3" t="n">
        <v>3</v>
      </c>
      <c r="C233" s="3" t="inlineStr">
        <is>
          <t>Alternative source-grounded interpretations</t>
        </is>
      </c>
      <c r="D233" s="3" t="inlineStr">
        <is>
          <t>The supplied package does not state an authoritative correction; alternative production or version explanations require human review.</t>
        </is>
      </c>
    </row>
    <row r="234" ht="48" customHeight="1">
      <c r="A234" s="2" t="inlineStr">
        <is>
          <t>2024::jama.2024.4183::C008</t>
        </is>
      </c>
      <c r="B234" s="2" t="n">
        <v>0</v>
      </c>
      <c r="C234" s="2" t="inlineStr">
        <is>
          <t>Source evidence</t>
        </is>
      </c>
      <c r="D234" s="2" t="inlineStr">
        <is>
          <t>Main abstract/results print RD 18% (13%-24%); eTable 4 prints 18% (13%-23%).</t>
        </is>
      </c>
    </row>
    <row r="235" ht="48" customHeight="1">
      <c r="A235" s="3" t="inlineStr">
        <is>
          <t>2024::jama.2024.4183::C008</t>
        </is>
      </c>
      <c r="B235" s="3" t="n">
        <v>1</v>
      </c>
      <c r="C235" s="3" t="inlineStr">
        <is>
          <t>Reported-versus-comparator</t>
        </is>
      </c>
      <c r="D235" s="3" t="inlineStr">
        <is>
          <t>Printed evidence versus the matched source occurrence or stated consistency rule.</t>
        </is>
      </c>
    </row>
    <row r="236" ht="48" customHeight="1">
      <c r="A236" s="2" t="inlineStr">
        <is>
          <t>2024::jama.2024.4183::C008</t>
        </is>
      </c>
      <c r="B236" s="2" t="n">
        <v>2</v>
      </c>
      <c r="C236" s="2" t="inlineStr">
        <is>
          <t>Calculation</t>
        </is>
      </c>
      <c r="D236" s="2" t="inlineStr">
        <is>
          <t>Reproduce the stated arithmetic or direct printed comparison at displayed precision; see source evidence and consistency rule.</t>
        </is>
      </c>
    </row>
    <row r="237" ht="48" customHeight="1">
      <c r="A237" s="3" t="inlineStr">
        <is>
          <t>2024::jama.2024.4183::C008</t>
        </is>
      </c>
      <c r="B237" s="3" t="n">
        <v>3</v>
      </c>
      <c r="C237" s="3" t="inlineStr">
        <is>
          <t>Alternative source-grounded interpretations</t>
        </is>
      </c>
      <c r="D237" s="3" t="inlineStr">
        <is>
          <t>The supplied package does not state an authoritative correction; alternative production or version explanations require human review.</t>
        </is>
      </c>
    </row>
    <row r="238" ht="48" customHeight="1">
      <c r="A238" s="2" t="inlineStr">
        <is>
          <t>2024::jama.2024.4183::C009</t>
        </is>
      </c>
      <c r="B238" s="2" t="n">
        <v>0</v>
      </c>
      <c r="C238" s="2" t="inlineStr">
        <is>
          <t>Source evidence</t>
        </is>
      </c>
      <c r="D238" s="2" t="inlineStr">
        <is>
          <t>Main Results gives CNRT-versus-varenicline RD 6% (-5% to 16%); eTable 4 gives 6% (-4% to 16%).</t>
        </is>
      </c>
    </row>
    <row r="239" ht="48" customHeight="1">
      <c r="A239" s="3" t="inlineStr">
        <is>
          <t>2024::jama.2024.4183::C009</t>
        </is>
      </c>
      <c r="B239" s="3" t="n">
        <v>1</v>
      </c>
      <c r="C239" s="3" t="inlineStr">
        <is>
          <t>Reported-versus-comparator</t>
        </is>
      </c>
      <c r="D239" s="3" t="inlineStr">
        <is>
          <t>Printed evidence versus the matched source occurrence or stated consistency rule.</t>
        </is>
      </c>
    </row>
    <row r="240" ht="48" customHeight="1">
      <c r="A240" s="2" t="inlineStr">
        <is>
          <t>2024::jama.2024.4183::C009</t>
        </is>
      </c>
      <c r="B240" s="2" t="n">
        <v>2</v>
      </c>
      <c r="C240" s="2" t="inlineStr">
        <is>
          <t>Calculation</t>
        </is>
      </c>
      <c r="D240" s="2" t="inlineStr">
        <is>
          <t>Reproduce the stated arithmetic or direct printed comparison at displayed precision; see source evidence and consistency rule.</t>
        </is>
      </c>
    </row>
    <row r="241" ht="48" customHeight="1">
      <c r="A241" s="3" t="inlineStr">
        <is>
          <t>2024::jama.2024.4183::C009</t>
        </is>
      </c>
      <c r="B241" s="3" t="n">
        <v>3</v>
      </c>
      <c r="C241" s="3" t="inlineStr">
        <is>
          <t>Alternative source-grounded interpretations</t>
        </is>
      </c>
      <c r="D241" s="3" t="inlineStr">
        <is>
          <t>The supplied package does not state an authoritative correction; alternative production or version explanations require human review.</t>
        </is>
      </c>
    </row>
    <row r="242" ht="48" customHeight="1">
      <c r="A242" s="2" t="inlineStr">
        <is>
          <t>2024::jama.2024.4183::C010</t>
        </is>
      </c>
      <c r="B242" s="2" t="n">
        <v>0</v>
      </c>
      <c r="C242" s="2" t="inlineStr">
        <is>
          <t>Source evidence</t>
        </is>
      </c>
      <c r="D242" s="2" t="inlineStr">
        <is>
          <t>Varenicline week-6 response is paired as 0.50 (0.40-0.60) with Beta(785,869).</t>
        </is>
      </c>
    </row>
    <row r="243" ht="48" customHeight="1">
      <c r="A243" s="3" t="inlineStr">
        <is>
          <t>2024::jama.2024.4183::C010</t>
        </is>
      </c>
      <c r="B243" s="3" t="n">
        <v>1</v>
      </c>
      <c r="C243" s="3" t="inlineStr">
        <is>
          <t>Reported-versus-comparator</t>
        </is>
      </c>
      <c r="D243" s="3" t="inlineStr">
        <is>
          <t>Printed evidence versus the matched source occurrence or stated consistency rule.</t>
        </is>
      </c>
    </row>
    <row r="244" ht="48" customHeight="1">
      <c r="A244" s="2" t="inlineStr">
        <is>
          <t>2024::jama.2024.4183::C010</t>
        </is>
      </c>
      <c r="B244" s="2" t="n">
        <v>2</v>
      </c>
      <c r="C244" s="2" t="inlineStr">
        <is>
          <t>Calculation</t>
        </is>
      </c>
      <c r="D244" s="2" t="inlineStr">
        <is>
          <t>Reproduce the stated arithmetic or direct printed comparison at displayed precision; see source evidence and consistency rule.</t>
        </is>
      </c>
    </row>
    <row r="245" ht="48" customHeight="1">
      <c r="A245" s="3" t="inlineStr">
        <is>
          <t>2024::jama.2024.4183::C010</t>
        </is>
      </c>
      <c r="B245" s="3" t="n">
        <v>3</v>
      </c>
      <c r="C245" s="3" t="inlineStr">
        <is>
          <t>Alternative source-grounded interpretations</t>
        </is>
      </c>
      <c r="D245" s="3" t="inlineStr">
        <is>
          <t>The beta parameters may represent a different quantity; the interval-to-beta linkage is not defined.</t>
        </is>
      </c>
    </row>
    <row r="246" ht="48" customHeight="1">
      <c r="A246" s="2" t="inlineStr">
        <is>
          <t>2024::jama.2024.4183::C011</t>
        </is>
      </c>
      <c r="B246" s="2" t="n">
        <v>0</v>
      </c>
      <c r="C246" s="2" t="inlineStr">
        <is>
          <t>Source evidence</t>
        </is>
      </c>
      <c r="D246" s="2" t="inlineStr">
        <is>
          <t>Aim-1 detection power is 0.948, 0.980, 0.974, and 0.963 at posterior thresholds 0.80, 0.85, 0.90, and 0.95.</t>
        </is>
      </c>
    </row>
    <row r="247" ht="48" customHeight="1">
      <c r="A247" s="3" t="inlineStr">
        <is>
          <t>2024::jama.2024.4183::C011</t>
        </is>
      </c>
      <c r="B247" s="3" t="n">
        <v>1</v>
      </c>
      <c r="C247" s="3" t="inlineStr">
        <is>
          <t>Reported-versus-comparator</t>
        </is>
      </c>
      <c r="D247" s="3" t="inlineStr">
        <is>
          <t>Printed evidence versus the matched source occurrence or stated consistency rule.</t>
        </is>
      </c>
    </row>
    <row r="248" ht="48" customHeight="1">
      <c r="A248" s="2" t="inlineStr">
        <is>
          <t>2024::jama.2024.4183::C011</t>
        </is>
      </c>
      <c r="B248" s="2" t="n">
        <v>2</v>
      </c>
      <c r="C248" s="2" t="inlineStr">
        <is>
          <t>Calculation</t>
        </is>
      </c>
      <c r="D248" s="2" t="inlineStr">
        <is>
          <t>Reproduce the stated arithmetic or direct printed comparison at displayed precision; see source evidence and consistency rule.</t>
        </is>
      </c>
    </row>
    <row r="249" ht="48" customHeight="1">
      <c r="A249" s="3" t="inlineStr">
        <is>
          <t>2024::jama.2024.4183::C011</t>
        </is>
      </c>
      <c r="B249" s="3" t="n">
        <v>3</v>
      </c>
      <c r="C249" s="3" t="inlineStr">
        <is>
          <t>Alternative source-grounded interpretations</t>
        </is>
      </c>
      <c r="D249" s="3" t="inlineStr">
        <is>
          <t>Simulation realizations or detection definitions may differ; common use is not explicitly stated.</t>
        </is>
      </c>
    </row>
    <row r="250" ht="48" customHeight="1">
      <c r="A250" s="2" t="inlineStr">
        <is>
          <t>2024::jama.2024.4183::C012</t>
        </is>
      </c>
      <c r="B250" s="2" t="n">
        <v>0</v>
      </c>
      <c r="C250" s="2" t="inlineStr">
        <is>
          <t>Source evidence</t>
        </is>
      </c>
      <c r="D250" s="2" t="inlineStr">
        <is>
          <t>Table 3 labels the first and third Aim-2 effects VAR vs. NPL; the third estimate 0.195 equals 0.399-0.204, matching VAR versus NPL+, while 0.370 equals VAR versus NPL.</t>
        </is>
      </c>
    </row>
    <row r="251" ht="48" customHeight="1">
      <c r="A251" s="3" t="inlineStr">
        <is>
          <t>2024::jama.2024.4183::C012</t>
        </is>
      </c>
      <c r="B251" s="3" t="n">
        <v>1</v>
      </c>
      <c r="C251" s="3" t="inlineStr">
        <is>
          <t>Reported-versus-comparator</t>
        </is>
      </c>
      <c r="D251" s="3" t="inlineStr">
        <is>
          <t>Printed evidence versus the matched source occurrence or stated consistency rule.</t>
        </is>
      </c>
    </row>
    <row r="252" ht="48" customHeight="1">
      <c r="A252" s="2" t="inlineStr">
        <is>
          <t>2024::jama.2024.4183::C012</t>
        </is>
      </c>
      <c r="B252" s="2" t="n">
        <v>2</v>
      </c>
      <c r="C252" s="2" t="inlineStr">
        <is>
          <t>Calculation</t>
        </is>
      </c>
      <c r="D252" s="2" t="inlineStr">
        <is>
          <t>Reproduce the stated arithmetic or direct printed comparison at displayed precision; see source evidence and consistency rule.</t>
        </is>
      </c>
    </row>
    <row r="253" ht="48" customHeight="1">
      <c r="A253" s="3" t="inlineStr">
        <is>
          <t>2024::jama.2024.4183::C012</t>
        </is>
      </c>
      <c r="B253" s="3" t="n">
        <v>3</v>
      </c>
      <c r="C253" s="3" t="inlineStr">
        <is>
          <t>Alternative source-grounded interpretations</t>
        </is>
      </c>
      <c r="D253" s="3" t="inlineStr">
        <is>
          <t>The supplied package does not state an authoritative correction; alternative production or version explanations require human review.</t>
        </is>
      </c>
    </row>
    <row r="254" ht="48" customHeight="1">
      <c r="A254" s="2" t="inlineStr">
        <is>
          <t>2024::jama.2024.4183::C013</t>
        </is>
      </c>
      <c r="B254" s="2" t="n">
        <v>0</v>
      </c>
      <c r="C254" s="2" t="inlineStr">
        <is>
          <t>Source evidence</t>
        </is>
      </c>
      <c r="D254" s="2" t="inlineStr">
        <is>
          <t>Under n (%), race/ethnicity Other for the N=41 VAR-nonabstainer-to-CNRT column is 4.9 (2).</t>
        </is>
      </c>
    </row>
    <row r="255" ht="48" customHeight="1">
      <c r="A255" s="3" t="inlineStr">
        <is>
          <t>2024::jama.2024.4183::C013</t>
        </is>
      </c>
      <c r="B255" s="3" t="n">
        <v>1</v>
      </c>
      <c r="C255" s="3" t="inlineStr">
        <is>
          <t>Reported-versus-comparator</t>
        </is>
      </c>
      <c r="D255" s="3" t="inlineStr">
        <is>
          <t>Printed evidence versus the matched source occurrence or stated consistency rule.</t>
        </is>
      </c>
    </row>
    <row r="256" ht="48" customHeight="1">
      <c r="A256" s="2" t="inlineStr">
        <is>
          <t>2024::jama.2024.4183::C013</t>
        </is>
      </c>
      <c r="B256" s="2" t="n">
        <v>2</v>
      </c>
      <c r="C256" s="2" t="inlineStr">
        <is>
          <t>Calculation</t>
        </is>
      </c>
      <c r="D256" s="2" t="inlineStr">
        <is>
          <t>Reproduce the stated arithmetic or direct printed comparison at displayed precision; see source evidence and consistency rule.</t>
        </is>
      </c>
    </row>
    <row r="257" ht="48" customHeight="1">
      <c r="A257" s="3" t="inlineStr">
        <is>
          <t>2024::jama.2024.4183::C013</t>
        </is>
      </c>
      <c r="B257" s="3" t="n">
        <v>3</v>
      </c>
      <c r="C257" s="3" t="inlineStr">
        <is>
          <t>Alternative source-grounded interpretations</t>
        </is>
      </c>
      <c r="D257" s="3" t="inlineStr">
        <is>
          <t>The supplied package does not state an authoritative correction; alternative production or version explanations require human review.</t>
        </is>
      </c>
    </row>
    <row r="258" ht="48" customHeight="1">
      <c r="A258" s="2" t="inlineStr">
        <is>
          <t>2024::jama.2024.4183::C014</t>
        </is>
      </c>
      <c r="B258" s="2" t="n">
        <v>0</v>
      </c>
      <c r="C258" s="2" t="inlineStr">
        <is>
          <t>Source evidence</t>
        </is>
      </c>
      <c r="D258" s="2" t="inlineStr">
        <is>
          <t>Narrative prints 1.0% (7.0%-1.3%); matched eFigure 2 prints 5/51, 10% (7%-13%).</t>
        </is>
      </c>
    </row>
    <row r="259" ht="48" customHeight="1">
      <c r="A259" s="3" t="inlineStr">
        <is>
          <t>2024::jama.2024.4183::C014</t>
        </is>
      </c>
      <c r="B259" s="3" t="n">
        <v>1</v>
      </c>
      <c r="C259" s="3" t="inlineStr">
        <is>
          <t>Reported-versus-comparator</t>
        </is>
      </c>
      <c r="D259" s="3" t="inlineStr">
        <is>
          <t>Printed evidence versus the matched source occurrence or stated consistency rule.</t>
        </is>
      </c>
    </row>
    <row r="260" ht="48" customHeight="1">
      <c r="A260" s="2" t="inlineStr">
        <is>
          <t>2024::jama.2024.4183::C014</t>
        </is>
      </c>
      <c r="B260" s="2" t="n">
        <v>2</v>
      </c>
      <c r="C260" s="2" t="inlineStr">
        <is>
          <t>Calculation</t>
        </is>
      </c>
      <c r="D260" s="2" t="inlineStr">
        <is>
          <t>Reproduce the stated arithmetic or direct printed comparison at displayed precision; see source evidence and consistency rule.</t>
        </is>
      </c>
    </row>
    <row r="261" ht="48" customHeight="1">
      <c r="A261" s="3" t="inlineStr">
        <is>
          <t>2024::jama.2024.4183::C014</t>
        </is>
      </c>
      <c r="B261" s="3" t="n">
        <v>3</v>
      </c>
      <c r="C261" s="3" t="inlineStr">
        <is>
          <t>Alternative source-grounded interpretations</t>
        </is>
      </c>
      <c r="D261" s="3" t="inlineStr">
        <is>
          <t>The supplied package does not state an authoritative correction; alternative production or version explanations require human review.</t>
        </is>
      </c>
    </row>
    <row r="262" ht="48" customHeight="1">
      <c r="A262" s="2" t="inlineStr">
        <is>
          <t>2024::jama.2024.4183::C015</t>
        </is>
      </c>
      <c r="B262" s="2" t="n">
        <v>0</v>
      </c>
      <c r="C262" s="2" t="inlineStr">
        <is>
          <t>Source evidence</t>
        </is>
      </c>
      <c r="D262" s="2" t="inlineStr">
        <is>
          <t>Narrative prints 8.0% (5.0%-1.1%); eFigure 2 prints 4/50, 8% (5%-11%).</t>
        </is>
      </c>
    </row>
    <row r="263" ht="48" customHeight="1">
      <c r="A263" s="3" t="inlineStr">
        <is>
          <t>2024::jama.2024.4183::C015</t>
        </is>
      </c>
      <c r="B263" s="3" t="n">
        <v>1</v>
      </c>
      <c r="C263" s="3" t="inlineStr">
        <is>
          <t>Reported-versus-comparator</t>
        </is>
      </c>
      <c r="D263" s="3" t="inlineStr">
        <is>
          <t>Printed evidence versus the matched source occurrence or stated consistency rule.</t>
        </is>
      </c>
    </row>
    <row r="264" ht="48" customHeight="1">
      <c r="A264" s="2" t="inlineStr">
        <is>
          <t>2024::jama.2024.4183::C015</t>
        </is>
      </c>
      <c r="B264" s="2" t="n">
        <v>2</v>
      </c>
      <c r="C264" s="2" t="inlineStr">
        <is>
          <t>Calculation</t>
        </is>
      </c>
      <c r="D264" s="2" t="inlineStr">
        <is>
          <t>Reproduce the stated arithmetic or direct printed comparison at displayed precision; see source evidence and consistency rule.</t>
        </is>
      </c>
    </row>
    <row r="265" ht="48" customHeight="1">
      <c r="A265" s="3" t="inlineStr">
        <is>
          <t>2024::jama.2024.4183::C015</t>
        </is>
      </c>
      <c r="B265" s="3" t="n">
        <v>3</v>
      </c>
      <c r="C265" s="3" t="inlineStr">
        <is>
          <t>Alternative source-grounded interpretations</t>
        </is>
      </c>
      <c r="D265" s="3" t="inlineStr">
        <is>
          <t>The supplied package does not state an authoritative correction; alternative production or version explanations require human review.</t>
        </is>
      </c>
    </row>
    <row r="266" ht="48" customHeight="1">
      <c r="A266" s="2" t="inlineStr">
        <is>
          <t>2024::jama.2024.4183::C016</t>
        </is>
      </c>
      <c r="B266" s="2" t="n">
        <v>0</v>
      </c>
      <c r="C266" s="2" t="inlineStr">
        <is>
          <t>Source evidence</t>
        </is>
      </c>
      <c r="D266" s="2" t="inlineStr">
        <is>
          <t>Narrative prints switch-versus-continuation ARD 6.0% (3.0%-1.0%); eTable 9 prints 6% (3%-10%).</t>
        </is>
      </c>
    </row>
    <row r="267" ht="48" customHeight="1">
      <c r="A267" s="3" t="inlineStr">
        <is>
          <t>2024::jama.2024.4183::C016</t>
        </is>
      </c>
      <c r="B267" s="3" t="n">
        <v>1</v>
      </c>
      <c r="C267" s="3" t="inlineStr">
        <is>
          <t>Reported-versus-comparator</t>
        </is>
      </c>
      <c r="D267" s="3" t="inlineStr">
        <is>
          <t>Printed evidence versus the matched source occurrence or stated consistency rule.</t>
        </is>
      </c>
    </row>
    <row r="268" ht="48" customHeight="1">
      <c r="A268" s="2" t="inlineStr">
        <is>
          <t>2024::jama.2024.4183::C016</t>
        </is>
      </c>
      <c r="B268" s="2" t="n">
        <v>2</v>
      </c>
      <c r="C268" s="2" t="inlineStr">
        <is>
          <t>Calculation</t>
        </is>
      </c>
      <c r="D268" s="2" t="inlineStr">
        <is>
          <t>Reproduce the stated arithmetic or direct printed comparison at displayed precision; see source evidence and consistency rule.</t>
        </is>
      </c>
    </row>
    <row r="269" ht="48" customHeight="1">
      <c r="A269" s="3" t="inlineStr">
        <is>
          <t>2024::jama.2024.4183::C016</t>
        </is>
      </c>
      <c r="B269" s="3" t="n">
        <v>3</v>
      </c>
      <c r="C269" s="3" t="inlineStr">
        <is>
          <t>Alternative source-grounded interpretations</t>
        </is>
      </c>
      <c r="D269" s="3" t="inlineStr">
        <is>
          <t>The supplied package does not state an authoritative correction; alternative production or version explanations require human review.</t>
        </is>
      </c>
    </row>
    <row r="270" ht="48" customHeight="1">
      <c r="A270" s="2" t="inlineStr">
        <is>
          <t>2024::jama.2024.4183::C017</t>
        </is>
      </c>
      <c r="B270" s="2" t="n">
        <v>0</v>
      </c>
      <c r="C270" s="2" t="inlineStr">
        <is>
          <t>Source evidence</t>
        </is>
      </c>
      <c r="D270" s="2" t="inlineStr">
        <is>
          <t>Narrative repeats 8.0% (5.0%-1.1%) for the cell and two ARDs; eFigure 2 and eTables 9-10 print 8% (5%-11%).</t>
        </is>
      </c>
    </row>
    <row r="271" ht="48" customHeight="1">
      <c r="A271" s="3" t="inlineStr">
        <is>
          <t>2024::jama.2024.4183::C017</t>
        </is>
      </c>
      <c r="B271" s="3" t="n">
        <v>1</v>
      </c>
      <c r="C271" s="3" t="inlineStr">
        <is>
          <t>Reported-versus-comparator</t>
        </is>
      </c>
      <c r="D271" s="3" t="inlineStr">
        <is>
          <t>Printed evidence versus the matched source occurrence or stated consistency rule.</t>
        </is>
      </c>
    </row>
    <row r="272" ht="48" customHeight="1">
      <c r="A272" s="2" t="inlineStr">
        <is>
          <t>2024::jama.2024.4183::C017</t>
        </is>
      </c>
      <c r="B272" s="2" t="n">
        <v>2</v>
      </c>
      <c r="C272" s="2" t="inlineStr">
        <is>
          <t>Calculation</t>
        </is>
      </c>
      <c r="D272" s="2" t="inlineStr">
        <is>
          <t>Reproduce the stated arithmetic or direct printed comparison at displayed precision; see source evidence and consistency rule.</t>
        </is>
      </c>
    </row>
    <row r="273" ht="48" customHeight="1">
      <c r="A273" s="3" t="inlineStr">
        <is>
          <t>2024::jama.2024.4183::C017</t>
        </is>
      </c>
      <c r="B273" s="3" t="n">
        <v>3</v>
      </c>
      <c r="C273" s="3" t="inlineStr">
        <is>
          <t>Alternative source-grounded interpretations</t>
        </is>
      </c>
      <c r="D273" s="3" t="inlineStr">
        <is>
          <t>The supplied package does not state an authoritative correction; alternative production or version explanations require human review.</t>
        </is>
      </c>
    </row>
    <row r="274" ht="48" customHeight="1">
      <c r="A274" s="2" t="inlineStr">
        <is>
          <t>2024::jama.2024.4183::C018</t>
        </is>
      </c>
      <c r="B274" s="2" t="n">
        <v>0</v>
      </c>
      <c r="C274" s="2" t="inlineStr">
        <is>
          <t>Source evidence</t>
        </is>
      </c>
      <c r="D274" s="2" t="inlineStr">
        <is>
          <t>Narrative gives ARD 1.1% (-1.0%-22%), while eTable 11 gives 11% (-1%-22%); cell probabilities are 67% versus 56% and probability is 97%.</t>
        </is>
      </c>
    </row>
    <row r="275" ht="48" customHeight="1">
      <c r="A275" s="3" t="inlineStr">
        <is>
          <t>2024::jama.2024.4183::C018</t>
        </is>
      </c>
      <c r="B275" s="3" t="n">
        <v>1</v>
      </c>
      <c r="C275" s="3" t="inlineStr">
        <is>
          <t>Reported-versus-comparator</t>
        </is>
      </c>
      <c r="D275" s="3" t="inlineStr">
        <is>
          <t>Printed evidence versus the matched source occurrence or stated consistency rule.</t>
        </is>
      </c>
    </row>
    <row r="276" ht="48" customHeight="1">
      <c r="A276" s="2" t="inlineStr">
        <is>
          <t>2024::jama.2024.4183::C018</t>
        </is>
      </c>
      <c r="B276" s="2" t="n">
        <v>2</v>
      </c>
      <c r="C276" s="2" t="inlineStr">
        <is>
          <t>Calculation</t>
        </is>
      </c>
      <c r="D276" s="2" t="inlineStr">
        <is>
          <t>Reproduce the stated arithmetic or direct printed comparison at displayed precision; see source evidence and consistency rule.</t>
        </is>
      </c>
    </row>
    <row r="277" ht="48" customHeight="1">
      <c r="A277" s="3" t="inlineStr">
        <is>
          <t>2024::jama.2024.4183::C018</t>
        </is>
      </c>
      <c r="B277" s="3" t="n">
        <v>3</v>
      </c>
      <c r="C277" s="3" t="inlineStr">
        <is>
          <t>Alternative source-grounded interpretations</t>
        </is>
      </c>
      <c r="D277" s="3" t="inlineStr">
        <is>
          <t>The supplied package does not state an authoritative correction; alternative production or version explanations require human review.</t>
        </is>
      </c>
    </row>
    <row r="278" ht="48" customHeight="1">
      <c r="A278" s="2" t="inlineStr">
        <is>
          <t>2024::jama.2024.4183::C019</t>
        </is>
      </c>
      <c r="B278" s="2" t="n">
        <v>0</v>
      </c>
      <c r="C278" s="2" t="inlineStr">
        <is>
          <t>Source evidence</t>
        </is>
      </c>
      <c r="D278" s="2" t="inlineStr">
        <is>
          <t>Narrative assigns ARD 1.0% (-2.0%-3.0%), probability 66%, to ETable 7; ETable 7 is compliance, while ETable 9 contains the exact outcome contrast.</t>
        </is>
      </c>
    </row>
    <row r="279" ht="48" customHeight="1">
      <c r="A279" s="3" t="inlineStr">
        <is>
          <t>2024::jama.2024.4183::C019</t>
        </is>
      </c>
      <c r="B279" s="3" t="n">
        <v>1</v>
      </c>
      <c r="C279" s="3" t="inlineStr">
        <is>
          <t>Reported-versus-comparator</t>
        </is>
      </c>
      <c r="D279" s="3" t="inlineStr">
        <is>
          <t>Printed evidence versus the matched source occurrence or stated consistency rule.</t>
        </is>
      </c>
    </row>
    <row r="280" ht="48" customHeight="1">
      <c r="A280" s="2" t="inlineStr">
        <is>
          <t>2024::jama.2024.4183::C019</t>
        </is>
      </c>
      <c r="B280" s="2" t="n">
        <v>2</v>
      </c>
      <c r="C280" s="2" t="inlineStr">
        <is>
          <t>Calculation</t>
        </is>
      </c>
      <c r="D280" s="2" t="inlineStr">
        <is>
          <t>Reproduce the stated arithmetic or direct printed comparison at displayed precision; see source evidence and consistency rule.</t>
        </is>
      </c>
    </row>
    <row r="281" ht="48" customHeight="1">
      <c r="A281" s="3" t="inlineStr">
        <is>
          <t>2024::jama.2024.4183::C019</t>
        </is>
      </c>
      <c r="B281" s="3" t="n">
        <v>3</v>
      </c>
      <c r="C281" s="3" t="inlineStr">
        <is>
          <t>Alternative source-grounded interpretations</t>
        </is>
      </c>
      <c r="D281" s="3" t="inlineStr">
        <is>
          <t>The supplied package does not state an authoritative correction; alternative production or version explanations require human review.</t>
        </is>
      </c>
    </row>
    <row r="282" ht="48" customHeight="1">
      <c r="A282" s="2" t="inlineStr">
        <is>
          <t>2024::jama.2024.4183::C020</t>
        </is>
      </c>
      <c r="B282" s="2" t="n">
        <v>0</v>
      </c>
      <c r="C282" s="2" t="inlineStr">
        <is>
          <t>Source evidence</t>
        </is>
      </c>
      <c r="D282" s="2" t="inlineStr">
        <is>
          <t>Narrative gives CNRT 39%, VAR 40%, posterior probability 55%, ARD +1.0% (-1.3% to -1.1%), and a varenicline benefit; eTable 11 headed CNRT vs VAR gives +1% (-11% to 12%), probability 56%.</t>
        </is>
      </c>
    </row>
    <row r="283" ht="48" customHeight="1">
      <c r="A283" s="3" t="inlineStr">
        <is>
          <t>2024::jama.2024.4183::C020</t>
        </is>
      </c>
      <c r="B283" s="3" t="n">
        <v>1</v>
      </c>
      <c r="C283" s="3" t="inlineStr">
        <is>
          <t>Reported-versus-comparator</t>
        </is>
      </c>
      <c r="D283" s="3" t="inlineStr">
        <is>
          <t>Printed evidence versus the matched source occurrence or stated consistency rule.</t>
        </is>
      </c>
    </row>
    <row r="284" ht="48" customHeight="1">
      <c r="A284" s="2" t="inlineStr">
        <is>
          <t>2024::jama.2024.4183::C020</t>
        </is>
      </c>
      <c r="B284" s="2" t="n">
        <v>2</v>
      </c>
      <c r="C284" s="2" t="inlineStr">
        <is>
          <t>Calculation</t>
        </is>
      </c>
      <c r="D284" s="2" t="inlineStr">
        <is>
          <t>Reproduce the stated arithmetic or direct printed comparison at displayed precision; see source evidence and consistency rule.</t>
        </is>
      </c>
    </row>
    <row r="285" ht="48" customHeight="1">
      <c r="A285" s="3" t="inlineStr">
        <is>
          <t>2024::jama.2024.4183::C020</t>
        </is>
      </c>
      <c r="B285" s="3" t="n">
        <v>3</v>
      </c>
      <c r="C285" s="3" t="inlineStr">
        <is>
          <t>Alternative source-grounded interpretations</t>
        </is>
      </c>
      <c r="D285" s="3" t="inlineStr">
        <is>
          <t>The supplied package does not state an authoritative correction; alternative production or version explanations require human review.</t>
        </is>
      </c>
    </row>
    <row r="286" ht="58" customHeight="1">
      <c r="A286" s="2" t="inlineStr">
        <is>
          <t>2024::jama.2024.4183::C021</t>
        </is>
      </c>
      <c r="B286" s="2" t="n">
        <v>0</v>
      </c>
      <c r="C286" s="2" t="inlineStr">
        <is>
          <t>Source evidence</t>
        </is>
      </c>
      <c r="D286" s="2" t="inlineStr">
        <is>
          <t>The phase-1-abstainer EOT+30 and six-month summary cites ETable 10; ETable 10 reports increase-versus-switch comparisons among nonabstainers, while ETable 11 reports the phase-1-abstainer CNRT-versus-VAR results.</t>
        </is>
      </c>
    </row>
    <row r="287" ht="48" customHeight="1">
      <c r="A287" s="3" t="inlineStr">
        <is>
          <t>2024::jama.2024.4183::C021</t>
        </is>
      </c>
      <c r="B287" s="3" t="n">
        <v>1</v>
      </c>
      <c r="C287" s="3" t="inlineStr">
        <is>
          <t>Reported-versus-comparator</t>
        </is>
      </c>
      <c r="D287" s="3" t="inlineStr">
        <is>
          <t>Printed evidence versus the matched source occurrence or stated consistency rule.</t>
        </is>
      </c>
    </row>
    <row r="288" ht="48" customHeight="1">
      <c r="A288" s="2" t="inlineStr">
        <is>
          <t>2024::jama.2024.4183::C021</t>
        </is>
      </c>
      <c r="B288" s="2" t="n">
        <v>2</v>
      </c>
      <c r="C288" s="2" t="inlineStr">
        <is>
          <t>Calculation</t>
        </is>
      </c>
      <c r="D288" s="2" t="inlineStr">
        <is>
          <t>Reproduce the stated arithmetic or direct printed comparison at displayed precision; see source evidence and consistency rule.</t>
        </is>
      </c>
    </row>
    <row r="289" ht="48" customHeight="1">
      <c r="A289" s="3" t="inlineStr">
        <is>
          <t>2024::jama.2024.4183::C021</t>
        </is>
      </c>
      <c r="B289" s="3" t="n">
        <v>3</v>
      </c>
      <c r="C289" s="3" t="inlineStr">
        <is>
          <t>Alternative source-grounded interpretations</t>
        </is>
      </c>
      <c r="D289" s="3" t="inlineStr">
        <is>
          <t>The supplied package does not state an authoritative correction; alternative production or version explanations require human review.</t>
        </is>
      </c>
    </row>
    <row r="290" ht="58" customHeight="1">
      <c r="A290" s="2" t="inlineStr">
        <is>
          <t>2024::jama.2024.4183::C022</t>
        </is>
      </c>
      <c r="B290" s="2" t="n">
        <v>0</v>
      </c>
      <c r="C290" s="2" t="inlineStr">
        <is>
          <t>Source evidence</t>
        </is>
      </c>
      <c r="D290" s="2" t="inlineStr">
        <is>
          <t>The narrative cites ETable 9 for both VAR+ versus continuation and VAR+ versus CNRT switch; ETable 9 contains continuation-reference comparisons, while ETable 10 contains the switch-reference comparison 2% (1%-5%), greater than 99%.</t>
        </is>
      </c>
    </row>
    <row r="291" ht="48" customHeight="1">
      <c r="A291" s="3" t="inlineStr">
        <is>
          <t>2024::jama.2024.4183::C022</t>
        </is>
      </c>
      <c r="B291" s="3" t="n">
        <v>1</v>
      </c>
      <c r="C291" s="3" t="inlineStr">
        <is>
          <t>Reported-versus-comparator</t>
        </is>
      </c>
      <c r="D291" s="3" t="inlineStr">
        <is>
          <t>Printed evidence versus the matched source occurrence or stated consistency rule.</t>
        </is>
      </c>
    </row>
    <row r="292" ht="48" customHeight="1">
      <c r="A292" s="2" t="inlineStr">
        <is>
          <t>2024::jama.2024.4183::C022</t>
        </is>
      </c>
      <c r="B292" s="2" t="n">
        <v>2</v>
      </c>
      <c r="C292" s="2" t="inlineStr">
        <is>
          <t>Calculation</t>
        </is>
      </c>
      <c r="D292" s="2" t="inlineStr">
        <is>
          <t>Reproduce the stated arithmetic or direct printed comparison at displayed precision; see source evidence and consistency rule.</t>
        </is>
      </c>
    </row>
    <row r="293" ht="48" customHeight="1">
      <c r="A293" s="3" t="inlineStr">
        <is>
          <t>2024::jama.2024.4183::C022</t>
        </is>
      </c>
      <c r="B293" s="3" t="n">
        <v>3</v>
      </c>
      <c r="C293" s="3" t="inlineStr">
        <is>
          <t>Alternative source-grounded interpretations</t>
        </is>
      </c>
      <c r="D293" s="3" t="inlineStr">
        <is>
          <t>The supplied package does not state an authoritative correction; alternative production or version explanations require human review.</t>
        </is>
      </c>
    </row>
    <row r="294" ht="58" customHeight="1">
      <c r="A294" s="2" t="inlineStr">
        <is>
          <t>2024::jama.2024.4183::C023</t>
        </is>
      </c>
      <c r="B294" s="2" t="n">
        <v>0</v>
      </c>
      <c r="C294" s="2" t="inlineStr">
        <is>
          <t>Source evidence</t>
        </is>
      </c>
      <c r="D294" s="2" t="inlineStr">
        <is>
          <t>The section heading is Employment, n (%), but every populated Employed and Unemployed cell prints percentage first and count in parentheses, including 72.2 (39) and 27.8 (15) under N=54 and 74.5 (38) and 25.5 (13) under N=51.</t>
        </is>
      </c>
    </row>
    <row r="295" ht="48" customHeight="1">
      <c r="A295" s="3" t="inlineStr">
        <is>
          <t>2024::jama.2024.4183::C023</t>
        </is>
      </c>
      <c r="B295" s="3" t="n">
        <v>1</v>
      </c>
      <c r="C295" s="3" t="inlineStr">
        <is>
          <t>Reported-versus-comparator</t>
        </is>
      </c>
      <c r="D295" s="3" t="inlineStr">
        <is>
          <t>Printed evidence versus the matched source occurrence or stated consistency rule.</t>
        </is>
      </c>
    </row>
    <row r="296" ht="48" customHeight="1">
      <c r="A296" s="2" t="inlineStr">
        <is>
          <t>2024::jama.2024.4183::C023</t>
        </is>
      </c>
      <c r="B296" s="2" t="n">
        <v>2</v>
      </c>
      <c r="C296" s="2" t="inlineStr">
        <is>
          <t>Calculation</t>
        </is>
      </c>
      <c r="D296" s="2" t="inlineStr">
        <is>
          <t>Reproduce the stated arithmetic or direct printed comparison at displayed precision; see source evidence and consistency rule.</t>
        </is>
      </c>
    </row>
    <row r="297" ht="48" customHeight="1">
      <c r="A297" s="3" t="inlineStr">
        <is>
          <t>2024::jama.2024.4183::C023</t>
        </is>
      </c>
      <c r="B297" s="3" t="n">
        <v>3</v>
      </c>
      <c r="C297" s="3" t="inlineStr">
        <is>
          <t>Alternative source-grounded interpretations</t>
        </is>
      </c>
      <c r="D297" s="3" t="inlineStr">
        <is>
          <t>The supplied package does not state an authoritative correction; alternative production or version explanations require human review.</t>
        </is>
      </c>
    </row>
    <row r="298" ht="48" customHeight="1">
      <c r="A298" s="2" t="inlineStr">
        <is>
          <t>2024::jama.2024.4183::C024</t>
        </is>
      </c>
      <c r="B298" s="2" t="n">
        <v>0</v>
      </c>
      <c r="C298" s="2" t="inlineStr">
        <is>
          <t>Source evidence</t>
        </is>
      </c>
      <c r="D298" s="2" t="inlineStr">
        <is>
          <t>In the CNRT+ N=50 column, Employment counts are 40 and 9 (percentages 80 and 18); in the VAR+ N=39 column they are 27 and 11 (69.2 and 28.2). No employment missingness category or footnote is printed.</t>
        </is>
      </c>
    </row>
    <row r="299" ht="48" customHeight="1">
      <c r="A299" s="3" t="inlineStr">
        <is>
          <t>2024::jama.2024.4183::C024</t>
        </is>
      </c>
      <c r="B299" s="3" t="n">
        <v>1</v>
      </c>
      <c r="C299" s="3" t="inlineStr">
        <is>
          <t>Reported-versus-comparator</t>
        </is>
      </c>
      <c r="D299" s="3" t="inlineStr">
        <is>
          <t>Printed evidence versus the matched source occurrence or stated consistency rule.</t>
        </is>
      </c>
    </row>
    <row r="300" ht="48" customHeight="1">
      <c r="A300" s="2" t="inlineStr">
        <is>
          <t>2024::jama.2024.4183::C024</t>
        </is>
      </c>
      <c r="B300" s="2" t="n">
        <v>2</v>
      </c>
      <c r="C300" s="2" t="inlineStr">
        <is>
          <t>Calculation</t>
        </is>
      </c>
      <c r="D300" s="2" t="inlineStr">
        <is>
          <t>Reproduce the stated arithmetic or direct printed comparison at displayed precision; see source evidence and consistency rule.</t>
        </is>
      </c>
    </row>
    <row r="301" ht="48" customHeight="1">
      <c r="A301" s="3" t="inlineStr">
        <is>
          <t>2024::jama.2024.4183::C024</t>
        </is>
      </c>
      <c r="B301" s="3" t="n">
        <v>3</v>
      </c>
      <c r="C301" s="3" t="inlineStr">
        <is>
          <t>Alternative source-grounded interpretations</t>
        </is>
      </c>
      <c r="D301" s="3" t="inlineStr">
        <is>
          <t>The supplied package does not state an authoritative correction; alternative production or version explanations require human review.</t>
        </is>
      </c>
    </row>
    <row r="302" ht="48" customHeight="1">
      <c r="A302" s="2" t="inlineStr">
        <is>
          <t>2024::jama.2024.6063::C001</t>
        </is>
      </c>
      <c r="B302" s="2" t="n">
        <v>0</v>
      </c>
      <c r="C302" s="2" t="inlineStr">
        <is>
          <t>Source evidence</t>
        </is>
      </c>
      <c r="D302" s="2" t="inlineStr">
        <is>
          <t>Figure 1 prints 132 placebo randomized, 111 completing treatment, and 21 discontinuing. Results prints 23 placebo participants withdrew or were lost and 222 total completed.</t>
        </is>
      </c>
    </row>
    <row r="303" ht="48" customHeight="1">
      <c r="A303" s="3" t="inlineStr">
        <is>
          <t>2024::jama.2024.6063::C001</t>
        </is>
      </c>
      <c r="B303" s="3" t="n">
        <v>1</v>
      </c>
      <c r="C303" s="3" t="inlineStr">
        <is>
          <t>Reported-versus-comparator</t>
        </is>
      </c>
      <c r="D303" s="3" t="inlineStr">
        <is>
          <t>Figure 1’s placebo 21 discontinuations and 111 completers versus Results’ 23 withdrawals/losses and implied 109 placebo completers.</t>
        </is>
      </c>
    </row>
    <row r="304" ht="48" customHeight="1">
      <c r="A304" s="2" t="inlineStr">
        <is>
          <t>2024::jama.2024.6063::C001</t>
        </is>
      </c>
      <c r="B304" s="2" t="n">
        <v>2</v>
      </c>
      <c r="C304" s="2" t="inlineStr">
        <is>
          <t>Calculation</t>
        </is>
      </c>
      <c r="D304" s="2" t="inlineStr">
        <is>
          <t>111 + 21 = 132; 132 - 23 = 109, not 111. Across arms, Figure 1 has 38 discontinuations/224 completers versus Results’ 40/222.</t>
        </is>
      </c>
    </row>
    <row r="305" ht="48" customHeight="1">
      <c r="A305" s="3" t="inlineStr">
        <is>
          <t>2024::jama.2024.6063::C001</t>
        </is>
      </c>
      <c r="B305" s="3" t="n">
        <v>3</v>
      </c>
      <c r="C305" s="3" t="inlineStr">
        <is>
          <t>Alternative source-grounded interpretations</t>
        </is>
      </c>
      <c r="D305" s="3" t="inlineStr">
        <is>
          <t>Results may include two placebo participants outside Figure 1’s discontinuation category, or one display may have a transcription difference.</t>
        </is>
      </c>
    </row>
    <row r="306" ht="48" customHeight="1">
      <c r="A306" s="2" t="inlineStr">
        <is>
          <t>2024::jama.2024.6063::C002</t>
        </is>
      </c>
      <c r="B306" s="2" t="n">
        <v>0</v>
      </c>
      <c r="C306" s="2" t="inlineStr">
        <is>
          <t>Source evidence</t>
        </is>
      </c>
      <c r="D306" s="2" t="inlineStr">
        <is>
          <t>The overall 0–24-week row prints n = 167, 82 (98.8%), and 81 (96.4%); the footnote names n = 165 for pill-count data and completers.</t>
        </is>
      </c>
    </row>
    <row r="307" ht="48" customHeight="1">
      <c r="A307" s="3" t="inlineStr">
        <is>
          <t>2024::jama.2024.6063::C002</t>
        </is>
      </c>
      <c r="B307" s="3" t="n">
        <v>1</v>
      </c>
      <c r="C307" s="3" t="inlineStr">
        <is>
          <t>Reported-versus-comparator</t>
        </is>
      </c>
      <c r="D307" s="3" t="inlineStr">
        <is>
          <t>Row total 167 and percentage-supported arm denominators versus footnote total 165.</t>
        </is>
      </c>
    </row>
    <row r="308" ht="48" customHeight="1">
      <c r="A308" s="2" t="inlineStr">
        <is>
          <t>2024::jama.2024.6063::C002</t>
        </is>
      </c>
      <c r="B308" s="2" t="n">
        <v>2</v>
      </c>
      <c r="C308" s="2" t="inlineStr">
        <is>
          <t>Calculation</t>
        </is>
      </c>
      <c r="D308" s="2" t="inlineStr">
        <is>
          <t>82/83 × 100 = 98.7952%; 81/84 × 100 = 96.4286%; 83 + 84 = 167, not 165.</t>
        </is>
      </c>
    </row>
    <row r="309" ht="48" customHeight="1">
      <c r="A309" s="3" t="inlineStr">
        <is>
          <t>2024::jama.2024.6063::C002</t>
        </is>
      </c>
      <c r="B309" s="3" t="n">
        <v>3</v>
      </c>
      <c r="C309" s="3" t="inlineStr">
        <is>
          <t>Alternative source-grounded interpretations</t>
        </is>
      </c>
      <c r="D309" s="3" t="inlineStr">
        <is>
          <t>The footnote may describe an unlabelled narrower subset, or it may be stale relative to the row.</t>
        </is>
      </c>
    </row>
    <row r="310" ht="48" customHeight="1">
      <c r="A310" s="2" t="inlineStr">
        <is>
          <t>2024::jama.2024.6063::C003</t>
        </is>
      </c>
      <c r="B310" s="2" t="n">
        <v>0</v>
      </c>
      <c r="C310" s="2" t="inlineStr">
        <is>
          <t>Source evidence</t>
        </is>
      </c>
      <c r="D310" s="2" t="inlineStr">
        <is>
          <t>The krill Smaller - 1 unit cell is 10 (12%); its total is 107 (100%).</t>
        </is>
      </c>
    </row>
    <row r="311" ht="48" customHeight="1">
      <c r="A311" s="3" t="inlineStr">
        <is>
          <t>2024::jama.2024.6063::C003</t>
        </is>
      </c>
      <c r="B311" s="3" t="n">
        <v>1</v>
      </c>
      <c r="C311" s="3" t="inlineStr">
        <is>
          <t>Reported-versus-comparator</t>
        </is>
      </c>
      <c r="D311" s="3" t="inlineStr">
        <is>
          <t>Printed 12% versus the percentage from 10/107.</t>
        </is>
      </c>
    </row>
    <row r="312" ht="48" customHeight="1">
      <c r="A312" s="2" t="inlineStr">
        <is>
          <t>2024::jama.2024.6063::C003</t>
        </is>
      </c>
      <c r="B312" s="2" t="n">
        <v>2</v>
      </c>
      <c r="C312" s="2" t="inlineStr">
        <is>
          <t>Calculation</t>
        </is>
      </c>
      <c r="D312" s="2" t="inlineStr">
        <is>
          <t>10/107 × 100 = 9.3458%, which rounds to 9%, not 12%.</t>
        </is>
      </c>
    </row>
    <row r="313" ht="48" customHeight="1">
      <c r="A313" s="3" t="inlineStr">
        <is>
          <t>2024::jama.2024.6063::C003</t>
        </is>
      </c>
      <c r="B313" s="3" t="n">
        <v>3</v>
      </c>
      <c r="C313" s="3" t="inlineStr">
        <is>
          <t>Alternative source-grounded interpretations</t>
        </is>
      </c>
      <c r="D313" s="3" t="inlineStr">
        <is>
          <t>An unprinted denominator or a different table version could explain the discrepancy.</t>
        </is>
      </c>
    </row>
    <row r="314" ht="48" customHeight="1">
      <c r="A314" s="2" t="inlineStr">
        <is>
          <t>2024::jama.2024.6063::C004</t>
        </is>
      </c>
      <c r="B314" s="2" t="n">
        <v>0</v>
      </c>
      <c r="C314" s="2" t="inlineStr">
        <is>
          <t>Source evidence</t>
        </is>
      </c>
      <c r="D314" s="2" t="inlineStr">
        <is>
          <t>Krill No change is 80 (72%); the arm total is 107 (100%).</t>
        </is>
      </c>
    </row>
    <row r="315" ht="48" customHeight="1">
      <c r="A315" s="3" t="inlineStr">
        <is>
          <t>2024::jama.2024.6063::C004</t>
        </is>
      </c>
      <c r="B315" s="3" t="n">
        <v>1</v>
      </c>
      <c r="C315" s="3" t="inlineStr">
        <is>
          <t>Reported-versus-comparator</t>
        </is>
      </c>
      <c r="D315" s="3" t="inlineStr">
        <is>
          <t>Printed 72% versus the percentage from 80/107.</t>
        </is>
      </c>
    </row>
    <row r="316" ht="48" customHeight="1">
      <c r="A316" s="2" t="inlineStr">
        <is>
          <t>2024::jama.2024.6063::C004</t>
        </is>
      </c>
      <c r="B316" s="2" t="n">
        <v>2</v>
      </c>
      <c r="C316" s="2" t="inlineStr">
        <is>
          <t>Calculation</t>
        </is>
      </c>
      <c r="D316" s="2" t="inlineStr">
        <is>
          <t>80/107 × 100 = 74.7664%, which rounds to 75%, not 72%.</t>
        </is>
      </c>
    </row>
    <row r="317" ht="48" customHeight="1">
      <c r="A317" s="3" t="inlineStr">
        <is>
          <t>2024::jama.2024.6063::C004</t>
        </is>
      </c>
      <c r="B317" s="3" t="n">
        <v>3</v>
      </c>
      <c r="C317" s="3" t="inlineStr">
        <is>
          <t>Alternative source-grounded interpretations</t>
        </is>
      </c>
      <c r="D317" s="3" t="inlineStr">
        <is>
          <t>A different unprinted denominator or a table-version difference is possible.</t>
        </is>
      </c>
    </row>
    <row r="318" ht="48" customHeight="1">
      <c r="A318" s="2" t="inlineStr">
        <is>
          <t>2024::jama.2024.6063::C005</t>
        </is>
      </c>
      <c r="B318" s="2" t="n">
        <v>0</v>
      </c>
      <c r="C318" s="2" t="inlineStr">
        <is>
          <t>Source evidence</t>
        </is>
      </c>
      <c r="D318" s="2" t="inlineStr">
        <is>
          <t>Krill Larger - 1 unit is 12 (12%); the arm total is 107 (100%).</t>
        </is>
      </c>
    </row>
    <row r="319" ht="48" customHeight="1">
      <c r="A319" s="3" t="inlineStr">
        <is>
          <t>2024::jama.2024.6063::C005</t>
        </is>
      </c>
      <c r="B319" s="3" t="n">
        <v>1</v>
      </c>
      <c r="C319" s="3" t="inlineStr">
        <is>
          <t>Reported-versus-comparator</t>
        </is>
      </c>
      <c r="D319" s="3" t="inlineStr">
        <is>
          <t>Printed 12% versus the percentage from 12/107.</t>
        </is>
      </c>
    </row>
    <row r="320" ht="48" customHeight="1">
      <c r="A320" s="2" t="inlineStr">
        <is>
          <t>2024::jama.2024.6063::C005</t>
        </is>
      </c>
      <c r="B320" s="2" t="n">
        <v>2</v>
      </c>
      <c r="C320" s="2" t="inlineStr">
        <is>
          <t>Calculation</t>
        </is>
      </c>
      <c r="D320" s="2" t="inlineStr">
        <is>
          <t>12/107 × 100 = 11.2150%, which rounds to 11%, not 12%.</t>
        </is>
      </c>
    </row>
    <row r="321" ht="48" customHeight="1">
      <c r="A321" s="3" t="inlineStr">
        <is>
          <t>2024::jama.2024.6063::C005</t>
        </is>
      </c>
      <c r="B321" s="3" t="n">
        <v>3</v>
      </c>
      <c r="C321" s="3" t="inlineStr">
        <is>
          <t>Alternative source-grounded interpretations</t>
        </is>
      </c>
      <c r="D321" s="3" t="inlineStr">
        <is>
          <t>Another unprinted denominator or a table-version difference could explain the cells.</t>
        </is>
      </c>
    </row>
    <row r="322" ht="48" customHeight="1">
      <c r="A322" s="2" t="inlineStr">
        <is>
          <t>2024::jama.2024.6063::C006</t>
        </is>
      </c>
      <c r="B322" s="2" t="n">
        <v>0</v>
      </c>
      <c r="C322" s="2" t="inlineStr">
        <is>
          <t>Source evidence</t>
        </is>
      </c>
      <c r="D322" s="2" t="inlineStr">
        <is>
          <t>Placebo Smaller - 2 units is 2 (1.9%); the arm total is 109 (100%).</t>
        </is>
      </c>
    </row>
    <row r="323" ht="48" customHeight="1">
      <c r="A323" s="3" t="inlineStr">
        <is>
          <t>2024::jama.2024.6063::C006</t>
        </is>
      </c>
      <c r="B323" s="3" t="n">
        <v>1</v>
      </c>
      <c r="C323" s="3" t="inlineStr">
        <is>
          <t>Reported-versus-comparator</t>
        </is>
      </c>
      <c r="D323" s="3" t="inlineStr">
        <is>
          <t>Printed 1.9% versus the percentage from 2/109.</t>
        </is>
      </c>
    </row>
    <row r="324" ht="48" customHeight="1">
      <c r="A324" s="2" t="inlineStr">
        <is>
          <t>2024::jama.2024.6063::C006</t>
        </is>
      </c>
      <c r="B324" s="2" t="n">
        <v>2</v>
      </c>
      <c r="C324" s="2" t="inlineStr">
        <is>
          <t>Calculation</t>
        </is>
      </c>
      <c r="D324" s="2" t="inlineStr">
        <is>
          <t>2/109 × 100 = 1.8349%, which rounds to 1.8%, not 1.9%.</t>
        </is>
      </c>
    </row>
    <row r="325" ht="48" customHeight="1">
      <c r="A325" s="3" t="inlineStr">
        <is>
          <t>2024::jama.2024.6063::C006</t>
        </is>
      </c>
      <c r="B325" s="3" t="n">
        <v>3</v>
      </c>
      <c r="C325" s="3" t="inlineStr">
        <is>
          <t>Alternative source-grounded interpretations</t>
        </is>
      </c>
      <c r="D325" s="3" t="inlineStr">
        <is>
          <t>A denominator near 105 or a table-version difference could account for 1.9%; neither is supplied.</t>
        </is>
      </c>
    </row>
    <row r="326" ht="48" customHeight="1">
      <c r="A326" s="2" t="inlineStr">
        <is>
          <t>2024::jama.2024.6063::C007</t>
        </is>
      </c>
      <c r="B326" s="2" t="n">
        <v>0</v>
      </c>
      <c r="C326" s="2" t="inlineStr">
        <is>
          <t>Source evidence</t>
        </is>
      </c>
      <c r="D326" s="2" t="inlineStr">
        <is>
          <t>Placebo Smaller - 1 unit is 16 (12%); the arm total is 109 (100%).</t>
        </is>
      </c>
    </row>
    <row r="327" ht="48" customHeight="1">
      <c r="A327" s="3" t="inlineStr">
        <is>
          <t>2024::jama.2024.6063::C007</t>
        </is>
      </c>
      <c r="B327" s="3" t="n">
        <v>1</v>
      </c>
      <c r="C327" s="3" t="inlineStr">
        <is>
          <t>Reported-versus-comparator</t>
        </is>
      </c>
      <c r="D327" s="3" t="inlineStr">
        <is>
          <t>Printed 12% versus the percentage from 16/109.</t>
        </is>
      </c>
    </row>
    <row r="328" ht="48" customHeight="1">
      <c r="A328" s="2" t="inlineStr">
        <is>
          <t>2024::jama.2024.6063::C007</t>
        </is>
      </c>
      <c r="B328" s="2" t="n">
        <v>2</v>
      </c>
      <c r="C328" s="2" t="inlineStr">
        <is>
          <t>Calculation</t>
        </is>
      </c>
      <c r="D328" s="2" t="inlineStr">
        <is>
          <t>16/109 × 100 = 14.6789%, which rounds to 15%, not 12%.</t>
        </is>
      </c>
    </row>
    <row r="329" ht="48" customHeight="1">
      <c r="A329" s="3" t="inlineStr">
        <is>
          <t>2024::jama.2024.6063::C007</t>
        </is>
      </c>
      <c r="B329" s="3" t="n">
        <v>3</v>
      </c>
      <c r="C329" s="3" t="inlineStr">
        <is>
          <t>Alternative source-grounded interpretations</t>
        </is>
      </c>
      <c r="D329" s="3" t="inlineStr">
        <is>
          <t>A denominator near 133 would yield 12%, but it conflicts with the printed total; a version difference is also possible.</t>
        </is>
      </c>
    </row>
    <row r="330" ht="48" customHeight="1">
      <c r="A330" s="2" t="inlineStr">
        <is>
          <t>2024::jama.2024.6063::C008</t>
        </is>
      </c>
      <c r="B330" s="2" t="n">
        <v>0</v>
      </c>
      <c r="C330" s="2" t="inlineStr">
        <is>
          <t>Source evidence</t>
        </is>
      </c>
      <c r="D330" s="2" t="inlineStr">
        <is>
          <t>Placebo No change is 75 (72%); the arm total is 109 (100%).</t>
        </is>
      </c>
    </row>
    <row r="331" ht="48" customHeight="1">
      <c r="A331" s="3" t="inlineStr">
        <is>
          <t>2024::jama.2024.6063::C008</t>
        </is>
      </c>
      <c r="B331" s="3" t="n">
        <v>1</v>
      </c>
      <c r="C331" s="3" t="inlineStr">
        <is>
          <t>Reported-versus-comparator</t>
        </is>
      </c>
      <c r="D331" s="3" t="inlineStr">
        <is>
          <t>Printed 72% versus the percentage from 75/109.</t>
        </is>
      </c>
    </row>
    <row r="332" ht="48" customHeight="1">
      <c r="A332" s="2" t="inlineStr">
        <is>
          <t>2024::jama.2024.6063::C008</t>
        </is>
      </c>
      <c r="B332" s="2" t="n">
        <v>2</v>
      </c>
      <c r="C332" s="2" t="inlineStr">
        <is>
          <t>Calculation</t>
        </is>
      </c>
      <c r="D332" s="2" t="inlineStr">
        <is>
          <t>75/109 × 100 = 68.8073%, which rounds to 69%, not 72%.</t>
        </is>
      </c>
    </row>
    <row r="333" ht="48" customHeight="1">
      <c r="A333" s="3" t="inlineStr">
        <is>
          <t>2024::jama.2024.6063::C008</t>
        </is>
      </c>
      <c r="B333" s="3" t="n">
        <v>3</v>
      </c>
      <c r="C333" s="3" t="inlineStr">
        <is>
          <t>Alternative source-grounded interpretations</t>
        </is>
      </c>
      <c r="D333" s="3" t="inlineStr">
        <is>
          <t>A denominator near 104 or a different table version could explain 72%; neither is printed.</t>
        </is>
      </c>
    </row>
    <row r="334" ht="48" customHeight="1">
      <c r="A334" s="2" t="inlineStr">
        <is>
          <t>2024::jama.2024.6063::C009</t>
        </is>
      </c>
      <c r="B334" s="2" t="n">
        <v>0</v>
      </c>
      <c r="C334" s="2" t="inlineStr">
        <is>
          <t>Source evidence</t>
        </is>
      </c>
      <c r="D334" s="2" t="inlineStr">
        <is>
          <t>Weight-bearing pain and the adjacent function row both print -84 (-122 to -46) and -103 (-141 to -65); weight-bearing final/baseline values are 100/127 and 108/141.</t>
        </is>
      </c>
    </row>
    <row r="335" ht="48" customHeight="1">
      <c r="A335" s="3" t="inlineStr">
        <is>
          <t>2024::jama.2024.6063::C009</t>
        </is>
      </c>
      <c r="B335" s="3" t="n">
        <v>1</v>
      </c>
      <c r="C335" s="3" t="inlineStr">
        <is>
          <t>Reported-versus-comparator</t>
        </is>
      </c>
      <c r="D335" s="3" t="inlineStr">
        <is>
          <t>Identical arm-change estimate/interval pairs across distinct, separately labelled outcome rows.</t>
        </is>
      </c>
    </row>
    <row r="336" ht="48" customHeight="1">
      <c r="A336" s="2" t="inlineStr">
        <is>
          <t>2024::jama.2024.6063::C009</t>
        </is>
      </c>
      <c r="B336" s="2" t="n">
        <v>2</v>
      </c>
      <c r="C336" s="2" t="inlineStr">
        <is>
          <t>Calculation</t>
        </is>
      </c>
      <c r="D336" s="2" t="inlineStr">
        <is>
          <t>The paired printed values match character for character. Diagnostics: 100 - 127 = -27 and 108 - 141 = -33, not -84 and -103.</t>
        </is>
      </c>
    </row>
    <row r="337" ht="48" customHeight="1">
      <c r="A337" s="3" t="inlineStr">
        <is>
          <t>2024::jama.2024.6063::C009</t>
        </is>
      </c>
      <c r="B337" s="3" t="n">
        <v>3</v>
      </c>
      <c r="C337" s="3" t="inlineStr">
        <is>
          <t>Alternative source-grounded interpretations</t>
        </is>
      </c>
      <c r="D337" s="3" t="inlineStr">
        <is>
          <t>Modelled changes may differ from descriptive subtraction; copying, displacement, or coincidence is not established from the package.</t>
        </is>
      </c>
    </row>
    <row r="338" ht="48" customHeight="1">
      <c r="A338" s="2" t="inlineStr">
        <is>
          <t>2024::jama.2024.6063::C010</t>
        </is>
      </c>
      <c r="B338" s="2" t="n">
        <v>0</v>
      </c>
      <c r="C338" s="2" t="inlineStr">
        <is>
          <t>Source evidence</t>
        </is>
      </c>
      <c r="D338" s="2" t="inlineStr">
        <is>
          <t>Both rows print arm changes -2.8 (-6.0 to 0.4) and -4.2 (-7.4 to -1.1), and between-group -1.4 (-5.9 to 3.0), P = .53; strength final/baseline values are 72.6/66.5 and 70.2/65.9.</t>
        </is>
      </c>
    </row>
    <row r="339" ht="48" customHeight="1">
      <c r="A339" s="3" t="inlineStr">
        <is>
          <t>2024::jama.2024.6063::C010</t>
        </is>
      </c>
      <c r="B339" s="3" t="n">
        <v>1</v>
      </c>
      <c r="C339" s="3" t="inlineStr">
        <is>
          <t>Reported-versus-comparator</t>
        </is>
      </c>
      <c r="D339" s="3" t="inlineStr">
        <is>
          <t>Identical arm changes, estimate, interval, and P value across differently labelled outcomes, times, units, and directions.</t>
        </is>
      </c>
    </row>
    <row r="340" ht="48" customHeight="1">
      <c r="A340" s="2" t="inlineStr">
        <is>
          <t>2024::jama.2024.6063::C010</t>
        </is>
      </c>
      <c r="B340" s="2" t="n">
        <v>2</v>
      </c>
      <c r="C340" s="2" t="inlineStr">
        <is>
          <t>Calculation</t>
        </is>
      </c>
      <c r="D340" s="2" t="inlineStr">
        <is>
          <t>All displayed output fields match exactly. Diagnostic strength changes are 72.6 - 66.5 = +6.1 and 70.2 - 65.9 = +4.3.</t>
        </is>
      </c>
    </row>
    <row r="341" ht="48" customHeight="1">
      <c r="A341" s="3" t="inlineStr">
        <is>
          <t>2024::jama.2024.6063::C010</t>
        </is>
      </c>
      <c r="B341" s="3" t="n">
        <v>3</v>
      </c>
      <c r="C341" s="3" t="inlineStr">
        <is>
          <t>Alternative source-grounded interpretations</t>
        </is>
      </c>
      <c r="D341" s="3" t="inlineStr">
        <is>
          <t>A modelled change can differ from subtraction, and coincidence is possible; no supplied definition explains complete identity.</t>
        </is>
      </c>
    </row>
    <row r="342" ht="48" customHeight="1">
      <c r="A342" s="2" t="inlineStr">
        <is>
          <t>2024::jama.2024.6063::C011</t>
        </is>
      </c>
      <c r="B342" s="2" t="n">
        <v>0</v>
      </c>
      <c r="C342" s="2" t="inlineStr">
        <is>
          <t>Source evidence</t>
        </is>
      </c>
      <c r="D342" s="2" t="inlineStr">
        <is>
          <t>Both rows print 0.07 (-1.19 to 1.33), P = .92; glucose arm changes are 0.09 (-0.07 to 0.24) and 0.15 (-0.01 to 0.31).</t>
        </is>
      </c>
    </row>
    <row r="343" ht="48" customHeight="1">
      <c r="A343" s="3" t="inlineStr">
        <is>
          <t>2024::jama.2024.6063::C011</t>
        </is>
      </c>
      <c r="B343" s="3" t="n">
        <v>1</v>
      </c>
      <c r="C343" s="3" t="inlineStr">
        <is>
          <t>Reported-versus-comparator</t>
        </is>
      </c>
      <c r="D343" s="3" t="inlineStr">
        <is>
          <t>Identical estimate/interval/P output for separately labelled measures with different arm-level changes.</t>
        </is>
      </c>
    </row>
    <row r="344" ht="48" customHeight="1">
      <c r="A344" s="2" t="inlineStr">
        <is>
          <t>2024::jama.2024.6063::C011</t>
        </is>
      </c>
      <c r="B344" s="2" t="n">
        <v>2</v>
      </c>
      <c r="C344" s="2" t="inlineStr">
        <is>
          <t>Calculation</t>
        </is>
      </c>
      <c r="D344" s="2" t="inlineStr">
        <is>
          <t>The three between-group fields match exactly. Diagnostic glucose contrast: 0.09 - 0.15 = -0.06, which does not reconstruct an adjusted model.</t>
        </is>
      </c>
    </row>
    <row r="345" ht="48" customHeight="1">
      <c r="A345" s="3" t="inlineStr">
        <is>
          <t>2024::jama.2024.6063::C011</t>
        </is>
      </c>
      <c r="B345" s="3" t="n">
        <v>3</v>
      </c>
      <c r="C345" s="3" t="inlineStr">
        <is>
          <t>Alternative source-grounded interpretations</t>
        </is>
      </c>
      <c r="D345" s="3" t="inlineStr">
        <is>
          <t>A separately modelled glucose result may differ from subtraction, and equality may be coincidental; no supplied rule explains the full repeated output.</t>
        </is>
      </c>
    </row>
    <row r="346" ht="48" customHeight="1">
      <c r="A346" s="2" t="inlineStr">
        <is>
          <t>2024::jama.2024.6063::C012</t>
        </is>
      </c>
      <c r="B346" s="2" t="n">
        <v>0</v>
      </c>
      <c r="C346" s="2" t="inlineStr">
        <is>
          <t>Source evidence</t>
        </is>
      </c>
      <c r="D346" s="2" t="inlineStr">
        <is>
          <t>Key Points prints 0.30 (95% CI -6.9 to 6.4; P = .94). Abstract, Table 2, and Results print -0.3; eTable 1 prints -0.27 (-6.92 to 6.38), P = .94.</t>
        </is>
      </c>
    </row>
    <row r="347" ht="48" customHeight="1">
      <c r="A347" s="3" t="inlineStr">
        <is>
          <t>2024::jama.2024.6063::C012</t>
        </is>
      </c>
      <c r="B347" s="3" t="n">
        <v>1</v>
      </c>
      <c r="C347" s="3" t="inlineStr">
        <is>
          <t>Reported-versus-comparator</t>
        </is>
      </c>
      <c r="D347" s="3" t="inlineStr">
        <is>
          <t>Positive 0.30 in Key Points versus negative matched point estimates with matching intervals and P values.</t>
        </is>
      </c>
    </row>
    <row r="348" ht="48" customHeight="1">
      <c r="A348" s="2" t="inlineStr">
        <is>
          <t>2024::jama.2024.6063::C012</t>
        </is>
      </c>
      <c r="B348" s="2" t="n">
        <v>2</v>
      </c>
      <c r="C348" s="2" t="inlineStr">
        <is>
          <t>Calculation</t>
        </is>
      </c>
      <c r="D348" s="2" t="inlineStr">
        <is>
          <t>Rounding -0.27 to one decimal gives -0.3, not +0.30.</t>
        </is>
      </c>
    </row>
    <row r="349" ht="48" customHeight="1">
      <c r="A349" s="3" t="inlineStr">
        <is>
          <t>2024::jama.2024.6063::C012</t>
        </is>
      </c>
      <c r="B349" s="3" t="n">
        <v>3</v>
      </c>
      <c r="C349" s="3" t="inlineStr">
        <is>
          <t>Alternative source-grounded interpretations</t>
        </is>
      </c>
      <c r="D349" s="3" t="inlineStr">
        <is>
          <t>Key Points may intend an unsigned magnitude; one display may use an unstated opposite operand order; or a sign may have been lost. The sources do not define a common signed contrast orientation.</t>
        </is>
      </c>
    </row>
    <row r="350" ht="48" customHeight="1">
      <c r="A350" s="2" t="inlineStr">
        <is>
          <t>2024::jama.2024.6063::C013</t>
        </is>
      </c>
      <c r="B350" s="2" t="n">
        <v>0</v>
      </c>
      <c r="C350" s="2" t="inlineStr">
        <is>
          <t>Source evidence</t>
        </is>
      </c>
      <c r="D350" s="2" t="inlineStr">
        <is>
          <t>Table 3 prints pain in extremity as 1 krill and 6 placebo events. Abstract, narrative, and eTable 7 print lower-extremity/pain-in-extremity as 1 and 5.</t>
        </is>
      </c>
    </row>
    <row r="351" ht="48" customHeight="1">
      <c r="A351" s="3" t="inlineStr">
        <is>
          <t>2024::jama.2024.6063::C013</t>
        </is>
      </c>
      <c r="B351" s="3" t="n">
        <v>1</v>
      </c>
      <c r="C351" s="3" t="inlineStr">
        <is>
          <t>Reported-versus-comparator</t>
        </is>
      </c>
      <c r="D351" s="3" t="inlineStr">
        <is>
          <t>Table 3 placebo count 6 versus three matched displays’ placebo count 5.</t>
        </is>
      </c>
    </row>
    <row r="352" ht="48" customHeight="1">
      <c r="A352" s="2" t="inlineStr">
        <is>
          <t>2024::jama.2024.6063::C013</t>
        </is>
      </c>
      <c r="B352" s="2" t="n">
        <v>2</v>
      </c>
      <c r="C352" s="2" t="inlineStr">
        <is>
          <t>Calculation</t>
        </is>
      </c>
      <c r="D352" s="2" t="inlineStr">
        <is>
          <t>Krill is 1 in all locations; placebo differs by one event: 6 - 5 = 1.</t>
        </is>
      </c>
    </row>
    <row r="353" ht="48" customHeight="1">
      <c r="A353" s="3" t="inlineStr">
        <is>
          <t>2024::jama.2024.6063::C013</t>
        </is>
      </c>
      <c r="B353" s="3" t="n">
        <v>3</v>
      </c>
      <c r="C353" s="3" t="inlineStr">
        <is>
          <t>Alternative source-grounded interpretations</t>
        </is>
      </c>
      <c r="D353" s="3" t="inlineStr">
        <is>
          <t>The phrasings could denote different coding aggregates, though eTable 7 uses Pain in extremity and prints 5; a transcription difference is also possible.</t>
        </is>
      </c>
    </row>
    <row r="354" ht="48" customHeight="1">
      <c r="A354" s="2" t="inlineStr">
        <is>
          <t>2024::jama.2024.6063::C014</t>
        </is>
      </c>
      <c r="B354" s="2" t="n">
        <v>0</v>
      </c>
      <c r="C354" s="2" t="inlineStr">
        <is>
          <t>Source evidence</t>
        </is>
      </c>
      <c r="D354" s="2" t="inlineStr">
        <is>
          <t>Footnote a cites eTable 4 for detailed information. eTable 4 is Change in secondary endpoints; the narrative cites eTable 7, Summary of adverse events.</t>
        </is>
      </c>
    </row>
    <row r="355" ht="48" customHeight="1">
      <c r="A355" s="3" t="inlineStr">
        <is>
          <t>2024::jama.2024.6063::C014</t>
        </is>
      </c>
      <c r="B355" s="3" t="n">
        <v>1</v>
      </c>
      <c r="C355" s="3" t="inlineStr">
        <is>
          <t>Reported-versus-comparator</t>
        </is>
      </c>
      <c r="D355" s="3" t="inlineStr">
        <is>
          <t>Footnote destination eTable 4 versus the supplied table that contains the stated adverse-event subject, eTable 7.</t>
        </is>
      </c>
    </row>
    <row r="356" ht="48" customHeight="1">
      <c r="A356" s="2" t="inlineStr">
        <is>
          <t>2024::jama.2024.6063::C014</t>
        </is>
      </c>
      <c r="B356" s="2" t="n">
        <v>2</v>
      </c>
      <c r="C356" s="2" t="inlineStr">
        <is>
          <t>Calculation</t>
        </is>
      </c>
      <c r="D356" s="2" t="inlineStr">
        <is>
          <t>Not applicable; logical header/content matching identifies eTable 4 as a secondary-endpoint table and eTable 7 as the adverse-event table.</t>
        </is>
      </c>
    </row>
    <row r="357" ht="48" customHeight="1">
      <c r="A357" s="3" t="inlineStr">
        <is>
          <t>2024::jama.2024.6063::C014</t>
        </is>
      </c>
      <c r="B357" s="3" t="n">
        <v>3</v>
      </c>
      <c r="C357" s="3" t="inlineStr">
        <is>
          <t>Alternative source-grounded interpretations</t>
        </is>
      </c>
      <c r="D357" s="3" t="inlineStr">
        <is>
          <t>Footnote a may retain an earlier supplement numbering scheme.</t>
        </is>
      </c>
    </row>
    <row r="358" ht="48" customHeight="1">
      <c r="A358" s="2" t="inlineStr">
        <is>
          <t>2024::jama.2024.6063::C015</t>
        </is>
      </c>
      <c r="B358" s="2" t="n">
        <v>0</v>
      </c>
      <c r="C358" s="2" t="inlineStr">
        <is>
          <t>Source evidence</t>
        </is>
      </c>
      <c r="D358" s="2" t="inlineStr">
        <is>
          <t>Footnote c cites eTables 5 and 6. Those tables concern WORMS effusion score and analgesic use; the narrative cites eTable 8, the serious-adverse-event table.</t>
        </is>
      </c>
    </row>
    <row r="359" ht="48" customHeight="1">
      <c r="A359" s="3" t="inlineStr">
        <is>
          <t>2024::jama.2024.6063::C015</t>
        </is>
      </c>
      <c r="B359" s="3" t="n">
        <v>1</v>
      </c>
      <c r="C359" s="3" t="inlineStr">
        <is>
          <t>Reported-versus-comparator</t>
        </is>
      </c>
      <c r="D359" s="3" t="inlineStr">
        <is>
          <t>Footnote destinations eTables 5/6 versus eTable 8, which contains the stated serious-event subject.</t>
        </is>
      </c>
    </row>
    <row r="360" ht="48" customHeight="1">
      <c r="A360" s="2" t="inlineStr">
        <is>
          <t>2024::jama.2024.6063::C015</t>
        </is>
      </c>
      <c r="B360" s="2" t="n">
        <v>2</v>
      </c>
      <c r="C360" s="2" t="inlineStr">
        <is>
          <t>Calculation</t>
        </is>
      </c>
      <c r="D360" s="2" t="inlineStr">
        <is>
          <t>Not applicable; neither eTable 5 nor eTable 6 contains serious-event detail, while eTable 8 does.</t>
        </is>
      </c>
    </row>
    <row r="361" ht="48" customHeight="1">
      <c r="A361" s="3" t="inlineStr">
        <is>
          <t>2024::jama.2024.6063::C015</t>
        </is>
      </c>
      <c r="B361" s="3" t="n">
        <v>3</v>
      </c>
      <c r="C361" s="3" t="inlineStr">
        <is>
          <t>Alternative source-grounded interpretations</t>
        </is>
      </c>
      <c r="D361" s="3" t="inlineStr">
        <is>
          <t>The footnote may reflect an earlier supplement layout or numbering scheme.</t>
        </is>
      </c>
    </row>
    <row r="362" ht="48" customHeight="1">
      <c r="A362" s="2" t="inlineStr">
        <is>
          <t>2024::jama.2024.6063::C016</t>
        </is>
      </c>
      <c r="B362" s="2" t="n">
        <v>0</v>
      </c>
      <c r="C362" s="2" t="inlineStr">
        <is>
          <t>Source evidence</t>
        </is>
      </c>
      <c r="D362" s="2" t="inlineStr">
        <is>
          <t>Main text states 95% consumed at least 80% of softgels over 24 weeks and cites eTable 2. The overall row prints n = 167, 82 (98.8%), and 81 (96.4%); its footnote separately names 165.</t>
        </is>
      </c>
    </row>
    <row r="363" ht="48" customHeight="1">
      <c r="A363" s="3" t="inlineStr">
        <is>
          <t>2024::jama.2024.6063::C016</t>
        </is>
      </c>
      <c r="B363" s="3" t="n">
        <v>1</v>
      </c>
      <c r="C363" s="3" t="inlineStr">
        <is>
          <t>Reported-versus-comparator</t>
        </is>
      </c>
      <c r="D363" s="3" t="inlineStr">
        <is>
          <t>Main-text 95% versus pooled 163 of 167 from the cited row.</t>
        </is>
      </c>
    </row>
    <row r="364" ht="48" customHeight="1">
      <c r="A364" s="2" t="inlineStr">
        <is>
          <t>2024::jama.2024.6063::C016</t>
        </is>
      </c>
      <c r="B364" s="2" t="n">
        <v>2</v>
      </c>
      <c r="C364" s="2" t="inlineStr">
        <is>
          <t>Calculation</t>
        </is>
      </c>
      <c r="D364" s="2" t="inlineStr">
        <is>
          <t>82 + 81 = 163; 163/167 × 100 = 97.6048%, displayed as 97.6% or 98%, not 95%.</t>
        </is>
      </c>
    </row>
    <row r="365" ht="48" customHeight="1">
      <c r="A365" s="3" t="inlineStr">
        <is>
          <t>2024::jama.2024.6063::C016</t>
        </is>
      </c>
      <c r="B365" s="3" t="n">
        <v>3</v>
      </c>
      <c r="C365" s="3" t="inlineStr">
        <is>
          <t>Alternative source-grounded interpretations</t>
        </is>
      </c>
      <c r="D365" s="3" t="inlineStr">
        <is>
          <t>The main text may use an unstated subset or earlier table version; the cited table itself names both 167 and 165.</t>
        </is>
      </c>
    </row>
  </sheetData>
  <sheetProtection selectLockedCells="0" selectUnlockedCells="0" sheet="1" objects="0" insertRows="1" insertHyperlinks="1" autoFilter="0" scenarios="0" formatColumns="1" deleteColumns="1" insertColumns="1" pivotTables="1" deleteRows="1" formatCells="1" formatRows="1" sort="1"/>
  <autoFilter ref="A1:D365"/>
  <pageMargins left="0.75" right="0.75" top="1" bottom="1" header="0.5" footer="0.5"/>
  <pageSetup orientation="landscape" paperSize="8" fitToHeight="0" fitToWidth="1"/>
</worksheet>
</file>

<file path=xl/worksheets/sheet17.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exclude/out_of_scope/discuss.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mark outside scope,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error.</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out_of_scope</t>
        </is>
      </c>
      <c r="C12" s="18" t="inlineStr">
        <is>
          <t>Option</t>
        </is>
      </c>
      <c r="D12" s="23" t="inlineStr">
        <is>
          <t>Outside review scope. The candidate falls outside the agreed review question or eligible material, regardless of whether the observation is correct.</t>
        </is>
      </c>
      <c r="E12" s="18" t="inlineStr"/>
    </row>
    <row r="13" outlineLevel="1" ht="52" customHeight="1">
      <c r="A13" s="16" t="inlineStr"/>
      <c r="B13" s="24" t="inlineStr">
        <is>
          <t>discuss</t>
        </is>
      </c>
      <c r="C13" s="16" t="inlineStr">
        <is>
          <t>Option</t>
        </is>
      </c>
      <c r="D13" s="25" t="inlineStr">
        <is>
          <t>Needs discussion. The reviewer has considered the candidate but cannot settle the disposition without further discussion. This is a decision to defer, not an untouched blank.</t>
        </is>
      </c>
      <c r="E13" s="16" t="inlineStr"/>
    </row>
    <row r="14" ht="90" customHeight="1">
      <c r="A14" s="20" t="inlineStr">
        <is>
          <t>Review domain</t>
        </is>
      </c>
      <c r="B14" s="20" t="inlineStr">
        <is>
          <t>FIELD</t>
        </is>
      </c>
      <c r="C14" s="20" t="inlineStr">
        <is>
          <t>Required; all domains</t>
        </is>
      </c>
      <c r="D14" s="21" t="inlineStr">
        <is>
          <t>Choose the assessment branch first. It controls automatic not_applicable defaults and which judgments are required. All four choices are available; the frozen document relationship code does not change.</t>
        </is>
      </c>
      <c r="E14" s="20" t="inlineStr">
        <is>
          <t>domain</t>
        </is>
      </c>
    </row>
    <row r="15" outlineLevel="1" ht="52" customHeight="1">
      <c r="A15" s="16" t="inlineStr"/>
      <c r="B15" s="24" t="inlineStr">
        <is>
          <t>statistical_results</t>
        </is>
      </c>
      <c r="C15" s="16" t="inlineStr">
        <is>
          <t>Option</t>
        </is>
      </c>
      <c r="D15" s="25" t="inlineStr">
        <is>
          <t>Statistical results (S_C / S_W). Assess reported numbers, estimates, intervals, denominators or statistical claims in the current report materials.</t>
        </is>
      </c>
      <c r="E15" s="16" t="inlineStr"/>
    </row>
    <row r="16" outlineLevel="1" ht="52" customHeight="1">
      <c r="A16" s="18" t="inlineStr"/>
      <c r="B16" s="22" t="inlineStr">
        <is>
          <t>internal_nonstatistical</t>
        </is>
      </c>
      <c r="C16" s="18" t="inlineStr">
        <is>
          <t>Option</t>
        </is>
      </c>
      <c r="D16" s="23" t="inlineStr">
        <is>
          <t>Internal nonstatistical (S_C / S_W). Assess inconsistent labels, descriptions or other nonstatistical content within or between current report materials.</t>
        </is>
      </c>
      <c r="E16" s="18" t="inlineStr"/>
    </row>
    <row r="17" outlineLevel="1" ht="56" customHeight="1">
      <c r="A17" s="16" t="inlineStr"/>
      <c r="B17" s="24" t="inlineStr">
        <is>
          <t>protocol_report</t>
        </is>
      </c>
      <c r="C17" s="16" t="inlineStr">
        <is>
          <t>Option</t>
        </is>
      </c>
      <c r="D17" s="25" t="inlineStr">
        <is>
          <t>Protocol-report (P_R). Assess whether planned and reported conduct or analyses meaningfully differ, using the compared materials. No search for acknowledgment or reasons for changes is required.</t>
        </is>
      </c>
      <c r="E17" s="16" t="inlineStr"/>
    </row>
    <row r="18" outlineLevel="1" ht="56" customHeight="1">
      <c r="A18" s="18" t="inlineStr"/>
      <c r="B18" s="22" t="inlineStr">
        <is>
          <t>plan_material</t>
        </is>
      </c>
      <c r="C18" s="18" t="inlineStr">
        <is>
          <t>Option</t>
        </is>
      </c>
      <c r="D18" s="23" t="inlineStr">
        <is>
          <t>Plan material (P_P). Assess an inconsistency involving planning materials themselves rather than a planned-versus-reported result. The original relationship code remains unchanged.</t>
        </is>
      </c>
      <c r="E18" s="18" t="inlineStr"/>
    </row>
    <row r="19" ht="90" customHeight="1">
      <c r="A19" s="20" t="inlineStr">
        <is>
          <t>Complete</t>
        </is>
      </c>
      <c r="B19" s="20" t="inlineStr">
        <is>
          <t>FIELD</t>
        </is>
      </c>
      <c r="C19" s="20" t="inlineStr">
        <is>
          <t>Required; each stage</t>
        </is>
      </c>
      <c r="D19" s="21" t="inlineStr">
        <is>
          <t>Mark yes only after human review. Automatic defaults never complete a row. Reset to no after changing a completed assessment, then review again.</t>
        </is>
      </c>
      <c r="E19" s="20" t="inlineStr">
        <is>
          <t>reviewComplete</t>
        </is>
      </c>
    </row>
    <row r="20" outlineLevel="1" ht="52" customHeight="1">
      <c r="A20" s="18" t="inlineStr"/>
      <c r="B20" s="22" t="inlineStr">
        <is>
          <t>no</t>
        </is>
      </c>
      <c r="C20" s="18" t="inlineStr">
        <is>
          <t>Option</t>
        </is>
      </c>
      <c r="D20" s="23" t="inlineStr">
        <is>
          <t>Draft. This review stage is not yet confirmed complete; AI suggestions or partially filled fields do not count as completed human review.</t>
        </is>
      </c>
      <c r="E20" s="18" t="inlineStr"/>
    </row>
    <row r="21" outlineLevel="1" ht="52" customHeight="1">
      <c r="A21" s="16" t="inlineStr"/>
      <c r="B21" s="24" t="inlineStr">
        <is>
          <t>yes</t>
        </is>
      </c>
      <c r="C21" s="16" t="inlineStr">
        <is>
          <t>Option</t>
        </is>
      </c>
      <c r="D21" s="25" t="inlineStr">
        <is>
          <t>Human reviewed and complete. The reviewer has checked this row and its required fields. A discussion item may still be unresolved even though this review stage is complete.</t>
        </is>
      </c>
      <c r="E21" s="16" t="inlineStr"/>
    </row>
    <row r="22" ht="90" customHeight="1">
      <c r="A22" s="20" t="inlineStr">
        <is>
          <t>Validation hint</t>
        </is>
      </c>
      <c r="B22" s="20" t="inlineStr">
        <is>
          <t>FIELD</t>
        </is>
      </c>
      <c r="C22" s="20" t="inlineStr">
        <is>
          <t>Calculated; read only</t>
        </is>
      </c>
      <c r="D22" s="21" t="inlineStr">
        <is>
          <t>CHECK FIELDS means an applicable required judgment is missing or invalid. CLEAR INACTIVE VALUES means an old answer remains in an irrelevant field. This hint is not the full scientific or handoff validation.</t>
        </is>
      </c>
      <c r="E22" s="20" t="inlineStr">
        <is>
          <t>readiness</t>
        </is>
      </c>
    </row>
    <row r="23" ht="90" customHeight="1">
      <c r="A23" s="20" t="inlineStr">
        <is>
          <t>Related cluster (optional)</t>
        </is>
      </c>
      <c r="B23" s="20" t="inlineStr">
        <is>
          <t>FIELD</t>
        </is>
      </c>
      <c r="C23" s="20" t="inlineStr">
        <is>
          <t>Optional</t>
        </is>
      </c>
      <c r="D23" s="21" t="inlineStr">
        <is>
          <t>Connect distinct but related flags with a shared identifier. This does not merge, deduplicate, or reduce counts. In Checker, blank inherits; &lt;clear&gt; removes the inherited text.</t>
        </is>
      </c>
      <c r="E23" s="20" t="inlineStr">
        <is>
          <t>relatedClusterId</t>
        </is>
      </c>
    </row>
    <row r="24" ht="90" customHeight="1">
      <c r="A24" s="20" t="inlineStr">
        <is>
          <t>Notes (optional)</t>
        </is>
      </c>
      <c r="B24" s="20" t="inlineStr">
        <is>
          <t>FIELD</t>
        </is>
      </c>
      <c r="C24" s="20" t="inlineStr">
        <is>
          <t>Optional</t>
        </is>
      </c>
      <c r="D24" s="21" t="inlineStr">
        <is>
          <t>Add relevant context or uncertainty in English. No mandatory reproduction log or primary rationale. In Checker, blank inherits; &lt;clear&gt; removes the inherited text.</t>
        </is>
      </c>
      <c r="E24" s="20" t="inlineStr">
        <is>
          <t>notes</t>
        </is>
      </c>
    </row>
    <row r="25" ht="32" customHeight="1">
      <c r="A25" s="26" t="inlineStr">
        <is>
          <t>2  |  Statistical results: two required judgments</t>
        </is>
      </c>
      <c r="B25" s="14" t="n"/>
      <c r="C25" s="14" t="n"/>
      <c r="D25" s="14" t="n"/>
      <c r="E25" s="15" t="n"/>
    </row>
    <row r="26" ht="90" customHeight="1">
      <c r="A26" s="27" t="inlineStr">
        <is>
          <t>Statistical error</t>
        </is>
      </c>
      <c r="B26" s="27" t="inlineStr">
        <is>
          <t>FIELD</t>
        </is>
      </c>
      <c r="C26" s="27" t="inlineStr">
        <is>
          <t>Required; retained statistical_results</t>
        </is>
      </c>
      <c r="D26" s="28" t="inlineStr">
        <is>
          <t>Does a statistical reporting error exist? Example: a reported percentage conflicts with its stated numerator and denominator after checking definitions. Certainty is separate from importance.</t>
        </is>
      </c>
      <c r="E26" s="27" t="inlineStr">
        <is>
          <t>statisticalErrorStatus</t>
        </is>
      </c>
    </row>
    <row r="27" outlineLevel="1" ht="52" customHeight="1">
      <c r="A27" s="16" t="inlineStr"/>
      <c r="B27" s="29" t="inlineStr">
        <is>
          <t>confirmed_error</t>
        </is>
      </c>
      <c r="C27" s="16" t="inlineStr">
        <is>
          <t>Option</t>
        </is>
      </c>
      <c r="D27" s="25" t="inlineStr">
        <is>
          <t>Confirmed statistical reporting error. The available evidence establishes a reporting error or contradiction, even if the correct replacement value is not known.</t>
        </is>
      </c>
      <c r="E27" s="16" t="inlineStr"/>
    </row>
    <row r="28" outlineLevel="1" ht="52" customHeight="1">
      <c r="A28" s="18" t="inlineStr"/>
      <c r="B28" s="30" t="inlineStr">
        <is>
          <t>probable_error</t>
        </is>
      </c>
      <c r="C28" s="18" t="inlineStr">
        <is>
          <t>Option</t>
        </is>
      </c>
      <c r="D28" s="23" t="inlineStr">
        <is>
          <t>Probable statistical reporting error. The evidence favors a reporting error, but an unresolved limitation or plausible alternative prevents confirmation.</t>
        </is>
      </c>
      <c r="E28" s="18" t="inlineStr"/>
    </row>
    <row r="29" outlineLevel="1" ht="52" customHeight="1">
      <c r="A29" s="16" t="inlineStr"/>
      <c r="B29" s="29" t="inlineStr">
        <is>
          <t>not_error</t>
        </is>
      </c>
      <c r="C29" s="16" t="inlineStr">
        <is>
          <t>Option</t>
        </is>
      </c>
      <c r="D29" s="25" t="inlineStr">
        <is>
          <t>Not a statistical error. The apparent discrepancy is consistent with a valid calculation, definition, analysis method or reporting context.</t>
        </is>
      </c>
      <c r="E29" s="16" t="inlineStr"/>
    </row>
    <row r="30" outlineLevel="1" ht="52" customHeight="1">
      <c r="A30" s="18" t="inlineStr"/>
      <c r="B30" s="30" t="inlineStr">
        <is>
          <t>indeterminate</t>
        </is>
      </c>
      <c r="C30" s="18" t="inlineStr">
        <is>
          <t>Option</t>
        </is>
      </c>
      <c r="D30" s="23" t="inlineStr">
        <is>
          <t>Indeterminate. The available evidence does not support deciding whether a statistical reporting error exists; neither confirmation nor dismissal is justified.</t>
        </is>
      </c>
      <c r="E30" s="18" t="inlineStr"/>
    </row>
    <row r="31" outlineLevel="1" ht="56" customHeight="1">
      <c r="A31" s="16" t="inlineStr"/>
      <c r="B31" s="29" t="inlineStr">
        <is>
          <t>not_applicable</t>
        </is>
      </c>
      <c r="C31" s="16" t="inlineStr">
        <is>
          <t>Option</t>
        </is>
      </c>
      <c r="D31" s="25" t="inlineStr">
        <is>
          <t>Automatic default outside this field's review domain or for a non-retained candidate. It is not an error verdict, missing evidence, or an unanswered applicable question. Do not choose it for an applicable field.</t>
        </is>
      </c>
      <c r="E31" s="16" t="inlineStr"/>
    </row>
    <row r="32" ht="90" customHeight="1">
      <c r="A32" s="27" t="inlineStr">
        <is>
          <t>Substantiveness</t>
        </is>
      </c>
      <c r="B32" s="27" t="inlineStr">
        <is>
          <t>FIELD</t>
        </is>
      </c>
      <c r="C32" s="27" t="inlineStr">
        <is>
          <t>Required; retained statistical_results</t>
        </is>
      </c>
      <c r="D32" s="28" t="inlineStr">
        <is>
          <t>Could the issue meaningfully affect interpretation or data use? A harmless spacing typo is minor_presentation; an ambiguous extractable effect estimate may be substantive. An error can be confirmed yet minor.</t>
        </is>
      </c>
      <c r="E32" s="27" t="inlineStr">
        <is>
          <t>substantiveStatus</t>
        </is>
      </c>
    </row>
    <row r="33" outlineLevel="1" ht="52" customHeight="1">
      <c r="A33" s="16" t="inlineStr"/>
      <c r="B33" s="29" t="inlineStr">
        <is>
          <t>substantive</t>
        </is>
      </c>
      <c r="C33" s="16" t="inlineStr">
        <is>
          <t>Option</t>
        </is>
      </c>
      <c r="D33" s="25" t="inlineStr">
        <is>
          <t>Substantive. The issue could meaningfully change interpretation, data extraction or downstream analysis, rather than only the presentation of the result.</t>
        </is>
      </c>
      <c r="E33" s="16" t="inlineStr"/>
    </row>
    <row r="34" outlineLevel="1" ht="56" customHeight="1">
      <c r="A34" s="18" t="inlineStr"/>
      <c r="B34" s="30" t="inlineStr">
        <is>
          <t>minor_presentation</t>
        </is>
      </c>
      <c r="C34" s="18" t="inlineStr">
        <is>
          <t>Option</t>
        </is>
      </c>
      <c r="D34" s="23" t="inlineStr">
        <is>
          <t>Minor or presentation only. The intended result remains clear and the issue is a small formatting, labeling or typographic problem without a meaningful change in interpretation.</t>
        </is>
      </c>
      <c r="E34" s="18" t="inlineStr"/>
    </row>
    <row r="35" outlineLevel="1" ht="52" customHeight="1">
      <c r="A35" s="16" t="inlineStr"/>
      <c r="B35" s="29" t="inlineStr">
        <is>
          <t>indeterminate</t>
        </is>
      </c>
      <c r="C35" s="16" t="inlineStr">
        <is>
          <t>Option</t>
        </is>
      </c>
      <c r="D35" s="25" t="inlineStr">
        <is>
          <t>Indeterminate. There is not enough information to decide whether the issue is substantive or limited to presentation.</t>
        </is>
      </c>
      <c r="E35" s="16" t="inlineStr"/>
    </row>
    <row r="36" outlineLevel="1" ht="56" customHeight="1">
      <c r="A36" s="18" t="inlineStr"/>
      <c r="B36" s="30" t="inlineStr">
        <is>
          <t>not_applicable</t>
        </is>
      </c>
      <c r="C36" s="18" t="inlineStr">
        <is>
          <t>Option</t>
        </is>
      </c>
      <c r="D36" s="23" t="inlineStr">
        <is>
          <t>Automatic default outside this field's review domain or for a non-retained candidate. It is not an error verdict, missing evidence, or an unanswered applicable question. Do not choose it for an applicable field.</t>
        </is>
      </c>
      <c r="E36" s="18" t="inlineStr"/>
    </row>
    <row r="37" ht="90" customHeight="1">
      <c r="A37" s="27" t="inlineStr">
        <is>
          <t>Downstream impact</t>
        </is>
      </c>
      <c r="B37" s="27" t="inlineStr">
        <is>
          <t>FIELD</t>
        </is>
      </c>
      <c r="C37" s="27" t="inlineStr">
        <is>
          <t>Optional; retained statistical_results</t>
        </is>
      </c>
      <c r="D37"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7" t="inlineStr">
        <is>
          <t>downstreamImpact</t>
        </is>
      </c>
    </row>
    <row r="38" outlineLevel="1" ht="56" customHeight="1">
      <c r="A38" s="18" t="inlineStr"/>
      <c r="B38" s="30" t="inlineStr">
        <is>
          <t>direct</t>
        </is>
      </c>
      <c r="C38" s="18" t="inlineStr">
        <is>
          <t>Option</t>
        </is>
      </c>
      <c r="D38" s="23" t="inlineStr">
        <is>
          <t>Direct extraction or analysis impact. The affected value or definition is itself an input to data extraction or subsequent analysis; this describes potential impact, not proven downstream harm.</t>
        </is>
      </c>
      <c r="E38" s="18" t="inlineStr"/>
    </row>
    <row r="39" outlineLevel="1" ht="52" customHeight="1">
      <c r="A39" s="16" t="inlineStr"/>
      <c r="B39" s="29" t="inlineStr">
        <is>
          <t>possible</t>
        </is>
      </c>
      <c r="C39" s="16" t="inlineStr">
        <is>
          <t>Option</t>
        </is>
      </c>
      <c r="D39" s="25" t="inlineStr">
        <is>
          <t>Possible downstream impact. A plausible route to affecting later interpretation, extraction or analysis exists, but the connection is indirect or uncertain.</t>
        </is>
      </c>
      <c r="E39" s="16" t="inlineStr"/>
    </row>
    <row r="40" outlineLevel="1" ht="52" customHeight="1">
      <c r="A40" s="18" t="inlineStr"/>
      <c r="B40" s="30" t="inlineStr">
        <is>
          <t>unlikely</t>
        </is>
      </c>
      <c r="C40" s="18" t="inlineStr">
        <is>
          <t>Option</t>
        </is>
      </c>
      <c r="D40" s="23" t="inlineStr">
        <is>
          <t>Unlikely downstream impact. The issue is unlikely to change extracted information or later analysis because the relevant result remains clear and usable.</t>
        </is>
      </c>
      <c r="E40" s="18" t="inlineStr"/>
    </row>
    <row r="41" outlineLevel="1" ht="52" customHeight="1">
      <c r="A41" s="16" t="inlineStr"/>
      <c r="B41" s="29" t="inlineStr">
        <is>
          <t>unknown</t>
        </is>
      </c>
      <c r="C41" s="16" t="inlineStr">
        <is>
          <t>Option</t>
        </is>
      </c>
      <c r="D41" s="25" t="inlineStr">
        <is>
          <t>Unable to assess. The materials do not establish enough about the affected information or its likely use to judge downstream impact.</t>
        </is>
      </c>
      <c r="E41" s="16" t="inlineStr"/>
    </row>
    <row r="42" outlineLevel="1" ht="56" customHeight="1">
      <c r="A42" s="18" t="inlineStr"/>
      <c r="B42" s="30" t="inlineStr">
        <is>
          <t>not_applicable</t>
        </is>
      </c>
      <c r="C42" s="18" t="inlineStr">
        <is>
          <t>Option</t>
        </is>
      </c>
      <c r="D42" s="23" t="inlineStr">
        <is>
          <t>Automatic default outside this field's review domain or for a non-retained candidate. It is not an error verdict, missing evidence, or an unanswered applicable question. Do not choose it for an applicable field.</t>
        </is>
      </c>
      <c r="E42" s="18" t="inlineStr"/>
    </row>
    <row r="43" outlineLevel="1" ht="52" customHeight="1">
      <c r="A43" s="16" t="inlineStr"/>
      <c r="B43" s="29" t="inlineStr">
        <is>
          <t>&lt;clear&gt;</t>
        </is>
      </c>
      <c r="C43" s="16" t="inlineStr">
        <is>
          <t>Option</t>
        </is>
      </c>
      <c r="D43" s="25" t="inlineStr">
        <is>
          <t>Checker only: remove an inherited optional judgment. This is a control value, not an assessment option for primary review. The final optional answer becomes blank.</t>
        </is>
      </c>
      <c r="E43" s="16" t="inlineStr"/>
    </row>
    <row r="44" ht="32" customHeight="1">
      <c r="A44" s="31" t="inlineStr">
        <is>
          <t>3  |  Internal or planning materials: one required judgment</t>
        </is>
      </c>
      <c r="B44" s="14" t="n"/>
      <c r="C44" s="14" t="n"/>
      <c r="D44" s="14" t="n"/>
      <c r="E44" s="15" t="n"/>
    </row>
    <row r="45" ht="90" customHeight="1">
      <c r="A45" s="32" t="inlineStr">
        <is>
          <t>Internal or plan assessment</t>
        </is>
      </c>
      <c r="B45" s="32" t="inlineStr">
        <is>
          <t>FIELD</t>
        </is>
      </c>
      <c r="C45" s="32" t="inlineStr">
        <is>
          <t>Required; retained internal_nonstatistical or plan_material</t>
        </is>
      </c>
      <c r="D45" s="33" t="inlineStr">
        <is>
          <t>One combined verdict on whether descriptions conflict and how much that matters. Used for current-report nonstatistical content or disagreements between planning materials. No separate statistical-error rating is required.</t>
        </is>
      </c>
      <c r="E45" s="32" t="inlineStr">
        <is>
          <t>internalStatus</t>
        </is>
      </c>
    </row>
    <row r="46" outlineLevel="1" ht="52" customHeight="1">
      <c r="A46" s="18" t="inlineStr"/>
      <c r="B46" s="34" t="inlineStr">
        <is>
          <t>substantive_inconsistency</t>
        </is>
      </c>
      <c r="C46" s="18" t="inlineStr">
        <is>
          <t>Option</t>
        </is>
      </c>
      <c r="D46" s="23" t="inlineStr">
        <is>
          <t>Substantive inconsistency. The conflicting descriptions or planning statements could materially change how the study, population, procedures or results are understood.</t>
        </is>
      </c>
      <c r="E46" s="18" t="inlineStr"/>
    </row>
    <row r="47" outlineLevel="1" ht="52" customHeight="1">
      <c r="A47" s="16" t="inlineStr"/>
      <c r="B47" s="35" t="inlineStr">
        <is>
          <t>minor_presentation</t>
        </is>
      </c>
      <c r="C47" s="16" t="inlineStr">
        <is>
          <t>Option</t>
        </is>
      </c>
      <c r="D47" s="25" t="inlineStr">
        <is>
          <t>Minor presentation inconsistency. A real discrepancy exists, but it mainly affects presentation and the intended meaning remains clear.</t>
        </is>
      </c>
      <c r="E47" s="16" t="inlineStr"/>
    </row>
    <row r="48" outlineLevel="1" ht="52" customHeight="1">
      <c r="A48" s="18" t="inlineStr"/>
      <c r="B48" s="34" t="inlineStr">
        <is>
          <t>wording_only</t>
        </is>
      </c>
      <c r="C48" s="18" t="inlineStr">
        <is>
          <t>Option</t>
        </is>
      </c>
      <c r="D48" s="23" t="inlineStr">
        <is>
          <t>Wording only. Different phrases express the same substantive meaning; there is no meaningful conflict between the statements.</t>
        </is>
      </c>
      <c r="E48" s="18" t="inlineStr"/>
    </row>
    <row r="49" outlineLevel="1" ht="52" customHeight="1">
      <c r="A49" s="16" t="inlineStr"/>
      <c r="B49" s="35" t="inlineStr">
        <is>
          <t>not_inconsistency</t>
        </is>
      </c>
      <c r="C49" s="16" t="inlineStr">
        <is>
          <t>Option</t>
        </is>
      </c>
      <c r="D49" s="25" t="inlineStr">
        <is>
          <t>Not an inconsistency. The statements are compatible once their definitions, populations, time points or other context are taken into account.</t>
        </is>
      </c>
      <c r="E49" s="16" t="inlineStr"/>
    </row>
    <row r="50" outlineLevel="1" ht="52" customHeight="1">
      <c r="A50" s="18" t="inlineStr"/>
      <c r="B50" s="34" t="inlineStr">
        <is>
          <t>indeterminate</t>
        </is>
      </c>
      <c r="C50" s="18" t="inlineStr">
        <is>
          <t>Option</t>
        </is>
      </c>
      <c r="D50" s="23" t="inlineStr">
        <is>
          <t>Indeterminate. The available material is insufficient to establish whether the statements conflict or how important any conflict is.</t>
        </is>
      </c>
      <c r="E50" s="18" t="inlineStr"/>
    </row>
    <row r="51" outlineLevel="1" ht="56" customHeight="1">
      <c r="A51" s="16" t="inlineStr"/>
      <c r="B51" s="35" t="inlineStr">
        <is>
          <t>not_applicable</t>
        </is>
      </c>
      <c r="C51" s="16" t="inlineStr">
        <is>
          <t>Option</t>
        </is>
      </c>
      <c r="D51" s="25" t="inlineStr">
        <is>
          <t>Automatic default outside this field's review domain or for a non-retained candidate. It is not an error verdict, missing evidence, or an unanswered applicable question. Do not choose it for an applicable field.</t>
        </is>
      </c>
      <c r="E51" s="16" t="inlineStr"/>
    </row>
    <row r="52" ht="32" customHeight="1">
      <c r="A52" s="36" t="inlineStr">
        <is>
          <t>4  |  Protocol versus report: optional description only</t>
        </is>
      </c>
      <c r="B52" s="14" t="n"/>
      <c r="C52" s="14" t="n"/>
      <c r="D52" s="14" t="n"/>
      <c r="E52" s="15" t="n"/>
    </row>
    <row r="53" ht="90" customHeight="1">
      <c r="A53" s="37" t="inlineStr">
        <is>
          <t>Protocol interpretation</t>
        </is>
      </c>
      <c r="B53" s="37" t="inlineStr">
        <is>
          <t>FIELD</t>
        </is>
      </c>
      <c r="C53" s="37" t="inlineStr">
        <is>
          <t>Optional; retained protocol_report</t>
        </is>
      </c>
      <c r="D53" s="38"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7" t="inlineStr">
        <is>
          <t>protocolInterpretation</t>
        </is>
      </c>
    </row>
    <row r="54" outlineLevel="1" ht="72" customHeight="1">
      <c r="A54" s="18" t="inlineStr"/>
      <c r="B54" s="39" t="inlineStr">
        <is>
          <t>substantive_difference</t>
        </is>
      </c>
      <c r="C54" s="18" t="inlineStr">
        <is>
          <t>Option</t>
        </is>
      </c>
      <c r="D54" s="23"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8" t="inlineStr"/>
    </row>
    <row r="55" outlineLevel="1" ht="52" customHeight="1">
      <c r="A55" s="16" t="inlineStr"/>
      <c r="B55" s="40" t="inlineStr">
        <is>
          <t>wording_only</t>
        </is>
      </c>
      <c r="C55" s="16" t="inlineStr">
        <is>
          <t>Option</t>
        </is>
      </c>
      <c r="D55" s="25" t="inlineStr">
        <is>
          <t>Wording only. The apparent planned-versus-reported difference does not represent a substantive change in meaning or conduct.</t>
        </is>
      </c>
      <c r="E55" s="16" t="inlineStr"/>
    </row>
    <row r="56" outlineLevel="1" ht="52" customHeight="1">
      <c r="A56" s="18" t="inlineStr"/>
      <c r="B56" s="39" t="inlineStr">
        <is>
          <t>version_timing</t>
        </is>
      </c>
      <c r="C56" s="18" t="inlineStr">
        <is>
          <t>Option</t>
        </is>
      </c>
      <c r="D56" s="23" t="inlineStr">
        <is>
          <t>Version or timing ambiguity. The difference may reflect which protocol version or date is being compared; the sequence cannot be resolved from the available material.</t>
        </is>
      </c>
      <c r="E56" s="18" t="inlineStr"/>
    </row>
    <row r="57" outlineLevel="1" ht="56" customHeight="1">
      <c r="A57" s="16" t="inlineStr"/>
      <c r="B57" s="40" t="inlineStr">
        <is>
          <t>not_discrepancy</t>
        </is>
      </c>
      <c r="C57" s="16" t="inlineStr">
        <is>
          <t>Option</t>
        </is>
      </c>
      <c r="D57" s="25" t="inlineStr">
        <is>
          <t>No actual discrepancy. The compared statements are compatible after checking the population, definitions, time points, or context. Normally consider Disposition=exclude for this candidate.</t>
        </is>
      </c>
      <c r="E57" s="16" t="inlineStr"/>
    </row>
    <row r="58" outlineLevel="1" ht="52" customHeight="1">
      <c r="A58" s="18" t="inlineStr"/>
      <c r="B58" s="39" t="inlineStr">
        <is>
          <t>indeterminate</t>
        </is>
      </c>
      <c r="C58" s="18" t="inlineStr">
        <is>
          <t>Option</t>
        </is>
      </c>
      <c r="D58" s="23" t="inlineStr">
        <is>
          <t>Indeterminate. The available evidence cannot support a more specific interpretation of the planned-versus-reported difference.</t>
        </is>
      </c>
      <c r="E58" s="18" t="inlineStr"/>
    </row>
    <row r="59" outlineLevel="1" ht="56" customHeight="1">
      <c r="A59" s="16" t="inlineStr"/>
      <c r="B59" s="40" t="inlineStr">
        <is>
          <t>not_applicable</t>
        </is>
      </c>
      <c r="C59" s="16" t="inlineStr">
        <is>
          <t>Option</t>
        </is>
      </c>
      <c r="D59" s="25" t="inlineStr">
        <is>
          <t>Automatic default outside this field's review domain or for a non-retained candidate. It is not an error verdict, missing evidence, or an unanswered applicable question. Do not choose it for an applicable field.</t>
        </is>
      </c>
      <c r="E59" s="16" t="inlineStr"/>
    </row>
    <row r="60" outlineLevel="1" ht="52" customHeight="1">
      <c r="A60" s="18" t="inlineStr"/>
      <c r="B60" s="39" t="inlineStr">
        <is>
          <t>&lt;clear&gt;</t>
        </is>
      </c>
      <c r="C60" s="18" t="inlineStr">
        <is>
          <t>Option</t>
        </is>
      </c>
      <c r="D60" s="23" t="inlineStr">
        <is>
          <t>Checker only: remove an inherited optional judgment. This is a control value, not an assessment option for primary review. The final optional answer becomes blank.</t>
        </is>
      </c>
      <c r="E60" s="18" t="inlineStr"/>
    </row>
    <row r="61" ht="32" customHeight="1">
      <c r="A61" s="41" t="inlineStr">
        <is>
          <t>5  |  Second-person checking and discussion</t>
        </is>
      </c>
      <c r="B61" s="14" t="n"/>
      <c r="C61" s="14" t="n"/>
      <c r="D61" s="14" t="n"/>
      <c r="E61" s="15" t="n"/>
    </row>
    <row r="62" ht="90" customHeight="1">
      <c r="A62" s="42" t="inlineStr">
        <is>
          <t>Checker result</t>
        </is>
      </c>
      <c r="B62" s="42" t="inlineStr">
        <is>
          <t>FIELD</t>
        </is>
      </c>
      <c r="C62" s="42" t="inlineStr">
        <is>
          <t>Required; completed Checker</t>
        </is>
      </c>
      <c r="D62" s="43" t="inlineStr">
        <is>
          <t>The checker sees primary answers. For an unchanged agreement, select agree and Complete=yes only. Other choices need a Checker comment. This is not blinded independent rating.</t>
        </is>
      </c>
      <c r="E62" s="42" t="inlineStr">
        <is>
          <t>checkStatus</t>
        </is>
      </c>
    </row>
    <row r="63" outlineLevel="1" ht="52" customHeight="1">
      <c r="A63" s="16" t="inlineStr"/>
      <c r="B63" s="44" t="inlineStr">
        <is>
          <t>agree</t>
        </is>
      </c>
      <c r="C63" s="16" t="inlineStr">
        <is>
          <t>Option</t>
        </is>
      </c>
      <c r="D63" s="25" t="inlineStr">
        <is>
          <t>Agree, assessment unchanged. Accept the primary assessment as recorded. Leave override cells blank; no checker comment is required.</t>
        </is>
      </c>
      <c r="E63" s="16" t="inlineStr"/>
    </row>
    <row r="64" outlineLevel="1" ht="52" customHeight="1">
      <c r="A64" s="18" t="inlineStr"/>
      <c r="B64" s="45" t="inlineStr">
        <is>
          <t>agree_clarification</t>
        </is>
      </c>
      <c r="C64" s="18" t="inlineStr">
        <is>
          <t>Option</t>
        </is>
      </c>
      <c r="D64" s="23" t="inlineStr">
        <is>
          <t>Agree with clarification. Accept the main assessment but add context or a clarifying amendment. Explain it in a checker comment and fill only any changed fields.</t>
        </is>
      </c>
      <c r="E64" s="18" t="inlineStr"/>
    </row>
    <row r="65" outlineLevel="1" ht="56" customHeight="1">
      <c r="A65" s="16" t="inlineStr"/>
      <c r="B65" s="44" t="inlineStr">
        <is>
          <t>disagree</t>
        </is>
      </c>
      <c r="C65" s="16" t="inlineStr">
        <is>
          <t>Option</t>
        </is>
      </c>
      <c r="D65" s="25" t="inlineStr">
        <is>
          <t>Disagree, proposal pending discussion. Recommend a different assessment, explain why in a comment, and enter proposed changes. The proposal is not final consensus until discussion is resolved.</t>
        </is>
      </c>
      <c r="E65" s="16" t="inlineStr"/>
    </row>
    <row r="66" outlineLevel="1" ht="52" customHeight="1">
      <c r="A66" s="18" t="inlineStr"/>
      <c r="B66" s="45" t="inlineStr">
        <is>
          <t>unable</t>
        </is>
      </c>
      <c r="C66" s="18" t="inlineStr">
        <is>
          <t>Option</t>
        </is>
      </c>
      <c r="D66" s="23" t="inlineStr">
        <is>
          <t>Unable to resolve. The checker cannot settle the issue from the available information. State what remains uncertain in a comment and refer it for discussion.</t>
        </is>
      </c>
      <c r="E66" s="18" t="inlineStr"/>
    </row>
    <row r="67" ht="90" customHeight="1">
      <c r="A67" s="42" t="inlineStr">
        <is>
          <t>Checker comment</t>
        </is>
      </c>
      <c r="B67" s="42" t="inlineStr">
        <is>
          <t>FIELD</t>
        </is>
      </c>
      <c r="C67" s="42" t="inlineStr">
        <is>
          <t>Required unless Checker result is agree</t>
        </is>
      </c>
      <c r="D67" s="43" t="inlineStr">
        <is>
          <t>Explain the clarification, disagreement, or uncertainty in English. An unchanged agreement does not require a comment.</t>
        </is>
      </c>
      <c r="E67" s="42" t="inlineStr">
        <is>
          <t>checkerComment</t>
        </is>
      </c>
    </row>
    <row r="68" ht="90" customHeight="1">
      <c r="A68" s="42" t="inlineStr">
        <is>
          <t>Discussion resolution</t>
        </is>
      </c>
      <c r="B68" s="42" t="inlineStr">
        <is>
          <t>FIELD</t>
        </is>
      </c>
      <c r="C68" s="42" t="inlineStr">
        <is>
          <t>Conditional; discussion</t>
        </is>
      </c>
      <c r="D68" s="43" t="inlineStr">
        <is>
          <t>Use resolved only after joint discussion settles a disagreement, an unable result, or a primary discuss changed to a decision. Record who participated and the conclusion in Resolution note.</t>
        </is>
      </c>
      <c r="E68" s="42" t="inlineStr">
        <is>
          <t>resolutionStatus</t>
        </is>
      </c>
    </row>
    <row r="69" outlineLevel="1" ht="52" customHeight="1">
      <c r="A69" s="16" t="inlineStr"/>
      <c r="B69" s="44" t="inlineStr">
        <is>
          <t>pending</t>
        </is>
      </c>
      <c r="C69" s="16" t="inlineStr">
        <is>
          <t>Option</t>
        </is>
      </c>
      <c r="D69" s="25" t="inlineStr">
        <is>
          <t>Discussion not resolved. A required discussion is not yet settled. For an unchanged agreement this default can be left as-is because no separate resolution is required.</t>
        </is>
      </c>
      <c r="E69" s="16" t="inlineStr"/>
    </row>
    <row r="70" outlineLevel="1" ht="52" customHeight="1">
      <c r="A70" s="18" t="inlineStr"/>
      <c r="B70" s="45" t="inlineStr">
        <is>
          <t>resolved</t>
        </is>
      </c>
      <c r="C70" s="18" t="inlineStr">
        <is>
          <t>Option</t>
        </is>
      </c>
      <c r="D70" s="23" t="inlineStr">
        <is>
          <t>Joint discussion resolved. Record the participants and agreed conclusion in Resolution note, update the proposed assessment, and do not leave disposition as discuss.</t>
        </is>
      </c>
      <c r="E70" s="18" t="inlineStr"/>
    </row>
    <row r="71" ht="90" customHeight="1">
      <c r="A71" s="42" t="inlineStr">
        <is>
          <t>Resolution note</t>
        </is>
      </c>
      <c r="B71" s="42" t="inlineStr">
        <is>
          <t>FIELD</t>
        </is>
      </c>
      <c r="C71" s="42" t="inlineStr">
        <is>
          <t>Required when resolved</t>
        </is>
      </c>
      <c r="D71" s="43" t="inlineStr">
        <is>
          <t>Record participants and the agreed conclusion in English. Update proposed judgments and do not leave Disposition=discuss. Checker completion alone does not settle disagreement.</t>
        </is>
      </c>
      <c r="E71" s="42" t="inlineStr">
        <is>
          <t>resolutionNote</t>
        </is>
      </c>
    </row>
    <row r="72" ht="32" customHeight="1">
      <c r="A72" s="46" t="inlineStr">
        <is>
          <t>6  |  Candidate context</t>
        </is>
      </c>
      <c r="B72" s="14" t="n"/>
      <c r="C72" s="14" t="n"/>
      <c r="D72" s="14" t="n"/>
      <c r="E72" s="15" t="n"/>
    </row>
    <row r="73" ht="90" customHeight="1">
      <c r="A73" s="47" t="inlineStr">
        <is>
          <t>Candidate key</t>
        </is>
      </c>
      <c r="B73" s="47" t="inlineStr">
        <is>
          <t>FIELD</t>
        </is>
      </c>
      <c r="C73" s="47" t="inlineStr">
        <is>
          <t>Read only</t>
        </is>
      </c>
      <c r="D73" s="48" t="inlineStr">
        <is>
          <t>Unique candidate identity used for matching, even after complete rows are reordered. Never edit this value.</t>
        </is>
      </c>
      <c r="E73" s="47" t="inlineStr">
        <is>
          <t>key</t>
        </is>
      </c>
    </row>
    <row r="74" ht="90" customHeight="1">
      <c r="A74" s="47" t="inlineStr">
        <is>
          <t>Paper</t>
        </is>
      </c>
      <c r="B74" s="47" t="inlineStr">
        <is>
          <t>FIELD</t>
        </is>
      </c>
      <c r="C74" s="47" t="inlineStr">
        <is>
          <t>Read only; Checker</t>
        </is>
      </c>
      <c r="D74" s="48" t="inlineStr">
        <is>
          <t>Paper identifier. Primary sheets omit this column because the sheet name and Candidate key already identify the paper.</t>
        </is>
      </c>
      <c r="E74" s="47" t="inlineStr">
        <is>
          <t>package</t>
        </is>
      </c>
    </row>
    <row r="75" ht="90" customHeight="1">
      <c r="A75" s="47" t="inlineStr">
        <is>
          <t>Candidate title</t>
        </is>
      </c>
      <c r="B75" s="47" t="inlineStr">
        <is>
          <t>FIELD</t>
        </is>
      </c>
      <c r="C75" s="47" t="inlineStr">
        <is>
          <t>Read only</t>
        </is>
      </c>
      <c r="D75" s="48" t="inlineStr">
        <is>
          <t>Short candidate title. A candidate is an AI flag for human assessment, not a confirmed error.</t>
        </is>
      </c>
      <c r="E75" s="47" t="inlineStr">
        <is>
          <t>title</t>
        </is>
      </c>
    </row>
    <row r="76" ht="90" customHeight="1">
      <c r="A76" s="47" t="inlineStr">
        <is>
          <t>Source location</t>
        </is>
      </c>
      <c r="B76" s="47" t="inlineStr">
        <is>
          <t>FIELD</t>
        </is>
      </c>
      <c r="C76" s="47" t="inlineStr">
        <is>
          <t>Read only; primary</t>
        </is>
      </c>
      <c r="D76" s="48" t="inlineStr">
        <is>
          <t>Where to check the source claim. Use Candidates and Evidence for context and the shared paper folders for originals.</t>
        </is>
      </c>
      <c r="E76" s="47" t="inlineStr">
        <is>
          <t>locations</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v.2.1.2</t>
        </is>
      </c>
    </row>
    <row r="3" ht="30" customHeight="1">
      <c r="A3" s="3" t="inlineStr">
        <is>
          <t>schema</t>
        </is>
      </c>
      <c r="B3" s="3" t="inlineStr">
        <is>
          <t>xlsx-adjudication-4</t>
        </is>
      </c>
    </row>
    <row r="4" ht="30" customHeight="1">
      <c r="A4" s="2" t="inlineStr">
        <is>
          <t>stage</t>
        </is>
      </c>
      <c r="B4" s="2" t="inlineStr">
        <is>
          <t>workbook</t>
        </is>
      </c>
    </row>
    <row r="5" ht="30" customHeight="1">
      <c r="A5" s="3" t="inlineStr">
        <is>
          <t>year</t>
        </is>
      </c>
      <c r="B5" s="3" t="inlineStr">
        <is>
          <t>2024</t>
        </is>
      </c>
    </row>
    <row r="6" ht="30" customHeight="1">
      <c r="A6" s="2" t="inlineStr">
        <is>
          <t>createdAt</t>
        </is>
      </c>
      <c r="B6" s="2" t="inlineStr">
        <is>
          <t>2026-09-13T23:21:54+00:00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a0a4ef543b31b76fc0e34ffbd0f71c3d40bca2760c4b4f087f004c788961d2d5</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E35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2024::jama.2024.0318::C001</t>
        </is>
      </c>
      <c r="B2" s="2" t="inlineStr">
        <is>
          <t>sourceLinks</t>
        </is>
      </c>
      <c r="C2" s="2" t="n">
        <v>0</v>
      </c>
      <c r="D2" s="2" t="inlineStr">
        <is>
          <t>jama_courcoulas_2024_oi_240004_1721756962.76052.pdf — PDF p. 3</t>
        </is>
      </c>
      <c r="E2" s="2" t="inlineStr">
        <is>
          <t>../../2024/jama.2024.0318/jama_courcoulas_2024_oi_240004_1721756962.76052.pdf#page=3</t>
        </is>
      </c>
    </row>
    <row r="3" ht="40" customHeight="1">
      <c r="A3" s="3" t="inlineStr">
        <is>
          <t>2024::jama.2024.0318::C001</t>
        </is>
      </c>
      <c r="B3" s="3" t="inlineStr">
        <is>
          <t>evidencePaths</t>
        </is>
      </c>
      <c r="C3" s="3" t="n">
        <v>0</v>
      </c>
      <c r="D3" s="3" t="inlineStr">
        <is>
          <t>2024/jama.2024.0318/.ai_paper_validation/review_1_5_3/source_inventory.md</t>
        </is>
      </c>
      <c r="E3" s="3" t="inlineStr">
        <is>
          <t>../../2024/jama.2024.0318/.ai_paper_validation/review_1_5_3/source_inventory.md</t>
        </is>
      </c>
    </row>
    <row r="4" ht="30" customHeight="1">
      <c r="A4" s="2" t="inlineStr">
        <is>
          <t>2024::jama.2024.0318::C002</t>
        </is>
      </c>
      <c r="B4" s="2" t="inlineStr">
        <is>
          <t>sourceLinks</t>
        </is>
      </c>
      <c r="C4" s="2" t="n">
        <v>0</v>
      </c>
      <c r="D4" s="2" t="inlineStr">
        <is>
          <t>joi240004supp2_prod_1721756962.82552.pdf — PDF p. 15</t>
        </is>
      </c>
      <c r="E4" s="2" t="inlineStr">
        <is>
          <t>../../2024/jama.2024.0318/joi240004supp2_prod_1721756962.82552.pdf#page=15</t>
        </is>
      </c>
    </row>
    <row r="5" ht="30" customHeight="1">
      <c r="A5" s="3" t="inlineStr">
        <is>
          <t>2024::jama.2024.0318::C002</t>
        </is>
      </c>
      <c r="B5" s="3" t="inlineStr">
        <is>
          <t>sourceLinks</t>
        </is>
      </c>
      <c r="C5" s="3" t="n">
        <v>1</v>
      </c>
      <c r="D5" s="3" t="inlineStr">
        <is>
          <t>joi240004supp2_prod_1721756962.82552.pdf — PDF p. 16</t>
        </is>
      </c>
      <c r="E5" s="3" t="inlineStr">
        <is>
          <t>../../2024/jama.2024.0318/joi240004supp2_prod_1721756962.82552.pdf#page=16</t>
        </is>
      </c>
    </row>
    <row r="6" ht="40" customHeight="1">
      <c r="A6" s="2" t="inlineStr">
        <is>
          <t>2024::jama.2024.0318::C002</t>
        </is>
      </c>
      <c r="B6" s="2" t="inlineStr">
        <is>
          <t>sourceLinks</t>
        </is>
      </c>
      <c r="C6" s="2" t="n">
        <v>2</v>
      </c>
      <c r="D6" s="2" t="inlineStr">
        <is>
          <t>jama_courcoulas_2024_oi_240004_1721756962.76052.pdf — PDF p. 3</t>
        </is>
      </c>
      <c r="E6" s="2" t="inlineStr">
        <is>
          <t>../../2024/jama.2024.0318/jama_courcoulas_2024_oi_240004_1721756962.76052.pdf#page=3</t>
        </is>
      </c>
    </row>
    <row r="7" ht="40" customHeight="1">
      <c r="A7" s="3" t="inlineStr">
        <is>
          <t>2024::jama.2024.0318::C002</t>
        </is>
      </c>
      <c r="B7" s="3" t="inlineStr">
        <is>
          <t>evidencePaths</t>
        </is>
      </c>
      <c r="C7" s="3" t="n">
        <v>0</v>
      </c>
      <c r="D7" s="3" t="inlineStr">
        <is>
          <t>2024/jama.2024.0318/.ai_paper_validation/review_1_5_3/source_inventory.md</t>
        </is>
      </c>
      <c r="E7" s="3" t="inlineStr">
        <is>
          <t>../../2024/jama.2024.0318/.ai_paper_validation/review_1_5_3/source_inventory.md</t>
        </is>
      </c>
    </row>
    <row r="8" ht="40" customHeight="1">
      <c r="A8" s="2" t="inlineStr">
        <is>
          <t>2024::jama.2024.0318::C002</t>
        </is>
      </c>
      <c r="B8" s="2" t="inlineStr">
        <is>
          <t>evidencePaths</t>
        </is>
      </c>
      <c r="C8" s="2" t="n">
        <v>1</v>
      </c>
      <c r="D8" s="2" t="inlineStr">
        <is>
          <t>2024/jama.2024.0318/.ai_paper_validation/review_1_5_3/verification/evidence_recheck.md</t>
        </is>
      </c>
      <c r="E8" s="2" t="inlineStr">
        <is>
          <t>../../2024/jama.2024.0318/.ai_paper_validation/review_1_5_3/verification/evidence_recheck.md</t>
        </is>
      </c>
    </row>
    <row r="9" ht="40" customHeight="1">
      <c r="A9" s="3" t="inlineStr">
        <is>
          <t>2024::jama.2024.0318::C003</t>
        </is>
      </c>
      <c r="B9" s="3" t="inlineStr">
        <is>
          <t>sourceLinks</t>
        </is>
      </c>
      <c r="C9" s="3" t="n">
        <v>0</v>
      </c>
      <c r="D9" s="3" t="inlineStr">
        <is>
          <t>jama_courcoulas_2024_oi_240004_1721756962.76052.pdf — PDF p. 1</t>
        </is>
      </c>
      <c r="E9" s="3" t="inlineStr">
        <is>
          <t>../../2024/jama.2024.0318/jama_courcoulas_2024_oi_240004_1721756962.76052.pdf#page=1</t>
        </is>
      </c>
    </row>
    <row r="10" ht="40" customHeight="1">
      <c r="A10" s="2" t="inlineStr">
        <is>
          <t>2024::jama.2024.0318::C003</t>
        </is>
      </c>
      <c r="B10" s="2" t="inlineStr">
        <is>
          <t>sourceLinks</t>
        </is>
      </c>
      <c r="C10" s="2" t="n">
        <v>1</v>
      </c>
      <c r="D10" s="2" t="inlineStr">
        <is>
          <t>jama_courcoulas_2024_oi_240004_1721756962.76052.pdf — PDF p. 3</t>
        </is>
      </c>
      <c r="E10" s="2" t="inlineStr">
        <is>
          <t>../../2024/jama.2024.0318/jama_courcoulas_2024_oi_240004_1721756962.76052.pdf#page=3</t>
        </is>
      </c>
    </row>
    <row r="11" ht="30" customHeight="1">
      <c r="A11" s="3" t="inlineStr">
        <is>
          <t>2024::jama.2024.0318::C003</t>
        </is>
      </c>
      <c r="B11" s="3" t="inlineStr">
        <is>
          <t>sourceLinks</t>
        </is>
      </c>
      <c r="C11" s="3" t="n">
        <v>2</v>
      </c>
      <c r="D11" s="3" t="inlineStr">
        <is>
          <t>joi240004supp2_prod_1721756962.82552.pdf — PDF p. 15</t>
        </is>
      </c>
      <c r="E11" s="3" t="inlineStr">
        <is>
          <t>../../2024/jama.2024.0318/joi240004supp2_prod_1721756962.82552.pdf#page=15</t>
        </is>
      </c>
    </row>
    <row r="12" ht="40" customHeight="1">
      <c r="A12" s="2" t="inlineStr">
        <is>
          <t>2024::jama.2024.0318::C003</t>
        </is>
      </c>
      <c r="B12" s="2" t="inlineStr">
        <is>
          <t>evidencePaths</t>
        </is>
      </c>
      <c r="C12" s="2" t="n">
        <v>0</v>
      </c>
      <c r="D12" s="2" t="inlineStr">
        <is>
          <t>2024/jama.2024.0318/.ai_paper_validation/review_1_5_3/source_inventory.md</t>
        </is>
      </c>
      <c r="E12" s="2" t="inlineStr">
        <is>
          <t>../../2024/jama.2024.0318/.ai_paper_validation/review_1_5_3/source_inventory.md</t>
        </is>
      </c>
    </row>
    <row r="13" ht="40" customHeight="1">
      <c r="A13" s="3" t="inlineStr">
        <is>
          <t>2024::jama.2024.0318::C004</t>
        </is>
      </c>
      <c r="B13" s="3" t="inlineStr">
        <is>
          <t>sourceLinks</t>
        </is>
      </c>
      <c r="C13" s="3" t="n">
        <v>0</v>
      </c>
      <c r="D13" s="3" t="inlineStr">
        <is>
          <t>jama_courcoulas_2024_oi_240004_1721756962.76052.pdf — PDF p. 4</t>
        </is>
      </c>
      <c r="E13" s="3" t="inlineStr">
        <is>
          <t>../../2024/jama.2024.0318/jama_courcoulas_2024_oi_240004_1721756962.76052.pdf#page=4</t>
        </is>
      </c>
    </row>
    <row r="14" ht="40" customHeight="1">
      <c r="A14" s="2" t="inlineStr">
        <is>
          <t>2024::jama.2024.0318::C004</t>
        </is>
      </c>
      <c r="B14" s="2" t="inlineStr">
        <is>
          <t>sourceLinks</t>
        </is>
      </c>
      <c r="C14" s="2" t="n">
        <v>1</v>
      </c>
      <c r="D14" s="2" t="inlineStr">
        <is>
          <t>jama_courcoulas_2024_oi_240004_1721756962.76052.pdf — PDF p. 6</t>
        </is>
      </c>
      <c r="E14" s="2" t="inlineStr">
        <is>
          <t>../../2024/jama.2024.0318/jama_courcoulas_2024_oi_240004_1721756962.76052.pdf#page=6</t>
        </is>
      </c>
    </row>
    <row r="15" ht="30" customHeight="1">
      <c r="A15" s="3" t="inlineStr">
        <is>
          <t>2024::jama.2024.0318::C004</t>
        </is>
      </c>
      <c r="B15" s="3" t="inlineStr">
        <is>
          <t>sourceLinks</t>
        </is>
      </c>
      <c r="C15" s="3" t="n">
        <v>2</v>
      </c>
      <c r="D15" s="3" t="inlineStr">
        <is>
          <t>joi240004supp2_prod_1721756962.82552.pdf — PDF p. 4</t>
        </is>
      </c>
      <c r="E15" s="3" t="inlineStr">
        <is>
          <t>../../2024/jama.2024.0318/joi240004supp2_prod_1721756962.82552.pdf#page=4</t>
        </is>
      </c>
    </row>
    <row r="16" ht="40" customHeight="1">
      <c r="A16" s="2" t="inlineStr">
        <is>
          <t>2024::jama.2024.0318::C004</t>
        </is>
      </c>
      <c r="B16" s="2" t="inlineStr">
        <is>
          <t>evidencePaths</t>
        </is>
      </c>
      <c r="C16" s="2" t="n">
        <v>0</v>
      </c>
      <c r="D16" s="2" t="inlineStr">
        <is>
          <t>2024/jama.2024.0318/.ai_paper_validation/review_1_5_3/source_inventory.md</t>
        </is>
      </c>
      <c r="E16" s="2" t="inlineStr">
        <is>
          <t>../../2024/jama.2024.0318/.ai_paper_validation/review_1_5_3/source_inventory.md</t>
        </is>
      </c>
    </row>
    <row r="17" ht="40" customHeight="1">
      <c r="A17" s="3" t="inlineStr">
        <is>
          <t>2024::jama.2024.0318::C004</t>
        </is>
      </c>
      <c r="B17" s="3" t="inlineStr">
        <is>
          <t>evidencePaths</t>
        </is>
      </c>
      <c r="C17" s="3" t="n">
        <v>1</v>
      </c>
      <c r="D17" s="3" t="inlineStr">
        <is>
          <t>2024/jama.2024.0318/.ai_paper_validation/review_1_5_3/verification/evidence_recheck.md</t>
        </is>
      </c>
      <c r="E17" s="3" t="inlineStr">
        <is>
          <t>../../2024/jama.2024.0318/.ai_paper_validation/review_1_5_3/verification/evidence_recheck.md</t>
        </is>
      </c>
    </row>
    <row r="18" ht="40" customHeight="1">
      <c r="A18" s="2" t="inlineStr">
        <is>
          <t>2024::jama.2024.0318::C005</t>
        </is>
      </c>
      <c r="B18" s="2" t="inlineStr">
        <is>
          <t>sourceLinks</t>
        </is>
      </c>
      <c r="C18" s="2" t="n">
        <v>0</v>
      </c>
      <c r="D18" s="2" t="inlineStr">
        <is>
          <t>jama_courcoulas_2024_oi_240004_1721756962.76052.pdf — PDF p. 1</t>
        </is>
      </c>
      <c r="E18" s="2" t="inlineStr">
        <is>
          <t>../../2024/jama.2024.0318/jama_courcoulas_2024_oi_240004_1721756962.76052.pdf#page=1</t>
        </is>
      </c>
    </row>
    <row r="19" ht="40" customHeight="1">
      <c r="A19" s="3" t="inlineStr">
        <is>
          <t>2024::jama.2024.0318::C005</t>
        </is>
      </c>
      <c r="B19" s="3" t="inlineStr">
        <is>
          <t>sourceLinks</t>
        </is>
      </c>
      <c r="C19" s="3" t="n">
        <v>1</v>
      </c>
      <c r="D19" s="3" t="inlineStr">
        <is>
          <t>jama_courcoulas_2024_oi_240004_1721756962.76052.pdf — PDF p. 3</t>
        </is>
      </c>
      <c r="E19" s="3" t="inlineStr">
        <is>
          <t>../../2024/jama.2024.0318/jama_courcoulas_2024_oi_240004_1721756962.76052.pdf#page=3</t>
        </is>
      </c>
    </row>
    <row r="20" ht="40" customHeight="1">
      <c r="A20" s="2" t="inlineStr">
        <is>
          <t>2024::jama.2024.0318::C005</t>
        </is>
      </c>
      <c r="B20" s="2" t="inlineStr">
        <is>
          <t>sourceLinks</t>
        </is>
      </c>
      <c r="C20" s="2" t="n">
        <v>2</v>
      </c>
      <c r="D20" s="2" t="inlineStr">
        <is>
          <t>jama_courcoulas_2024_oi_240004_1721756962.76052.pdf — PDF p. 7</t>
        </is>
      </c>
      <c r="E20" s="2" t="inlineStr">
        <is>
          <t>../../2024/jama.2024.0318/jama_courcoulas_2024_oi_240004_1721756962.76052.pdf#page=7</t>
        </is>
      </c>
    </row>
    <row r="21" ht="40" customHeight="1">
      <c r="A21" s="3" t="inlineStr">
        <is>
          <t>2024::jama.2024.0318::C005</t>
        </is>
      </c>
      <c r="B21" s="3" t="inlineStr">
        <is>
          <t>sourceLinks</t>
        </is>
      </c>
      <c r="C21" s="3" t="n">
        <v>3</v>
      </c>
      <c r="D21" s="3" t="inlineStr">
        <is>
          <t>jama_courcoulas_2024_oi_240004_1721756962.76052.pdf — PDF p. 8</t>
        </is>
      </c>
      <c r="E21" s="3" t="inlineStr">
        <is>
          <t>../../2024/jama.2024.0318/jama_courcoulas_2024_oi_240004_1721756962.76052.pdf#page=8</t>
        </is>
      </c>
    </row>
    <row r="22" ht="40" customHeight="1">
      <c r="A22" s="2" t="inlineStr">
        <is>
          <t>2024::jama.2024.0318::C005</t>
        </is>
      </c>
      <c r="B22" s="2" t="inlineStr">
        <is>
          <t>evidencePaths</t>
        </is>
      </c>
      <c r="C22" s="2" t="n">
        <v>0</v>
      </c>
      <c r="D22" s="2" t="inlineStr">
        <is>
          <t>2024/jama.2024.0318/.ai_paper_validation/review_1_5_3/source_inventory.md</t>
        </is>
      </c>
      <c r="E22" s="2" t="inlineStr">
        <is>
          <t>../../2024/jama.2024.0318/.ai_paper_validation/review_1_5_3/source_inventory.md</t>
        </is>
      </c>
    </row>
    <row r="23" ht="40" customHeight="1">
      <c r="A23" s="3" t="inlineStr">
        <is>
          <t>2024::jama.2024.0318::C006</t>
        </is>
      </c>
      <c r="B23" s="3" t="inlineStr">
        <is>
          <t>sourceLinks</t>
        </is>
      </c>
      <c r="C23" s="3" t="n">
        <v>0</v>
      </c>
      <c r="D23" s="3" t="inlineStr">
        <is>
          <t>jama_courcoulas_2024_oi_240004_1721756962.76052.pdf — PDF p. 7</t>
        </is>
      </c>
      <c r="E23" s="3" t="inlineStr">
        <is>
          <t>../../2024/jama.2024.0318/jama_courcoulas_2024_oi_240004_1721756962.76052.pdf#page=7</t>
        </is>
      </c>
    </row>
    <row r="24" ht="30" customHeight="1">
      <c r="A24" s="2" t="inlineStr">
        <is>
          <t>2024::jama.2024.0318::C006</t>
        </is>
      </c>
      <c r="B24" s="2" t="inlineStr">
        <is>
          <t>sourceLinks</t>
        </is>
      </c>
      <c r="C24" s="2" t="n">
        <v>1</v>
      </c>
      <c r="D24" s="2" t="inlineStr">
        <is>
          <t>joi240004supp2_prod_1721756962.82552.pdf — PDF p. 13</t>
        </is>
      </c>
      <c r="E24" s="2" t="inlineStr">
        <is>
          <t>../../2024/jama.2024.0318/joi240004supp2_prod_1721756962.82552.pdf#page=13</t>
        </is>
      </c>
    </row>
    <row r="25" ht="40" customHeight="1">
      <c r="A25" s="3" t="inlineStr">
        <is>
          <t>2024::jama.2024.0318::C006</t>
        </is>
      </c>
      <c r="B25" s="3" t="inlineStr">
        <is>
          <t>evidencePaths</t>
        </is>
      </c>
      <c r="C25" s="3" t="n">
        <v>0</v>
      </c>
      <c r="D25" s="3" t="inlineStr">
        <is>
          <t>2024/jama.2024.0318/.ai_paper_validation/review_1_5_3/source_inventory.md</t>
        </is>
      </c>
      <c r="E25" s="3" t="inlineStr">
        <is>
          <t>../../2024/jama.2024.0318/.ai_paper_validation/review_1_5_3/source_inventory.md</t>
        </is>
      </c>
    </row>
    <row r="26" ht="30" customHeight="1">
      <c r="A26" s="2" t="inlineStr">
        <is>
          <t>2024::jama.2024.0572::C001</t>
        </is>
      </c>
      <c r="B26" s="2" t="inlineStr">
        <is>
          <t>sourceLinks</t>
        </is>
      </c>
      <c r="C26" s="2" t="n">
        <v>0</v>
      </c>
      <c r="D26" s="2" t="inlineStr">
        <is>
          <t>Main article Figure 2 — PDF p. 7</t>
        </is>
      </c>
      <c r="E26" s="2" t="inlineStr">
        <is>
          <t>../../2024/jama.2024.0572/jama_sarraj_2024_oi_240006_1708623114.96234.pdf#page=7</t>
        </is>
      </c>
    </row>
    <row r="27" ht="30" customHeight="1">
      <c r="A27" s="3" t="inlineStr">
        <is>
          <t>2024::jama.2024.0572::C001</t>
        </is>
      </c>
      <c r="B27" s="3" t="inlineStr">
        <is>
          <t>sourceLinks</t>
        </is>
      </c>
      <c r="C27" s="3" t="n">
        <v>1</v>
      </c>
      <c r="D27" s="3" t="inlineStr">
        <is>
          <t>Supplement 5 eTable 2 — PDF p. 38</t>
        </is>
      </c>
      <c r="E27" s="3" t="inlineStr">
        <is>
          <t>../../2024/jama.2024.0572/joi240006supp5_prod_1708623115.01733.pdf#page=38</t>
        </is>
      </c>
    </row>
    <row r="28" ht="30" customHeight="1">
      <c r="A28" s="2" t="inlineStr">
        <is>
          <t>2024::jama.2024.0572::C001</t>
        </is>
      </c>
      <c r="B28" s="2" t="inlineStr">
        <is>
          <t>sourceLinks</t>
        </is>
      </c>
      <c r="C28" s="2" t="n">
        <v>2</v>
      </c>
      <c r="D28" s="2" t="inlineStr">
        <is>
          <t>main Results population statement — PDF p. 4</t>
        </is>
      </c>
      <c r="E28" s="2" t="inlineStr">
        <is>
          <t>../../2024/jama.2024.0572/jama_sarraj_2024_oi_240006_1708623114.96234.pdf#page=4</t>
        </is>
      </c>
    </row>
    <row r="29" ht="30" customHeight="1">
      <c r="A29" s="3" t="inlineStr">
        <is>
          <t>2024::jama.2024.0572::C001</t>
        </is>
      </c>
      <c r="B29" s="3" t="inlineStr">
        <is>
          <t>sourceLinks</t>
        </is>
      </c>
      <c r="C29" s="3" t="n">
        <v>3</v>
      </c>
      <c r="D29" s="3" t="inlineStr">
        <is>
          <t>Supplement 5 eFigure 3 — PDF p. 8</t>
        </is>
      </c>
      <c r="E29" s="3" t="inlineStr">
        <is>
          <t>../../2024/jama.2024.0572/joi240006supp5_prod_1708623115.01733.pdf#page=8</t>
        </is>
      </c>
    </row>
    <row r="30" ht="40" customHeight="1">
      <c r="A30" s="2" t="inlineStr">
        <is>
          <t>2024::jama.2024.0572::C001</t>
        </is>
      </c>
      <c r="B30" s="2" t="inlineStr">
        <is>
          <t>evidencePaths</t>
        </is>
      </c>
      <c r="C30" s="2" t="n">
        <v>0</v>
      </c>
      <c r="D30" s="2" t="inlineStr">
        <is>
          <t>2024/jama.2024.0572/.ai_paper_validation/review_1_5_3/source_inventory.md</t>
        </is>
      </c>
      <c r="E30" s="2" t="inlineStr">
        <is>
          <t>../../2024/jama.2024.0572/.ai_paper_validation/review_1_5_3/source_inventory.md</t>
        </is>
      </c>
    </row>
    <row r="31" ht="40" customHeight="1">
      <c r="A31" s="3" t="inlineStr">
        <is>
          <t>2024::jama.2024.0572::C001</t>
        </is>
      </c>
      <c r="B31" s="3" t="inlineStr">
        <is>
          <t>evidencePaths</t>
        </is>
      </c>
      <c r="C31" s="3" t="n">
        <v>1</v>
      </c>
      <c r="D31" s="3" t="inlineStr">
        <is>
          <t>2024/jama.2024.0572/.ai_paper_validation/review_1_5_3/verification/evidence_recheck.md</t>
        </is>
      </c>
      <c r="E31" s="3" t="inlineStr">
        <is>
          <t>../../2024/jama.2024.0572/.ai_paper_validation/review_1_5_3/verification/evidence_recheck.md</t>
        </is>
      </c>
    </row>
    <row r="32" ht="30" customHeight="1">
      <c r="A32" s="2" t="inlineStr">
        <is>
          <t>2024::jama.2024.0572::C002</t>
        </is>
      </c>
      <c r="B32" s="2" t="inlineStr">
        <is>
          <t>sourceLinks</t>
        </is>
      </c>
      <c r="C32" s="2" t="n">
        <v>0</v>
      </c>
      <c r="D32" s="2" t="inlineStr">
        <is>
          <t>Main narrative — PDF p. 6</t>
        </is>
      </c>
      <c r="E32" s="2" t="inlineStr">
        <is>
          <t>../../2024/jama.2024.0572/jama_sarraj_2024_oi_240006_1708623114.96234.pdf#page=6</t>
        </is>
      </c>
    </row>
    <row r="33" ht="30" customHeight="1">
      <c r="A33" s="3" t="inlineStr">
        <is>
          <t>2024::jama.2024.0572::C002</t>
        </is>
      </c>
      <c r="B33" s="3" t="inlineStr">
        <is>
          <t>sourceLinks</t>
        </is>
      </c>
      <c r="C33" s="3" t="n">
        <v>1</v>
      </c>
      <c r="D33" s="3" t="inlineStr">
        <is>
          <t>Main Table 2 — PDF p. 7</t>
        </is>
      </c>
      <c r="E33" s="3" t="inlineStr">
        <is>
          <t>../../2024/jama.2024.0572/jama_sarraj_2024_oi_240006_1708623114.96234.pdf#page=7</t>
        </is>
      </c>
    </row>
    <row r="34" ht="30" customHeight="1">
      <c r="A34" s="2" t="inlineStr">
        <is>
          <t>2024::jama.2024.0572::C002</t>
        </is>
      </c>
      <c r="B34" s="2" t="inlineStr">
        <is>
          <t>sourceLinks</t>
        </is>
      </c>
      <c r="C34" s="2" t="n">
        <v>2</v>
      </c>
      <c r="D34" s="2" t="inlineStr">
        <is>
          <t>Main Table 3 — PDF p. 9</t>
        </is>
      </c>
      <c r="E34" s="2" t="inlineStr">
        <is>
          <t>../../2024/jama.2024.0572/jama_sarraj_2024_oi_240006_1708623114.96234.pdf#page=9</t>
        </is>
      </c>
    </row>
    <row r="35" ht="30" customHeight="1">
      <c r="A35" s="3" t="inlineStr">
        <is>
          <t>2024::jama.2024.0572::C002</t>
        </is>
      </c>
      <c r="B35" s="3" t="inlineStr">
        <is>
          <t>sourceLinks</t>
        </is>
      </c>
      <c r="C35" s="3" t="n">
        <v>3</v>
      </c>
      <c r="D35" s="3" t="inlineStr">
        <is>
          <t>trial SAP — PDF p. 17</t>
        </is>
      </c>
      <c r="E35" s="3" t="inlineStr">
        <is>
          <t>../../2024/jama.2024.0572/joi240006supp3_prod_1708623114.99733.pdf#page=17</t>
        </is>
      </c>
    </row>
    <row r="36" ht="30" customHeight="1">
      <c r="A36" s="2" t="inlineStr">
        <is>
          <t>2024::jama.2024.0572::C002</t>
        </is>
      </c>
      <c r="B36" s="2" t="inlineStr">
        <is>
          <t>sourceLinks</t>
        </is>
      </c>
      <c r="C36" s="2" t="n">
        <v>4</v>
      </c>
      <c r="D36" s="2" t="inlineStr">
        <is>
          <t>secondary-analysis SAP — PDF p. 4</t>
        </is>
      </c>
      <c r="E36" s="2" t="inlineStr">
        <is>
          <t>../../2024/jama.2024.0572/joi240006supp4_prod_1708623115.00733.pdf#page=4</t>
        </is>
      </c>
    </row>
    <row r="37" ht="30" customHeight="1">
      <c r="A37" s="3" t="inlineStr">
        <is>
          <t>2024::jama.2024.0572::C002</t>
        </is>
      </c>
      <c r="B37" s="3" t="inlineStr">
        <is>
          <t>sourceLinks</t>
        </is>
      </c>
      <c r="C37" s="3" t="n">
        <v>5</v>
      </c>
      <c r="D37" s="3" t="inlineStr">
        <is>
          <t>Supplement 5 eTable 7 — PDF p. 43</t>
        </is>
      </c>
      <c r="E37" s="3" t="inlineStr">
        <is>
          <t>../../2024/jama.2024.0572/joi240006supp5_prod_1708623115.01733.pdf#page=43</t>
        </is>
      </c>
    </row>
    <row r="38" ht="40" customHeight="1">
      <c r="A38" s="2" t="inlineStr">
        <is>
          <t>2024::jama.2024.0572::C002</t>
        </is>
      </c>
      <c r="B38" s="2" t="inlineStr">
        <is>
          <t>evidencePaths</t>
        </is>
      </c>
      <c r="C38" s="2" t="n">
        <v>0</v>
      </c>
      <c r="D38" s="2" t="inlineStr">
        <is>
          <t>2024/jama.2024.0572/.ai_paper_validation/review_1_5_3/source_inventory.md</t>
        </is>
      </c>
      <c r="E38" s="2" t="inlineStr">
        <is>
          <t>../../2024/jama.2024.0572/.ai_paper_validation/review_1_5_3/source_inventory.md</t>
        </is>
      </c>
    </row>
    <row r="39" ht="40" customHeight="1">
      <c r="A39" s="3" t="inlineStr">
        <is>
          <t>2024::jama.2024.0572::C002</t>
        </is>
      </c>
      <c r="B39" s="3" t="inlineStr">
        <is>
          <t>evidencePaths</t>
        </is>
      </c>
      <c r="C39" s="3" t="n">
        <v>1</v>
      </c>
      <c r="D39" s="3" t="inlineStr">
        <is>
          <t>2024/jama.2024.0572/.ai_paper_validation/review_1_5_3/verification/evidence_recheck.md</t>
        </is>
      </c>
      <c r="E39" s="3" t="inlineStr">
        <is>
          <t>../../2024/jama.2024.0572/.ai_paper_validation/review_1_5_3/verification/evidence_recheck.md</t>
        </is>
      </c>
    </row>
    <row r="40" ht="40" customHeight="1">
      <c r="A40" s="2" t="inlineStr">
        <is>
          <t>2024::jama.2024.11057::C001</t>
        </is>
      </c>
      <c r="B40" s="2" t="inlineStr">
        <is>
          <t>sourceLinks</t>
        </is>
      </c>
      <c r="C40" s="2" t="n">
        <v>0</v>
      </c>
      <c r="D40" s="2" t="inlineStr">
        <is>
          <t>jama_graham_2024_oi_240078_1739900423.19074.pdf — PDF p. 3</t>
        </is>
      </c>
      <c r="E40" s="2" t="inlineStr">
        <is>
          <t>../../2024/jama.2024.11057/jama_graham_2024_oi_240078_1739900423.19074.pdf#page=3</t>
        </is>
      </c>
    </row>
    <row r="41" ht="30" customHeight="1">
      <c r="A41" s="3" t="inlineStr">
        <is>
          <t>2024::jama.2024.11057::C001</t>
        </is>
      </c>
      <c r="B41" s="3" t="inlineStr">
        <is>
          <t>sourceLinks</t>
        </is>
      </c>
      <c r="C41" s="3" t="n">
        <v>1</v>
      </c>
      <c r="D41" s="3" t="inlineStr">
        <is>
          <t>joi240078supp1_prod_1739900423.22574.pdf — PDF p. 2</t>
        </is>
      </c>
      <c r="E41" s="3" t="inlineStr">
        <is>
          <t>../../2024/jama.2024.11057/joi240078supp1_prod_1739900423.22574.pdf#page=2</t>
        </is>
      </c>
    </row>
    <row r="42" ht="30" customHeight="1">
      <c r="A42" s="2" t="inlineStr">
        <is>
          <t>2024::jama.2024.11057::C001</t>
        </is>
      </c>
      <c r="B42" s="2" t="inlineStr">
        <is>
          <t>sourceLinks</t>
        </is>
      </c>
      <c r="C42" s="2" t="n">
        <v>2</v>
      </c>
      <c r="D42" s="2" t="inlineStr">
        <is>
          <t>joi240078supp2_prod_1739900423.24574.pdf — PDF p. 2</t>
        </is>
      </c>
      <c r="E42" s="2" t="inlineStr">
        <is>
          <t>../../2024/jama.2024.11057/joi240078supp2_prod_1739900423.24574.pdf#page=2</t>
        </is>
      </c>
    </row>
    <row r="43" ht="40" customHeight="1">
      <c r="A43" s="3" t="inlineStr">
        <is>
          <t>2024::jama.2024.11057::C001</t>
        </is>
      </c>
      <c r="B43" s="3" t="inlineStr">
        <is>
          <t>evidencePaths</t>
        </is>
      </c>
      <c r="C43" s="3" t="n">
        <v>0</v>
      </c>
      <c r="D43" s="3" t="inlineStr">
        <is>
          <t>2024/jama.2024.11057/.ai_paper_validation/review_1_5_3/source_inventory.md</t>
        </is>
      </c>
      <c r="E43" s="3" t="inlineStr">
        <is>
          <t>../../2024/jama.2024.11057/.ai_paper_validation/review_1_5_3/source_inventory.md</t>
        </is>
      </c>
    </row>
    <row r="44" ht="40" customHeight="1">
      <c r="A44" s="2" t="inlineStr">
        <is>
          <t>2024::jama.2024.11057::C001</t>
        </is>
      </c>
      <c r="B44" s="2" t="inlineStr">
        <is>
          <t>evidencePaths</t>
        </is>
      </c>
      <c r="C44" s="2" t="n">
        <v>1</v>
      </c>
      <c r="D44" s="2" t="inlineStr">
        <is>
          <t>2024/jama.2024.11057/.ai_paper_validation/review_1_5_3/verification/evidence_recheck.md</t>
        </is>
      </c>
      <c r="E44" s="2" t="inlineStr">
        <is>
          <t>../../2024/jama.2024.11057/.ai_paper_validation/review_1_5_3/verification/evidence_recheck.md</t>
        </is>
      </c>
    </row>
    <row r="45" ht="30" customHeight="1">
      <c r="A45" s="3" t="inlineStr">
        <is>
          <t>2024::jama.2024.11057::C002</t>
        </is>
      </c>
      <c r="B45" s="3" t="inlineStr">
        <is>
          <t>sourceLinks</t>
        </is>
      </c>
      <c r="C45" s="3" t="n">
        <v>0</v>
      </c>
      <c r="D45" s="3" t="inlineStr">
        <is>
          <t>joi240078supp2_prod_1739900423.24574.pdf — PDF p. 12</t>
        </is>
      </c>
      <c r="E45" s="3" t="inlineStr">
        <is>
          <t>../../2024/jama.2024.11057/joi240078supp2_prod_1739900423.24574.pdf#page=12</t>
        </is>
      </c>
    </row>
    <row r="46" ht="30" customHeight="1">
      <c r="A46" s="2" t="inlineStr">
        <is>
          <t>2024::jama.2024.11057::C002</t>
        </is>
      </c>
      <c r="B46" s="2" t="inlineStr">
        <is>
          <t>sourceLinks</t>
        </is>
      </c>
      <c r="C46" s="2" t="n">
        <v>1</v>
      </c>
      <c r="D46" s="2" t="inlineStr">
        <is>
          <t>joi240078supp2_prod_1739900423.24574.pdf — PDF p. 13</t>
        </is>
      </c>
      <c r="E46" s="2" t="inlineStr">
        <is>
          <t>../../2024/jama.2024.11057/joi240078supp2_prod_1739900423.24574.pdf#page=13</t>
        </is>
      </c>
    </row>
    <row r="47" ht="40" customHeight="1">
      <c r="A47" s="3" t="inlineStr">
        <is>
          <t>2024::jama.2024.11057::C002</t>
        </is>
      </c>
      <c r="B47" s="3" t="inlineStr">
        <is>
          <t>sourceLinks</t>
        </is>
      </c>
      <c r="C47" s="3" t="n">
        <v>2</v>
      </c>
      <c r="D47" s="3" t="inlineStr">
        <is>
          <t>jama_graham_2024_oi_240078_1739900423.19074.pdf — PDF p. 4</t>
        </is>
      </c>
      <c r="E47" s="3" t="inlineStr">
        <is>
          <t>../../2024/jama.2024.11057/jama_graham_2024_oi_240078_1739900423.19074.pdf#page=4</t>
        </is>
      </c>
    </row>
    <row r="48" ht="40" customHeight="1">
      <c r="A48" s="2" t="inlineStr">
        <is>
          <t>2024::jama.2024.11057::C002</t>
        </is>
      </c>
      <c r="B48" s="2" t="inlineStr">
        <is>
          <t>evidencePaths</t>
        </is>
      </c>
      <c r="C48" s="2" t="n">
        <v>0</v>
      </c>
      <c r="D48" s="2" t="inlineStr">
        <is>
          <t>2024/jama.2024.11057/.ai_paper_validation/review_1_5_3/source_inventory.md</t>
        </is>
      </c>
      <c r="E48" s="2" t="inlineStr">
        <is>
          <t>../../2024/jama.2024.11057/.ai_paper_validation/review_1_5_3/source_inventory.md</t>
        </is>
      </c>
    </row>
    <row r="49" ht="40" customHeight="1">
      <c r="A49" s="3" t="inlineStr">
        <is>
          <t>2024::jama.2024.11057::C002</t>
        </is>
      </c>
      <c r="B49" s="3" t="inlineStr">
        <is>
          <t>evidencePaths</t>
        </is>
      </c>
      <c r="C49" s="3" t="n">
        <v>1</v>
      </c>
      <c r="D49" s="3" t="inlineStr">
        <is>
          <t>2024/jama.2024.11057/.ai_paper_validation/review_1_5_3/verification/evidence_recheck.md</t>
        </is>
      </c>
      <c r="E49" s="3" t="inlineStr">
        <is>
          <t>../../2024/jama.2024.11057/.ai_paper_validation/review_1_5_3/verification/evidence_recheck.md</t>
        </is>
      </c>
    </row>
    <row r="50" ht="30" customHeight="1">
      <c r="A50" s="2" t="inlineStr">
        <is>
          <t>2024::jama.2024.11057::C003</t>
        </is>
      </c>
      <c r="B50" s="2" t="inlineStr">
        <is>
          <t>sourceLinks</t>
        </is>
      </c>
      <c r="C50" s="2" t="n">
        <v>0</v>
      </c>
      <c r="D50" s="2" t="inlineStr">
        <is>
          <t>joi240078supp2_prod_1739900423.24574.pdf — PDF p. 5</t>
        </is>
      </c>
      <c r="E50" s="2" t="inlineStr">
        <is>
          <t>../../2024/jama.2024.11057/joi240078supp2_prod_1739900423.24574.pdf#page=5</t>
        </is>
      </c>
    </row>
    <row r="51" ht="30" customHeight="1">
      <c r="A51" s="3" t="inlineStr">
        <is>
          <t>2024::jama.2024.11057::C003</t>
        </is>
      </c>
      <c r="B51" s="3" t="inlineStr">
        <is>
          <t>sourceLinks</t>
        </is>
      </c>
      <c r="C51" s="3" t="n">
        <v>1</v>
      </c>
      <c r="D51" s="3" t="inlineStr">
        <is>
          <t>joi240078supp2_prod_1739900423.24574.pdf — PDF p. 14</t>
        </is>
      </c>
      <c r="E51" s="3" t="inlineStr">
        <is>
          <t>../../2024/jama.2024.11057/joi240078supp2_prod_1739900423.24574.pdf#page=14</t>
        </is>
      </c>
    </row>
    <row r="52" ht="40" customHeight="1">
      <c r="A52" s="2" t="inlineStr">
        <is>
          <t>2024::jama.2024.11057::C003</t>
        </is>
      </c>
      <c r="B52" s="2" t="inlineStr">
        <is>
          <t>sourceLinks</t>
        </is>
      </c>
      <c r="C52" s="2" t="n">
        <v>2</v>
      </c>
      <c r="D52" s="2" t="inlineStr">
        <is>
          <t>jama_graham_2024_oi_240078_1739900423.19074.pdf — PDF p. 4</t>
        </is>
      </c>
      <c r="E52" s="2" t="inlineStr">
        <is>
          <t>../../2024/jama.2024.11057/jama_graham_2024_oi_240078_1739900423.19074.pdf#page=4</t>
        </is>
      </c>
    </row>
    <row r="53" ht="40" customHeight="1">
      <c r="A53" s="3" t="inlineStr">
        <is>
          <t>2024::jama.2024.11057::C003</t>
        </is>
      </c>
      <c r="B53" s="3" t="inlineStr">
        <is>
          <t>evidencePaths</t>
        </is>
      </c>
      <c r="C53" s="3" t="n">
        <v>0</v>
      </c>
      <c r="D53" s="3" t="inlineStr">
        <is>
          <t>2024/jama.2024.11057/.ai_paper_validation/review_1_5_3/source_inventory.md</t>
        </is>
      </c>
      <c r="E53" s="3" t="inlineStr">
        <is>
          <t>../../2024/jama.2024.11057/.ai_paper_validation/review_1_5_3/source_inventory.md</t>
        </is>
      </c>
    </row>
    <row r="54" ht="40" customHeight="1">
      <c r="A54" s="2" t="inlineStr">
        <is>
          <t>2024::jama.2024.11057::C003</t>
        </is>
      </c>
      <c r="B54" s="2" t="inlineStr">
        <is>
          <t>evidencePaths</t>
        </is>
      </c>
      <c r="C54" s="2" t="n">
        <v>1</v>
      </c>
      <c r="D54" s="2" t="inlineStr">
        <is>
          <t>2024/jama.2024.11057/.ai_paper_validation/review_1_5_3/verification/evidence_recheck_C003.md</t>
        </is>
      </c>
      <c r="E54" s="2" t="inlineStr">
        <is>
          <t>../../2024/jama.2024.11057/.ai_paper_validation/review_1_5_3/verification/evidence_recheck_C003.md</t>
        </is>
      </c>
    </row>
    <row r="55" ht="30" customHeight="1">
      <c r="A55" s="3" t="inlineStr">
        <is>
          <t>2024::jama.2024.12829::C001</t>
        </is>
      </c>
      <c r="B55" s="3" t="inlineStr">
        <is>
          <t>sourceLinks</t>
        </is>
      </c>
      <c r="C55" s="3" t="n">
        <v>0</v>
      </c>
      <c r="D55" s="3" t="inlineStr">
        <is>
          <t>DOC-001 Table 1, PDF p. 6</t>
        </is>
      </c>
      <c r="E55" s="3" t="inlineStr">
        <is>
          <t>../../2024/jama.2024.12829/jama_sun_2024_oi_240088_1746815064.14747.pdf#page=6</t>
        </is>
      </c>
    </row>
    <row r="56" ht="40" customHeight="1">
      <c r="A56" s="2" t="inlineStr">
        <is>
          <t>2024::jama.2024.12829::C001</t>
        </is>
      </c>
      <c r="B56" s="2" t="inlineStr">
        <is>
          <t>evidencePaths</t>
        </is>
      </c>
      <c r="C56" s="2" t="n">
        <v>0</v>
      </c>
      <c r="D56" s="2" t="inlineStr">
        <is>
          <t>2024/jama.2024.12829/.ai_paper_validation/review_1_5_3/source_inventory.md</t>
        </is>
      </c>
      <c r="E56" s="2" t="inlineStr">
        <is>
          <t>../../2024/jama.2024.12829/.ai_paper_validation/review_1_5_3/source_inventory.md</t>
        </is>
      </c>
    </row>
    <row r="57" ht="30" customHeight="1">
      <c r="A57" s="3" t="inlineStr">
        <is>
          <t>2024::jama.2024.12829::C002</t>
        </is>
      </c>
      <c r="B57" s="3" t="inlineStr">
        <is>
          <t>sourceLinks</t>
        </is>
      </c>
      <c r="C57" s="3" t="n">
        <v>0</v>
      </c>
      <c r="D57" s="3" t="inlineStr">
        <is>
          <t>DOC-001 Table 1, PDF p. 6</t>
        </is>
      </c>
      <c r="E57" s="3" t="inlineStr">
        <is>
          <t>../../2024/jama.2024.12829/jama_sun_2024_oi_240088_1746815064.14747.pdf#page=6</t>
        </is>
      </c>
    </row>
    <row r="58" ht="30" customHeight="1">
      <c r="A58" s="2" t="inlineStr">
        <is>
          <t>2024::jama.2024.12829::C002</t>
        </is>
      </c>
      <c r="B58" s="2" t="inlineStr">
        <is>
          <t>sourceLinks</t>
        </is>
      </c>
      <c r="C58" s="2" t="n">
        <v>1</v>
      </c>
      <c r="D58" s="2" t="inlineStr">
        <is>
          <t>DOC-002 Table S1, PDF p. 14</t>
        </is>
      </c>
      <c r="E58" s="2" t="inlineStr">
        <is>
          <t>../../2024/jama.2024.12829/joi240088supp1_prod_1746815064.21247.pdf#page=14</t>
        </is>
      </c>
    </row>
    <row r="59" ht="40" customHeight="1">
      <c r="A59" s="3" t="inlineStr">
        <is>
          <t>2024::jama.2024.12829::C002</t>
        </is>
      </c>
      <c r="B59" s="3" t="inlineStr">
        <is>
          <t>evidencePaths</t>
        </is>
      </c>
      <c r="C59" s="3" t="n">
        <v>0</v>
      </c>
      <c r="D59" s="3" t="inlineStr">
        <is>
          <t>2024/jama.2024.12829/.ai_paper_validation/review_1_5_3/source_inventory.md</t>
        </is>
      </c>
      <c r="E59" s="3" t="inlineStr">
        <is>
          <t>../../2024/jama.2024.12829/.ai_paper_validation/review_1_5_3/source_inventory.md</t>
        </is>
      </c>
    </row>
    <row r="60" ht="30" customHeight="1">
      <c r="A60" s="2" t="inlineStr">
        <is>
          <t>2024::jama.2024.12829::C003</t>
        </is>
      </c>
      <c r="B60" s="2" t="inlineStr">
        <is>
          <t>sourceLinks</t>
        </is>
      </c>
      <c r="C60" s="2" t="n">
        <v>0</v>
      </c>
      <c r="D60" s="2" t="inlineStr">
        <is>
          <t>DOC-002 Table S4, PDF p. 17</t>
        </is>
      </c>
      <c r="E60" s="2" t="inlineStr">
        <is>
          <t>../../2024/jama.2024.12829/joi240088supp1_prod_1746815064.21247.pdf#page=17</t>
        </is>
      </c>
    </row>
    <row r="61" ht="40" customHeight="1">
      <c r="A61" s="3" t="inlineStr">
        <is>
          <t>2024::jama.2024.12829::C003</t>
        </is>
      </c>
      <c r="B61" s="3" t="inlineStr">
        <is>
          <t>evidencePaths</t>
        </is>
      </c>
      <c r="C61" s="3" t="n">
        <v>0</v>
      </c>
      <c r="D61" s="3" t="inlineStr">
        <is>
          <t>2024/jama.2024.12829/.ai_paper_validation/review_1_5_3/source_inventory.md</t>
        </is>
      </c>
      <c r="E61" s="3" t="inlineStr">
        <is>
          <t>../../2024/jama.2024.12829/.ai_paper_validation/review_1_5_3/source_inventory.md</t>
        </is>
      </c>
    </row>
    <row r="62" ht="30" customHeight="1">
      <c r="A62" s="2" t="inlineStr">
        <is>
          <t>2024::jama.2024.12829::C004</t>
        </is>
      </c>
      <c r="B62" s="2" t="inlineStr">
        <is>
          <t>sourceLinks</t>
        </is>
      </c>
      <c r="C62" s="2" t="n">
        <v>0</v>
      </c>
      <c r="D62" s="2" t="inlineStr">
        <is>
          <t>DOC-002 Table S6, PDF p. 19</t>
        </is>
      </c>
      <c r="E62" s="2" t="inlineStr">
        <is>
          <t>../../2024/jama.2024.12829/joi240088supp1_prod_1746815064.21247.pdf#page=19</t>
        </is>
      </c>
    </row>
    <row r="63" ht="40" customHeight="1">
      <c r="A63" s="3" t="inlineStr">
        <is>
          <t>2024::jama.2024.12829::C004</t>
        </is>
      </c>
      <c r="B63" s="3" t="inlineStr">
        <is>
          <t>evidencePaths</t>
        </is>
      </c>
      <c r="C63" s="3" t="n">
        <v>0</v>
      </c>
      <c r="D63" s="3" t="inlineStr">
        <is>
          <t>2024/jama.2024.12829/.ai_paper_validation/review_1_5_3/source_inventory.md</t>
        </is>
      </c>
      <c r="E63" s="3" t="inlineStr">
        <is>
          <t>../../2024/jama.2024.12829/.ai_paper_validation/review_1_5_3/source_inventory.md</t>
        </is>
      </c>
    </row>
    <row r="64" ht="30" customHeight="1">
      <c r="A64" s="2" t="inlineStr">
        <is>
          <t>2024::jama.2024.12829::C005</t>
        </is>
      </c>
      <c r="B64" s="2" t="inlineStr">
        <is>
          <t>sourceLinks</t>
        </is>
      </c>
      <c r="C64" s="2" t="n">
        <v>0</v>
      </c>
      <c r="D64" s="2" t="inlineStr">
        <is>
          <t>DOC-002 Table S7, PDF p. 20</t>
        </is>
      </c>
      <c r="E64" s="2" t="inlineStr">
        <is>
          <t>../../2024/jama.2024.12829/joi240088supp1_prod_1746815064.21247.pdf#page=20</t>
        </is>
      </c>
    </row>
    <row r="65" ht="30" customHeight="1">
      <c r="A65" s="3" t="inlineStr">
        <is>
          <t>2024::jama.2024.12829::C005</t>
        </is>
      </c>
      <c r="B65" s="3" t="inlineStr">
        <is>
          <t>sourceLinks</t>
        </is>
      </c>
      <c r="C65" s="3" t="n">
        <v>1</v>
      </c>
      <c r="D65" s="3" t="inlineStr">
        <is>
          <t>DOC-001 Figure 1, PDF p. 5</t>
        </is>
      </c>
      <c r="E65" s="3" t="inlineStr">
        <is>
          <t>../../2024/jama.2024.12829/jama_sun_2024_oi_240088_1746815064.14747.pdf#page=5</t>
        </is>
      </c>
    </row>
    <row r="66" ht="30" customHeight="1">
      <c r="A66" s="2" t="inlineStr">
        <is>
          <t>2024::jama.2024.12829::C005</t>
        </is>
      </c>
      <c r="B66" s="2" t="inlineStr">
        <is>
          <t>sourceLinks</t>
        </is>
      </c>
      <c r="C66" s="2" t="n">
        <v>2</v>
      </c>
      <c r="D66" s="2" t="inlineStr">
        <is>
          <t>DOC-002 Table S10, PDF p. 23</t>
        </is>
      </c>
      <c r="E66" s="2" t="inlineStr">
        <is>
          <t>../../2024/jama.2024.12829/joi240088supp1_prod_1746815064.21247.pdf#page=23</t>
        </is>
      </c>
    </row>
    <row r="67" ht="40" customHeight="1">
      <c r="A67" s="3" t="inlineStr">
        <is>
          <t>2024::jama.2024.12829::C005</t>
        </is>
      </c>
      <c r="B67" s="3" t="inlineStr">
        <is>
          <t>evidencePaths</t>
        </is>
      </c>
      <c r="C67" s="3" t="n">
        <v>0</v>
      </c>
      <c r="D67" s="3" t="inlineStr">
        <is>
          <t>2024/jama.2024.12829/.ai_paper_validation/review_1_5_3/source_inventory.md</t>
        </is>
      </c>
      <c r="E67" s="3" t="inlineStr">
        <is>
          <t>../../2024/jama.2024.12829/.ai_paper_validation/review_1_5_3/source_inventory.md</t>
        </is>
      </c>
    </row>
    <row r="68" ht="30" customHeight="1">
      <c r="A68" s="2" t="inlineStr">
        <is>
          <t>2024::jama.2024.12829::C006</t>
        </is>
      </c>
      <c r="B68" s="2" t="inlineStr">
        <is>
          <t>sourceLinks</t>
        </is>
      </c>
      <c r="C68" s="2" t="n">
        <v>0</v>
      </c>
      <c r="D68" s="2" t="inlineStr">
        <is>
          <t>DOC-002 Table S8, PDF p. 21</t>
        </is>
      </c>
      <c r="E68" s="2" t="inlineStr">
        <is>
          <t>../../2024/jama.2024.12829/joi240088supp1_prod_1746815064.21247.pdf#page=21</t>
        </is>
      </c>
    </row>
    <row r="69" ht="30" customHeight="1">
      <c r="A69" s="3" t="inlineStr">
        <is>
          <t>2024::jama.2024.12829::C006</t>
        </is>
      </c>
      <c r="B69" s="3" t="inlineStr">
        <is>
          <t>sourceLinks</t>
        </is>
      </c>
      <c r="C69" s="3" t="n">
        <v>1</v>
      </c>
      <c r="D69" s="3" t="inlineStr">
        <is>
          <t>DOC-001 Figure 1, PDF p. 5</t>
        </is>
      </c>
      <c r="E69" s="3" t="inlineStr">
        <is>
          <t>../../2024/jama.2024.12829/jama_sun_2024_oi_240088_1746815064.14747.pdf#page=5</t>
        </is>
      </c>
    </row>
    <row r="70" ht="30" customHeight="1">
      <c r="A70" s="2" t="inlineStr">
        <is>
          <t>2024::jama.2024.12829::C006</t>
        </is>
      </c>
      <c r="B70" s="2" t="inlineStr">
        <is>
          <t>sourceLinks</t>
        </is>
      </c>
      <c r="C70" s="2" t="n">
        <v>2</v>
      </c>
      <c r="D70" s="2" t="inlineStr">
        <is>
          <t>DOC-002 Table S10, PDF p. 23</t>
        </is>
      </c>
      <c r="E70" s="2" t="inlineStr">
        <is>
          <t>../../2024/jama.2024.12829/joi240088supp1_prod_1746815064.21247.pdf#page=23</t>
        </is>
      </c>
    </row>
    <row r="71" ht="40" customHeight="1">
      <c r="A71" s="3" t="inlineStr">
        <is>
          <t>2024::jama.2024.12829::C006</t>
        </is>
      </c>
      <c r="B71" s="3" t="inlineStr">
        <is>
          <t>evidencePaths</t>
        </is>
      </c>
      <c r="C71" s="3" t="n">
        <v>0</v>
      </c>
      <c r="D71" s="3" t="inlineStr">
        <is>
          <t>2024/jama.2024.12829/.ai_paper_validation/review_1_5_3/source_inventory.md</t>
        </is>
      </c>
      <c r="E71" s="3" t="inlineStr">
        <is>
          <t>../../2024/jama.2024.12829/.ai_paper_validation/review_1_5_3/source_inventory.md</t>
        </is>
      </c>
    </row>
    <row r="72" ht="40" customHeight="1">
      <c r="A72" s="2" t="inlineStr">
        <is>
          <t>2024::jama.2024.12829::C006</t>
        </is>
      </c>
      <c r="B72" s="2" t="inlineStr">
        <is>
          <t>evidencePaths</t>
        </is>
      </c>
      <c r="C72" s="2" t="n">
        <v>1</v>
      </c>
      <c r="D72" s="2" t="inlineStr">
        <is>
          <t>2024/jama.2024.12829/.ai_paper_validation/review_1_5_3/verification/evidence_recheck.md</t>
        </is>
      </c>
      <c r="E72" s="2" t="inlineStr">
        <is>
          <t>../../2024/jama.2024.12829/.ai_paper_validation/review_1_5_3/verification/evidence_recheck.md</t>
        </is>
      </c>
    </row>
    <row r="73" ht="30" customHeight="1">
      <c r="A73" s="3" t="inlineStr">
        <is>
          <t>2024::jama.2024.12829::C007</t>
        </is>
      </c>
      <c r="B73" s="3" t="inlineStr">
        <is>
          <t>sourceLinks</t>
        </is>
      </c>
      <c r="C73" s="3" t="n">
        <v>0</v>
      </c>
      <c r="D73" s="3" t="inlineStr">
        <is>
          <t>DOC-002 Table S9, PDF p. 22</t>
        </is>
      </c>
      <c r="E73" s="3" t="inlineStr">
        <is>
          <t>../../2024/jama.2024.12829/joi240088supp1_prod_1746815064.21247.pdf#page=22</t>
        </is>
      </c>
    </row>
    <row r="74" ht="30" customHeight="1">
      <c r="A74" s="2" t="inlineStr">
        <is>
          <t>2024::jama.2024.12829::C007</t>
        </is>
      </c>
      <c r="B74" s="2" t="inlineStr">
        <is>
          <t>sourceLinks</t>
        </is>
      </c>
      <c r="C74" s="2" t="n">
        <v>1</v>
      </c>
      <c r="D74" s="2" t="inlineStr">
        <is>
          <t>DOC-002 Table S10, PDF p. 23</t>
        </is>
      </c>
      <c r="E74" s="2" t="inlineStr">
        <is>
          <t>../../2024/jama.2024.12829/joi240088supp1_prod_1746815064.21247.pdf#page=23</t>
        </is>
      </c>
    </row>
    <row r="75" ht="40" customHeight="1">
      <c r="A75" s="3" t="inlineStr">
        <is>
          <t>2024::jama.2024.12829::C007</t>
        </is>
      </c>
      <c r="B75" s="3" t="inlineStr">
        <is>
          <t>evidencePaths</t>
        </is>
      </c>
      <c r="C75" s="3" t="n">
        <v>0</v>
      </c>
      <c r="D75" s="3" t="inlineStr">
        <is>
          <t>2024/jama.2024.12829/.ai_paper_validation/review_1_5_3/source_inventory.md</t>
        </is>
      </c>
      <c r="E75" s="3" t="inlineStr">
        <is>
          <t>../../2024/jama.2024.12829/.ai_paper_validation/review_1_5_3/source_inventory.md</t>
        </is>
      </c>
    </row>
    <row r="76" ht="30" customHeight="1">
      <c r="A76" s="2" t="inlineStr">
        <is>
          <t>2024::jama.2024.12829::C008</t>
        </is>
      </c>
      <c r="B76" s="2" t="inlineStr">
        <is>
          <t>sourceLinks</t>
        </is>
      </c>
      <c r="C76" s="2" t="n">
        <v>0</v>
      </c>
      <c r="D76" s="2" t="inlineStr">
        <is>
          <t>DOC-001 eligibility, PDF p. 2</t>
        </is>
      </c>
      <c r="E76" s="2" t="inlineStr">
        <is>
          <t>../../2024/jama.2024.12829/jama_sun_2024_oi_240088_1746815064.14747.pdf#page=2</t>
        </is>
      </c>
    </row>
    <row r="77" ht="30" customHeight="1">
      <c r="A77" s="3" t="inlineStr">
        <is>
          <t>2024::jama.2024.12829::C008</t>
        </is>
      </c>
      <c r="B77" s="3" t="inlineStr">
        <is>
          <t>sourceLinks</t>
        </is>
      </c>
      <c r="C77" s="3" t="n">
        <v>1</v>
      </c>
      <c r="D77" s="3" t="inlineStr">
        <is>
          <t>DOC-001 Figure 1, PDF p. 5</t>
        </is>
      </c>
      <c r="E77" s="3" t="inlineStr">
        <is>
          <t>../../2024/jama.2024.12829/jama_sun_2024_oi_240088_1746815064.14747.pdf#page=5</t>
        </is>
      </c>
    </row>
    <row r="78" ht="30" customHeight="1">
      <c r="A78" s="2" t="inlineStr">
        <is>
          <t>2024::jama.2024.12829::C008</t>
        </is>
      </c>
      <c r="B78" s="2" t="inlineStr">
        <is>
          <t>sourceLinks</t>
        </is>
      </c>
      <c r="C78" s="2" t="n">
        <v>2</v>
      </c>
      <c r="D78" s="2" t="inlineStr">
        <is>
          <t>DOC-001 Table 1, PDF p. 6</t>
        </is>
      </c>
      <c r="E78" s="2" t="inlineStr">
        <is>
          <t>../../2024/jama.2024.12829/jama_sun_2024_oi_240088_1746815064.14747.pdf#page=6</t>
        </is>
      </c>
    </row>
    <row r="79" ht="40" customHeight="1">
      <c r="A79" s="3" t="inlineStr">
        <is>
          <t>2024::jama.2024.12829::C008</t>
        </is>
      </c>
      <c r="B79" s="3" t="inlineStr">
        <is>
          <t>evidencePaths</t>
        </is>
      </c>
      <c r="C79" s="3" t="n">
        <v>0</v>
      </c>
      <c r="D79" s="3" t="inlineStr">
        <is>
          <t>2024/jama.2024.12829/.ai_paper_validation/review_1_5_3/source_inventory.md</t>
        </is>
      </c>
      <c r="E79" s="3" t="inlineStr">
        <is>
          <t>../../2024/jama.2024.12829/.ai_paper_validation/review_1_5_3/source_inventory.md</t>
        </is>
      </c>
    </row>
    <row r="80" ht="30" customHeight="1">
      <c r="A80" s="2" t="inlineStr">
        <is>
          <t>2024::jama.2024.12829::C009</t>
        </is>
      </c>
      <c r="B80" s="2" t="inlineStr">
        <is>
          <t>sourceLinks</t>
        </is>
      </c>
      <c r="C80" s="2" t="n">
        <v>0</v>
      </c>
      <c r="D80" s="2" t="inlineStr">
        <is>
          <t>DOC-002 study-design graphic, PDF p. 6</t>
        </is>
      </c>
      <c r="E80" s="2" t="inlineStr">
        <is>
          <t>../../2024/jama.2024.12829/joi240088supp1_prod_1746815064.21247.pdf#page=6</t>
        </is>
      </c>
    </row>
    <row r="81" ht="30" customHeight="1">
      <c r="A81" s="3" t="inlineStr">
        <is>
          <t>2024::jama.2024.12829::C009</t>
        </is>
      </c>
      <c r="B81" s="3" t="inlineStr">
        <is>
          <t>sourceLinks</t>
        </is>
      </c>
      <c r="C81" s="3" t="n">
        <v>1</v>
      </c>
      <c r="D81" s="3" t="inlineStr">
        <is>
          <t>DOC-001 schedule, PDF p. 3</t>
        </is>
      </c>
      <c r="E81" s="3" t="inlineStr">
        <is>
          <t>../../2024/jama.2024.12829/jama_sun_2024_oi_240088_1746815064.14747.pdf#page=3</t>
        </is>
      </c>
    </row>
    <row r="82" ht="30" customHeight="1">
      <c r="A82" s="2" t="inlineStr">
        <is>
          <t>2024::jama.2024.12829::C009</t>
        </is>
      </c>
      <c r="B82" s="2" t="inlineStr">
        <is>
          <t>sourceLinks</t>
        </is>
      </c>
      <c r="C82" s="2" t="n">
        <v>2</v>
      </c>
      <c r="D82" s="2" t="inlineStr">
        <is>
          <t>DOC-003 schedule, PDF p. 15</t>
        </is>
      </c>
      <c r="E82" s="2" t="inlineStr">
        <is>
          <t>../../2024/jama.2024.12829/joi240088supp2_prod_1746815064.36071.pdf#page=15</t>
        </is>
      </c>
    </row>
    <row r="83" ht="40" customHeight="1">
      <c r="A83" s="3" t="inlineStr">
        <is>
          <t>2024::jama.2024.12829::C009</t>
        </is>
      </c>
      <c r="B83" s="3" t="inlineStr">
        <is>
          <t>evidencePaths</t>
        </is>
      </c>
      <c r="C83" s="3" t="n">
        <v>0</v>
      </c>
      <c r="D83" s="3" t="inlineStr">
        <is>
          <t>2024/jama.2024.12829/.ai_paper_validation/review_1_5_3/source_inventory.md</t>
        </is>
      </c>
      <c r="E83" s="3" t="inlineStr">
        <is>
          <t>../../2024/jama.2024.12829/.ai_paper_validation/review_1_5_3/source_inventory.md</t>
        </is>
      </c>
    </row>
    <row r="84" ht="40" customHeight="1">
      <c r="A84" s="2" t="inlineStr">
        <is>
          <t>2024::jama.2024.12829::C009</t>
        </is>
      </c>
      <c r="B84" s="2" t="inlineStr">
        <is>
          <t>evidencePaths</t>
        </is>
      </c>
      <c r="C84" s="2" t="n">
        <v>1</v>
      </c>
      <c r="D84" s="2" t="inlineStr">
        <is>
          <t>2024/jama.2024.12829/.ai_paper_validation/review_1_5_3/verification/evidence_recheck.md</t>
        </is>
      </c>
      <c r="E84" s="2" t="inlineStr">
        <is>
          <t>../../2024/jama.2024.12829/.ai_paper_validation/review_1_5_3/verification/evidence_recheck.md</t>
        </is>
      </c>
    </row>
    <row r="85" ht="30" customHeight="1">
      <c r="A85" s="3" t="inlineStr">
        <is>
          <t>2024::jama.2024.12829::C010</t>
        </is>
      </c>
      <c r="B85" s="3" t="inlineStr">
        <is>
          <t>sourceLinks</t>
        </is>
      </c>
      <c r="C85" s="3" t="n">
        <v>0</v>
      </c>
      <c r="D85" s="3" t="inlineStr">
        <is>
          <t>DOC-003 synopsis, PDF p. 7</t>
        </is>
      </c>
      <c r="E85" s="3" t="inlineStr">
        <is>
          <t>../../2024/jama.2024.12829/joi240088supp2_prod_1746815064.36071.pdf#page=7</t>
        </is>
      </c>
    </row>
    <row r="86" ht="30" customHeight="1">
      <c r="A86" s="2" t="inlineStr">
        <is>
          <t>2024::jama.2024.12829::C010</t>
        </is>
      </c>
      <c r="B86" s="2" t="inlineStr">
        <is>
          <t>sourceLinks</t>
        </is>
      </c>
      <c r="C86" s="2" t="n">
        <v>1</v>
      </c>
      <c r="D86" s="2" t="inlineStr">
        <is>
          <t>DOC-003 body eligibility, PDF p. 21</t>
        </is>
      </c>
      <c r="E86" s="2" t="inlineStr">
        <is>
          <t>../../2024/jama.2024.12829/joi240088supp2_prod_1746815064.36071.pdf#page=21</t>
        </is>
      </c>
    </row>
    <row r="87" ht="40" customHeight="1">
      <c r="A87" s="3" t="inlineStr">
        <is>
          <t>2024::jama.2024.12829::C010</t>
        </is>
      </c>
      <c r="B87" s="3" t="inlineStr">
        <is>
          <t>evidencePaths</t>
        </is>
      </c>
      <c r="C87" s="3" t="n">
        <v>0</v>
      </c>
      <c r="D87" s="3" t="inlineStr">
        <is>
          <t>2024/jama.2024.12829/.ai_paper_validation/review_1_5_3/source_inventory.md</t>
        </is>
      </c>
      <c r="E87" s="3" t="inlineStr">
        <is>
          <t>../../2024/jama.2024.12829/.ai_paper_validation/review_1_5_3/source_inventory.md</t>
        </is>
      </c>
    </row>
    <row r="88" ht="40" customHeight="1">
      <c r="A88" s="2" t="inlineStr">
        <is>
          <t>2024::jama.2024.12829::C010</t>
        </is>
      </c>
      <c r="B88" s="2" t="inlineStr">
        <is>
          <t>evidencePaths</t>
        </is>
      </c>
      <c r="C88" s="2" t="n">
        <v>1</v>
      </c>
      <c r="D88" s="2" t="inlineStr">
        <is>
          <t>2024/jama.2024.12829/.ai_paper_validation/review_1_5_3/verification/evidence_recheck.md</t>
        </is>
      </c>
      <c r="E88" s="2" t="inlineStr">
        <is>
          <t>../../2024/jama.2024.12829/.ai_paper_validation/review_1_5_3/verification/evidence_recheck.md</t>
        </is>
      </c>
    </row>
    <row r="89" ht="30" customHeight="1">
      <c r="A89" s="3" t="inlineStr">
        <is>
          <t>2024::jama.2024.12829::C011</t>
        </is>
      </c>
      <c r="B89" s="3" t="inlineStr">
        <is>
          <t>sourceLinks</t>
        </is>
      </c>
      <c r="C89" s="3" t="n">
        <v>0</v>
      </c>
      <c r="D89" s="3" t="inlineStr">
        <is>
          <t>DOC-002 Table S3, PDF p. 16</t>
        </is>
      </c>
      <c r="E89" s="3" t="inlineStr">
        <is>
          <t>../../2024/jama.2024.12829/joi240088supp1_prod_1746815064.21247.pdf#page=16</t>
        </is>
      </c>
    </row>
    <row r="90" ht="40" customHeight="1">
      <c r="A90" s="2" t="inlineStr">
        <is>
          <t>2024::jama.2024.12829::C011</t>
        </is>
      </c>
      <c r="B90" s="2" t="inlineStr">
        <is>
          <t>evidencePaths</t>
        </is>
      </c>
      <c r="C90" s="2" t="n">
        <v>0</v>
      </c>
      <c r="D90" s="2" t="inlineStr">
        <is>
          <t>2024/jama.2024.12829/.ai_paper_validation/review_1_5_3/source_inventory.md</t>
        </is>
      </c>
      <c r="E90" s="2" t="inlineStr">
        <is>
          <t>../../2024/jama.2024.12829/.ai_paper_validation/review_1_5_3/source_inventory.md</t>
        </is>
      </c>
    </row>
    <row r="91" ht="30" customHeight="1">
      <c r="A91" s="3" t="inlineStr">
        <is>
          <t>2024::jama.2024.12829::C012</t>
        </is>
      </c>
      <c r="B91" s="3" t="inlineStr">
        <is>
          <t>sourceLinks</t>
        </is>
      </c>
      <c r="C91" s="3" t="n">
        <v>0</v>
      </c>
      <c r="D91" s="3" t="inlineStr">
        <is>
          <t>DOC-002 Figure S1, PDF p. 10</t>
        </is>
      </c>
      <c r="E91" s="3" t="inlineStr">
        <is>
          <t>../../2024/jama.2024.12829/joi240088supp1_prod_1746815064.21247.pdf#page=10</t>
        </is>
      </c>
    </row>
    <row r="92" ht="40" customHeight="1">
      <c r="A92" s="2" t="inlineStr">
        <is>
          <t>2024::jama.2024.12829::C012</t>
        </is>
      </c>
      <c r="B92" s="2" t="inlineStr">
        <is>
          <t>evidencePaths</t>
        </is>
      </c>
      <c r="C92" s="2" t="n">
        <v>0</v>
      </c>
      <c r="D92" s="2" t="inlineStr">
        <is>
          <t>2024/jama.2024.12829/.ai_paper_validation/review_1_5_3/source_inventory.md</t>
        </is>
      </c>
      <c r="E92" s="2" t="inlineStr">
        <is>
          <t>../../2024/jama.2024.12829/.ai_paper_validation/review_1_5_3/source_inventory.md</t>
        </is>
      </c>
    </row>
    <row r="93" ht="30" customHeight="1">
      <c r="A93" s="3" t="inlineStr">
        <is>
          <t>2024::jama.2024.12829::C013</t>
        </is>
      </c>
      <c r="B93" s="3" t="inlineStr">
        <is>
          <t>sourceLinks</t>
        </is>
      </c>
      <c r="C93" s="3" t="n">
        <v>0</v>
      </c>
      <c r="D93" s="3" t="inlineStr">
        <is>
          <t>DOC-003 Protocol V2.0 paragraph, PDF p. 35</t>
        </is>
      </c>
      <c r="E93" s="3" t="inlineStr">
        <is>
          <t>../../2024/jama.2024.12829/joi240088supp2_prod_1746815064.36071.pdf#page=35</t>
        </is>
      </c>
    </row>
    <row r="94" ht="30" customHeight="1">
      <c r="A94" s="2" t="inlineStr">
        <is>
          <t>2024::jama.2024.12829::C013</t>
        </is>
      </c>
      <c r="B94" s="2" t="inlineStr">
        <is>
          <t>sourceLinks</t>
        </is>
      </c>
      <c r="C94" s="2" t="n">
        <v>1</v>
      </c>
      <c r="D94" s="2" t="inlineStr">
        <is>
          <t>DOC-003 Protocol V2.3 paragraph, PDF p. 96</t>
        </is>
      </c>
      <c r="E94" s="2" t="inlineStr">
        <is>
          <t>../../2024/jama.2024.12829/joi240088supp2_prod_1746815064.36071.pdf#page=96</t>
        </is>
      </c>
    </row>
    <row r="95" ht="30" customHeight="1">
      <c r="A95" s="3" t="inlineStr">
        <is>
          <t>2024::jama.2024.12829::C013</t>
        </is>
      </c>
      <c r="B95" s="3" t="inlineStr">
        <is>
          <t>sourceLinks</t>
        </is>
      </c>
      <c r="C95" s="3" t="n">
        <v>2</v>
      </c>
      <c r="D95" s="3" t="inlineStr">
        <is>
          <t>DOC-003 schedule, PDF p. 15</t>
        </is>
      </c>
      <c r="E95" s="3" t="inlineStr">
        <is>
          <t>../../2024/jama.2024.12829/joi240088supp2_prod_1746815064.36071.pdf#page=15</t>
        </is>
      </c>
    </row>
    <row r="96" ht="40" customHeight="1">
      <c r="A96" s="2" t="inlineStr">
        <is>
          <t>2024::jama.2024.12829::C013</t>
        </is>
      </c>
      <c r="B96" s="2" t="inlineStr">
        <is>
          <t>evidencePaths</t>
        </is>
      </c>
      <c r="C96" s="2" t="n">
        <v>0</v>
      </c>
      <c r="D96" s="2" t="inlineStr">
        <is>
          <t>2024/jama.2024.12829/.ai_paper_validation/review_1_5_3/source_inventory.md</t>
        </is>
      </c>
      <c r="E96" s="2" t="inlineStr">
        <is>
          <t>../../2024/jama.2024.12829/.ai_paper_validation/review_1_5_3/source_inventory.md</t>
        </is>
      </c>
    </row>
    <row r="97" ht="40" customHeight="1">
      <c r="A97" s="3" t="inlineStr">
        <is>
          <t>2024::jama.2024.12829::C013</t>
        </is>
      </c>
      <c r="B97" s="3" t="inlineStr">
        <is>
          <t>evidencePaths</t>
        </is>
      </c>
      <c r="C97" s="3" t="n">
        <v>1</v>
      </c>
      <c r="D97" s="3" t="inlineStr">
        <is>
          <t>2024/jama.2024.12829/.ai_paper_validation/review_1_5_3/verification/evidence_recheck.md</t>
        </is>
      </c>
      <c r="E97" s="3" t="inlineStr">
        <is>
          <t>../../2024/jama.2024.12829/.ai_paper_validation/review_1_5_3/verification/evidence_recheck.md</t>
        </is>
      </c>
    </row>
    <row r="98" ht="30" customHeight="1">
      <c r="A98" s="2" t="inlineStr">
        <is>
          <t>2024::jama.2024.12829::C014</t>
        </is>
      </c>
      <c r="B98" s="2" t="inlineStr">
        <is>
          <t>sourceLinks</t>
        </is>
      </c>
      <c r="C98" s="2" t="n">
        <v>0</v>
      </c>
      <c r="D98" s="2" t="inlineStr">
        <is>
          <t>DOC-002 Table S9, PDF p. 22</t>
        </is>
      </c>
      <c r="E98" s="2" t="inlineStr">
        <is>
          <t>../../2024/jama.2024.12829/joi240088supp1_prod_1746815064.21247.pdf#page=22</t>
        </is>
      </c>
    </row>
    <row r="99" ht="30" customHeight="1">
      <c r="A99" s="3" t="inlineStr">
        <is>
          <t>2024::jama.2024.12829::C014</t>
        </is>
      </c>
      <c r="B99" s="3" t="inlineStr">
        <is>
          <t>sourceLinks</t>
        </is>
      </c>
      <c r="C99" s="3" t="n">
        <v>1</v>
      </c>
      <c r="D99" s="3" t="inlineStr">
        <is>
          <t>DOC-002 Table S10, PDF p. 23</t>
        </is>
      </c>
      <c r="E99" s="3" t="inlineStr">
        <is>
          <t>../../2024/jama.2024.12829/joi240088supp1_prod_1746815064.21247.pdf#page=23</t>
        </is>
      </c>
    </row>
    <row r="100" ht="40" customHeight="1">
      <c r="A100" s="2" t="inlineStr">
        <is>
          <t>2024::jama.2024.12829::C014</t>
        </is>
      </c>
      <c r="B100" s="2" t="inlineStr">
        <is>
          <t>evidencePaths</t>
        </is>
      </c>
      <c r="C100" s="2" t="n">
        <v>0</v>
      </c>
      <c r="D100" s="2" t="inlineStr">
        <is>
          <t>2024/jama.2024.12829/.ai_paper_validation/review_1_5_3/source_inventory.md</t>
        </is>
      </c>
      <c r="E100" s="2" t="inlineStr">
        <is>
          <t>../../2024/jama.2024.12829/.ai_paper_validation/review_1_5_3/source_inventory.md</t>
        </is>
      </c>
    </row>
    <row r="101" ht="30" customHeight="1">
      <c r="A101" s="3" t="inlineStr">
        <is>
          <t>2024::jama.2024.12829::C015</t>
        </is>
      </c>
      <c r="B101" s="3" t="inlineStr">
        <is>
          <t>sourceLinks</t>
        </is>
      </c>
      <c r="C101" s="3" t="n">
        <v>0</v>
      </c>
      <c r="D101" s="3" t="inlineStr">
        <is>
          <t>DOC-001 narrative, PDF p. 4</t>
        </is>
      </c>
      <c r="E101" s="3" t="inlineStr">
        <is>
          <t>../../2024/jama.2024.12829/jama_sun_2024_oi_240088_1746815064.14747.pdf#page=4</t>
        </is>
      </c>
    </row>
    <row r="102" ht="30" customHeight="1">
      <c r="A102" s="2" t="inlineStr">
        <is>
          <t>2024::jama.2024.12829::C015</t>
        </is>
      </c>
      <c r="B102" s="2" t="inlineStr">
        <is>
          <t>sourceLinks</t>
        </is>
      </c>
      <c r="C102" s="2" t="n">
        <v>1</v>
      </c>
      <c r="D102" s="2" t="inlineStr">
        <is>
          <t>DOC-001 Figure 1, PDF p. 5</t>
        </is>
      </c>
      <c r="E102" s="2" t="inlineStr">
        <is>
          <t>../../2024/jama.2024.12829/jama_sun_2024_oi_240088_1746815064.14747.pdf#page=5</t>
        </is>
      </c>
    </row>
    <row r="103" ht="40" customHeight="1">
      <c r="A103" s="3" t="inlineStr">
        <is>
          <t>2024::jama.2024.12829::C015</t>
        </is>
      </c>
      <c r="B103" s="3" t="inlineStr">
        <is>
          <t>evidencePaths</t>
        </is>
      </c>
      <c r="C103" s="3" t="n">
        <v>0</v>
      </c>
      <c r="D103" s="3" t="inlineStr">
        <is>
          <t>2024/jama.2024.12829/.ai_paper_validation/review_1_5_3/source_inventory.md</t>
        </is>
      </c>
      <c r="E103" s="3" t="inlineStr">
        <is>
          <t>../../2024/jama.2024.12829/.ai_paper_validation/review_1_5_3/source_inventory.md</t>
        </is>
      </c>
    </row>
    <row r="104" ht="30" customHeight="1">
      <c r="A104" s="2" t="inlineStr">
        <is>
          <t>2024::jama.2024.12829::C016</t>
        </is>
      </c>
      <c r="B104" s="2" t="inlineStr">
        <is>
          <t>sourceLinks</t>
        </is>
      </c>
      <c r="C104" s="2" t="n">
        <v>0</v>
      </c>
      <c r="D104" s="2" t="inlineStr">
        <is>
          <t>DOC-001 primary narrative, PDF p. 5</t>
        </is>
      </c>
      <c r="E104" s="2" t="inlineStr">
        <is>
          <t>../../2024/jama.2024.12829/jama_sun_2024_oi_240088_1746815064.14747.pdf#page=5</t>
        </is>
      </c>
    </row>
    <row r="105" ht="30" customHeight="1">
      <c r="A105" s="3" t="inlineStr">
        <is>
          <t>2024::jama.2024.12829::C016</t>
        </is>
      </c>
      <c r="B105" s="3" t="inlineStr">
        <is>
          <t>sourceLinks</t>
        </is>
      </c>
      <c r="C105" s="3" t="n">
        <v>1</v>
      </c>
      <c r="D105" s="3" t="inlineStr">
        <is>
          <t>DOC-001 Table 2, PDF p. 8</t>
        </is>
      </c>
      <c r="E105" s="3" t="inlineStr">
        <is>
          <t>../../2024/jama.2024.12829/jama_sun_2024_oi_240088_1746815064.14747.pdf#page=8</t>
        </is>
      </c>
    </row>
    <row r="106" ht="30" customHeight="1">
      <c r="A106" s="2" t="inlineStr">
        <is>
          <t>2024::jama.2024.12829::C016</t>
        </is>
      </c>
      <c r="B106" s="2" t="inlineStr">
        <is>
          <t>sourceLinks</t>
        </is>
      </c>
      <c r="C106" s="2" t="n">
        <v>2</v>
      </c>
      <c r="D106" s="2" t="inlineStr">
        <is>
          <t>DOC-002 Table S6, PDF p. 19</t>
        </is>
      </c>
      <c r="E106" s="2" t="inlineStr">
        <is>
          <t>../../2024/jama.2024.12829/joi240088supp1_prod_1746815064.21247.pdf#page=19</t>
        </is>
      </c>
    </row>
    <row r="107" ht="40" customHeight="1">
      <c r="A107" s="3" t="inlineStr">
        <is>
          <t>2024::jama.2024.12829::C016</t>
        </is>
      </c>
      <c r="B107" s="3" t="inlineStr">
        <is>
          <t>evidencePaths</t>
        </is>
      </c>
      <c r="C107" s="3" t="n">
        <v>0</v>
      </c>
      <c r="D107" s="3" t="inlineStr">
        <is>
          <t>2024/jama.2024.12829/.ai_paper_validation/review_1_5_3/source_inventory.md</t>
        </is>
      </c>
      <c r="E107" s="3" t="inlineStr">
        <is>
          <t>../../2024/jama.2024.12829/.ai_paper_validation/review_1_5_3/source_inventory.md</t>
        </is>
      </c>
    </row>
    <row r="108" ht="30" customHeight="1">
      <c r="A108" s="2" t="inlineStr">
        <is>
          <t>2024::jama.2024.12829::C017</t>
        </is>
      </c>
      <c r="B108" s="2" t="inlineStr">
        <is>
          <t>sourceLinks</t>
        </is>
      </c>
      <c r="C108" s="2" t="n">
        <v>0</v>
      </c>
      <c r="D108" s="2" t="inlineStr">
        <is>
          <t>DOC-001 Table 2, PDF p. 8</t>
        </is>
      </c>
      <c r="E108" s="2" t="inlineStr">
        <is>
          <t>../../2024/jama.2024.12829/jama_sun_2024_oi_240088_1746815064.14747.pdf#page=8</t>
        </is>
      </c>
    </row>
    <row r="109" ht="40" customHeight="1">
      <c r="A109" s="3" t="inlineStr">
        <is>
          <t>2024::jama.2024.12829::C017</t>
        </is>
      </c>
      <c r="B109" s="3" t="inlineStr">
        <is>
          <t>evidencePaths</t>
        </is>
      </c>
      <c r="C109" s="3" t="n">
        <v>0</v>
      </c>
      <c r="D109" s="3" t="inlineStr">
        <is>
          <t>2024/jama.2024.12829/.ai_paper_validation/review_1_5_3/source_inventory.md</t>
        </is>
      </c>
      <c r="E109" s="3" t="inlineStr">
        <is>
          <t>../../2024/jama.2024.12829/.ai_paper_validation/review_1_5_3/source_inventory.md</t>
        </is>
      </c>
    </row>
    <row r="110" ht="40" customHeight="1">
      <c r="A110" s="2" t="inlineStr">
        <is>
          <t>2024::jama.2024.19585::C001</t>
        </is>
      </c>
      <c r="B110" s="2" t="inlineStr">
        <is>
          <t>sourceLinks</t>
        </is>
      </c>
      <c r="C110" s="2" t="n">
        <v>0</v>
      </c>
      <c r="D110" s="2" t="inlineStr">
        <is>
          <t>jama_dupuis_2024_oi_240111_1733431204.38761.pdf — Figure 1, PDF p. 5</t>
        </is>
      </c>
      <c r="E110" s="2" t="inlineStr">
        <is>
          <t>../../2024/jama.2024.19585/jama_dupuis_2024_oi_240111_1733431204.38761.pdf#page=5</t>
        </is>
      </c>
    </row>
    <row r="111" ht="40" customHeight="1">
      <c r="A111" s="3" t="inlineStr">
        <is>
          <t>2024::jama.2024.19585::C001</t>
        </is>
      </c>
      <c r="B111" s="3" t="inlineStr">
        <is>
          <t>evidencePaths</t>
        </is>
      </c>
      <c r="C111" s="3" t="n">
        <v>0</v>
      </c>
      <c r="D111" s="3" t="inlineStr">
        <is>
          <t>2024/jama.2024.19585/.ai_paper_validation/review_1_5_3/source_inventory.md</t>
        </is>
      </c>
      <c r="E111" s="3" t="inlineStr">
        <is>
          <t>../../2024/jama.2024.19585/.ai_paper_validation/review_1_5_3/source_inventory.md</t>
        </is>
      </c>
    </row>
    <row r="112" ht="40" customHeight="1">
      <c r="A112" s="2" t="inlineStr">
        <is>
          <t>2024::jama.2024.19585::C001</t>
        </is>
      </c>
      <c r="B112" s="2" t="inlineStr">
        <is>
          <t>evidencePaths</t>
        </is>
      </c>
      <c r="C112" s="2" t="n">
        <v>1</v>
      </c>
      <c r="D112" s="2" t="inlineStr">
        <is>
          <t>2024/jama.2024.19585/.ai_paper_validation/review_1_5_3/verification/evidence_recheck.md</t>
        </is>
      </c>
      <c r="E112" s="2" t="inlineStr">
        <is>
          <t>../../2024/jama.2024.19585/.ai_paper_validation/review_1_5_3/verification/evidence_recheck.md</t>
        </is>
      </c>
    </row>
    <row r="113" ht="40" customHeight="1">
      <c r="A113" s="3" t="inlineStr">
        <is>
          <t>2024::jama.2024.19585::C002</t>
        </is>
      </c>
      <c r="B113" s="3" t="inlineStr">
        <is>
          <t>sourceLinks</t>
        </is>
      </c>
      <c r="C113" s="3" t="n">
        <v>0</v>
      </c>
      <c r="D113" s="3" t="inlineStr">
        <is>
          <t>jama_dupuis_2024_oi_240111_1733431204.38761.pdf — narrative, PDF p. 2</t>
        </is>
      </c>
      <c r="E113" s="3" t="inlineStr">
        <is>
          <t>../../2024/jama.2024.19585/jama_dupuis_2024_oi_240111_1733431204.38761.pdf#page=2</t>
        </is>
      </c>
    </row>
    <row r="114" ht="40" customHeight="1">
      <c r="A114" s="2" t="inlineStr">
        <is>
          <t>2024::jama.2024.19585::C002</t>
        </is>
      </c>
      <c r="B114" s="2" t="inlineStr">
        <is>
          <t>sourceLinks</t>
        </is>
      </c>
      <c r="C114" s="2" t="n">
        <v>1</v>
      </c>
      <c r="D114" s="2" t="inlineStr">
        <is>
          <t>joi240111supp2_prod_1733431204.76024.pdf — eTable 3, PDF p. 6</t>
        </is>
      </c>
      <c r="E114" s="2" t="inlineStr">
        <is>
          <t>../../2024/jama.2024.19585/joi240111supp2_prod_1733431204.76024.pdf#page=6</t>
        </is>
      </c>
    </row>
    <row r="115" ht="40" customHeight="1">
      <c r="A115" s="3" t="inlineStr">
        <is>
          <t>2024::jama.2024.19585::C002</t>
        </is>
      </c>
      <c r="B115" s="3" t="inlineStr">
        <is>
          <t>evidencePaths</t>
        </is>
      </c>
      <c r="C115" s="3" t="n">
        <v>0</v>
      </c>
      <c r="D115" s="3" t="inlineStr">
        <is>
          <t>2024/jama.2024.19585/.ai_paper_validation/review_1_5_3/source_inventory.md</t>
        </is>
      </c>
      <c r="E115" s="3" t="inlineStr">
        <is>
          <t>../../2024/jama.2024.19585/.ai_paper_validation/review_1_5_3/source_inventory.md</t>
        </is>
      </c>
    </row>
    <row r="116" ht="40" customHeight="1">
      <c r="A116" s="2" t="inlineStr">
        <is>
          <t>2024::jama.2024.19585::C003</t>
        </is>
      </c>
      <c r="B116" s="2" t="inlineStr">
        <is>
          <t>sourceLinks</t>
        </is>
      </c>
      <c r="C116" s="2" t="n">
        <v>0</v>
      </c>
      <c r="D116" s="2" t="inlineStr">
        <is>
          <t>joi240111supp2_prod_1733431204.76024.pdf — eTable 10 start, PDF p. 13</t>
        </is>
      </c>
      <c r="E116" s="2" t="inlineStr">
        <is>
          <t>../../2024/jama.2024.19585/joi240111supp2_prod_1733431204.76024.pdf#page=13</t>
        </is>
      </c>
    </row>
    <row r="117" ht="40" customHeight="1">
      <c r="A117" s="3" t="inlineStr">
        <is>
          <t>2024::jama.2024.19585::C003</t>
        </is>
      </c>
      <c r="B117" s="3" t="inlineStr">
        <is>
          <t>sourceLinks</t>
        </is>
      </c>
      <c r="C117" s="3" t="n">
        <v>1</v>
      </c>
      <c r="D117" s="3" t="inlineStr">
        <is>
          <t>joi240111supp2_prod_1733431204.76024.pdf — eTable 10 continued values, PDF p. 14</t>
        </is>
      </c>
      <c r="E117" s="3" t="inlineStr">
        <is>
          <t>../../2024/jama.2024.19585/joi240111supp2_prod_1733431204.76024.pdf#page=14</t>
        </is>
      </c>
    </row>
    <row r="118" ht="40" customHeight="1">
      <c r="A118" s="2" t="inlineStr">
        <is>
          <t>2024::jama.2024.19585::C003</t>
        </is>
      </c>
      <c r="B118" s="2" t="inlineStr">
        <is>
          <t>sourceLinks</t>
        </is>
      </c>
      <c r="C118" s="2" t="n">
        <v>2</v>
      </c>
      <c r="D118" s="2" t="inlineStr">
        <is>
          <t>joi240111supp2_prod_1733431204.76024.pdf — eTable 10 footnote, PDF p. 15</t>
        </is>
      </c>
      <c r="E118" s="2" t="inlineStr">
        <is>
          <t>../../2024/jama.2024.19585/joi240111supp2_prod_1733431204.76024.pdf#page=15</t>
        </is>
      </c>
    </row>
    <row r="119" ht="40" customHeight="1">
      <c r="A119" s="3" t="inlineStr">
        <is>
          <t>2024::jama.2024.19585::C003</t>
        </is>
      </c>
      <c r="B119" s="3" t="inlineStr">
        <is>
          <t>sourceLinks</t>
        </is>
      </c>
      <c r="C119" s="3" t="n">
        <v>3</v>
      </c>
      <c r="D119" s="3" t="inlineStr">
        <is>
          <t>joi240111supp2_prod_1733431204.76024.pdf — eMethods, PDF p. 22</t>
        </is>
      </c>
      <c r="E119" s="3" t="inlineStr">
        <is>
          <t>../../2024/jama.2024.19585/joi240111supp2_prod_1733431204.76024.pdf#page=22</t>
        </is>
      </c>
    </row>
    <row r="120" ht="40" customHeight="1">
      <c r="A120" s="2" t="inlineStr">
        <is>
          <t>2024::jama.2024.19585::C003</t>
        </is>
      </c>
      <c r="B120" s="2" t="inlineStr">
        <is>
          <t>evidencePaths</t>
        </is>
      </c>
      <c r="C120" s="2" t="n">
        <v>0</v>
      </c>
      <c r="D120" s="2" t="inlineStr">
        <is>
          <t>2024/jama.2024.19585/.ai_paper_validation/review_1_5_3/source_inventory.md</t>
        </is>
      </c>
      <c r="E120" s="2" t="inlineStr">
        <is>
          <t>../../2024/jama.2024.19585/.ai_paper_validation/review_1_5_3/source_inventory.md</t>
        </is>
      </c>
    </row>
    <row r="121" ht="30" customHeight="1">
      <c r="A121" s="3" t="inlineStr">
        <is>
          <t>2024::jama.2024.2302::C001</t>
        </is>
      </c>
      <c r="B121" s="3" t="inlineStr">
        <is>
          <t>sourceLinks</t>
        </is>
      </c>
      <c r="C121" s="3" t="n">
        <v>0</v>
      </c>
      <c r="D121" s="3" t="inlineStr">
        <is>
          <t>main article — PDF p. 6</t>
        </is>
      </c>
      <c r="E121" s="3" t="inlineStr">
        <is>
          <t>../../2024/jama.2024.2302/jama_blakely_2024_oi_240020_1710443209.74411.pdf#page=6</t>
        </is>
      </c>
    </row>
    <row r="122" ht="30" customHeight="1">
      <c r="A122" s="2" t="inlineStr">
        <is>
          <t>2024::jama.2024.2302::C001</t>
        </is>
      </c>
      <c r="B122" s="2" t="inlineStr">
        <is>
          <t>sourceLinks</t>
        </is>
      </c>
      <c r="C122" s="2" t="n">
        <v>1</v>
      </c>
      <c r="D122" s="2" t="inlineStr">
        <is>
          <t>results supplement — PDF p. 5</t>
        </is>
      </c>
      <c r="E122" s="2" t="inlineStr">
        <is>
          <t>../../2024/jama.2024.2302/joi240020supp3_prod_1710443209.75411.pdf#page=5</t>
        </is>
      </c>
    </row>
    <row r="123" ht="30" customHeight="1">
      <c r="A123" s="3" t="inlineStr">
        <is>
          <t>2024::jama.2024.2302::C001</t>
        </is>
      </c>
      <c r="B123" s="3" t="inlineStr">
        <is>
          <t>sourceLinks</t>
        </is>
      </c>
      <c r="C123" s="3" t="n">
        <v>2</v>
      </c>
      <c r="D123" s="3" t="inlineStr">
        <is>
          <t>protocol — PDF p. 2</t>
        </is>
      </c>
      <c r="E123" s="3" t="inlineStr">
        <is>
          <t>../../2024/jama.2024.2302/joi240020supp1_prod_1710443209.74911.pdf#page=2</t>
        </is>
      </c>
    </row>
    <row r="124" ht="30" customHeight="1">
      <c r="A124" s="2" t="inlineStr">
        <is>
          <t>2024::jama.2024.2302::C001</t>
        </is>
      </c>
      <c r="B124" s="2" t="inlineStr">
        <is>
          <t>sourceLinks</t>
        </is>
      </c>
      <c r="C124" s="2" t="n">
        <v>3</v>
      </c>
      <c r="D124" s="2" t="inlineStr">
        <is>
          <t>SAP — PDF p. 4</t>
        </is>
      </c>
      <c r="E124" s="2" t="inlineStr">
        <is>
          <t>../../2024/jama.2024.2302/joi240020supp2_prod_1710443209.75411.pdf#page=4</t>
        </is>
      </c>
    </row>
    <row r="125" ht="40" customHeight="1">
      <c r="A125" s="3" t="inlineStr">
        <is>
          <t>2024::jama.2024.2302::C001</t>
        </is>
      </c>
      <c r="B125" s="3" t="inlineStr">
        <is>
          <t>evidencePaths</t>
        </is>
      </c>
      <c r="C125" s="3" t="n">
        <v>0</v>
      </c>
      <c r="D125" s="3" t="inlineStr">
        <is>
          <t>2024/jama.2024.2302/.ai_paper_validation/review_1_5_3/source_inventory.md</t>
        </is>
      </c>
      <c r="E125" s="3" t="inlineStr">
        <is>
          <t>../../2024/jama.2024.2302/.ai_paper_validation/review_1_5_3/source_inventory.md</t>
        </is>
      </c>
    </row>
    <row r="126" ht="40" customHeight="1">
      <c r="A126" s="2" t="inlineStr">
        <is>
          <t>2024::jama.2024.2302::C001</t>
        </is>
      </c>
      <c r="B126" s="2" t="inlineStr">
        <is>
          <t>evidencePaths</t>
        </is>
      </c>
      <c r="C126" s="2" t="n">
        <v>1</v>
      </c>
      <c r="D126" s="2" t="inlineStr">
        <is>
          <t>2024/jama.2024.2302/.ai_paper_validation/review_1_5_3/verification/evidence_recheck.md</t>
        </is>
      </c>
      <c r="E126" s="2" t="inlineStr">
        <is>
          <t>../../2024/jama.2024.2302/.ai_paper_validation/review_1_5_3/verification/evidence_recheck.md</t>
        </is>
      </c>
    </row>
    <row r="127" ht="30" customHeight="1">
      <c r="A127" s="3" t="inlineStr">
        <is>
          <t>2024::jama.2024.2302::C002</t>
        </is>
      </c>
      <c r="B127" s="3" t="inlineStr">
        <is>
          <t>sourceLinks</t>
        </is>
      </c>
      <c r="C127" s="3" t="n">
        <v>0</v>
      </c>
      <c r="D127" s="3" t="inlineStr">
        <is>
          <t>protocol — PDF p. 3</t>
        </is>
      </c>
      <c r="E127" s="3" t="inlineStr">
        <is>
          <t>../../2024/jama.2024.2302/joi240020supp1_prod_1710443209.74911.pdf#page=3</t>
        </is>
      </c>
    </row>
    <row r="128" ht="30" customHeight="1">
      <c r="A128" s="2" t="inlineStr">
        <is>
          <t>2024::jama.2024.2302::C002</t>
        </is>
      </c>
      <c r="B128" s="2" t="inlineStr">
        <is>
          <t>sourceLinks</t>
        </is>
      </c>
      <c r="C128" s="2" t="n">
        <v>1</v>
      </c>
      <c r="D128" s="2" t="inlineStr">
        <is>
          <t>protocol — PDF p. 12</t>
        </is>
      </c>
      <c r="E128" s="2" t="inlineStr">
        <is>
          <t>../../2024/jama.2024.2302/joi240020supp1_prod_1710443209.74911.pdf#page=12</t>
        </is>
      </c>
    </row>
    <row r="129" ht="30" customHeight="1">
      <c r="A129" s="3" t="inlineStr">
        <is>
          <t>2024::jama.2024.2302::C002</t>
        </is>
      </c>
      <c r="B129" s="3" t="inlineStr">
        <is>
          <t>sourceLinks</t>
        </is>
      </c>
      <c r="C129" s="3" t="n">
        <v>2</v>
      </c>
      <c r="D129" s="3" t="inlineStr">
        <is>
          <t>SAP — PDF p. 3</t>
        </is>
      </c>
      <c r="E129" s="3" t="inlineStr">
        <is>
          <t>../../2024/jama.2024.2302/joi240020supp2_prod_1710443209.75411.pdf#page=3</t>
        </is>
      </c>
    </row>
    <row r="130" ht="40" customHeight="1">
      <c r="A130" s="2" t="inlineStr">
        <is>
          <t>2024::jama.2024.2302::C002</t>
        </is>
      </c>
      <c r="B130" s="2" t="inlineStr">
        <is>
          <t>evidencePaths</t>
        </is>
      </c>
      <c r="C130" s="2" t="n">
        <v>0</v>
      </c>
      <c r="D130" s="2" t="inlineStr">
        <is>
          <t>2024/jama.2024.2302/.ai_paper_validation/review_1_5_3/source_inventory.md</t>
        </is>
      </c>
      <c r="E130" s="2" t="inlineStr">
        <is>
          <t>../../2024/jama.2024.2302/.ai_paper_validation/review_1_5_3/source_inventory.md</t>
        </is>
      </c>
    </row>
    <row r="131" ht="40" customHeight="1">
      <c r="A131" s="3" t="inlineStr">
        <is>
          <t>2024::jama.2024.2302::C002</t>
        </is>
      </c>
      <c r="B131" s="3" t="inlineStr">
        <is>
          <t>evidencePaths</t>
        </is>
      </c>
      <c r="C131" s="3" t="n">
        <v>1</v>
      </c>
      <c r="D131" s="3" t="inlineStr">
        <is>
          <t>2024/jama.2024.2302/.ai_paper_validation/review_1_5_3/verification/evidence_recheck.md</t>
        </is>
      </c>
      <c r="E131" s="3" t="inlineStr">
        <is>
          <t>../../2024/jama.2024.2302/.ai_paper_validation/review_1_5_3/verification/evidence_recheck.md</t>
        </is>
      </c>
    </row>
    <row r="132" ht="30" customHeight="1">
      <c r="A132" s="2" t="inlineStr">
        <is>
          <t>2024::jama.2024.2302::C003</t>
        </is>
      </c>
      <c r="B132" s="2" t="inlineStr">
        <is>
          <t>sourceLinks</t>
        </is>
      </c>
      <c r="C132" s="2" t="n">
        <v>0</v>
      </c>
      <c r="D132" s="2" t="inlineStr">
        <is>
          <t>main article — PDF p. 4</t>
        </is>
      </c>
      <c r="E132" s="2" t="inlineStr">
        <is>
          <t>../../2024/jama.2024.2302/jama_blakely_2024_oi_240020_1710443209.74411.pdf#page=4</t>
        </is>
      </c>
    </row>
    <row r="133" ht="30" customHeight="1">
      <c r="A133" s="3" t="inlineStr">
        <is>
          <t>2024::jama.2024.2302::C003</t>
        </is>
      </c>
      <c r="B133" s="3" t="inlineStr">
        <is>
          <t>sourceLinks</t>
        </is>
      </c>
      <c r="C133" s="3" t="n">
        <v>1</v>
      </c>
      <c r="D133" s="3" t="inlineStr">
        <is>
          <t>SAP — PDF p. 8</t>
        </is>
      </c>
      <c r="E133" s="3" t="inlineStr">
        <is>
          <t>../../2024/jama.2024.2302/joi240020supp2_prod_1710443209.75411.pdf#page=8</t>
        </is>
      </c>
    </row>
    <row r="134" ht="40" customHeight="1">
      <c r="A134" s="2" t="inlineStr">
        <is>
          <t>2024::jama.2024.2302::C003</t>
        </is>
      </c>
      <c r="B134" s="2" t="inlineStr">
        <is>
          <t>evidencePaths</t>
        </is>
      </c>
      <c r="C134" s="2" t="n">
        <v>0</v>
      </c>
      <c r="D134" s="2" t="inlineStr">
        <is>
          <t>2024/jama.2024.2302/.ai_paper_validation/review_1_5_3/source_inventory.md</t>
        </is>
      </c>
      <c r="E134" s="2" t="inlineStr">
        <is>
          <t>../../2024/jama.2024.2302/.ai_paper_validation/review_1_5_3/source_inventory.md</t>
        </is>
      </c>
    </row>
    <row r="135" ht="40" customHeight="1">
      <c r="A135" s="3" t="inlineStr">
        <is>
          <t>2024::jama.2024.2302::C003</t>
        </is>
      </c>
      <c r="B135" s="3" t="inlineStr">
        <is>
          <t>evidencePaths</t>
        </is>
      </c>
      <c r="C135" s="3" t="n">
        <v>1</v>
      </c>
      <c r="D135" s="3" t="inlineStr">
        <is>
          <t>2024/jama.2024.2302/.ai_paper_validation/review_1_5_3/verification/evidence_recheck.md</t>
        </is>
      </c>
      <c r="E135" s="3" t="inlineStr">
        <is>
          <t>../../2024/jama.2024.2302/.ai_paper_validation/review_1_5_3/verification/evidence_recheck.md</t>
        </is>
      </c>
    </row>
    <row r="136" ht="30" customHeight="1">
      <c r="A136" s="2" t="inlineStr">
        <is>
          <t>2024::jama.2024.2302::C004</t>
        </is>
      </c>
      <c r="B136" s="2" t="inlineStr">
        <is>
          <t>sourceLinks</t>
        </is>
      </c>
      <c r="C136" s="2" t="n">
        <v>0</v>
      </c>
      <c r="D136" s="2" t="inlineStr">
        <is>
          <t>main article — PDF p. 8</t>
        </is>
      </c>
      <c r="E136" s="2" t="inlineStr">
        <is>
          <t>../../2024/jama.2024.2302/jama_blakely_2024_oi_240020_1710443209.74411.pdf#page=8</t>
        </is>
      </c>
    </row>
    <row r="137" ht="30" customHeight="1">
      <c r="A137" s="3" t="inlineStr">
        <is>
          <t>2024::jama.2024.2302::C004</t>
        </is>
      </c>
      <c r="B137" s="3" t="inlineStr">
        <is>
          <t>sourceLinks</t>
        </is>
      </c>
      <c r="C137" s="3" t="n">
        <v>1</v>
      </c>
      <c r="D137" s="3" t="inlineStr">
        <is>
          <t>SAP — PDF p. 3</t>
        </is>
      </c>
      <c r="E137" s="3" t="inlineStr">
        <is>
          <t>../../2024/jama.2024.2302/joi240020supp2_prod_1710443209.75411.pdf#page=3</t>
        </is>
      </c>
    </row>
    <row r="138" ht="30" customHeight="1">
      <c r="A138" s="2" t="inlineStr">
        <is>
          <t>2024::jama.2024.2302::C004</t>
        </is>
      </c>
      <c r="B138" s="2" t="inlineStr">
        <is>
          <t>sourceLinks</t>
        </is>
      </c>
      <c r="C138" s="2" t="n">
        <v>2</v>
      </c>
      <c r="D138" s="2" t="inlineStr">
        <is>
          <t>SAP — PDF p. 8</t>
        </is>
      </c>
      <c r="E138" s="2" t="inlineStr">
        <is>
          <t>../../2024/jama.2024.2302/joi240020supp2_prod_1710443209.75411.pdf#page=8</t>
        </is>
      </c>
    </row>
    <row r="139" ht="30" customHeight="1">
      <c r="A139" s="3" t="inlineStr">
        <is>
          <t>2024::jama.2024.2302::C004</t>
        </is>
      </c>
      <c r="B139" s="3" t="inlineStr">
        <is>
          <t>sourceLinks</t>
        </is>
      </c>
      <c r="C139" s="3" t="n">
        <v>3</v>
      </c>
      <c r="D139" s="3" t="inlineStr">
        <is>
          <t>SAP — PDF p. 9</t>
        </is>
      </c>
      <c r="E139" s="3" t="inlineStr">
        <is>
          <t>../../2024/jama.2024.2302/joi240020supp2_prod_1710443209.75411.pdf#page=9</t>
        </is>
      </c>
    </row>
    <row r="140" ht="40" customHeight="1">
      <c r="A140" s="2" t="inlineStr">
        <is>
          <t>2024::jama.2024.2302::C004</t>
        </is>
      </c>
      <c r="B140" s="2" t="inlineStr">
        <is>
          <t>evidencePaths</t>
        </is>
      </c>
      <c r="C140" s="2" t="n">
        <v>0</v>
      </c>
      <c r="D140" s="2" t="inlineStr">
        <is>
          <t>2024/jama.2024.2302/.ai_paper_validation/review_1_5_3/source_inventory.md</t>
        </is>
      </c>
      <c r="E140" s="2" t="inlineStr">
        <is>
          <t>../../2024/jama.2024.2302/.ai_paper_validation/review_1_5_3/source_inventory.md</t>
        </is>
      </c>
    </row>
    <row r="141" ht="40" customHeight="1">
      <c r="A141" s="3" t="inlineStr">
        <is>
          <t>2024::jama.2024.2302::C004</t>
        </is>
      </c>
      <c r="B141" s="3" t="inlineStr">
        <is>
          <t>evidencePaths</t>
        </is>
      </c>
      <c r="C141" s="3" t="n">
        <v>1</v>
      </c>
      <c r="D141" s="3" t="inlineStr">
        <is>
          <t>2024/jama.2024.2302/.ai_paper_validation/review_1_5_3/verification/evidence_recheck.md</t>
        </is>
      </c>
      <c r="E141" s="3" t="inlineStr">
        <is>
          <t>../../2024/jama.2024.2302/.ai_paper_validation/review_1_5_3/verification/evidence_recheck.md</t>
        </is>
      </c>
    </row>
    <row r="142" ht="30" customHeight="1">
      <c r="A142" s="2" t="inlineStr">
        <is>
          <t>2024::jama.2024.2302::C005</t>
        </is>
      </c>
      <c r="B142" s="2" t="inlineStr">
        <is>
          <t>sourceLinks</t>
        </is>
      </c>
      <c r="C142" s="2" t="n">
        <v>0</v>
      </c>
      <c r="D142" s="2" t="inlineStr">
        <is>
          <t>protocol — PDF p. 3</t>
        </is>
      </c>
      <c r="E142" s="2" t="inlineStr">
        <is>
          <t>../../2024/jama.2024.2302/joi240020supp1_prod_1710443209.74911.pdf#page=3</t>
        </is>
      </c>
    </row>
    <row r="143" ht="30" customHeight="1">
      <c r="A143" s="3" t="inlineStr">
        <is>
          <t>2024::jama.2024.2302::C005</t>
        </is>
      </c>
      <c r="B143" s="3" t="inlineStr">
        <is>
          <t>sourceLinks</t>
        </is>
      </c>
      <c r="C143" s="3" t="n">
        <v>1</v>
      </c>
      <c r="D143" s="3" t="inlineStr">
        <is>
          <t>protocol — PDF p. 11</t>
        </is>
      </c>
      <c r="E143" s="3" t="inlineStr">
        <is>
          <t>../../2024/jama.2024.2302/joi240020supp1_prod_1710443209.74911.pdf#page=11</t>
        </is>
      </c>
    </row>
    <row r="144" ht="30" customHeight="1">
      <c r="A144" s="2" t="inlineStr">
        <is>
          <t>2024::jama.2024.2302::C005</t>
        </is>
      </c>
      <c r="B144" s="2" t="inlineStr">
        <is>
          <t>sourceLinks</t>
        </is>
      </c>
      <c r="C144" s="2" t="n">
        <v>2</v>
      </c>
      <c r="D144" s="2" t="inlineStr">
        <is>
          <t>SAP — PDF p. 7</t>
        </is>
      </c>
      <c r="E144" s="2" t="inlineStr">
        <is>
          <t>../../2024/jama.2024.2302/joi240020supp2_prod_1710443209.75411.pdf#page=7</t>
        </is>
      </c>
    </row>
    <row r="145" ht="30" customHeight="1">
      <c r="A145" s="3" t="inlineStr">
        <is>
          <t>2024::jama.2024.2302::C005</t>
        </is>
      </c>
      <c r="B145" s="3" t="inlineStr">
        <is>
          <t>sourceLinks</t>
        </is>
      </c>
      <c r="C145" s="3" t="n">
        <v>3</v>
      </c>
      <c r="D145" s="3" t="inlineStr">
        <is>
          <t>main article — PDF p. 3</t>
        </is>
      </c>
      <c r="E145" s="3" t="inlineStr">
        <is>
          <t>../../2024/jama.2024.2302/jama_blakely_2024_oi_240020_1710443209.74411.pdf#page=3</t>
        </is>
      </c>
    </row>
    <row r="146" ht="30" customHeight="1">
      <c r="A146" s="2" t="inlineStr">
        <is>
          <t>2024::jama.2024.2302::C005</t>
        </is>
      </c>
      <c r="B146" s="2" t="inlineStr">
        <is>
          <t>sourceLinks</t>
        </is>
      </c>
      <c r="C146" s="2" t="n">
        <v>4</v>
      </c>
      <c r="D146" s="2" t="inlineStr">
        <is>
          <t>Main article — PDF p. 6</t>
        </is>
      </c>
      <c r="E146" s="2" t="inlineStr">
        <is>
          <t>../../2024/jama.2024.2302/jama_blakely_2024_oi_240020_1710443209.74411.pdf#page=6</t>
        </is>
      </c>
    </row>
    <row r="147" ht="40" customHeight="1">
      <c r="A147" s="3" t="inlineStr">
        <is>
          <t>2024::jama.2024.2302::C005</t>
        </is>
      </c>
      <c r="B147" s="3" t="inlineStr">
        <is>
          <t>evidencePaths</t>
        </is>
      </c>
      <c r="C147" s="3" t="n">
        <v>0</v>
      </c>
      <c r="D147" s="3" t="inlineStr">
        <is>
          <t>2024/jama.2024.2302/.ai_paper_validation/review_1_5_3/source_inventory.md</t>
        </is>
      </c>
      <c r="E147" s="3" t="inlineStr">
        <is>
          <t>../../2024/jama.2024.2302/.ai_paper_validation/review_1_5_3/source_inventory.md</t>
        </is>
      </c>
    </row>
    <row r="148" ht="40" customHeight="1">
      <c r="A148" s="2" t="inlineStr">
        <is>
          <t>2024::jama.2024.2302::C005</t>
        </is>
      </c>
      <c r="B148" s="2" t="inlineStr">
        <is>
          <t>evidencePaths</t>
        </is>
      </c>
      <c r="C148" s="2" t="n">
        <v>1</v>
      </c>
      <c r="D148" s="2" t="inlineStr">
        <is>
          <t>2024/jama.2024.2302/.ai_paper_validation/review_1_5_3/verification/evidence_recheck.md</t>
        </is>
      </c>
      <c r="E148" s="2" t="inlineStr">
        <is>
          <t>../../2024/jama.2024.2302/.ai_paper_validation/review_1_5_3/verification/evidence_recheck.md</t>
        </is>
      </c>
    </row>
    <row r="149" ht="30" customHeight="1">
      <c r="A149" s="3" t="inlineStr">
        <is>
          <t>2024::jama.2024.23898::C001</t>
        </is>
      </c>
      <c r="B149" s="3" t="inlineStr">
        <is>
          <t>sourceLinks</t>
        </is>
      </c>
      <c r="C149" s="3" t="n">
        <v>0</v>
      </c>
      <c r="D149" s="3" t="inlineStr">
        <is>
          <t>main article — PDF p. 1</t>
        </is>
      </c>
      <c r="E149" s="3" t="inlineStr">
        <is>
          <t>../../2024/jama.2024.23898/jama_paterson_2024_oi_240139_1741633738.12862.pdf#page=1</t>
        </is>
      </c>
    </row>
    <row r="150" ht="30" customHeight="1">
      <c r="A150" s="2" t="inlineStr">
        <is>
          <t>2024::jama.2024.23898::C001</t>
        </is>
      </c>
      <c r="B150" s="2" t="inlineStr">
        <is>
          <t>sourceLinks</t>
        </is>
      </c>
      <c r="C150" s="2" t="n">
        <v>1</v>
      </c>
      <c r="D150" s="2" t="inlineStr">
        <is>
          <t>main article — PDF p. 5</t>
        </is>
      </c>
      <c r="E150" s="2" t="inlineStr">
        <is>
          <t>../../2024/jama.2024.23898/jama_paterson_2024_oi_240139_1741633738.12862.pdf#page=5</t>
        </is>
      </c>
    </row>
    <row r="151" ht="30" customHeight="1">
      <c r="A151" s="3" t="inlineStr">
        <is>
          <t>2024::jama.2024.23898::C001</t>
        </is>
      </c>
      <c r="B151" s="3" t="inlineStr">
        <is>
          <t>sourceLinks</t>
        </is>
      </c>
      <c r="C151" s="3" t="n">
        <v>2</v>
      </c>
      <c r="D151" s="3" t="inlineStr">
        <is>
          <t>main article — PDF p. 6</t>
        </is>
      </c>
      <c r="E151" s="3" t="inlineStr">
        <is>
          <t>../../2024/jama.2024.23898/jama_paterson_2024_oi_240139_1741633738.12862.pdf#page=6</t>
        </is>
      </c>
    </row>
    <row r="152" ht="30" customHeight="1">
      <c r="A152" s="2" t="inlineStr">
        <is>
          <t>2024::jama.2024.23898::C001</t>
        </is>
      </c>
      <c r="B152" s="2" t="inlineStr">
        <is>
          <t>sourceLinks</t>
        </is>
      </c>
      <c r="C152" s="2" t="n">
        <v>3</v>
      </c>
      <c r="D152" s="2" t="inlineStr">
        <is>
          <t>SAP — PDF p. 9</t>
        </is>
      </c>
      <c r="E152" s="2" t="inlineStr">
        <is>
          <t>../../2024/jama.2024.23898/joi240139supp2_prod_1741633738.17362.pdf#page=9</t>
        </is>
      </c>
    </row>
    <row r="153" ht="40" customHeight="1">
      <c r="A153" s="3" t="inlineStr">
        <is>
          <t>2024::jama.2024.23898::C001</t>
        </is>
      </c>
      <c r="B153" s="3" t="inlineStr">
        <is>
          <t>evidencePaths</t>
        </is>
      </c>
      <c r="C153" s="3" t="n">
        <v>0</v>
      </c>
      <c r="D153" s="3" t="inlineStr">
        <is>
          <t>2024/jama.2024.23898/.ai_paper_validation/review_1_5_3/source_inventory.md</t>
        </is>
      </c>
      <c r="E153" s="3" t="inlineStr">
        <is>
          <t>../../2024/jama.2024.23898/.ai_paper_validation/review_1_5_3/source_inventory.md</t>
        </is>
      </c>
    </row>
    <row r="154" ht="40" customHeight="1">
      <c r="A154" s="2" t="inlineStr">
        <is>
          <t>2024::jama.2024.23898::C001</t>
        </is>
      </c>
      <c r="B154" s="2" t="inlineStr">
        <is>
          <t>evidencePaths</t>
        </is>
      </c>
      <c r="C154" s="2" t="n">
        <v>1</v>
      </c>
      <c r="D154" s="2" t="inlineStr">
        <is>
          <t>2024/jama.2024.23898/.ai_paper_validation/review_1_5_3/checkers/cross_source_consistency.md</t>
        </is>
      </c>
      <c r="E154" s="2" t="inlineStr">
        <is>
          <t>../../2024/jama.2024.23898/.ai_paper_validation/review_1_5_3/checkers/cross_source_consistency.md</t>
        </is>
      </c>
    </row>
    <row r="155" ht="40" customHeight="1">
      <c r="A155" s="3" t="inlineStr">
        <is>
          <t>2024::jama.2024.23898::C001</t>
        </is>
      </c>
      <c r="B155" s="3" t="inlineStr">
        <is>
          <t>evidencePaths</t>
        </is>
      </c>
      <c r="C155" s="3" t="n">
        <v>2</v>
      </c>
      <c r="D155" s="3" t="inlineStr">
        <is>
          <t>2024/jama.2024.23898/.ai_paper_validation/review_1_5_3/checkers/statistical_pass_2.md</t>
        </is>
      </c>
      <c r="E155" s="3" t="inlineStr">
        <is>
          <t>../../2024/jama.2024.23898/.ai_paper_validation/review_1_5_3/checkers/statistical_pass_2.md</t>
        </is>
      </c>
    </row>
    <row r="156" ht="30" customHeight="1">
      <c r="A156" s="2" t="inlineStr">
        <is>
          <t>2024::jama.2024.23898::C002</t>
        </is>
      </c>
      <c r="B156" s="2" t="inlineStr">
        <is>
          <t>sourceLinks</t>
        </is>
      </c>
      <c r="C156" s="2" t="n">
        <v>0</v>
      </c>
      <c r="D156" s="2" t="inlineStr">
        <is>
          <t>main article — PDF p. 4</t>
        </is>
      </c>
      <c r="E156" s="2" t="inlineStr">
        <is>
          <t>../../2024/jama.2024.23898/jama_paterson_2024_oi_240139_1741633738.12862.pdf#page=4</t>
        </is>
      </c>
    </row>
    <row r="157" ht="30" customHeight="1">
      <c r="A157" s="3" t="inlineStr">
        <is>
          <t>2024::jama.2024.23898::C002</t>
        </is>
      </c>
      <c r="B157" s="3" t="inlineStr">
        <is>
          <t>sourceLinks</t>
        </is>
      </c>
      <c r="C157" s="3" t="n">
        <v>1</v>
      </c>
      <c r="D157" s="3" t="inlineStr">
        <is>
          <t>main article — PDF p. 6</t>
        </is>
      </c>
      <c r="E157" s="3" t="inlineStr">
        <is>
          <t>../../2024/jama.2024.23898/jama_paterson_2024_oi_240139_1741633738.12862.pdf#page=6</t>
        </is>
      </c>
    </row>
    <row r="158" ht="30" customHeight="1">
      <c r="A158" s="2" t="inlineStr">
        <is>
          <t>2024::jama.2024.23898::C002</t>
        </is>
      </c>
      <c r="B158" s="2" t="inlineStr">
        <is>
          <t>sourceLinks</t>
        </is>
      </c>
      <c r="C158" s="2" t="n">
        <v>2</v>
      </c>
      <c r="D158" s="2" t="inlineStr">
        <is>
          <t>protocol — PDF p. 17</t>
        </is>
      </c>
      <c r="E158" s="2" t="inlineStr">
        <is>
          <t>../../2024/jama.2024.23898/joi240139supp1_prod_1741633738.16362.pdf#page=17</t>
        </is>
      </c>
    </row>
    <row r="159" ht="30" customHeight="1">
      <c r="A159" s="3" t="inlineStr">
        <is>
          <t>2024::jama.2024.23898::C002</t>
        </is>
      </c>
      <c r="B159" s="3" t="inlineStr">
        <is>
          <t>sourceLinks</t>
        </is>
      </c>
      <c r="C159" s="3" t="n">
        <v>3</v>
      </c>
      <c r="D159" s="3" t="inlineStr">
        <is>
          <t>SAP — PDF p. 11</t>
        </is>
      </c>
      <c r="E159" s="3" t="inlineStr">
        <is>
          <t>../../2024/jama.2024.23898/joi240139supp2_prod_1741633738.17362.pdf#page=11</t>
        </is>
      </c>
    </row>
    <row r="160" ht="40" customHeight="1">
      <c r="A160" s="2" t="inlineStr">
        <is>
          <t>2024::jama.2024.23898::C002</t>
        </is>
      </c>
      <c r="B160" s="2" t="inlineStr">
        <is>
          <t>evidencePaths</t>
        </is>
      </c>
      <c r="C160" s="2" t="n">
        <v>0</v>
      </c>
      <c r="D160" s="2" t="inlineStr">
        <is>
          <t>2024/jama.2024.23898/.ai_paper_validation/review_1_5_3/source_inventory.md</t>
        </is>
      </c>
      <c r="E160" s="2" t="inlineStr">
        <is>
          <t>../../2024/jama.2024.23898/.ai_paper_validation/review_1_5_3/source_inventory.md</t>
        </is>
      </c>
    </row>
    <row r="161" ht="40" customHeight="1">
      <c r="A161" s="3" t="inlineStr">
        <is>
          <t>2024::jama.2024.23898::C002</t>
        </is>
      </c>
      <c r="B161" s="3" t="inlineStr">
        <is>
          <t>evidencePaths</t>
        </is>
      </c>
      <c r="C161" s="3" t="n">
        <v>1</v>
      </c>
      <c r="D161" s="3" t="inlineStr">
        <is>
          <t>2024/jama.2024.23898/.ai_paper_validation/review_1_5_3/checkers/cross_source_consistency.md</t>
        </is>
      </c>
      <c r="E161" s="3" t="inlineStr">
        <is>
          <t>../../2024/jama.2024.23898/.ai_paper_validation/review_1_5_3/checkers/cross_source_consistency.md</t>
        </is>
      </c>
    </row>
    <row r="162" ht="40" customHeight="1">
      <c r="A162" s="2" t="inlineStr">
        <is>
          <t>2024::jama.2024.23898::C002</t>
        </is>
      </c>
      <c r="B162" s="2" t="inlineStr">
        <is>
          <t>evidencePaths</t>
        </is>
      </c>
      <c r="C162" s="2" t="n">
        <v>2</v>
      </c>
      <c r="D162" s="2" t="inlineStr">
        <is>
          <t>2024/jama.2024.23898/.ai_paper_validation/review_1_5_3/checkers/statistical_pass_2.md</t>
        </is>
      </c>
      <c r="E162" s="2" t="inlineStr">
        <is>
          <t>../../2024/jama.2024.23898/.ai_paper_validation/review_1_5_3/checkers/statistical_pass_2.md</t>
        </is>
      </c>
    </row>
    <row r="163" ht="30" customHeight="1">
      <c r="A163" s="3" t="inlineStr">
        <is>
          <t>2024::jama.2024.23898::C003</t>
        </is>
      </c>
      <c r="B163" s="3" t="inlineStr">
        <is>
          <t>sourceLinks</t>
        </is>
      </c>
      <c r="C163" s="3" t="n">
        <v>0</v>
      </c>
      <c r="D163" s="3" t="inlineStr">
        <is>
          <t>main article — PDF p. 4</t>
        </is>
      </c>
      <c r="E163" s="3" t="inlineStr">
        <is>
          <t>../../2024/jama.2024.23898/jama_paterson_2024_oi_240139_1741633738.12862.pdf#page=4</t>
        </is>
      </c>
    </row>
    <row r="164" ht="30" customHeight="1">
      <c r="A164" s="2" t="inlineStr">
        <is>
          <t>2024::jama.2024.23898::C003</t>
        </is>
      </c>
      <c r="B164" s="2" t="inlineStr">
        <is>
          <t>sourceLinks</t>
        </is>
      </c>
      <c r="C164" s="2" t="n">
        <v>1</v>
      </c>
      <c r="D164" s="2" t="inlineStr">
        <is>
          <t>main article — PDF p. 8</t>
        </is>
      </c>
      <c r="E164" s="2" t="inlineStr">
        <is>
          <t>../../2024/jama.2024.23898/jama_paterson_2024_oi_240139_1741633738.12862.pdf#page=8</t>
        </is>
      </c>
    </row>
    <row r="165" ht="30" customHeight="1">
      <c r="A165" s="3" t="inlineStr">
        <is>
          <t>2024::jama.2024.23898::C003</t>
        </is>
      </c>
      <c r="B165" s="3" t="inlineStr">
        <is>
          <t>sourceLinks</t>
        </is>
      </c>
      <c r="C165" s="3" t="n">
        <v>2</v>
      </c>
      <c r="D165" s="3" t="inlineStr">
        <is>
          <t>protocol — PDF p. 18</t>
        </is>
      </c>
      <c r="E165" s="3" t="inlineStr">
        <is>
          <t>../../2024/jama.2024.23898/joi240139supp1_prod_1741633738.16362.pdf#page=18</t>
        </is>
      </c>
    </row>
    <row r="166" ht="30" customHeight="1">
      <c r="A166" s="2" t="inlineStr">
        <is>
          <t>2024::jama.2024.23898::C003</t>
        </is>
      </c>
      <c r="B166" s="2" t="inlineStr">
        <is>
          <t>sourceLinks</t>
        </is>
      </c>
      <c r="C166" s="2" t="n">
        <v>3</v>
      </c>
      <c r="D166" s="2" t="inlineStr">
        <is>
          <t>SAP — PDF p. 10</t>
        </is>
      </c>
      <c r="E166" s="2" t="inlineStr">
        <is>
          <t>../../2024/jama.2024.23898/joi240139supp2_prod_1741633738.17362.pdf#page=10</t>
        </is>
      </c>
    </row>
    <row r="167" ht="30" customHeight="1">
      <c r="A167" s="3" t="inlineStr">
        <is>
          <t>2024::jama.2024.23898::C003</t>
        </is>
      </c>
      <c r="B167" s="3" t="inlineStr">
        <is>
          <t>sourceLinks</t>
        </is>
      </c>
      <c r="C167" s="3" t="n">
        <v>4</v>
      </c>
      <c r="D167" s="3" t="inlineStr">
        <is>
          <t>SAP — PDF p. 27</t>
        </is>
      </c>
      <c r="E167" s="3" t="inlineStr">
        <is>
          <t>../../2024/jama.2024.23898/joi240139supp2_prod_1741633738.17362.pdf#page=27</t>
        </is>
      </c>
    </row>
    <row r="168" ht="40" customHeight="1">
      <c r="A168" s="2" t="inlineStr">
        <is>
          <t>2024::jama.2024.23898::C003</t>
        </is>
      </c>
      <c r="B168" s="2" t="inlineStr">
        <is>
          <t>evidencePaths</t>
        </is>
      </c>
      <c r="C168" s="2" t="n">
        <v>0</v>
      </c>
      <c r="D168" s="2" t="inlineStr">
        <is>
          <t>2024/jama.2024.23898/.ai_paper_validation/review_1_5_3/source_inventory.md</t>
        </is>
      </c>
      <c r="E168" s="2" t="inlineStr">
        <is>
          <t>../../2024/jama.2024.23898/.ai_paper_validation/review_1_5_3/source_inventory.md</t>
        </is>
      </c>
    </row>
    <row r="169" ht="40" customHeight="1">
      <c r="A169" s="3" t="inlineStr">
        <is>
          <t>2024::jama.2024.23898::C003</t>
        </is>
      </c>
      <c r="B169" s="3" t="inlineStr">
        <is>
          <t>evidencePaths</t>
        </is>
      </c>
      <c r="C169" s="3" t="n">
        <v>1</v>
      </c>
      <c r="D169" s="3" t="inlineStr">
        <is>
          <t>2024/jama.2024.23898/.ai_paper_validation/review_1_5_3/checkers/cross_source_consistency.md</t>
        </is>
      </c>
      <c r="E169" s="3" t="inlineStr">
        <is>
          <t>../../2024/jama.2024.23898/.ai_paper_validation/review_1_5_3/checkers/cross_source_consistency.md</t>
        </is>
      </c>
    </row>
    <row r="170" ht="40" customHeight="1">
      <c r="A170" s="2" t="inlineStr">
        <is>
          <t>2024::jama.2024.23898::C003</t>
        </is>
      </c>
      <c r="B170" s="2" t="inlineStr">
        <is>
          <t>evidencePaths</t>
        </is>
      </c>
      <c r="C170" s="2" t="n">
        <v>2</v>
      </c>
      <c r="D170" s="2" t="inlineStr">
        <is>
          <t>2024/jama.2024.23898/.ai_paper_validation/review_1_5_3/checkers/statistical_pass_2.md</t>
        </is>
      </c>
      <c r="E170" s="2" t="inlineStr">
        <is>
          <t>../../2024/jama.2024.23898/.ai_paper_validation/review_1_5_3/checkers/statistical_pass_2.md</t>
        </is>
      </c>
    </row>
    <row r="171" ht="30" customHeight="1">
      <c r="A171" s="3" t="inlineStr">
        <is>
          <t>2024::jama.2024.23898::C004</t>
        </is>
      </c>
      <c r="B171" s="3" t="inlineStr">
        <is>
          <t>sourceLinks</t>
        </is>
      </c>
      <c r="C171" s="3" t="n">
        <v>0</v>
      </c>
      <c r="D171" s="3" t="inlineStr">
        <is>
          <t>protocol — PDF p. 17</t>
        </is>
      </c>
      <c r="E171" s="3" t="inlineStr">
        <is>
          <t>../../2024/jama.2024.23898/joi240139supp1_prod_1741633738.16362.pdf#page=17</t>
        </is>
      </c>
    </row>
    <row r="172" ht="30" customHeight="1">
      <c r="A172" s="2" t="inlineStr">
        <is>
          <t>2024::jama.2024.23898::C004</t>
        </is>
      </c>
      <c r="B172" s="2" t="inlineStr">
        <is>
          <t>sourceLinks</t>
        </is>
      </c>
      <c r="C172" s="2" t="n">
        <v>1</v>
      </c>
      <c r="D172" s="2" t="inlineStr">
        <is>
          <t>protocol — PDF p. 18</t>
        </is>
      </c>
      <c r="E172" s="2" t="inlineStr">
        <is>
          <t>../../2024/jama.2024.23898/joi240139supp1_prod_1741633738.16362.pdf#page=18</t>
        </is>
      </c>
    </row>
    <row r="173" ht="30" customHeight="1">
      <c r="A173" s="3" t="inlineStr">
        <is>
          <t>2024::jama.2024.23898::C004</t>
        </is>
      </c>
      <c r="B173" s="3" t="inlineStr">
        <is>
          <t>sourceLinks</t>
        </is>
      </c>
      <c r="C173" s="3" t="n">
        <v>2</v>
      </c>
      <c r="D173" s="3" t="inlineStr">
        <is>
          <t>SAP — PDF p. 15</t>
        </is>
      </c>
      <c r="E173" s="3" t="inlineStr">
        <is>
          <t>../../2024/jama.2024.23898/joi240139supp2_prod_1741633738.17362.pdf#page=15</t>
        </is>
      </c>
    </row>
    <row r="174" ht="30" customHeight="1">
      <c r="A174" s="2" t="inlineStr">
        <is>
          <t>2024::jama.2024.23898::C004</t>
        </is>
      </c>
      <c r="B174" s="2" t="inlineStr">
        <is>
          <t>sourceLinks</t>
        </is>
      </c>
      <c r="C174" s="2" t="n">
        <v>3</v>
      </c>
      <c r="D174" s="2" t="inlineStr">
        <is>
          <t>results supplement — PDF p. 2</t>
        </is>
      </c>
      <c r="E174" s="2" t="inlineStr">
        <is>
          <t>../../2024/jama.2024.23898/joi240139supp3_prod_1741633738.18862.pdf#page=2</t>
        </is>
      </c>
    </row>
    <row r="175" ht="40" customHeight="1">
      <c r="A175" s="3" t="inlineStr">
        <is>
          <t>2024::jama.2024.23898::C004</t>
        </is>
      </c>
      <c r="B175" s="3" t="inlineStr">
        <is>
          <t>evidencePaths</t>
        </is>
      </c>
      <c r="C175" s="3" t="n">
        <v>0</v>
      </c>
      <c r="D175" s="3" t="inlineStr">
        <is>
          <t>2024/jama.2024.23898/.ai_paper_validation/review_1_5_3/source_inventory.md</t>
        </is>
      </c>
      <c r="E175" s="3" t="inlineStr">
        <is>
          <t>../../2024/jama.2024.23898/.ai_paper_validation/review_1_5_3/source_inventory.md</t>
        </is>
      </c>
    </row>
    <row r="176" ht="40" customHeight="1">
      <c r="A176" s="2" t="inlineStr">
        <is>
          <t>2024::jama.2024.23898::C004</t>
        </is>
      </c>
      <c r="B176" s="2" t="inlineStr">
        <is>
          <t>evidencePaths</t>
        </is>
      </c>
      <c r="C176" s="2" t="n">
        <v>1</v>
      </c>
      <c r="D176" s="2" t="inlineStr">
        <is>
          <t>2024/jama.2024.23898/.ai_paper_validation/review_1_5_3/checkers/cross_source_consistency.md</t>
        </is>
      </c>
      <c r="E176" s="2" t="inlineStr">
        <is>
          <t>../../2024/jama.2024.23898/.ai_paper_validation/review_1_5_3/checkers/cross_source_consistency.md</t>
        </is>
      </c>
    </row>
    <row r="177" ht="40" customHeight="1">
      <c r="A177" s="3" t="inlineStr">
        <is>
          <t>2024::jama.2024.23898::C004</t>
        </is>
      </c>
      <c r="B177" s="3" t="inlineStr">
        <is>
          <t>evidencePaths</t>
        </is>
      </c>
      <c r="C177" s="3" t="n">
        <v>2</v>
      </c>
      <c r="D177" s="3" t="inlineStr">
        <is>
          <t>2024/jama.2024.23898/.ai_paper_validation/review_1_5_3/checkers/statistical_pass_2.md</t>
        </is>
      </c>
      <c r="E177" s="3" t="inlineStr">
        <is>
          <t>../../2024/jama.2024.23898/.ai_paper_validation/review_1_5_3/checkers/statistical_pass_2.md</t>
        </is>
      </c>
    </row>
    <row r="178" ht="30" customHeight="1">
      <c r="A178" s="2" t="inlineStr">
        <is>
          <t>2024::jama.2024.23898::C005</t>
        </is>
      </c>
      <c r="B178" s="2" t="inlineStr">
        <is>
          <t>sourceLinks</t>
        </is>
      </c>
      <c r="C178" s="2" t="n">
        <v>0</v>
      </c>
      <c r="D178" s="2" t="inlineStr">
        <is>
          <t>results supplement — PDF p. 2</t>
        </is>
      </c>
      <c r="E178" s="2" t="inlineStr">
        <is>
          <t>../../2024/jama.2024.23898/joi240139supp3_prod_1741633738.18862.pdf#page=2</t>
        </is>
      </c>
    </row>
    <row r="179" ht="30" customHeight="1">
      <c r="A179" s="3" t="inlineStr">
        <is>
          <t>2024::jama.2024.23898::C005</t>
        </is>
      </c>
      <c r="B179" s="3" t="inlineStr">
        <is>
          <t>sourceLinks</t>
        </is>
      </c>
      <c r="C179" s="3" t="n">
        <v>1</v>
      </c>
      <c r="D179" s="3" t="inlineStr">
        <is>
          <t>SAP — PDF p. 15</t>
        </is>
      </c>
      <c r="E179" s="3" t="inlineStr">
        <is>
          <t>../../2024/jama.2024.23898/joi240139supp2_prod_1741633738.17362.pdf#page=15</t>
        </is>
      </c>
    </row>
    <row r="180" ht="40" customHeight="1">
      <c r="A180" s="2" t="inlineStr">
        <is>
          <t>2024::jama.2024.23898::C005</t>
        </is>
      </c>
      <c r="B180" s="2" t="inlineStr">
        <is>
          <t>evidencePaths</t>
        </is>
      </c>
      <c r="C180" s="2" t="n">
        <v>0</v>
      </c>
      <c r="D180" s="2" t="inlineStr">
        <is>
          <t>2024/jama.2024.23898/.ai_paper_validation/review_1_5_3/source_inventory.md</t>
        </is>
      </c>
      <c r="E180" s="2" t="inlineStr">
        <is>
          <t>../../2024/jama.2024.23898/.ai_paper_validation/review_1_5_3/source_inventory.md</t>
        </is>
      </c>
    </row>
    <row r="181" ht="40" customHeight="1">
      <c r="A181" s="3" t="inlineStr">
        <is>
          <t>2024::jama.2024.23898::C005</t>
        </is>
      </c>
      <c r="B181" s="3" t="inlineStr">
        <is>
          <t>evidencePaths</t>
        </is>
      </c>
      <c r="C181" s="3" t="n">
        <v>1</v>
      </c>
      <c r="D181" s="3" t="inlineStr">
        <is>
          <t>2024/jama.2024.23898/.ai_paper_validation/review_1_5_3/checkers/statistical_pass_2.md</t>
        </is>
      </c>
      <c r="E181" s="3" t="inlineStr">
        <is>
          <t>../../2024/jama.2024.23898/.ai_paper_validation/review_1_5_3/checkers/statistical_pass_2.md</t>
        </is>
      </c>
    </row>
    <row r="182" ht="30" customHeight="1">
      <c r="A182" s="2" t="inlineStr">
        <is>
          <t>2024::jama.2024.23898::C006</t>
        </is>
      </c>
      <c r="B182" s="2" t="inlineStr">
        <is>
          <t>sourceLinks</t>
        </is>
      </c>
      <c r="C182" s="2" t="n">
        <v>0</v>
      </c>
      <c r="D182" s="2" t="inlineStr">
        <is>
          <t>main article — PDF p. 5</t>
        </is>
      </c>
      <c r="E182" s="2" t="inlineStr">
        <is>
          <t>../../2024/jama.2024.23898/jama_paterson_2024_oi_240139_1741633738.12862.pdf#page=5</t>
        </is>
      </c>
    </row>
    <row r="183" ht="30" customHeight="1">
      <c r="A183" s="3" t="inlineStr">
        <is>
          <t>2024::jama.2024.23898::C006</t>
        </is>
      </c>
      <c r="B183" s="3" t="inlineStr">
        <is>
          <t>sourceLinks</t>
        </is>
      </c>
      <c r="C183" s="3" t="n">
        <v>1</v>
      </c>
      <c r="D183" s="3" t="inlineStr">
        <is>
          <t>main article — PDF p. 6</t>
        </is>
      </c>
      <c r="E183" s="3" t="inlineStr">
        <is>
          <t>../../2024/jama.2024.23898/jama_paterson_2024_oi_240139_1741633738.12862.pdf#page=6</t>
        </is>
      </c>
    </row>
    <row r="184" ht="30" customHeight="1">
      <c r="A184" s="2" t="inlineStr">
        <is>
          <t>2024::jama.2024.23898::C006</t>
        </is>
      </c>
      <c r="B184" s="2" t="inlineStr">
        <is>
          <t>sourceLinks</t>
        </is>
      </c>
      <c r="C184" s="2" t="n">
        <v>2</v>
      </c>
      <c r="D184" s="2" t="inlineStr">
        <is>
          <t>SAP — PDF p. 13</t>
        </is>
      </c>
      <c r="E184" s="2" t="inlineStr">
        <is>
          <t>../../2024/jama.2024.23898/joi240139supp2_prod_1741633738.17362.pdf#page=13</t>
        </is>
      </c>
    </row>
    <row r="185" ht="30" customHeight="1">
      <c r="A185" s="3" t="inlineStr">
        <is>
          <t>2024::jama.2024.23898::C006</t>
        </is>
      </c>
      <c r="B185" s="3" t="inlineStr">
        <is>
          <t>sourceLinks</t>
        </is>
      </c>
      <c r="C185" s="3" t="n">
        <v>3</v>
      </c>
      <c r="D185" s="3" t="inlineStr">
        <is>
          <t>SAP — PDF p. 14</t>
        </is>
      </c>
      <c r="E185" s="3" t="inlineStr">
        <is>
          <t>../../2024/jama.2024.23898/joi240139supp2_prod_1741633738.17362.pdf#page=14</t>
        </is>
      </c>
    </row>
    <row r="186" ht="40" customHeight="1">
      <c r="A186" s="2" t="inlineStr">
        <is>
          <t>2024::jama.2024.23898::C006</t>
        </is>
      </c>
      <c r="B186" s="2" t="inlineStr">
        <is>
          <t>evidencePaths</t>
        </is>
      </c>
      <c r="C186" s="2" t="n">
        <v>0</v>
      </c>
      <c r="D186" s="2" t="inlineStr">
        <is>
          <t>2024/jama.2024.23898/.ai_paper_validation/review_1_5_3/source_inventory.md</t>
        </is>
      </c>
      <c r="E186" s="2" t="inlineStr">
        <is>
          <t>../../2024/jama.2024.23898/.ai_paper_validation/review_1_5_3/source_inventory.md</t>
        </is>
      </c>
    </row>
    <row r="187" ht="40" customHeight="1">
      <c r="A187" s="3" t="inlineStr">
        <is>
          <t>2024::jama.2024.23898::C006</t>
        </is>
      </c>
      <c r="B187" s="3" t="inlineStr">
        <is>
          <t>evidencePaths</t>
        </is>
      </c>
      <c r="C187" s="3" t="n">
        <v>1</v>
      </c>
      <c r="D187" s="3" t="inlineStr">
        <is>
          <t>2024/jama.2024.23898/.ai_paper_validation/review_1_5_3/checkers/statistical_pass_2.md</t>
        </is>
      </c>
      <c r="E187" s="3" t="inlineStr">
        <is>
          <t>../../2024/jama.2024.23898/.ai_paper_validation/review_1_5_3/checkers/statistical_pass_2.md</t>
        </is>
      </c>
    </row>
    <row r="188" ht="30" customHeight="1">
      <c r="A188" s="2" t="inlineStr">
        <is>
          <t>2024::jama.2024.23898::C007</t>
        </is>
      </c>
      <c r="B188" s="2" t="inlineStr">
        <is>
          <t>sourceLinks</t>
        </is>
      </c>
      <c r="C188" s="2" t="n">
        <v>0</v>
      </c>
      <c r="D188" s="2" t="inlineStr">
        <is>
          <t>main article — PDF p. 5</t>
        </is>
      </c>
      <c r="E188" s="2" t="inlineStr">
        <is>
          <t>../../2024/jama.2024.23898/jama_paterson_2024_oi_240139_1741633738.12862.pdf#page=5</t>
        </is>
      </c>
    </row>
    <row r="189" ht="30" customHeight="1">
      <c r="A189" s="3" t="inlineStr">
        <is>
          <t>2024::jama.2024.23898::C007</t>
        </is>
      </c>
      <c r="B189" s="3" t="inlineStr">
        <is>
          <t>sourceLinks</t>
        </is>
      </c>
      <c r="C189" s="3" t="n">
        <v>1</v>
      </c>
      <c r="D189" s="3" t="inlineStr">
        <is>
          <t>SAP — PDF p. 15</t>
        </is>
      </c>
      <c r="E189" s="3" t="inlineStr">
        <is>
          <t>../../2024/jama.2024.23898/joi240139supp2_prod_1741633738.17362.pdf#page=15</t>
        </is>
      </c>
    </row>
    <row r="190" ht="30" customHeight="1">
      <c r="A190" s="2" t="inlineStr">
        <is>
          <t>2024::jama.2024.23898::C007</t>
        </is>
      </c>
      <c r="B190" s="2" t="inlineStr">
        <is>
          <t>sourceLinks</t>
        </is>
      </c>
      <c r="C190" s="2" t="n">
        <v>2</v>
      </c>
      <c r="D190" s="2" t="inlineStr">
        <is>
          <t>results supplement — PDF p. 2</t>
        </is>
      </c>
      <c r="E190" s="2" t="inlineStr">
        <is>
          <t>../../2024/jama.2024.23898/joi240139supp3_prod_1741633738.18862.pdf#page=2</t>
        </is>
      </c>
    </row>
    <row r="191" ht="40" customHeight="1">
      <c r="A191" s="3" t="inlineStr">
        <is>
          <t>2024::jama.2024.23898::C007</t>
        </is>
      </c>
      <c r="B191" s="3" t="inlineStr">
        <is>
          <t>evidencePaths</t>
        </is>
      </c>
      <c r="C191" s="3" t="n">
        <v>0</v>
      </c>
      <c r="D191" s="3" t="inlineStr">
        <is>
          <t>2024/jama.2024.23898/.ai_paper_validation/review_1_5_3/source_inventory.md</t>
        </is>
      </c>
      <c r="E191" s="3" t="inlineStr">
        <is>
          <t>../../2024/jama.2024.23898/.ai_paper_validation/review_1_5_3/source_inventory.md</t>
        </is>
      </c>
    </row>
    <row r="192" ht="40" customHeight="1">
      <c r="A192" s="2" t="inlineStr">
        <is>
          <t>2024::jama.2024.23898::C007</t>
        </is>
      </c>
      <c r="B192" s="2" t="inlineStr">
        <is>
          <t>evidencePaths</t>
        </is>
      </c>
      <c r="C192" s="2" t="n">
        <v>1</v>
      </c>
      <c r="D192" s="2" t="inlineStr">
        <is>
          <t>2024/jama.2024.23898/.ai_paper_validation/review_1_5_3/checkers/statistical_pass_2.md</t>
        </is>
      </c>
      <c r="E192" s="2" t="inlineStr">
        <is>
          <t>../../2024/jama.2024.23898/.ai_paper_validation/review_1_5_3/checkers/statistical_pass_2.md</t>
        </is>
      </c>
    </row>
    <row r="193" ht="30" customHeight="1">
      <c r="A193" s="3" t="inlineStr">
        <is>
          <t>2024::jama.2024.25786::C001</t>
        </is>
      </c>
      <c r="B193" s="3" t="inlineStr">
        <is>
          <t>sourceLinks</t>
        </is>
      </c>
      <c r="C193" s="3" t="n">
        <v>0</v>
      </c>
      <c r="D193" s="3" t="inlineStr">
        <is>
          <t>Supplement 2, eTable 2, PDF p. 15</t>
        </is>
      </c>
      <c r="E193" s="3" t="inlineStr">
        <is>
          <t>../../2024/jama.2024.25786/joi240147supp2_prod_1738701765.29201.pdf#page=15</t>
        </is>
      </c>
    </row>
    <row r="194" ht="40" customHeight="1">
      <c r="A194" s="2" t="inlineStr">
        <is>
          <t>2024::jama.2024.25786::C001</t>
        </is>
      </c>
      <c r="B194" s="2" t="inlineStr">
        <is>
          <t>evidencePaths</t>
        </is>
      </c>
      <c r="C194" s="2" t="n">
        <v>0</v>
      </c>
      <c r="D194" s="2" t="inlineStr">
        <is>
          <t>2024/jama.2024.25786/.ai_paper_validation/review_1_5_3/source_inventory.md</t>
        </is>
      </c>
      <c r="E194" s="2" t="inlineStr">
        <is>
          <t>../../2024/jama.2024.25786/.ai_paper_validation/review_1_5_3/source_inventory.md</t>
        </is>
      </c>
    </row>
    <row r="195" ht="30" customHeight="1">
      <c r="A195" s="3" t="inlineStr">
        <is>
          <t>2024::jama.2024.25786::C002</t>
        </is>
      </c>
      <c r="B195" s="3" t="inlineStr">
        <is>
          <t>sourceLinks</t>
        </is>
      </c>
      <c r="C195" s="3" t="n">
        <v>0</v>
      </c>
      <c r="D195" s="3" t="inlineStr">
        <is>
          <t>Supplement 2, eTable 2, PDF p. 15</t>
        </is>
      </c>
      <c r="E195" s="3" t="inlineStr">
        <is>
          <t>../../2024/jama.2024.25786/joi240147supp2_prod_1738701765.29201.pdf#page=15</t>
        </is>
      </c>
    </row>
    <row r="196" ht="40" customHeight="1">
      <c r="A196" s="2" t="inlineStr">
        <is>
          <t>2024::jama.2024.25786::C002</t>
        </is>
      </c>
      <c r="B196" s="2" t="inlineStr">
        <is>
          <t>evidencePaths</t>
        </is>
      </c>
      <c r="C196" s="2" t="n">
        <v>0</v>
      </c>
      <c r="D196" s="2" t="inlineStr">
        <is>
          <t>2024/jama.2024.25786/.ai_paper_validation/review_1_5_3/source_inventory.md</t>
        </is>
      </c>
      <c r="E196" s="2" t="inlineStr">
        <is>
          <t>../../2024/jama.2024.25786/.ai_paper_validation/review_1_5_3/source_inventory.md</t>
        </is>
      </c>
    </row>
    <row r="197" ht="30" customHeight="1">
      <c r="A197" s="3" t="inlineStr">
        <is>
          <t>2024::jama.2024.25786::C003</t>
        </is>
      </c>
      <c r="B197" s="3" t="inlineStr">
        <is>
          <t>sourceLinks</t>
        </is>
      </c>
      <c r="C197" s="3" t="n">
        <v>0</v>
      </c>
      <c r="D197" s="3" t="inlineStr">
        <is>
          <t>Supplement 2, eTable 4, PDF p. 17</t>
        </is>
      </c>
      <c r="E197" s="3" t="inlineStr">
        <is>
          <t>../../2024/jama.2024.25786/joi240147supp2_prod_1738701765.29201.pdf#page=17</t>
        </is>
      </c>
    </row>
    <row r="198" ht="30" customHeight="1">
      <c r="A198" s="2" t="inlineStr">
        <is>
          <t>2024::jama.2024.25786::C003</t>
        </is>
      </c>
      <c r="B198" s="2" t="inlineStr">
        <is>
          <t>sourceLinks</t>
        </is>
      </c>
      <c r="C198" s="2" t="n">
        <v>1</v>
      </c>
      <c r="D198" s="2" t="inlineStr">
        <is>
          <t>Supplement 2, eTable 7, PDF p. 20</t>
        </is>
      </c>
      <c r="E198" s="2" t="inlineStr">
        <is>
          <t>../../2024/jama.2024.25786/joi240147supp2_prod_1738701765.29201.pdf#page=20</t>
        </is>
      </c>
    </row>
    <row r="199" ht="30" customHeight="1">
      <c r="A199" s="3" t="inlineStr">
        <is>
          <t>2024::jama.2024.25786::C003</t>
        </is>
      </c>
      <c r="B199" s="3" t="inlineStr">
        <is>
          <t>sourceLinks</t>
        </is>
      </c>
      <c r="C199" s="3" t="n">
        <v>2</v>
      </c>
      <c r="D199" s="3" t="inlineStr">
        <is>
          <t>Main article, PDF p. 5</t>
        </is>
      </c>
      <c r="E199" s="3" t="inlineStr">
        <is>
          <t>../../2024/jama.2024.25786/jama_arleth_2024_oi_240147_1738701765.27201.pdf#page=5</t>
        </is>
      </c>
    </row>
    <row r="200" ht="40" customHeight="1">
      <c r="A200" s="2" t="inlineStr">
        <is>
          <t>2024::jama.2024.25786::C003</t>
        </is>
      </c>
      <c r="B200" s="2" t="inlineStr">
        <is>
          <t>evidencePaths</t>
        </is>
      </c>
      <c r="C200" s="2" t="n">
        <v>0</v>
      </c>
      <c r="D200" s="2" t="inlineStr">
        <is>
          <t>2024/jama.2024.25786/.ai_paper_validation/review_1_5_3/source_inventory.md</t>
        </is>
      </c>
      <c r="E200" s="2" t="inlineStr">
        <is>
          <t>../../2024/jama.2024.25786/.ai_paper_validation/review_1_5_3/source_inventory.md</t>
        </is>
      </c>
    </row>
    <row r="201" ht="40" customHeight="1">
      <c r="A201" s="3" t="inlineStr">
        <is>
          <t>2024::jama.2024.25786::C003</t>
        </is>
      </c>
      <c r="B201" s="3" t="inlineStr">
        <is>
          <t>evidencePaths</t>
        </is>
      </c>
      <c r="C201" s="3" t="n">
        <v>1</v>
      </c>
      <c r="D201" s="3" t="inlineStr">
        <is>
          <t>2024/jama.2024.25786/.ai_paper_validation/review_1_5_3/verification/evidence_recheck.md</t>
        </is>
      </c>
      <c r="E201" s="3" t="inlineStr">
        <is>
          <t>../../2024/jama.2024.25786/.ai_paper_validation/review_1_5_3/verification/evidence_recheck.md</t>
        </is>
      </c>
    </row>
    <row r="202" ht="30" customHeight="1">
      <c r="A202" s="2" t="inlineStr">
        <is>
          <t>2024::jama.2024.25786::C004</t>
        </is>
      </c>
      <c r="B202" s="2" t="inlineStr">
        <is>
          <t>sourceLinks</t>
        </is>
      </c>
      <c r="C202" s="2" t="n">
        <v>0</v>
      </c>
      <c r="D202" s="2" t="inlineStr">
        <is>
          <t>Main article, Figure 4, PDF p. 8</t>
        </is>
      </c>
      <c r="E202" s="2" t="inlineStr">
        <is>
          <t>../../2024/jama.2024.25786/jama_arleth_2024_oi_240147_1738701765.27201.pdf#page=8</t>
        </is>
      </c>
    </row>
    <row r="203" ht="30" customHeight="1">
      <c r="A203" s="3" t="inlineStr">
        <is>
          <t>2024::jama.2024.25786::C004</t>
        </is>
      </c>
      <c r="B203" s="3" t="inlineStr">
        <is>
          <t>sourceLinks</t>
        </is>
      </c>
      <c r="C203" s="3" t="n">
        <v>1</v>
      </c>
      <c r="D203" s="3" t="inlineStr">
        <is>
          <t>Supplement 2, eTable 7, PDF p. 20</t>
        </is>
      </c>
      <c r="E203" s="3" t="inlineStr">
        <is>
          <t>../../2024/jama.2024.25786/joi240147supp2_prod_1738701765.29201.pdf#page=20</t>
        </is>
      </c>
    </row>
    <row r="204" ht="40" customHeight="1">
      <c r="A204" s="2" t="inlineStr">
        <is>
          <t>2024::jama.2024.25786::C004</t>
        </is>
      </c>
      <c r="B204" s="2" t="inlineStr">
        <is>
          <t>evidencePaths</t>
        </is>
      </c>
      <c r="C204" s="2" t="n">
        <v>0</v>
      </c>
      <c r="D204" s="2" t="inlineStr">
        <is>
          <t>2024/jama.2024.25786/.ai_paper_validation/review_1_5_3/source_inventory.md</t>
        </is>
      </c>
      <c r="E204" s="2" t="inlineStr">
        <is>
          <t>../../2024/jama.2024.25786/.ai_paper_validation/review_1_5_3/source_inventory.md</t>
        </is>
      </c>
    </row>
    <row r="205" ht="40" customHeight="1">
      <c r="A205" s="3" t="inlineStr">
        <is>
          <t>2024::jama.2024.25786::C004</t>
        </is>
      </c>
      <c r="B205" s="3" t="inlineStr">
        <is>
          <t>evidencePaths</t>
        </is>
      </c>
      <c r="C205" s="3" t="n">
        <v>1</v>
      </c>
      <c r="D205" s="3" t="inlineStr">
        <is>
          <t>2024/jama.2024.25786/.ai_paper_validation/review_1_5_3/verification/evidence_recheck.md</t>
        </is>
      </c>
      <c r="E205" s="3" t="inlineStr">
        <is>
          <t>../../2024/jama.2024.25786/.ai_paper_validation/review_1_5_3/verification/evidence_recheck.md</t>
        </is>
      </c>
    </row>
    <row r="206" ht="30" customHeight="1">
      <c r="A206" s="2" t="inlineStr">
        <is>
          <t>2024::jama.2024.25786::C005</t>
        </is>
      </c>
      <c r="B206" s="2" t="inlineStr">
        <is>
          <t>sourceLinks</t>
        </is>
      </c>
      <c r="C206" s="2" t="n">
        <v>0</v>
      </c>
      <c r="D206" s="2" t="inlineStr">
        <is>
          <t>Main article, Figure 4, PDF p. 8</t>
        </is>
      </c>
      <c r="E206" s="2" t="inlineStr">
        <is>
          <t>../../2024/jama.2024.25786/jama_arleth_2024_oi_240147_1738701765.27201.pdf#page=8</t>
        </is>
      </c>
    </row>
    <row r="207" ht="30" customHeight="1">
      <c r="A207" s="3" t="inlineStr">
        <is>
          <t>2024::jama.2024.25786::C005</t>
        </is>
      </c>
      <c r="B207" s="3" t="inlineStr">
        <is>
          <t>sourceLinks</t>
        </is>
      </c>
      <c r="C207" s="3" t="n">
        <v>1</v>
      </c>
      <c r="D207" s="3" t="inlineStr">
        <is>
          <t>Supplement 2, eTable 7, PDF p. 20</t>
        </is>
      </c>
      <c r="E207" s="3" t="inlineStr">
        <is>
          <t>../../2024/jama.2024.25786/joi240147supp2_prod_1738701765.29201.pdf#page=20</t>
        </is>
      </c>
    </row>
    <row r="208" ht="40" customHeight="1">
      <c r="A208" s="2" t="inlineStr">
        <is>
          <t>2024::jama.2024.25786::C005</t>
        </is>
      </c>
      <c r="B208" s="2" t="inlineStr">
        <is>
          <t>evidencePaths</t>
        </is>
      </c>
      <c r="C208" s="2" t="n">
        <v>0</v>
      </c>
      <c r="D208" s="2" t="inlineStr">
        <is>
          <t>2024/jama.2024.25786/.ai_paper_validation/review_1_5_3/source_inventory.md</t>
        </is>
      </c>
      <c r="E208" s="2" t="inlineStr">
        <is>
          <t>../../2024/jama.2024.25786/.ai_paper_validation/review_1_5_3/source_inventory.md</t>
        </is>
      </c>
    </row>
    <row r="209" ht="40" customHeight="1">
      <c r="A209" s="3" t="inlineStr">
        <is>
          <t>2024::jama.2024.25786::C005</t>
        </is>
      </c>
      <c r="B209" s="3" t="inlineStr">
        <is>
          <t>evidencePaths</t>
        </is>
      </c>
      <c r="C209" s="3" t="n">
        <v>1</v>
      </c>
      <c r="D209" s="3" t="inlineStr">
        <is>
          <t>2024/jama.2024.25786/.ai_paper_validation/review_1_5_3/verification/evidence_recheck.md</t>
        </is>
      </c>
      <c r="E209" s="3" t="inlineStr">
        <is>
          <t>../../2024/jama.2024.25786/.ai_paper_validation/review_1_5_3/verification/evidence_recheck.md</t>
        </is>
      </c>
    </row>
    <row r="210" ht="30" customHeight="1">
      <c r="A210" s="2" t="inlineStr">
        <is>
          <t>2024::jama.2024.25786::C006</t>
        </is>
      </c>
      <c r="B210" s="2" t="inlineStr">
        <is>
          <t>sourceLinks</t>
        </is>
      </c>
      <c r="C210" s="2" t="n">
        <v>0</v>
      </c>
      <c r="D210" s="2" t="inlineStr">
        <is>
          <t>Supplement 2, eTable 10, PDF p. 24</t>
        </is>
      </c>
      <c r="E210" s="2" t="inlineStr">
        <is>
          <t>../../2024/jama.2024.25786/joi240147supp2_prod_1738701765.29201.pdf#page=24</t>
        </is>
      </c>
    </row>
    <row r="211" ht="30" customHeight="1">
      <c r="A211" s="3" t="inlineStr">
        <is>
          <t>2024::jama.2024.25786::C006</t>
        </is>
      </c>
      <c r="B211" s="3" t="inlineStr">
        <is>
          <t>sourceLinks</t>
        </is>
      </c>
      <c r="C211" s="3" t="n">
        <v>1</v>
      </c>
      <c r="D211" s="3" t="inlineStr">
        <is>
          <t>Main article, Figure 1, PDF p. 3</t>
        </is>
      </c>
      <c r="E211" s="3" t="inlineStr">
        <is>
          <t>../../2024/jama.2024.25786/jama_arleth_2024_oi_240147_1738701765.27201.pdf#page=3</t>
        </is>
      </c>
    </row>
    <row r="212" ht="40" customHeight="1">
      <c r="A212" s="2" t="inlineStr">
        <is>
          <t>2024::jama.2024.25786::C006</t>
        </is>
      </c>
      <c r="B212" s="2" t="inlineStr">
        <is>
          <t>evidencePaths</t>
        </is>
      </c>
      <c r="C212" s="2" t="n">
        <v>0</v>
      </c>
      <c r="D212" s="2" t="inlineStr">
        <is>
          <t>2024/jama.2024.25786/.ai_paper_validation/review_1_5_3/source_inventory.md</t>
        </is>
      </c>
      <c r="E212" s="2" t="inlineStr">
        <is>
          <t>../../2024/jama.2024.25786/.ai_paper_validation/review_1_5_3/source_inventory.md</t>
        </is>
      </c>
    </row>
    <row r="213" ht="40" customHeight="1">
      <c r="A213" s="3" t="inlineStr">
        <is>
          <t>2024::jama.2024.25786::C006</t>
        </is>
      </c>
      <c r="B213" s="3" t="inlineStr">
        <is>
          <t>evidencePaths</t>
        </is>
      </c>
      <c r="C213" s="3" t="n">
        <v>1</v>
      </c>
      <c r="D213" s="3" t="inlineStr">
        <is>
          <t>2024/jama.2024.25786/.ai_paper_validation/review_1_5_3/verification/evidence_recheck.md</t>
        </is>
      </c>
      <c r="E213" s="3" t="inlineStr">
        <is>
          <t>../../2024/jama.2024.25786/.ai_paper_validation/review_1_5_3/verification/evidence_recheck.md</t>
        </is>
      </c>
    </row>
    <row r="214" ht="30" customHeight="1">
      <c r="A214" s="2" t="inlineStr">
        <is>
          <t>2024::jama.2024.25786::C007</t>
        </is>
      </c>
      <c r="B214" s="2" t="inlineStr">
        <is>
          <t>sourceLinks</t>
        </is>
      </c>
      <c r="C214" s="2" t="n">
        <v>0</v>
      </c>
      <c r="D214" s="2" t="inlineStr">
        <is>
          <t>Supplement 2, eTable 10, PDF p. 24</t>
        </is>
      </c>
      <c r="E214" s="2" t="inlineStr">
        <is>
          <t>../../2024/jama.2024.25786/joi240147supp2_prod_1738701765.29201.pdf#page=24</t>
        </is>
      </c>
    </row>
    <row r="215" ht="30" customHeight="1">
      <c r="A215" s="3" t="inlineStr">
        <is>
          <t>2024::jama.2024.25786::C007</t>
        </is>
      </c>
      <c r="B215" s="3" t="inlineStr">
        <is>
          <t>sourceLinks</t>
        </is>
      </c>
      <c r="C215" s="3" t="n">
        <v>1</v>
      </c>
      <c r="D215" s="3" t="inlineStr">
        <is>
          <t>Main article, Figure 1, PDF p. 3</t>
        </is>
      </c>
      <c r="E215" s="3" t="inlineStr">
        <is>
          <t>../../2024/jama.2024.25786/jama_arleth_2024_oi_240147_1738701765.27201.pdf#page=3</t>
        </is>
      </c>
    </row>
    <row r="216" ht="40" customHeight="1">
      <c r="A216" s="2" t="inlineStr">
        <is>
          <t>2024::jama.2024.25786::C007</t>
        </is>
      </c>
      <c r="B216" s="2" t="inlineStr">
        <is>
          <t>evidencePaths</t>
        </is>
      </c>
      <c r="C216" s="2" t="n">
        <v>0</v>
      </c>
      <c r="D216" s="2" t="inlineStr">
        <is>
          <t>2024/jama.2024.25786/.ai_paper_validation/review_1_5_3/source_inventory.md</t>
        </is>
      </c>
      <c r="E216" s="2" t="inlineStr">
        <is>
          <t>../../2024/jama.2024.25786/.ai_paper_validation/review_1_5_3/source_inventory.md</t>
        </is>
      </c>
    </row>
    <row r="217" ht="40" customHeight="1">
      <c r="A217" s="3" t="inlineStr">
        <is>
          <t>2024::jama.2024.25786::C007</t>
        </is>
      </c>
      <c r="B217" s="3" t="inlineStr">
        <is>
          <t>evidencePaths</t>
        </is>
      </c>
      <c r="C217" s="3" t="n">
        <v>1</v>
      </c>
      <c r="D217" s="3" t="inlineStr">
        <is>
          <t>2024/jama.2024.25786/.ai_paper_validation/review_1_5_3/verification/evidence_recheck.md</t>
        </is>
      </c>
      <c r="E217" s="3" t="inlineStr">
        <is>
          <t>../../2024/jama.2024.25786/.ai_paper_validation/review_1_5_3/verification/evidence_recheck.md</t>
        </is>
      </c>
    </row>
    <row r="218" ht="30" customHeight="1">
      <c r="A218" s="2" t="inlineStr">
        <is>
          <t>2024::jama.2024.25786::C008</t>
        </is>
      </c>
      <c r="B218" s="2" t="inlineStr">
        <is>
          <t>sourceLinks</t>
        </is>
      </c>
      <c r="C218" s="2" t="n">
        <v>0</v>
      </c>
      <c r="D218" s="2" t="inlineStr">
        <is>
          <t>Supplement 2, eTable 11, PDF p. 25</t>
        </is>
      </c>
      <c r="E218" s="2" t="inlineStr">
        <is>
          <t>../../2024/jama.2024.25786/joi240147supp2_prod_1738701765.29201.pdf#page=25</t>
        </is>
      </c>
    </row>
    <row r="219" ht="40" customHeight="1">
      <c r="A219" s="3" t="inlineStr">
        <is>
          <t>2024::jama.2024.25786::C008</t>
        </is>
      </c>
      <c r="B219" s="3" t="inlineStr">
        <is>
          <t>evidencePaths</t>
        </is>
      </c>
      <c r="C219" s="3" t="n">
        <v>0</v>
      </c>
      <c r="D219" s="3" t="inlineStr">
        <is>
          <t>2024/jama.2024.25786/.ai_paper_validation/review_1_5_3/source_inventory.md</t>
        </is>
      </c>
      <c r="E219" s="3" t="inlineStr">
        <is>
          <t>../../2024/jama.2024.25786/.ai_paper_validation/review_1_5_3/source_inventory.md</t>
        </is>
      </c>
    </row>
    <row r="220" ht="30" customHeight="1">
      <c r="A220" s="2" t="inlineStr">
        <is>
          <t>2024::jama.2024.4183::C001</t>
        </is>
      </c>
      <c r="B220" s="2" t="inlineStr">
        <is>
          <t>sourceLinks</t>
        </is>
      </c>
      <c r="C220" s="2" t="n">
        <v>0</v>
      </c>
      <c r="D220" s="2" t="inlineStr">
        <is>
          <t>Main article p. 1</t>
        </is>
      </c>
      <c r="E220" s="2" t="inlineStr">
        <is>
          <t>../../2024/jama.2024.4183/jama_cinciripini_2024_oi_240036_1716416465.98349.pdf#page=1</t>
        </is>
      </c>
    </row>
    <row r="221" ht="30" customHeight="1">
      <c r="A221" s="3" t="inlineStr">
        <is>
          <t>2024::jama.2024.4183::C001</t>
        </is>
      </c>
      <c r="B221" s="3" t="inlineStr">
        <is>
          <t>sourceLinks</t>
        </is>
      </c>
      <c r="C221" s="3" t="n">
        <v>1</v>
      </c>
      <c r="D221" s="3" t="inlineStr">
        <is>
          <t>Main article p. 6</t>
        </is>
      </c>
      <c r="E221" s="3" t="inlineStr">
        <is>
          <t>../../2024/jama.2024.4183/jama_cinciripini_2024_oi_240036_1716416465.98349.pdf#page=6</t>
        </is>
      </c>
    </row>
    <row r="222" ht="40" customHeight="1">
      <c r="A222" s="2" t="inlineStr">
        <is>
          <t>2024::jama.2024.4183::C001</t>
        </is>
      </c>
      <c r="B222" s="2" t="inlineStr">
        <is>
          <t>evidencePaths</t>
        </is>
      </c>
      <c r="C222" s="2" t="n">
        <v>0</v>
      </c>
      <c r="D222" s="2" t="inlineStr">
        <is>
          <t>2024/jama.2024.4183/.ai_paper_validation/review_1_5_3/source_inventory.md</t>
        </is>
      </c>
      <c r="E222" s="2" t="inlineStr">
        <is>
          <t>../../2024/jama.2024.4183/.ai_paper_validation/review_1_5_3/source_inventory.md</t>
        </is>
      </c>
    </row>
    <row r="223" ht="30" customHeight="1">
      <c r="A223" s="3" t="inlineStr">
        <is>
          <t>2024::jama.2024.4183::C002</t>
        </is>
      </c>
      <c r="B223" s="3" t="inlineStr">
        <is>
          <t>sourceLinks</t>
        </is>
      </c>
      <c r="C223" s="3" t="n">
        <v>0</v>
      </c>
      <c r="D223" s="3" t="inlineStr">
        <is>
          <t>Main article p. 5</t>
        </is>
      </c>
      <c r="E223" s="3" t="inlineStr">
        <is>
          <t>../../2024/jama.2024.4183/jama_cinciripini_2024_oi_240036_1716416465.98349.pdf#page=5</t>
        </is>
      </c>
    </row>
    <row r="224" ht="40" customHeight="1">
      <c r="A224" s="2" t="inlineStr">
        <is>
          <t>2024::jama.2024.4183::C002</t>
        </is>
      </c>
      <c r="B224" s="2" t="inlineStr">
        <is>
          <t>evidencePaths</t>
        </is>
      </c>
      <c r="C224" s="2" t="n">
        <v>0</v>
      </c>
      <c r="D224" s="2" t="inlineStr">
        <is>
          <t>2024/jama.2024.4183/.ai_paper_validation/review_1_5_3/source_inventory.md</t>
        </is>
      </c>
      <c r="E224" s="2" t="inlineStr">
        <is>
          <t>../../2024/jama.2024.4183/.ai_paper_validation/review_1_5_3/source_inventory.md</t>
        </is>
      </c>
    </row>
    <row r="225" ht="30" customHeight="1">
      <c r="A225" s="3" t="inlineStr">
        <is>
          <t>2024::jama.2024.4183::C003</t>
        </is>
      </c>
      <c r="B225" s="3" t="inlineStr">
        <is>
          <t>sourceLinks</t>
        </is>
      </c>
      <c r="C225" s="3" t="n">
        <v>0</v>
      </c>
      <c r="D225" s="3" t="inlineStr">
        <is>
          <t>Main article p. 4</t>
        </is>
      </c>
      <c r="E225" s="3" t="inlineStr">
        <is>
          <t>../../2024/jama.2024.4183/jama_cinciripini_2024_oi_240036_1716416465.98349.pdf#page=4</t>
        </is>
      </c>
    </row>
    <row r="226" ht="30" customHeight="1">
      <c r="A226" s="2" t="inlineStr">
        <is>
          <t>2024::jama.2024.4183::C003</t>
        </is>
      </c>
      <c r="B226" s="2" t="inlineStr">
        <is>
          <t>sourceLinks</t>
        </is>
      </c>
      <c r="C226" s="2" t="n">
        <v>1</v>
      </c>
      <c r="D226" s="2" t="inlineStr">
        <is>
          <t>Main article p. 6</t>
        </is>
      </c>
      <c r="E226" s="2" t="inlineStr">
        <is>
          <t>../../2024/jama.2024.4183/jama_cinciripini_2024_oi_240036_1716416465.98349.pdf#page=6</t>
        </is>
      </c>
    </row>
    <row r="227" ht="40" customHeight="1">
      <c r="A227" s="3" t="inlineStr">
        <is>
          <t>2024::jama.2024.4183::C003</t>
        </is>
      </c>
      <c r="B227" s="3" t="inlineStr">
        <is>
          <t>evidencePaths</t>
        </is>
      </c>
      <c r="C227" s="3" t="n">
        <v>0</v>
      </c>
      <c r="D227" s="3" t="inlineStr">
        <is>
          <t>2024/jama.2024.4183/.ai_paper_validation/review_1_5_3/source_inventory.md</t>
        </is>
      </c>
      <c r="E227" s="3" t="inlineStr">
        <is>
          <t>../../2024/jama.2024.4183/.ai_paper_validation/review_1_5_3/source_inventory.md</t>
        </is>
      </c>
    </row>
    <row r="228" ht="30" customHeight="1">
      <c r="A228" s="2" t="inlineStr">
        <is>
          <t>2024::jama.2024.4183::C004</t>
        </is>
      </c>
      <c r="B228" s="2" t="inlineStr">
        <is>
          <t>sourceLinks</t>
        </is>
      </c>
      <c r="C228" s="2" t="n">
        <v>0</v>
      </c>
      <c r="D228" s="2" t="inlineStr">
        <is>
          <t>Main article p. 1</t>
        </is>
      </c>
      <c r="E228" s="2" t="inlineStr">
        <is>
          <t>../../2024/jama.2024.4183/jama_cinciripini_2024_oi_240036_1716416465.98349.pdf#page=1</t>
        </is>
      </c>
    </row>
    <row r="229" ht="30" customHeight="1">
      <c r="A229" s="3" t="inlineStr">
        <is>
          <t>2024::jama.2024.4183::C004</t>
        </is>
      </c>
      <c r="B229" s="3" t="inlineStr">
        <is>
          <t>sourceLinks</t>
        </is>
      </c>
      <c r="C229" s="3" t="n">
        <v>1</v>
      </c>
      <c r="D229" s="3" t="inlineStr">
        <is>
          <t>Main article p. 4</t>
        </is>
      </c>
      <c r="E229" s="3" t="inlineStr">
        <is>
          <t>../../2024/jama.2024.4183/jama_cinciripini_2024_oi_240036_1716416465.98349.pdf#page=4</t>
        </is>
      </c>
    </row>
    <row r="230" ht="30" customHeight="1">
      <c r="A230" s="2" t="inlineStr">
        <is>
          <t>2024::jama.2024.4183::C004</t>
        </is>
      </c>
      <c r="B230" s="2" t="inlineStr">
        <is>
          <t>sourceLinks</t>
        </is>
      </c>
      <c r="C230" s="2" t="n">
        <v>2</v>
      </c>
      <c r="D230" s="2" t="inlineStr">
        <is>
          <t>Main article p. 6</t>
        </is>
      </c>
      <c r="E230" s="2" t="inlineStr">
        <is>
          <t>../../2024/jama.2024.4183/jama_cinciripini_2024_oi_240036_1716416465.98349.pdf#page=6</t>
        </is>
      </c>
    </row>
    <row r="231" ht="40" customHeight="1">
      <c r="A231" s="3" t="inlineStr">
        <is>
          <t>2024::jama.2024.4183::C004</t>
        </is>
      </c>
      <c r="B231" s="3" t="inlineStr">
        <is>
          <t>evidencePaths</t>
        </is>
      </c>
      <c r="C231" s="3" t="n">
        <v>0</v>
      </c>
      <c r="D231" s="3" t="inlineStr">
        <is>
          <t>2024/jama.2024.4183/.ai_paper_validation/review_1_5_3/source_inventory.md</t>
        </is>
      </c>
      <c r="E231" s="3" t="inlineStr">
        <is>
          <t>../../2024/jama.2024.4183/.ai_paper_validation/review_1_5_3/source_inventory.md</t>
        </is>
      </c>
    </row>
    <row r="232" ht="30" customHeight="1">
      <c r="A232" s="2" t="inlineStr">
        <is>
          <t>2024::jama.2024.4183::C005</t>
        </is>
      </c>
      <c r="B232" s="2" t="inlineStr">
        <is>
          <t>sourceLinks</t>
        </is>
      </c>
      <c r="C232" s="2" t="n">
        <v>0</v>
      </c>
      <c r="D232" s="2" t="inlineStr">
        <is>
          <t>Main article p. 1</t>
        </is>
      </c>
      <c r="E232" s="2" t="inlineStr">
        <is>
          <t>../../2024/jama.2024.4183/jama_cinciripini_2024_oi_240036_1716416465.98349.pdf#page=1</t>
        </is>
      </c>
    </row>
    <row r="233" ht="30" customHeight="1">
      <c r="A233" s="3" t="inlineStr">
        <is>
          <t>2024::jama.2024.4183::C005</t>
        </is>
      </c>
      <c r="B233" s="3" t="inlineStr">
        <is>
          <t>sourceLinks</t>
        </is>
      </c>
      <c r="C233" s="3" t="n">
        <v>1</v>
      </c>
      <c r="D233" s="3" t="inlineStr">
        <is>
          <t>Main article p. 5</t>
        </is>
      </c>
      <c r="E233" s="3" t="inlineStr">
        <is>
          <t>../../2024/jama.2024.4183/jama_cinciripini_2024_oi_240036_1716416465.98349.pdf#page=5</t>
        </is>
      </c>
    </row>
    <row r="234" ht="30" customHeight="1">
      <c r="A234" s="2" t="inlineStr">
        <is>
          <t>2024::jama.2024.4183::C005</t>
        </is>
      </c>
      <c r="B234" s="2" t="inlineStr">
        <is>
          <t>sourceLinks</t>
        </is>
      </c>
      <c r="C234" s="2" t="n">
        <v>2</v>
      </c>
      <c r="D234" s="2" t="inlineStr">
        <is>
          <t>Supplement 2 p. 21</t>
        </is>
      </c>
      <c r="E234" s="2" t="inlineStr">
        <is>
          <t>../../2024/jama.2024.4183/joi240036supp2_prod_1716416466.01349.pdf#page=21</t>
        </is>
      </c>
    </row>
    <row r="235" ht="40" customHeight="1">
      <c r="A235" s="3" t="inlineStr">
        <is>
          <t>2024::jama.2024.4183::C005</t>
        </is>
      </c>
      <c r="B235" s="3" t="inlineStr">
        <is>
          <t>evidencePaths</t>
        </is>
      </c>
      <c r="C235" s="3" t="n">
        <v>0</v>
      </c>
      <c r="D235" s="3" t="inlineStr">
        <is>
          <t>2024/jama.2024.4183/.ai_paper_validation/review_1_5_3/source_inventory.md</t>
        </is>
      </c>
      <c r="E235" s="3" t="inlineStr">
        <is>
          <t>../../2024/jama.2024.4183/.ai_paper_validation/review_1_5_3/source_inventory.md</t>
        </is>
      </c>
    </row>
    <row r="236" ht="40" customHeight="1">
      <c r="A236" s="2" t="inlineStr">
        <is>
          <t>2024::jama.2024.4183::C005</t>
        </is>
      </c>
      <c r="B236" s="2" t="inlineStr">
        <is>
          <t>evidencePaths</t>
        </is>
      </c>
      <c r="C236" s="2" t="n">
        <v>1</v>
      </c>
      <c r="D236" s="2" t="inlineStr">
        <is>
          <t>2024/jama.2024.4183/.ai_paper_validation/review_1_5_3/verification/evidence_recheck.md</t>
        </is>
      </c>
      <c r="E236" s="2" t="inlineStr">
        <is>
          <t>../../2024/jama.2024.4183/.ai_paper_validation/review_1_5_3/verification/evidence_recheck.md</t>
        </is>
      </c>
    </row>
    <row r="237" ht="30" customHeight="1">
      <c r="A237" s="3" t="inlineStr">
        <is>
          <t>2024::jama.2024.4183::C006</t>
        </is>
      </c>
      <c r="B237" s="3" t="inlineStr">
        <is>
          <t>sourceLinks</t>
        </is>
      </c>
      <c r="C237" s="3" t="n">
        <v>0</v>
      </c>
      <c r="D237" s="3" t="inlineStr">
        <is>
          <t>Main article p. 1</t>
        </is>
      </c>
      <c r="E237" s="3" t="inlineStr">
        <is>
          <t>../../2024/jama.2024.4183/jama_cinciripini_2024_oi_240036_1716416465.98349.pdf#page=1</t>
        </is>
      </c>
    </row>
    <row r="238" ht="30" customHeight="1">
      <c r="A238" s="2" t="inlineStr">
        <is>
          <t>2024::jama.2024.4183::C006</t>
        </is>
      </c>
      <c r="B238" s="2" t="inlineStr">
        <is>
          <t>sourceLinks</t>
        </is>
      </c>
      <c r="C238" s="2" t="n">
        <v>1</v>
      </c>
      <c r="D238" s="2" t="inlineStr">
        <is>
          <t>Main article p. 5</t>
        </is>
      </c>
      <c r="E238" s="2" t="inlineStr">
        <is>
          <t>../../2024/jama.2024.4183/jama_cinciripini_2024_oi_240036_1716416465.98349.pdf#page=5</t>
        </is>
      </c>
    </row>
    <row r="239" ht="30" customHeight="1">
      <c r="A239" s="3" t="inlineStr">
        <is>
          <t>2024::jama.2024.4183::C006</t>
        </is>
      </c>
      <c r="B239" s="3" t="inlineStr">
        <is>
          <t>sourceLinks</t>
        </is>
      </c>
      <c r="C239" s="3" t="n">
        <v>2</v>
      </c>
      <c r="D239" s="3" t="inlineStr">
        <is>
          <t>Supplement 2 p. 21</t>
        </is>
      </c>
      <c r="E239" s="3" t="inlineStr">
        <is>
          <t>../../2024/jama.2024.4183/joi240036supp2_prod_1716416466.01349.pdf#page=21</t>
        </is>
      </c>
    </row>
    <row r="240" ht="40" customHeight="1">
      <c r="A240" s="2" t="inlineStr">
        <is>
          <t>2024::jama.2024.4183::C006</t>
        </is>
      </c>
      <c r="B240" s="2" t="inlineStr">
        <is>
          <t>evidencePaths</t>
        </is>
      </c>
      <c r="C240" s="2" t="n">
        <v>0</v>
      </c>
      <c r="D240" s="2" t="inlineStr">
        <is>
          <t>2024/jama.2024.4183/.ai_paper_validation/review_1_5_3/source_inventory.md</t>
        </is>
      </c>
      <c r="E240" s="2" t="inlineStr">
        <is>
          <t>../../2024/jama.2024.4183/.ai_paper_validation/review_1_5_3/source_inventory.md</t>
        </is>
      </c>
    </row>
    <row r="241" ht="40" customHeight="1">
      <c r="A241" s="3" t="inlineStr">
        <is>
          <t>2024::jama.2024.4183::C006</t>
        </is>
      </c>
      <c r="B241" s="3" t="inlineStr">
        <is>
          <t>evidencePaths</t>
        </is>
      </c>
      <c r="C241" s="3" t="n">
        <v>1</v>
      </c>
      <c r="D241" s="3" t="inlineStr">
        <is>
          <t>2024/jama.2024.4183/.ai_paper_validation/review_1_5_3/verification/evidence_recheck.md</t>
        </is>
      </c>
      <c r="E241" s="3" t="inlineStr">
        <is>
          <t>../../2024/jama.2024.4183/.ai_paper_validation/review_1_5_3/verification/evidence_recheck.md</t>
        </is>
      </c>
    </row>
    <row r="242" ht="30" customHeight="1">
      <c r="A242" s="2" t="inlineStr">
        <is>
          <t>2024::jama.2024.4183::C007</t>
        </is>
      </c>
      <c r="B242" s="2" t="inlineStr">
        <is>
          <t>sourceLinks</t>
        </is>
      </c>
      <c r="C242" s="2" t="n">
        <v>0</v>
      </c>
      <c r="D242" s="2" t="inlineStr">
        <is>
          <t>Main article p. 1</t>
        </is>
      </c>
      <c r="E242" s="2" t="inlineStr">
        <is>
          <t>../../2024/jama.2024.4183/jama_cinciripini_2024_oi_240036_1716416465.98349.pdf#page=1</t>
        </is>
      </c>
    </row>
    <row r="243" ht="30" customHeight="1">
      <c r="A243" s="3" t="inlineStr">
        <is>
          <t>2024::jama.2024.4183::C007</t>
        </is>
      </c>
      <c r="B243" s="3" t="inlineStr">
        <is>
          <t>sourceLinks</t>
        </is>
      </c>
      <c r="C243" s="3" t="n">
        <v>1</v>
      </c>
      <c r="D243" s="3" t="inlineStr">
        <is>
          <t>Main article p. 5</t>
        </is>
      </c>
      <c r="E243" s="3" t="inlineStr">
        <is>
          <t>../../2024/jama.2024.4183/jama_cinciripini_2024_oi_240036_1716416465.98349.pdf#page=5</t>
        </is>
      </c>
    </row>
    <row r="244" ht="30" customHeight="1">
      <c r="A244" s="2" t="inlineStr">
        <is>
          <t>2024::jama.2024.4183::C007</t>
        </is>
      </c>
      <c r="B244" s="2" t="inlineStr">
        <is>
          <t>sourceLinks</t>
        </is>
      </c>
      <c r="C244" s="2" t="n">
        <v>2</v>
      </c>
      <c r="D244" s="2" t="inlineStr">
        <is>
          <t>Main article p. 7</t>
        </is>
      </c>
      <c r="E244" s="2" t="inlineStr">
        <is>
          <t>../../2024/jama.2024.4183/jama_cinciripini_2024_oi_240036_1716416465.98349.pdf#page=7</t>
        </is>
      </c>
    </row>
    <row r="245" ht="30" customHeight="1">
      <c r="A245" s="3" t="inlineStr">
        <is>
          <t>2024::jama.2024.4183::C007</t>
        </is>
      </c>
      <c r="B245" s="3" t="inlineStr">
        <is>
          <t>sourceLinks</t>
        </is>
      </c>
      <c r="C245" s="3" t="n">
        <v>3</v>
      </c>
      <c r="D245" s="3" t="inlineStr">
        <is>
          <t>Supplement 2 p. 21</t>
        </is>
      </c>
      <c r="E245" s="3" t="inlineStr">
        <is>
          <t>../../2024/jama.2024.4183/joi240036supp2_prod_1716416466.01349.pdf#page=21</t>
        </is>
      </c>
    </row>
    <row r="246" ht="40" customHeight="1">
      <c r="A246" s="2" t="inlineStr">
        <is>
          <t>2024::jama.2024.4183::C007</t>
        </is>
      </c>
      <c r="B246" s="2" t="inlineStr">
        <is>
          <t>evidencePaths</t>
        </is>
      </c>
      <c r="C246" s="2" t="n">
        <v>0</v>
      </c>
      <c r="D246" s="2" t="inlineStr">
        <is>
          <t>2024/jama.2024.4183/.ai_paper_validation/review_1_5_3/source_inventory.md</t>
        </is>
      </c>
      <c r="E246" s="2" t="inlineStr">
        <is>
          <t>../../2024/jama.2024.4183/.ai_paper_validation/review_1_5_3/source_inventory.md</t>
        </is>
      </c>
    </row>
    <row r="247" ht="40" customHeight="1">
      <c r="A247" s="3" t="inlineStr">
        <is>
          <t>2024::jama.2024.4183::C007</t>
        </is>
      </c>
      <c r="B247" s="3" t="inlineStr">
        <is>
          <t>evidencePaths</t>
        </is>
      </c>
      <c r="C247" s="3" t="n">
        <v>1</v>
      </c>
      <c r="D247" s="3" t="inlineStr">
        <is>
          <t>2024/jama.2024.4183/.ai_paper_validation/review_1_5_3/verification/evidence_recheck.md</t>
        </is>
      </c>
      <c r="E247" s="3" t="inlineStr">
        <is>
          <t>../../2024/jama.2024.4183/.ai_paper_validation/review_1_5_3/verification/evidence_recheck.md</t>
        </is>
      </c>
    </row>
    <row r="248" ht="30" customHeight="1">
      <c r="A248" s="2" t="inlineStr">
        <is>
          <t>2024::jama.2024.4183::C008</t>
        </is>
      </c>
      <c r="B248" s="2" t="inlineStr">
        <is>
          <t>sourceLinks</t>
        </is>
      </c>
      <c r="C248" s="2" t="n">
        <v>0</v>
      </c>
      <c r="D248" s="2" t="inlineStr">
        <is>
          <t>Main article p. 1</t>
        </is>
      </c>
      <c r="E248" s="2" t="inlineStr">
        <is>
          <t>../../2024/jama.2024.4183/jama_cinciripini_2024_oi_240036_1716416465.98349.pdf#page=1</t>
        </is>
      </c>
    </row>
    <row r="249" ht="30" customHeight="1">
      <c r="A249" s="3" t="inlineStr">
        <is>
          <t>2024::jama.2024.4183::C008</t>
        </is>
      </c>
      <c r="B249" s="3" t="inlineStr">
        <is>
          <t>sourceLinks</t>
        </is>
      </c>
      <c r="C249" s="3" t="n">
        <v>1</v>
      </c>
      <c r="D249" s="3" t="inlineStr">
        <is>
          <t>Main article p. 5</t>
        </is>
      </c>
      <c r="E249" s="3" t="inlineStr">
        <is>
          <t>../../2024/jama.2024.4183/jama_cinciripini_2024_oi_240036_1716416465.98349.pdf#page=5</t>
        </is>
      </c>
    </row>
    <row r="250" ht="30" customHeight="1">
      <c r="A250" s="2" t="inlineStr">
        <is>
          <t>2024::jama.2024.4183::C008</t>
        </is>
      </c>
      <c r="B250" s="2" t="inlineStr">
        <is>
          <t>sourceLinks</t>
        </is>
      </c>
      <c r="C250" s="2" t="n">
        <v>2</v>
      </c>
      <c r="D250" s="2" t="inlineStr">
        <is>
          <t>Supplement 2 p. 21</t>
        </is>
      </c>
      <c r="E250" s="2" t="inlineStr">
        <is>
          <t>../../2024/jama.2024.4183/joi240036supp2_prod_1716416466.01349.pdf#page=21</t>
        </is>
      </c>
    </row>
    <row r="251" ht="40" customHeight="1">
      <c r="A251" s="3" t="inlineStr">
        <is>
          <t>2024::jama.2024.4183::C008</t>
        </is>
      </c>
      <c r="B251" s="3" t="inlineStr">
        <is>
          <t>evidencePaths</t>
        </is>
      </c>
      <c r="C251" s="3" t="n">
        <v>0</v>
      </c>
      <c r="D251" s="3" t="inlineStr">
        <is>
          <t>2024/jama.2024.4183/.ai_paper_validation/review_1_5_3/source_inventory.md</t>
        </is>
      </c>
      <c r="E251" s="3" t="inlineStr">
        <is>
          <t>../../2024/jama.2024.4183/.ai_paper_validation/review_1_5_3/source_inventory.md</t>
        </is>
      </c>
    </row>
    <row r="252" ht="30" customHeight="1">
      <c r="A252" s="2" t="inlineStr">
        <is>
          <t>2024::jama.2024.4183::C009</t>
        </is>
      </c>
      <c r="B252" s="2" t="inlineStr">
        <is>
          <t>sourceLinks</t>
        </is>
      </c>
      <c r="C252" s="2" t="n">
        <v>0</v>
      </c>
      <c r="D252" s="2" t="inlineStr">
        <is>
          <t>Main article p. 7</t>
        </is>
      </c>
      <c r="E252" s="2" t="inlineStr">
        <is>
          <t>../../2024/jama.2024.4183/jama_cinciripini_2024_oi_240036_1716416465.98349.pdf#page=7</t>
        </is>
      </c>
    </row>
    <row r="253" ht="30" customHeight="1">
      <c r="A253" s="3" t="inlineStr">
        <is>
          <t>2024::jama.2024.4183::C009</t>
        </is>
      </c>
      <c r="B253" s="3" t="inlineStr">
        <is>
          <t>sourceLinks</t>
        </is>
      </c>
      <c r="C253" s="3" t="n">
        <v>1</v>
      </c>
      <c r="D253" s="3" t="inlineStr">
        <is>
          <t>Supplement 2 p. 21</t>
        </is>
      </c>
      <c r="E253" s="3" t="inlineStr">
        <is>
          <t>../../2024/jama.2024.4183/joi240036supp2_prod_1716416466.01349.pdf#page=21</t>
        </is>
      </c>
    </row>
    <row r="254" ht="40" customHeight="1">
      <c r="A254" s="2" t="inlineStr">
        <is>
          <t>2024::jama.2024.4183::C009</t>
        </is>
      </c>
      <c r="B254" s="2" t="inlineStr">
        <is>
          <t>evidencePaths</t>
        </is>
      </c>
      <c r="C254" s="2" t="n">
        <v>0</v>
      </c>
      <c r="D254" s="2" t="inlineStr">
        <is>
          <t>2024/jama.2024.4183/.ai_paper_validation/review_1_5_3/source_inventory.md</t>
        </is>
      </c>
      <c r="E254" s="2" t="inlineStr">
        <is>
          <t>../../2024/jama.2024.4183/.ai_paper_validation/review_1_5_3/source_inventory.md</t>
        </is>
      </c>
    </row>
    <row r="255" ht="30" customHeight="1">
      <c r="A255" s="3" t="inlineStr">
        <is>
          <t>2024::jama.2024.4183::C010</t>
        </is>
      </c>
      <c r="B255" s="3" t="inlineStr">
        <is>
          <t>sourceLinks</t>
        </is>
      </c>
      <c r="C255" s="3" t="n">
        <v>0</v>
      </c>
      <c r="D255" s="3" t="inlineStr">
        <is>
          <t>Protocol p. 32</t>
        </is>
      </c>
      <c r="E255" s="3" t="inlineStr">
        <is>
          <t>../../2024/jama.2024.4183/joi240036supp1_prod_1716416466.00349.pdf#page=32</t>
        </is>
      </c>
    </row>
    <row r="256" ht="40" customHeight="1">
      <c r="A256" s="2" t="inlineStr">
        <is>
          <t>2024::jama.2024.4183::C010</t>
        </is>
      </c>
      <c r="B256" s="2" t="inlineStr">
        <is>
          <t>evidencePaths</t>
        </is>
      </c>
      <c r="C256" s="2" t="n">
        <v>0</v>
      </c>
      <c r="D256" s="2" t="inlineStr">
        <is>
          <t>2024/jama.2024.4183/.ai_paper_validation/review_1_5_3/source_inventory.md</t>
        </is>
      </c>
      <c r="E256" s="2" t="inlineStr">
        <is>
          <t>../../2024/jama.2024.4183/.ai_paper_validation/review_1_5_3/source_inventory.md</t>
        </is>
      </c>
    </row>
    <row r="257" ht="40" customHeight="1">
      <c r="A257" s="3" t="inlineStr">
        <is>
          <t>2024::jama.2024.4183::C010</t>
        </is>
      </c>
      <c r="B257" s="3" t="inlineStr">
        <is>
          <t>evidencePaths</t>
        </is>
      </c>
      <c r="C257" s="3" t="n">
        <v>1</v>
      </c>
      <c r="D257" s="3" t="inlineStr">
        <is>
          <t>2024/jama.2024.4183/.ai_paper_validation/review_1_5_3/verification/evidence_recheck.md</t>
        </is>
      </c>
      <c r="E257" s="3" t="inlineStr">
        <is>
          <t>../../2024/jama.2024.4183/.ai_paper_validation/review_1_5_3/verification/evidence_recheck.md</t>
        </is>
      </c>
    </row>
    <row r="258" ht="30" customHeight="1">
      <c r="A258" s="2" t="inlineStr">
        <is>
          <t>2024::jama.2024.4183::C011</t>
        </is>
      </c>
      <c r="B258" s="2" t="inlineStr">
        <is>
          <t>sourceLinks</t>
        </is>
      </c>
      <c r="C258" s="2" t="n">
        <v>0</v>
      </c>
      <c r="D258" s="2" t="inlineStr">
        <is>
          <t>Protocol p. 34</t>
        </is>
      </c>
      <c r="E258" s="2" t="inlineStr">
        <is>
          <t>../../2024/jama.2024.4183/joi240036supp1_prod_1716416466.00349.pdf#page=34</t>
        </is>
      </c>
    </row>
    <row r="259" ht="40" customHeight="1">
      <c r="A259" s="3" t="inlineStr">
        <is>
          <t>2024::jama.2024.4183::C011</t>
        </is>
      </c>
      <c r="B259" s="3" t="inlineStr">
        <is>
          <t>evidencePaths</t>
        </is>
      </c>
      <c r="C259" s="3" t="n">
        <v>0</v>
      </c>
      <c r="D259" s="3" t="inlineStr">
        <is>
          <t>2024/jama.2024.4183/.ai_paper_validation/review_1_5_3/source_inventory.md</t>
        </is>
      </c>
      <c r="E259" s="3" t="inlineStr">
        <is>
          <t>../../2024/jama.2024.4183/.ai_paper_validation/review_1_5_3/source_inventory.md</t>
        </is>
      </c>
    </row>
    <row r="260" ht="40" customHeight="1">
      <c r="A260" s="2" t="inlineStr">
        <is>
          <t>2024::jama.2024.4183::C011</t>
        </is>
      </c>
      <c r="B260" s="2" t="inlineStr">
        <is>
          <t>evidencePaths</t>
        </is>
      </c>
      <c r="C260" s="2" t="n">
        <v>1</v>
      </c>
      <c r="D260" s="2" t="inlineStr">
        <is>
          <t>2024/jama.2024.4183/.ai_paper_validation/review_1_5_3/verification/evidence_recheck.md</t>
        </is>
      </c>
      <c r="E260" s="2" t="inlineStr">
        <is>
          <t>../../2024/jama.2024.4183/.ai_paper_validation/review_1_5_3/verification/evidence_recheck.md</t>
        </is>
      </c>
    </row>
    <row r="261" ht="30" customHeight="1">
      <c r="A261" s="3" t="inlineStr">
        <is>
          <t>2024::jama.2024.4183::C012</t>
        </is>
      </c>
      <c r="B261" s="3" t="inlineStr">
        <is>
          <t>sourceLinks</t>
        </is>
      </c>
      <c r="C261" s="3" t="n">
        <v>0</v>
      </c>
      <c r="D261" s="3" t="inlineStr">
        <is>
          <t>Protocol p. 29</t>
        </is>
      </c>
      <c r="E261" s="3" t="inlineStr">
        <is>
          <t>../../2024/jama.2024.4183/joi240036supp1_prod_1716416466.00349.pdf#page=29</t>
        </is>
      </c>
    </row>
    <row r="262" ht="30" customHeight="1">
      <c r="A262" s="2" t="inlineStr">
        <is>
          <t>2024::jama.2024.4183::C012</t>
        </is>
      </c>
      <c r="B262" s="2" t="inlineStr">
        <is>
          <t>sourceLinks</t>
        </is>
      </c>
      <c r="C262" s="2" t="n">
        <v>1</v>
      </c>
      <c r="D262" s="2" t="inlineStr">
        <is>
          <t>Protocol p. 33</t>
        </is>
      </c>
      <c r="E262" s="2" t="inlineStr">
        <is>
          <t>../../2024/jama.2024.4183/joi240036supp1_prod_1716416466.00349.pdf#page=33</t>
        </is>
      </c>
    </row>
    <row r="263" ht="30" customHeight="1">
      <c r="A263" s="3" t="inlineStr">
        <is>
          <t>2024::jama.2024.4183::C012</t>
        </is>
      </c>
      <c r="B263" s="3" t="inlineStr">
        <is>
          <t>sourceLinks</t>
        </is>
      </c>
      <c r="C263" s="3" t="n">
        <v>2</v>
      </c>
      <c r="D263" s="3" t="inlineStr">
        <is>
          <t>Protocol p. 34</t>
        </is>
      </c>
      <c r="E263" s="3" t="inlineStr">
        <is>
          <t>../../2024/jama.2024.4183/joi240036supp1_prod_1716416466.00349.pdf#page=34</t>
        </is>
      </c>
    </row>
    <row r="264" ht="40" customHeight="1">
      <c r="A264" s="2" t="inlineStr">
        <is>
          <t>2024::jama.2024.4183::C012</t>
        </is>
      </c>
      <c r="B264" s="2" t="inlineStr">
        <is>
          <t>evidencePaths</t>
        </is>
      </c>
      <c r="C264" s="2" t="n">
        <v>0</v>
      </c>
      <c r="D264" s="2" t="inlineStr">
        <is>
          <t>2024/jama.2024.4183/.ai_paper_validation/review_1_5_3/source_inventory.md</t>
        </is>
      </c>
      <c r="E264" s="2" t="inlineStr">
        <is>
          <t>../../2024/jama.2024.4183/.ai_paper_validation/review_1_5_3/source_inventory.md</t>
        </is>
      </c>
    </row>
    <row r="265" ht="40" customHeight="1">
      <c r="A265" s="3" t="inlineStr">
        <is>
          <t>2024::jama.2024.4183::C012</t>
        </is>
      </c>
      <c r="B265" s="3" t="inlineStr">
        <is>
          <t>evidencePaths</t>
        </is>
      </c>
      <c r="C265" s="3" t="n">
        <v>1</v>
      </c>
      <c r="D265" s="3" t="inlineStr">
        <is>
          <t>2024/jama.2024.4183/.ai_paper_validation/review_1_5_3/verification/evidence_recheck.md</t>
        </is>
      </c>
      <c r="E265" s="3" t="inlineStr">
        <is>
          <t>../../2024/jama.2024.4183/.ai_paper_validation/review_1_5_3/verification/evidence_recheck.md</t>
        </is>
      </c>
    </row>
    <row r="266" ht="30" customHeight="1">
      <c r="A266" s="2" t="inlineStr">
        <is>
          <t>2024::jama.2024.4183::C013</t>
        </is>
      </c>
      <c r="B266" s="2" t="inlineStr">
        <is>
          <t>sourceLinks</t>
        </is>
      </c>
      <c r="C266" s="2" t="n">
        <v>0</v>
      </c>
      <c r="D266" s="2" t="inlineStr">
        <is>
          <t>Supplement 2 p. 19</t>
        </is>
      </c>
      <c r="E266" s="2" t="inlineStr">
        <is>
          <t>../../2024/jama.2024.4183/joi240036supp2_prod_1716416466.01349.pdf#page=19</t>
        </is>
      </c>
    </row>
    <row r="267" ht="40" customHeight="1">
      <c r="A267" s="3" t="inlineStr">
        <is>
          <t>2024::jama.2024.4183::C013</t>
        </is>
      </c>
      <c r="B267" s="3" t="inlineStr">
        <is>
          <t>evidencePaths</t>
        </is>
      </c>
      <c r="C267" s="3" t="n">
        <v>0</v>
      </c>
      <c r="D267" s="3" t="inlineStr">
        <is>
          <t>2024/jama.2024.4183/.ai_paper_validation/review_1_5_3/source_inventory.md</t>
        </is>
      </c>
      <c r="E267" s="3" t="inlineStr">
        <is>
          <t>../../2024/jama.2024.4183/.ai_paper_validation/review_1_5_3/source_inventory.md</t>
        </is>
      </c>
    </row>
    <row r="268" ht="30" customHeight="1">
      <c r="A268" s="2" t="inlineStr">
        <is>
          <t>2024::jama.2024.4183::C014</t>
        </is>
      </c>
      <c r="B268" s="2" t="inlineStr">
        <is>
          <t>sourceLinks</t>
        </is>
      </c>
      <c r="C268" s="2" t="n">
        <v>0</v>
      </c>
      <c r="D268" s="2" t="inlineStr">
        <is>
          <t>Supplement 2 p. 10</t>
        </is>
      </c>
      <c r="E268" s="2" t="inlineStr">
        <is>
          <t>../../2024/jama.2024.4183/joi240036supp2_prod_1716416466.01349.pdf#page=10</t>
        </is>
      </c>
    </row>
    <row r="269" ht="30" customHeight="1">
      <c r="A269" s="3" t="inlineStr">
        <is>
          <t>2024::jama.2024.4183::C014</t>
        </is>
      </c>
      <c r="B269" s="3" t="inlineStr">
        <is>
          <t>sourceLinks</t>
        </is>
      </c>
      <c r="C269" s="3" t="n">
        <v>1</v>
      </c>
      <c r="D269" s="3" t="inlineStr">
        <is>
          <t>Supplement 2 p. 15</t>
        </is>
      </c>
      <c r="E269" s="3" t="inlineStr">
        <is>
          <t>../../2024/jama.2024.4183/joi240036supp2_prod_1716416466.01349.pdf#page=15</t>
        </is>
      </c>
    </row>
    <row r="270" ht="40" customHeight="1">
      <c r="A270" s="2" t="inlineStr">
        <is>
          <t>2024::jama.2024.4183::C014</t>
        </is>
      </c>
      <c r="B270" s="2" t="inlineStr">
        <is>
          <t>evidencePaths</t>
        </is>
      </c>
      <c r="C270" s="2" t="n">
        <v>0</v>
      </c>
      <c r="D270" s="2" t="inlineStr">
        <is>
          <t>2024/jama.2024.4183/.ai_paper_validation/review_1_5_3/source_inventory.md</t>
        </is>
      </c>
      <c r="E270" s="2" t="inlineStr">
        <is>
          <t>../../2024/jama.2024.4183/.ai_paper_validation/review_1_5_3/source_inventory.md</t>
        </is>
      </c>
    </row>
    <row r="271" ht="30" customHeight="1">
      <c r="A271" s="3" t="inlineStr">
        <is>
          <t>2024::jama.2024.4183::C015</t>
        </is>
      </c>
      <c r="B271" s="3" t="inlineStr">
        <is>
          <t>sourceLinks</t>
        </is>
      </c>
      <c r="C271" s="3" t="n">
        <v>0</v>
      </c>
      <c r="D271" s="3" t="inlineStr">
        <is>
          <t>Supplement 2 p. 10</t>
        </is>
      </c>
      <c r="E271" s="3" t="inlineStr">
        <is>
          <t>../../2024/jama.2024.4183/joi240036supp2_prod_1716416466.01349.pdf#page=10</t>
        </is>
      </c>
    </row>
    <row r="272" ht="30" customHeight="1">
      <c r="A272" s="2" t="inlineStr">
        <is>
          <t>2024::jama.2024.4183::C015</t>
        </is>
      </c>
      <c r="B272" s="2" t="inlineStr">
        <is>
          <t>sourceLinks</t>
        </is>
      </c>
      <c r="C272" s="2" t="n">
        <v>1</v>
      </c>
      <c r="D272" s="2" t="inlineStr">
        <is>
          <t>Supplement 2 p. 15</t>
        </is>
      </c>
      <c r="E272" s="2" t="inlineStr">
        <is>
          <t>../../2024/jama.2024.4183/joi240036supp2_prod_1716416466.01349.pdf#page=15</t>
        </is>
      </c>
    </row>
    <row r="273" ht="40" customHeight="1">
      <c r="A273" s="3" t="inlineStr">
        <is>
          <t>2024::jama.2024.4183::C015</t>
        </is>
      </c>
      <c r="B273" s="3" t="inlineStr">
        <is>
          <t>evidencePaths</t>
        </is>
      </c>
      <c r="C273" s="3" t="n">
        <v>0</v>
      </c>
      <c r="D273" s="3" t="inlineStr">
        <is>
          <t>2024/jama.2024.4183/.ai_paper_validation/review_1_5_3/source_inventory.md</t>
        </is>
      </c>
      <c r="E273" s="3" t="inlineStr">
        <is>
          <t>../../2024/jama.2024.4183/.ai_paper_validation/review_1_5_3/source_inventory.md</t>
        </is>
      </c>
    </row>
    <row r="274" ht="30" customHeight="1">
      <c r="A274" s="2" t="inlineStr">
        <is>
          <t>2024::jama.2024.4183::C016</t>
        </is>
      </c>
      <c r="B274" s="2" t="inlineStr">
        <is>
          <t>sourceLinks</t>
        </is>
      </c>
      <c r="C274" s="2" t="n">
        <v>0</v>
      </c>
      <c r="D274" s="2" t="inlineStr">
        <is>
          <t>Supplement 2 p. 10</t>
        </is>
      </c>
      <c r="E274" s="2" t="inlineStr">
        <is>
          <t>../../2024/jama.2024.4183/joi240036supp2_prod_1716416466.01349.pdf#page=10</t>
        </is>
      </c>
    </row>
    <row r="275" ht="30" customHeight="1">
      <c r="A275" s="3" t="inlineStr">
        <is>
          <t>2024::jama.2024.4183::C016</t>
        </is>
      </c>
      <c r="B275" s="3" t="inlineStr">
        <is>
          <t>sourceLinks</t>
        </is>
      </c>
      <c r="C275" s="3" t="n">
        <v>1</v>
      </c>
      <c r="D275" s="3" t="inlineStr">
        <is>
          <t>Supplement 2 p. 33</t>
        </is>
      </c>
      <c r="E275" s="3" t="inlineStr">
        <is>
          <t>../../2024/jama.2024.4183/joi240036supp2_prod_1716416466.01349.pdf#page=33</t>
        </is>
      </c>
    </row>
    <row r="276" ht="40" customHeight="1">
      <c r="A276" s="2" t="inlineStr">
        <is>
          <t>2024::jama.2024.4183::C016</t>
        </is>
      </c>
      <c r="B276" s="2" t="inlineStr">
        <is>
          <t>evidencePaths</t>
        </is>
      </c>
      <c r="C276" s="2" t="n">
        <v>0</v>
      </c>
      <c r="D276" s="2" t="inlineStr">
        <is>
          <t>2024/jama.2024.4183/.ai_paper_validation/review_1_5_3/source_inventory.md</t>
        </is>
      </c>
      <c r="E276" s="2" t="inlineStr">
        <is>
          <t>../../2024/jama.2024.4183/.ai_paper_validation/review_1_5_3/source_inventory.md</t>
        </is>
      </c>
    </row>
    <row r="277" ht="30" customHeight="1">
      <c r="A277" s="3" t="inlineStr">
        <is>
          <t>2024::jama.2024.4183::C017</t>
        </is>
      </c>
      <c r="B277" s="3" t="inlineStr">
        <is>
          <t>sourceLinks</t>
        </is>
      </c>
      <c r="C277" s="3" t="n">
        <v>0</v>
      </c>
      <c r="D277" s="3" t="inlineStr">
        <is>
          <t>Supplement 2 p. 10</t>
        </is>
      </c>
      <c r="E277" s="3" t="inlineStr">
        <is>
          <t>../../2024/jama.2024.4183/joi240036supp2_prod_1716416466.01349.pdf#page=10</t>
        </is>
      </c>
    </row>
    <row r="278" ht="30" customHeight="1">
      <c r="A278" s="2" t="inlineStr">
        <is>
          <t>2024::jama.2024.4183::C017</t>
        </is>
      </c>
      <c r="B278" s="2" t="inlineStr">
        <is>
          <t>sourceLinks</t>
        </is>
      </c>
      <c r="C278" s="2" t="n">
        <v>1</v>
      </c>
      <c r="D278" s="2" t="inlineStr">
        <is>
          <t>Supplement 2 p. 11</t>
        </is>
      </c>
      <c r="E278" s="2" t="inlineStr">
        <is>
          <t>../../2024/jama.2024.4183/joi240036supp2_prod_1716416466.01349.pdf#page=11</t>
        </is>
      </c>
    </row>
    <row r="279" ht="30" customHeight="1">
      <c r="A279" s="3" t="inlineStr">
        <is>
          <t>2024::jama.2024.4183::C017</t>
        </is>
      </c>
      <c r="B279" s="3" t="inlineStr">
        <is>
          <t>sourceLinks</t>
        </is>
      </c>
      <c r="C279" s="3" t="n">
        <v>2</v>
      </c>
      <c r="D279" s="3" t="inlineStr">
        <is>
          <t>Supplement 2 p. 15</t>
        </is>
      </c>
      <c r="E279" s="3" t="inlineStr">
        <is>
          <t>../../2024/jama.2024.4183/joi240036supp2_prod_1716416466.01349.pdf#page=15</t>
        </is>
      </c>
    </row>
    <row r="280" ht="30" customHeight="1">
      <c r="A280" s="2" t="inlineStr">
        <is>
          <t>2024::jama.2024.4183::C017</t>
        </is>
      </c>
      <c r="B280" s="2" t="inlineStr">
        <is>
          <t>sourceLinks</t>
        </is>
      </c>
      <c r="C280" s="2" t="n">
        <v>3</v>
      </c>
      <c r="D280" s="2" t="inlineStr">
        <is>
          <t>Supplement 2 p. 33</t>
        </is>
      </c>
      <c r="E280" s="2" t="inlineStr">
        <is>
          <t>../../2024/jama.2024.4183/joi240036supp2_prod_1716416466.01349.pdf#page=33</t>
        </is>
      </c>
    </row>
    <row r="281" ht="30" customHeight="1">
      <c r="A281" s="3" t="inlineStr">
        <is>
          <t>2024::jama.2024.4183::C017</t>
        </is>
      </c>
      <c r="B281" s="3" t="inlineStr">
        <is>
          <t>sourceLinks</t>
        </is>
      </c>
      <c r="C281" s="3" t="n">
        <v>4</v>
      </c>
      <c r="D281" s="3" t="inlineStr">
        <is>
          <t>Supplement 2 p. 34</t>
        </is>
      </c>
      <c r="E281" s="3" t="inlineStr">
        <is>
          <t>../../2024/jama.2024.4183/joi240036supp2_prod_1716416466.01349.pdf#page=34</t>
        </is>
      </c>
    </row>
    <row r="282" ht="40" customHeight="1">
      <c r="A282" s="2" t="inlineStr">
        <is>
          <t>2024::jama.2024.4183::C017</t>
        </is>
      </c>
      <c r="B282" s="2" t="inlineStr">
        <is>
          <t>evidencePaths</t>
        </is>
      </c>
      <c r="C282" s="2" t="n">
        <v>0</v>
      </c>
      <c r="D282" s="2" t="inlineStr">
        <is>
          <t>2024/jama.2024.4183/.ai_paper_validation/review_1_5_3/source_inventory.md</t>
        </is>
      </c>
      <c r="E282" s="2" t="inlineStr">
        <is>
          <t>../../2024/jama.2024.4183/.ai_paper_validation/review_1_5_3/source_inventory.md</t>
        </is>
      </c>
    </row>
    <row r="283" ht="30" customHeight="1">
      <c r="A283" s="3" t="inlineStr">
        <is>
          <t>2024::jama.2024.4183::C018</t>
        </is>
      </c>
      <c r="B283" s="3" t="inlineStr">
        <is>
          <t>sourceLinks</t>
        </is>
      </c>
      <c r="C283" s="3" t="n">
        <v>0</v>
      </c>
      <c r="D283" s="3" t="inlineStr">
        <is>
          <t>Supplement 2 p. 11</t>
        </is>
      </c>
      <c r="E283" s="3" t="inlineStr">
        <is>
          <t>../../2024/jama.2024.4183/joi240036supp2_prod_1716416466.01349.pdf#page=11</t>
        </is>
      </c>
    </row>
    <row r="284" ht="30" customHeight="1">
      <c r="A284" s="2" t="inlineStr">
        <is>
          <t>2024::jama.2024.4183::C018</t>
        </is>
      </c>
      <c r="B284" s="2" t="inlineStr">
        <is>
          <t>sourceLinks</t>
        </is>
      </c>
      <c r="C284" s="2" t="n">
        <v>1</v>
      </c>
      <c r="D284" s="2" t="inlineStr">
        <is>
          <t>Supplement 2 p. 15</t>
        </is>
      </c>
      <c r="E284" s="2" t="inlineStr">
        <is>
          <t>../../2024/jama.2024.4183/joi240036supp2_prod_1716416466.01349.pdf#page=15</t>
        </is>
      </c>
    </row>
    <row r="285" ht="30" customHeight="1">
      <c r="A285" s="3" t="inlineStr">
        <is>
          <t>2024::jama.2024.4183::C018</t>
        </is>
      </c>
      <c r="B285" s="3" t="inlineStr">
        <is>
          <t>sourceLinks</t>
        </is>
      </c>
      <c r="C285" s="3" t="n">
        <v>2</v>
      </c>
      <c r="D285" s="3" t="inlineStr">
        <is>
          <t>Supplement 2 p. 35</t>
        </is>
      </c>
      <c r="E285" s="3" t="inlineStr">
        <is>
          <t>../../2024/jama.2024.4183/joi240036supp2_prod_1716416466.01349.pdf#page=35</t>
        </is>
      </c>
    </row>
    <row r="286" ht="40" customHeight="1">
      <c r="A286" s="2" t="inlineStr">
        <is>
          <t>2024::jama.2024.4183::C018</t>
        </is>
      </c>
      <c r="B286" s="2" t="inlineStr">
        <is>
          <t>evidencePaths</t>
        </is>
      </c>
      <c r="C286" s="2" t="n">
        <v>0</v>
      </c>
      <c r="D286" s="2" t="inlineStr">
        <is>
          <t>2024/jama.2024.4183/.ai_paper_validation/review_1_5_3/source_inventory.md</t>
        </is>
      </c>
      <c r="E286" s="2" t="inlineStr">
        <is>
          <t>../../2024/jama.2024.4183/.ai_paper_validation/review_1_5_3/source_inventory.md</t>
        </is>
      </c>
    </row>
    <row r="287" ht="30" customHeight="1">
      <c r="A287" s="3" t="inlineStr">
        <is>
          <t>2024::jama.2024.4183::C019</t>
        </is>
      </c>
      <c r="B287" s="3" t="inlineStr">
        <is>
          <t>sourceLinks</t>
        </is>
      </c>
      <c r="C287" s="3" t="n">
        <v>0</v>
      </c>
      <c r="D287" s="3" t="inlineStr">
        <is>
          <t>Supplement 2 p. 11</t>
        </is>
      </c>
      <c r="E287" s="3" t="inlineStr">
        <is>
          <t>../../2024/jama.2024.4183/joi240036supp2_prod_1716416466.01349.pdf#page=11</t>
        </is>
      </c>
    </row>
    <row r="288" ht="30" customHeight="1">
      <c r="A288" s="2" t="inlineStr">
        <is>
          <t>2024::jama.2024.4183::C019</t>
        </is>
      </c>
      <c r="B288" s="2" t="inlineStr">
        <is>
          <t>sourceLinks</t>
        </is>
      </c>
      <c r="C288" s="2" t="n">
        <v>1</v>
      </c>
      <c r="D288" s="2" t="inlineStr">
        <is>
          <t>Supplement 2 p. 31</t>
        </is>
      </c>
      <c r="E288" s="2" t="inlineStr">
        <is>
          <t>../../2024/jama.2024.4183/joi240036supp2_prod_1716416466.01349.pdf#page=31</t>
        </is>
      </c>
    </row>
    <row r="289" ht="30" customHeight="1">
      <c r="A289" s="3" t="inlineStr">
        <is>
          <t>2024::jama.2024.4183::C019</t>
        </is>
      </c>
      <c r="B289" s="3" t="inlineStr">
        <is>
          <t>sourceLinks</t>
        </is>
      </c>
      <c r="C289" s="3" t="n">
        <v>2</v>
      </c>
      <c r="D289" s="3" t="inlineStr">
        <is>
          <t>Supplement 2 p. 33</t>
        </is>
      </c>
      <c r="E289" s="3" t="inlineStr">
        <is>
          <t>../../2024/jama.2024.4183/joi240036supp2_prod_1716416466.01349.pdf#page=33</t>
        </is>
      </c>
    </row>
    <row r="290" ht="40" customHeight="1">
      <c r="A290" s="2" t="inlineStr">
        <is>
          <t>2024::jama.2024.4183::C019</t>
        </is>
      </c>
      <c r="B290" s="2" t="inlineStr">
        <is>
          <t>evidencePaths</t>
        </is>
      </c>
      <c r="C290" s="2" t="n">
        <v>0</v>
      </c>
      <c r="D290" s="2" t="inlineStr">
        <is>
          <t>2024/jama.2024.4183/.ai_paper_validation/review_1_5_3/source_inventory.md</t>
        </is>
      </c>
      <c r="E290" s="2" t="inlineStr">
        <is>
          <t>../../2024/jama.2024.4183/.ai_paper_validation/review_1_5_3/source_inventory.md</t>
        </is>
      </c>
    </row>
    <row r="291" ht="30" customHeight="1">
      <c r="A291" s="3" t="inlineStr">
        <is>
          <t>2024::jama.2024.4183::C020</t>
        </is>
      </c>
      <c r="B291" s="3" t="inlineStr">
        <is>
          <t>sourceLinks</t>
        </is>
      </c>
      <c r="C291" s="3" t="n">
        <v>0</v>
      </c>
      <c r="D291" s="3" t="inlineStr">
        <is>
          <t>Supplement 2 p. 12</t>
        </is>
      </c>
      <c r="E291" s="3" t="inlineStr">
        <is>
          <t>../../2024/jama.2024.4183/joi240036supp2_prod_1716416466.01349.pdf#page=12</t>
        </is>
      </c>
    </row>
    <row r="292" ht="30" customHeight="1">
      <c r="A292" s="2" t="inlineStr">
        <is>
          <t>2024::jama.2024.4183::C020</t>
        </is>
      </c>
      <c r="B292" s="2" t="inlineStr">
        <is>
          <t>sourceLinks</t>
        </is>
      </c>
      <c r="C292" s="2" t="n">
        <v>1</v>
      </c>
      <c r="D292" s="2" t="inlineStr">
        <is>
          <t>Supplement 2 p. 16</t>
        </is>
      </c>
      <c r="E292" s="2" t="inlineStr">
        <is>
          <t>../../2024/jama.2024.4183/joi240036supp2_prod_1716416466.01349.pdf#page=16</t>
        </is>
      </c>
    </row>
    <row r="293" ht="30" customHeight="1">
      <c r="A293" s="3" t="inlineStr">
        <is>
          <t>2024::jama.2024.4183::C020</t>
        </is>
      </c>
      <c r="B293" s="3" t="inlineStr">
        <is>
          <t>sourceLinks</t>
        </is>
      </c>
      <c r="C293" s="3" t="n">
        <v>2</v>
      </c>
      <c r="D293" s="3" t="inlineStr">
        <is>
          <t>Supplement 2 p. 35</t>
        </is>
      </c>
      <c r="E293" s="3" t="inlineStr">
        <is>
          <t>../../2024/jama.2024.4183/joi240036supp2_prod_1716416466.01349.pdf#page=35</t>
        </is>
      </c>
    </row>
    <row r="294" ht="40" customHeight="1">
      <c r="A294" s="2" t="inlineStr">
        <is>
          <t>2024::jama.2024.4183::C020</t>
        </is>
      </c>
      <c r="B294" s="2" t="inlineStr">
        <is>
          <t>evidencePaths</t>
        </is>
      </c>
      <c r="C294" s="2" t="n">
        <v>0</v>
      </c>
      <c r="D294" s="2" t="inlineStr">
        <is>
          <t>2024/jama.2024.4183/.ai_paper_validation/review_1_5_3/source_inventory.md</t>
        </is>
      </c>
      <c r="E294" s="2" t="inlineStr">
        <is>
          <t>../../2024/jama.2024.4183/.ai_paper_validation/review_1_5_3/source_inventory.md</t>
        </is>
      </c>
    </row>
    <row r="295" ht="30" customHeight="1">
      <c r="A295" s="3" t="inlineStr">
        <is>
          <t>2024::jama.2024.4183::C021</t>
        </is>
      </c>
      <c r="B295" s="3" t="inlineStr">
        <is>
          <t>sourceLinks</t>
        </is>
      </c>
      <c r="C295" s="3" t="n">
        <v>0</v>
      </c>
      <c r="D295" s="3" t="inlineStr">
        <is>
          <t>Supplement 2 p. 10</t>
        </is>
      </c>
      <c r="E295" s="3" t="inlineStr">
        <is>
          <t>../../2024/jama.2024.4183/joi240036supp2_prod_1716416466.01349.pdf#page=10</t>
        </is>
      </c>
    </row>
    <row r="296" ht="30" customHeight="1">
      <c r="A296" s="2" t="inlineStr">
        <is>
          <t>2024::jama.2024.4183::C021</t>
        </is>
      </c>
      <c r="B296" s="2" t="inlineStr">
        <is>
          <t>sourceLinks</t>
        </is>
      </c>
      <c r="C296" s="2" t="n">
        <v>1</v>
      </c>
      <c r="D296" s="2" t="inlineStr">
        <is>
          <t>Supplement 2 p. 34</t>
        </is>
      </c>
      <c r="E296" s="2" t="inlineStr">
        <is>
          <t>../../2024/jama.2024.4183/joi240036supp2_prod_1716416466.01349.pdf#page=34</t>
        </is>
      </c>
    </row>
    <row r="297" ht="30" customHeight="1">
      <c r="A297" s="3" t="inlineStr">
        <is>
          <t>2024::jama.2024.4183::C021</t>
        </is>
      </c>
      <c r="B297" s="3" t="inlineStr">
        <is>
          <t>sourceLinks</t>
        </is>
      </c>
      <c r="C297" s="3" t="n">
        <v>2</v>
      </c>
      <c r="D297" s="3" t="inlineStr">
        <is>
          <t>Supplement 2 p. 35</t>
        </is>
      </c>
      <c r="E297" s="3" t="inlineStr">
        <is>
          <t>../../2024/jama.2024.4183/joi240036supp2_prod_1716416466.01349.pdf#page=35</t>
        </is>
      </c>
    </row>
    <row r="298" ht="40" customHeight="1">
      <c r="A298" s="2" t="inlineStr">
        <is>
          <t>2024::jama.2024.4183::C021</t>
        </is>
      </c>
      <c r="B298" s="2" t="inlineStr">
        <is>
          <t>evidencePaths</t>
        </is>
      </c>
      <c r="C298" s="2" t="n">
        <v>0</v>
      </c>
      <c r="D298" s="2" t="inlineStr">
        <is>
          <t>2024/jama.2024.4183/.ai_paper_validation/review_1_5_3/source_inventory.md</t>
        </is>
      </c>
      <c r="E298" s="2" t="inlineStr">
        <is>
          <t>../../2024/jama.2024.4183/.ai_paper_validation/review_1_5_3/source_inventory.md</t>
        </is>
      </c>
    </row>
    <row r="299" ht="30" customHeight="1">
      <c r="A299" s="3" t="inlineStr">
        <is>
          <t>2024::jama.2024.4183::C022</t>
        </is>
      </c>
      <c r="B299" s="3" t="inlineStr">
        <is>
          <t>sourceLinks</t>
        </is>
      </c>
      <c r="C299" s="3" t="n">
        <v>0</v>
      </c>
      <c r="D299" s="3" t="inlineStr">
        <is>
          <t>Supplement 2 p. 12</t>
        </is>
      </c>
      <c r="E299" s="3" t="inlineStr">
        <is>
          <t>../../2024/jama.2024.4183/joi240036supp2_prod_1716416466.01349.pdf#page=12</t>
        </is>
      </c>
    </row>
    <row r="300" ht="30" customHeight="1">
      <c r="A300" s="2" t="inlineStr">
        <is>
          <t>2024::jama.2024.4183::C022</t>
        </is>
      </c>
      <c r="B300" s="2" t="inlineStr">
        <is>
          <t>sourceLinks</t>
        </is>
      </c>
      <c r="C300" s="2" t="n">
        <v>1</v>
      </c>
      <c r="D300" s="2" t="inlineStr">
        <is>
          <t>Supplement 2 p. 33</t>
        </is>
      </c>
      <c r="E300" s="2" t="inlineStr">
        <is>
          <t>../../2024/jama.2024.4183/joi240036supp2_prod_1716416466.01349.pdf#page=33</t>
        </is>
      </c>
    </row>
    <row r="301" ht="30" customHeight="1">
      <c r="A301" s="3" t="inlineStr">
        <is>
          <t>2024::jama.2024.4183::C022</t>
        </is>
      </c>
      <c r="B301" s="3" t="inlineStr">
        <is>
          <t>sourceLinks</t>
        </is>
      </c>
      <c r="C301" s="3" t="n">
        <v>2</v>
      </c>
      <c r="D301" s="3" t="inlineStr">
        <is>
          <t>Supplement 2 p. 34</t>
        </is>
      </c>
      <c r="E301" s="3" t="inlineStr">
        <is>
          <t>../../2024/jama.2024.4183/joi240036supp2_prod_1716416466.01349.pdf#page=34</t>
        </is>
      </c>
    </row>
    <row r="302" ht="40" customHeight="1">
      <c r="A302" s="2" t="inlineStr">
        <is>
          <t>2024::jama.2024.4183::C022</t>
        </is>
      </c>
      <c r="B302" s="2" t="inlineStr">
        <is>
          <t>evidencePaths</t>
        </is>
      </c>
      <c r="C302" s="2" t="n">
        <v>0</v>
      </c>
      <c r="D302" s="2" t="inlineStr">
        <is>
          <t>2024/jama.2024.4183/.ai_paper_validation/review_1_5_3/source_inventory.md</t>
        </is>
      </c>
      <c r="E302" s="2" t="inlineStr">
        <is>
          <t>../../2024/jama.2024.4183/.ai_paper_validation/review_1_5_3/source_inventory.md</t>
        </is>
      </c>
    </row>
    <row r="303" ht="30" customHeight="1">
      <c r="A303" s="3" t="inlineStr">
        <is>
          <t>2024::jama.2024.4183::C023</t>
        </is>
      </c>
      <c r="B303" s="3" t="inlineStr">
        <is>
          <t>sourceLinks</t>
        </is>
      </c>
      <c r="C303" s="3" t="n">
        <v>0</v>
      </c>
      <c r="D303" s="3" t="inlineStr">
        <is>
          <t>Supplement 2 p. 19</t>
        </is>
      </c>
      <c r="E303" s="3" t="inlineStr">
        <is>
          <t>../../2024/jama.2024.4183/joi240036supp2_prod_1716416466.01349.pdf#page=19</t>
        </is>
      </c>
    </row>
    <row r="304" ht="40" customHeight="1">
      <c r="A304" s="2" t="inlineStr">
        <is>
          <t>2024::jama.2024.4183::C023</t>
        </is>
      </c>
      <c r="B304" s="2" t="inlineStr">
        <is>
          <t>evidencePaths</t>
        </is>
      </c>
      <c r="C304" s="2" t="n">
        <v>0</v>
      </c>
      <c r="D304" s="2" t="inlineStr">
        <is>
          <t>2024/jama.2024.4183/.ai_paper_validation/review_1_5_3/source_inventory.md</t>
        </is>
      </c>
      <c r="E304" s="2" t="inlineStr">
        <is>
          <t>../../2024/jama.2024.4183/.ai_paper_validation/review_1_5_3/source_inventory.md</t>
        </is>
      </c>
    </row>
    <row r="305" ht="40" customHeight="1">
      <c r="A305" s="3" t="inlineStr">
        <is>
          <t>2024::jama.2024.4183::C023</t>
        </is>
      </c>
      <c r="B305" s="3" t="inlineStr">
        <is>
          <t>evidencePaths</t>
        </is>
      </c>
      <c r="C305" s="3" t="n">
        <v>1</v>
      </c>
      <c r="D305" s="3" t="inlineStr">
        <is>
          <t>2024/jama.2024.4183/.ai_paper_validation/review_1_5_3/verification/evidence_recheck.md</t>
        </is>
      </c>
      <c r="E305" s="3" t="inlineStr">
        <is>
          <t>../../2024/jama.2024.4183/.ai_paper_validation/review_1_5_3/verification/evidence_recheck.md</t>
        </is>
      </c>
    </row>
    <row r="306" ht="30" customHeight="1">
      <c r="A306" s="2" t="inlineStr">
        <is>
          <t>2024::jama.2024.4183::C024</t>
        </is>
      </c>
      <c r="B306" s="2" t="inlineStr">
        <is>
          <t>sourceLinks</t>
        </is>
      </c>
      <c r="C306" s="2" t="n">
        <v>0</v>
      </c>
      <c r="D306" s="2" t="inlineStr">
        <is>
          <t>Supplement 2 p. 19</t>
        </is>
      </c>
      <c r="E306" s="2" t="inlineStr">
        <is>
          <t>../../2024/jama.2024.4183/joi240036supp2_prod_1716416466.01349.pdf#page=19</t>
        </is>
      </c>
    </row>
    <row r="307" ht="40" customHeight="1">
      <c r="A307" s="3" t="inlineStr">
        <is>
          <t>2024::jama.2024.4183::C024</t>
        </is>
      </c>
      <c r="B307" s="3" t="inlineStr">
        <is>
          <t>evidencePaths</t>
        </is>
      </c>
      <c r="C307" s="3" t="n">
        <v>0</v>
      </c>
      <c r="D307" s="3" t="inlineStr">
        <is>
          <t>2024/jama.2024.4183/.ai_paper_validation/review_1_5_3/source_inventory.md</t>
        </is>
      </c>
      <c r="E307" s="3" t="inlineStr">
        <is>
          <t>../../2024/jama.2024.4183/.ai_paper_validation/review_1_5_3/source_inventory.md</t>
        </is>
      </c>
    </row>
    <row r="308" ht="40" customHeight="1">
      <c r="A308" s="2" t="inlineStr">
        <is>
          <t>2024::jama.2024.4183::C024</t>
        </is>
      </c>
      <c r="B308" s="2" t="inlineStr">
        <is>
          <t>evidencePaths</t>
        </is>
      </c>
      <c r="C308" s="2" t="n">
        <v>1</v>
      </c>
      <c r="D308" s="2" t="inlineStr">
        <is>
          <t>2024/jama.2024.4183/.ai_paper_validation/review_1_5_3/verification/evidence_recheck.md</t>
        </is>
      </c>
      <c r="E308" s="2" t="inlineStr">
        <is>
          <t>../../2024/jama.2024.4183/.ai_paper_validation/review_1_5_3/verification/evidence_recheck.md</t>
        </is>
      </c>
    </row>
    <row r="309" ht="30" customHeight="1">
      <c r="A309" s="3" t="inlineStr">
        <is>
          <t>2024::jama.2024.6063::C001</t>
        </is>
      </c>
      <c r="B309" s="3" t="inlineStr">
        <is>
          <t>sourceLinks</t>
        </is>
      </c>
      <c r="C309" s="3" t="n">
        <v>0</v>
      </c>
      <c r="D309" s="3" t="inlineStr">
        <is>
          <t>Main article — PDF p. 3</t>
        </is>
      </c>
      <c r="E309" s="3" t="inlineStr">
        <is>
          <t>../../2024/jama.2024.6063/jama_laslett_2024_oi_240048_1727199125.7595.pdf#page=3</t>
        </is>
      </c>
    </row>
    <row r="310" ht="30" customHeight="1">
      <c r="A310" s="2" t="inlineStr">
        <is>
          <t>2024::jama.2024.6063::C001</t>
        </is>
      </c>
      <c r="B310" s="2" t="inlineStr">
        <is>
          <t>sourceLinks</t>
        </is>
      </c>
      <c r="C310" s="2" t="n">
        <v>1</v>
      </c>
      <c r="D310" s="2" t="inlineStr">
        <is>
          <t>Main article — PDF p. 7</t>
        </is>
      </c>
      <c r="E310" s="2" t="inlineStr">
        <is>
          <t>../../2024/jama.2024.6063/jama_laslett_2024_oi_240048_1727199125.7595.pdf#page=7</t>
        </is>
      </c>
    </row>
    <row r="311" ht="40" customHeight="1">
      <c r="A311" s="3" t="inlineStr">
        <is>
          <t>2024::jama.2024.6063::C001</t>
        </is>
      </c>
      <c r="B311" s="3" t="inlineStr">
        <is>
          <t>evidencePaths</t>
        </is>
      </c>
      <c r="C311" s="3" t="n">
        <v>0</v>
      </c>
      <c r="D311" s="3" t="inlineStr">
        <is>
          <t>2024/jama.2024.6063/.ai_paper_validation/review_1_5_3/source_inventory.md</t>
        </is>
      </c>
      <c r="E311" s="3" t="inlineStr">
        <is>
          <t>../../2024/jama.2024.6063/.ai_paper_validation/review_1_5_3/source_inventory.md</t>
        </is>
      </c>
    </row>
    <row r="312" ht="30" customHeight="1">
      <c r="A312" s="2" t="inlineStr">
        <is>
          <t>2024::jama.2024.6063::C002</t>
        </is>
      </c>
      <c r="B312" s="2" t="inlineStr">
        <is>
          <t>sourceLinks</t>
        </is>
      </c>
      <c r="C312" s="2" t="n">
        <v>0</v>
      </c>
      <c r="D312" s="2" t="inlineStr">
        <is>
          <t>Supplement 3 — PDF p. 3</t>
        </is>
      </c>
      <c r="E312" s="2" t="inlineStr">
        <is>
          <t>../../2024/jama.2024.6063/joi240048supp3_prod_1727199125.83025.pdf#page=3</t>
        </is>
      </c>
    </row>
    <row r="313" ht="40" customHeight="1">
      <c r="A313" s="3" t="inlineStr">
        <is>
          <t>2024::jama.2024.6063::C002</t>
        </is>
      </c>
      <c r="B313" s="3" t="inlineStr">
        <is>
          <t>evidencePaths</t>
        </is>
      </c>
      <c r="C313" s="3" t="n">
        <v>0</v>
      </c>
      <c r="D313" s="3" t="inlineStr">
        <is>
          <t>2024/jama.2024.6063/.ai_paper_validation/review_1_5_3/source_inventory.md</t>
        </is>
      </c>
      <c r="E313" s="3" t="inlineStr">
        <is>
          <t>../../2024/jama.2024.6063/.ai_paper_validation/review_1_5_3/source_inventory.md</t>
        </is>
      </c>
    </row>
    <row r="314" ht="30" customHeight="1">
      <c r="A314" s="2" t="inlineStr">
        <is>
          <t>2024::jama.2024.6063::C003</t>
        </is>
      </c>
      <c r="B314" s="2" t="inlineStr">
        <is>
          <t>sourceLinks</t>
        </is>
      </c>
      <c r="C314" s="2" t="n">
        <v>0</v>
      </c>
      <c r="D314" s="2" t="inlineStr">
        <is>
          <t>Supplement 3 — PDF p. 8</t>
        </is>
      </c>
      <c r="E314" s="2" t="inlineStr">
        <is>
          <t>../../2024/jama.2024.6063/joi240048supp3_prod_1727199125.83025.pdf#page=8</t>
        </is>
      </c>
    </row>
    <row r="315" ht="40" customHeight="1">
      <c r="A315" s="3" t="inlineStr">
        <is>
          <t>2024::jama.2024.6063::C003</t>
        </is>
      </c>
      <c r="B315" s="3" t="inlineStr">
        <is>
          <t>evidencePaths</t>
        </is>
      </c>
      <c r="C315" s="3" t="n">
        <v>0</v>
      </c>
      <c r="D315" s="3" t="inlineStr">
        <is>
          <t>2024/jama.2024.6063/.ai_paper_validation/review_1_5_3/source_inventory.md</t>
        </is>
      </c>
      <c r="E315" s="3" t="inlineStr">
        <is>
          <t>../../2024/jama.2024.6063/.ai_paper_validation/review_1_5_3/source_inventory.md</t>
        </is>
      </c>
    </row>
    <row r="316" ht="30" customHeight="1">
      <c r="A316" s="2" t="inlineStr">
        <is>
          <t>2024::jama.2024.6063::C004</t>
        </is>
      </c>
      <c r="B316" s="2" t="inlineStr">
        <is>
          <t>sourceLinks</t>
        </is>
      </c>
      <c r="C316" s="2" t="n">
        <v>0</v>
      </c>
      <c r="D316" s="2" t="inlineStr">
        <is>
          <t>Supplement 3 — PDF p. 8</t>
        </is>
      </c>
      <c r="E316" s="2" t="inlineStr">
        <is>
          <t>../../2024/jama.2024.6063/joi240048supp3_prod_1727199125.83025.pdf#page=8</t>
        </is>
      </c>
    </row>
    <row r="317" ht="40" customHeight="1">
      <c r="A317" s="3" t="inlineStr">
        <is>
          <t>2024::jama.2024.6063::C004</t>
        </is>
      </c>
      <c r="B317" s="3" t="inlineStr">
        <is>
          <t>evidencePaths</t>
        </is>
      </c>
      <c r="C317" s="3" t="n">
        <v>0</v>
      </c>
      <c r="D317" s="3" t="inlineStr">
        <is>
          <t>2024/jama.2024.6063/.ai_paper_validation/review_1_5_3/source_inventory.md</t>
        </is>
      </c>
      <c r="E317" s="3" t="inlineStr">
        <is>
          <t>../../2024/jama.2024.6063/.ai_paper_validation/review_1_5_3/source_inventory.md</t>
        </is>
      </c>
    </row>
    <row r="318" ht="30" customHeight="1">
      <c r="A318" s="2" t="inlineStr">
        <is>
          <t>2024::jama.2024.6063::C005</t>
        </is>
      </c>
      <c r="B318" s="2" t="inlineStr">
        <is>
          <t>sourceLinks</t>
        </is>
      </c>
      <c r="C318" s="2" t="n">
        <v>0</v>
      </c>
      <c r="D318" s="2" t="inlineStr">
        <is>
          <t>Supplement 3 — PDF p. 8</t>
        </is>
      </c>
      <c r="E318" s="2" t="inlineStr">
        <is>
          <t>../../2024/jama.2024.6063/joi240048supp3_prod_1727199125.83025.pdf#page=8</t>
        </is>
      </c>
    </row>
    <row r="319" ht="40" customHeight="1">
      <c r="A319" s="3" t="inlineStr">
        <is>
          <t>2024::jama.2024.6063::C005</t>
        </is>
      </c>
      <c r="B319" s="3" t="inlineStr">
        <is>
          <t>evidencePaths</t>
        </is>
      </c>
      <c r="C319" s="3" t="n">
        <v>0</v>
      </c>
      <c r="D319" s="3" t="inlineStr">
        <is>
          <t>2024/jama.2024.6063/.ai_paper_validation/review_1_5_3/source_inventory.md</t>
        </is>
      </c>
      <c r="E319" s="3" t="inlineStr">
        <is>
          <t>../../2024/jama.2024.6063/.ai_paper_validation/review_1_5_3/source_inventory.md</t>
        </is>
      </c>
    </row>
    <row r="320" ht="30" customHeight="1">
      <c r="A320" s="2" t="inlineStr">
        <is>
          <t>2024::jama.2024.6063::C006</t>
        </is>
      </c>
      <c r="B320" s="2" t="inlineStr">
        <is>
          <t>sourceLinks</t>
        </is>
      </c>
      <c r="C320" s="2" t="n">
        <v>0</v>
      </c>
      <c r="D320" s="2" t="inlineStr">
        <is>
          <t>Supplement 3 — PDF p. 8</t>
        </is>
      </c>
      <c r="E320" s="2" t="inlineStr">
        <is>
          <t>../../2024/jama.2024.6063/joi240048supp3_prod_1727199125.83025.pdf#page=8</t>
        </is>
      </c>
    </row>
    <row r="321" ht="40" customHeight="1">
      <c r="A321" s="3" t="inlineStr">
        <is>
          <t>2024::jama.2024.6063::C006</t>
        </is>
      </c>
      <c r="B321" s="3" t="inlineStr">
        <is>
          <t>evidencePaths</t>
        </is>
      </c>
      <c r="C321" s="3" t="n">
        <v>0</v>
      </c>
      <c r="D321" s="3" t="inlineStr">
        <is>
          <t>2024/jama.2024.6063/.ai_paper_validation/review_1_5_3/source_inventory.md</t>
        </is>
      </c>
      <c r="E321" s="3" t="inlineStr">
        <is>
          <t>../../2024/jama.2024.6063/.ai_paper_validation/review_1_5_3/source_inventory.md</t>
        </is>
      </c>
    </row>
    <row r="322" ht="30" customHeight="1">
      <c r="A322" s="2" t="inlineStr">
        <is>
          <t>2024::jama.2024.6063::C007</t>
        </is>
      </c>
      <c r="B322" s="2" t="inlineStr">
        <is>
          <t>sourceLinks</t>
        </is>
      </c>
      <c r="C322" s="2" t="n">
        <v>0</v>
      </c>
      <c r="D322" s="2" t="inlineStr">
        <is>
          <t>Supplement 3 — PDF p. 8</t>
        </is>
      </c>
      <c r="E322" s="2" t="inlineStr">
        <is>
          <t>../../2024/jama.2024.6063/joi240048supp3_prod_1727199125.83025.pdf#page=8</t>
        </is>
      </c>
    </row>
    <row r="323" ht="40" customHeight="1">
      <c r="A323" s="3" t="inlineStr">
        <is>
          <t>2024::jama.2024.6063::C007</t>
        </is>
      </c>
      <c r="B323" s="3" t="inlineStr">
        <is>
          <t>evidencePaths</t>
        </is>
      </c>
      <c r="C323" s="3" t="n">
        <v>0</v>
      </c>
      <c r="D323" s="3" t="inlineStr">
        <is>
          <t>2024/jama.2024.6063/.ai_paper_validation/review_1_5_3/source_inventory.md</t>
        </is>
      </c>
      <c r="E323" s="3" t="inlineStr">
        <is>
          <t>../../2024/jama.2024.6063/.ai_paper_validation/review_1_5_3/source_inventory.md</t>
        </is>
      </c>
    </row>
    <row r="324" ht="30" customHeight="1">
      <c r="A324" s="2" t="inlineStr">
        <is>
          <t>2024::jama.2024.6063::C008</t>
        </is>
      </c>
      <c r="B324" s="2" t="inlineStr">
        <is>
          <t>sourceLinks</t>
        </is>
      </c>
      <c r="C324" s="2" t="n">
        <v>0</v>
      </c>
      <c r="D324" s="2" t="inlineStr">
        <is>
          <t>Supplement 3 — PDF p. 8</t>
        </is>
      </c>
      <c r="E324" s="2" t="inlineStr">
        <is>
          <t>../../2024/jama.2024.6063/joi240048supp3_prod_1727199125.83025.pdf#page=8</t>
        </is>
      </c>
    </row>
    <row r="325" ht="40" customHeight="1">
      <c r="A325" s="3" t="inlineStr">
        <is>
          <t>2024::jama.2024.6063::C008</t>
        </is>
      </c>
      <c r="B325" s="3" t="inlineStr">
        <is>
          <t>evidencePaths</t>
        </is>
      </c>
      <c r="C325" s="3" t="n">
        <v>0</v>
      </c>
      <c r="D325" s="3" t="inlineStr">
        <is>
          <t>2024/jama.2024.6063/.ai_paper_validation/review_1_5_3/source_inventory.md</t>
        </is>
      </c>
      <c r="E325" s="3" t="inlineStr">
        <is>
          <t>../../2024/jama.2024.6063/.ai_paper_validation/review_1_5_3/source_inventory.md</t>
        </is>
      </c>
    </row>
    <row r="326" ht="30" customHeight="1">
      <c r="A326" s="2" t="inlineStr">
        <is>
          <t>2024::jama.2024.6063::C009</t>
        </is>
      </c>
      <c r="B326" s="2" t="inlineStr">
        <is>
          <t>sourceLinks</t>
        </is>
      </c>
      <c r="C326" s="2" t="n">
        <v>0</v>
      </c>
      <c r="D326" s="2" t="inlineStr">
        <is>
          <t>Supplement 3 — PDF p. 5</t>
        </is>
      </c>
      <c r="E326" s="2" t="inlineStr">
        <is>
          <t>../../2024/jama.2024.6063/joi240048supp3_prod_1727199125.83025.pdf#page=5</t>
        </is>
      </c>
    </row>
    <row r="327" ht="40" customHeight="1">
      <c r="A327" s="3" t="inlineStr">
        <is>
          <t>2024::jama.2024.6063::C009</t>
        </is>
      </c>
      <c r="B327" s="3" t="inlineStr">
        <is>
          <t>evidencePaths</t>
        </is>
      </c>
      <c r="C327" s="3" t="n">
        <v>0</v>
      </c>
      <c r="D327" s="3" t="inlineStr">
        <is>
          <t>2024/jama.2024.6063/.ai_paper_validation/review_1_5_3/source_inventory.md</t>
        </is>
      </c>
      <c r="E327" s="3" t="inlineStr">
        <is>
          <t>../../2024/jama.2024.6063/.ai_paper_validation/review_1_5_3/source_inventory.md</t>
        </is>
      </c>
    </row>
    <row r="328" ht="30" customHeight="1">
      <c r="A328" s="2" t="inlineStr">
        <is>
          <t>2024::jama.2024.6063::C010</t>
        </is>
      </c>
      <c r="B328" s="2" t="inlineStr">
        <is>
          <t>sourceLinks</t>
        </is>
      </c>
      <c r="C328" s="2" t="n">
        <v>0</v>
      </c>
      <c r="D328" s="2" t="inlineStr">
        <is>
          <t>Supplement 3 — PDF p. 6</t>
        </is>
      </c>
      <c r="E328" s="2" t="inlineStr">
        <is>
          <t>../../2024/jama.2024.6063/joi240048supp3_prod_1727199125.83025.pdf#page=6</t>
        </is>
      </c>
    </row>
    <row r="329" ht="40" customHeight="1">
      <c r="A329" s="3" t="inlineStr">
        <is>
          <t>2024::jama.2024.6063::C010</t>
        </is>
      </c>
      <c r="B329" s="3" t="inlineStr">
        <is>
          <t>evidencePaths</t>
        </is>
      </c>
      <c r="C329" s="3" t="n">
        <v>0</v>
      </c>
      <c r="D329" s="3" t="inlineStr">
        <is>
          <t>2024/jama.2024.6063/.ai_paper_validation/review_1_5_3/source_inventory.md</t>
        </is>
      </c>
      <c r="E329" s="3" t="inlineStr">
        <is>
          <t>../../2024/jama.2024.6063/.ai_paper_validation/review_1_5_3/source_inventory.md</t>
        </is>
      </c>
    </row>
    <row r="330" ht="30" customHeight="1">
      <c r="A330" s="2" t="inlineStr">
        <is>
          <t>2024::jama.2024.6063::C011</t>
        </is>
      </c>
      <c r="B330" s="2" t="inlineStr">
        <is>
          <t>sourceLinks</t>
        </is>
      </c>
      <c r="C330" s="2" t="n">
        <v>0</v>
      </c>
      <c r="D330" s="2" t="inlineStr">
        <is>
          <t>Supplement 3 — PDF p. 6</t>
        </is>
      </c>
      <c r="E330" s="2" t="inlineStr">
        <is>
          <t>../../2024/jama.2024.6063/joi240048supp3_prod_1727199125.83025.pdf#page=6</t>
        </is>
      </c>
    </row>
    <row r="331" ht="40" customHeight="1">
      <c r="A331" s="3" t="inlineStr">
        <is>
          <t>2024::jama.2024.6063::C011</t>
        </is>
      </c>
      <c r="B331" s="3" t="inlineStr">
        <is>
          <t>evidencePaths</t>
        </is>
      </c>
      <c r="C331" s="3" t="n">
        <v>0</v>
      </c>
      <c r="D331" s="3" t="inlineStr">
        <is>
          <t>2024/jama.2024.6063/.ai_paper_validation/review_1_5_3/source_inventory.md</t>
        </is>
      </c>
      <c r="E331" s="3" t="inlineStr">
        <is>
          <t>../../2024/jama.2024.6063/.ai_paper_validation/review_1_5_3/source_inventory.md</t>
        </is>
      </c>
    </row>
    <row r="332" ht="30" customHeight="1">
      <c r="A332" s="2" t="inlineStr">
        <is>
          <t>2024::jama.2024.6063::C012</t>
        </is>
      </c>
      <c r="B332" s="2" t="inlineStr">
        <is>
          <t>sourceLinks</t>
        </is>
      </c>
      <c r="C332" s="2" t="n">
        <v>0</v>
      </c>
      <c r="D332" s="2" t="inlineStr">
        <is>
          <t>Main article — PDF p. 2</t>
        </is>
      </c>
      <c r="E332" s="2" t="inlineStr">
        <is>
          <t>../../2024/jama.2024.6063/jama_laslett_2024_oi_240048_1727199125.7595.pdf#page=2</t>
        </is>
      </c>
    </row>
    <row r="333" ht="30" customHeight="1">
      <c r="A333" s="3" t="inlineStr">
        <is>
          <t>2024::jama.2024.6063::C012</t>
        </is>
      </c>
      <c r="B333" s="3" t="inlineStr">
        <is>
          <t>sourceLinks</t>
        </is>
      </c>
      <c r="C333" s="3" t="n">
        <v>1</v>
      </c>
      <c r="D333" s="3" t="inlineStr">
        <is>
          <t>Main article — PDF p. 1</t>
        </is>
      </c>
      <c r="E333" s="3" t="inlineStr">
        <is>
          <t>../../2024/jama.2024.6063/jama_laslett_2024_oi_240048_1727199125.7595.pdf#page=1</t>
        </is>
      </c>
    </row>
    <row r="334" ht="30" customHeight="1">
      <c r="A334" s="2" t="inlineStr">
        <is>
          <t>2024::jama.2024.6063::C012</t>
        </is>
      </c>
      <c r="B334" s="2" t="inlineStr">
        <is>
          <t>sourceLinks</t>
        </is>
      </c>
      <c r="C334" s="2" t="n">
        <v>2</v>
      </c>
      <c r="D334" s="2" t="inlineStr">
        <is>
          <t>Main article — PDF p. 6</t>
        </is>
      </c>
      <c r="E334" s="2" t="inlineStr">
        <is>
          <t>../../2024/jama.2024.6063/jama_laslett_2024_oi_240048_1727199125.7595.pdf#page=6</t>
        </is>
      </c>
    </row>
    <row r="335" ht="30" customHeight="1">
      <c r="A335" s="3" t="inlineStr">
        <is>
          <t>2024::jama.2024.6063::C012</t>
        </is>
      </c>
      <c r="B335" s="3" t="inlineStr">
        <is>
          <t>sourceLinks</t>
        </is>
      </c>
      <c r="C335" s="3" t="n">
        <v>3</v>
      </c>
      <c r="D335" s="3" t="inlineStr">
        <is>
          <t>Main article — PDF p. 7</t>
        </is>
      </c>
      <c r="E335" s="3" t="inlineStr">
        <is>
          <t>../../2024/jama.2024.6063/jama_laslett_2024_oi_240048_1727199125.7595.pdf#page=7</t>
        </is>
      </c>
    </row>
    <row r="336" ht="30" customHeight="1">
      <c r="A336" s="2" t="inlineStr">
        <is>
          <t>2024::jama.2024.6063::C012</t>
        </is>
      </c>
      <c r="B336" s="2" t="inlineStr">
        <is>
          <t>sourceLinks</t>
        </is>
      </c>
      <c r="C336" s="2" t="n">
        <v>4</v>
      </c>
      <c r="D336" s="2" t="inlineStr">
        <is>
          <t>Supplement 3 — PDF p. 2</t>
        </is>
      </c>
      <c r="E336" s="2" t="inlineStr">
        <is>
          <t>../../2024/jama.2024.6063/joi240048supp3_prod_1727199125.83025.pdf#page=2</t>
        </is>
      </c>
    </row>
    <row r="337" ht="40" customHeight="1">
      <c r="A337" s="3" t="inlineStr">
        <is>
          <t>2024::jama.2024.6063::C012</t>
        </is>
      </c>
      <c r="B337" s="3" t="inlineStr">
        <is>
          <t>evidencePaths</t>
        </is>
      </c>
      <c r="C337" s="3" t="n">
        <v>0</v>
      </c>
      <c r="D337" s="3" t="inlineStr">
        <is>
          <t>2024/jama.2024.6063/.ai_paper_validation/review_1_5_3/source_inventory.md</t>
        </is>
      </c>
      <c r="E337" s="3" t="inlineStr">
        <is>
          <t>../../2024/jama.2024.6063/.ai_paper_validation/review_1_5_3/source_inventory.md</t>
        </is>
      </c>
    </row>
    <row r="338" ht="40" customHeight="1">
      <c r="A338" s="2" t="inlineStr">
        <is>
          <t>2024::jama.2024.6063::C012</t>
        </is>
      </c>
      <c r="B338" s="2" t="inlineStr">
        <is>
          <t>evidencePaths</t>
        </is>
      </c>
      <c r="C338" s="2" t="n">
        <v>1</v>
      </c>
      <c r="D338" s="2" t="inlineStr">
        <is>
          <t>2024/jama.2024.6063/.ai_paper_validation/review_1_5_3/verification/evidence_recheck.md</t>
        </is>
      </c>
      <c r="E338" s="2" t="inlineStr">
        <is>
          <t>../../2024/jama.2024.6063/.ai_paper_validation/review_1_5_3/verification/evidence_recheck.md</t>
        </is>
      </c>
    </row>
    <row r="339" ht="30" customHeight="1">
      <c r="A339" s="3" t="inlineStr">
        <is>
          <t>2024::jama.2024.6063::C013</t>
        </is>
      </c>
      <c r="B339" s="3" t="inlineStr">
        <is>
          <t>sourceLinks</t>
        </is>
      </c>
      <c r="C339" s="3" t="n">
        <v>0</v>
      </c>
      <c r="D339" s="3" t="inlineStr">
        <is>
          <t>Main article — PDF p. 1</t>
        </is>
      </c>
      <c r="E339" s="3" t="inlineStr">
        <is>
          <t>../../2024/jama.2024.6063/jama_laslett_2024_oi_240048_1727199125.7595.pdf#page=1</t>
        </is>
      </c>
    </row>
    <row r="340" ht="30" customHeight="1">
      <c r="A340" s="2" t="inlineStr">
        <is>
          <t>2024::jama.2024.6063::C013</t>
        </is>
      </c>
      <c r="B340" s="2" t="inlineStr">
        <is>
          <t>sourceLinks</t>
        </is>
      </c>
      <c r="C340" s="2" t="n">
        <v>1</v>
      </c>
      <c r="D340" s="2" t="inlineStr">
        <is>
          <t>Main article — PDF p. 8</t>
        </is>
      </c>
      <c r="E340" s="2" t="inlineStr">
        <is>
          <t>../../2024/jama.2024.6063/jama_laslett_2024_oi_240048_1727199125.7595.pdf#page=8</t>
        </is>
      </c>
    </row>
    <row r="341" ht="30" customHeight="1">
      <c r="A341" s="3" t="inlineStr">
        <is>
          <t>2024::jama.2024.6063::C013</t>
        </is>
      </c>
      <c r="B341" s="3" t="inlineStr">
        <is>
          <t>sourceLinks</t>
        </is>
      </c>
      <c r="C341" s="3" t="n">
        <v>2</v>
      </c>
      <c r="D341" s="3" t="inlineStr">
        <is>
          <t>Supplement 3 — PDF p. 10</t>
        </is>
      </c>
      <c r="E341" s="3" t="inlineStr">
        <is>
          <t>../../2024/jama.2024.6063/joi240048supp3_prod_1727199125.83025.pdf#page=10</t>
        </is>
      </c>
    </row>
    <row r="342" ht="40" customHeight="1">
      <c r="A342" s="2" t="inlineStr">
        <is>
          <t>2024::jama.2024.6063::C013</t>
        </is>
      </c>
      <c r="B342" s="2" t="inlineStr">
        <is>
          <t>evidencePaths</t>
        </is>
      </c>
      <c r="C342" s="2" t="n">
        <v>0</v>
      </c>
      <c r="D342" s="2" t="inlineStr">
        <is>
          <t>2024/jama.2024.6063/.ai_paper_validation/review_1_5_3/source_inventory.md</t>
        </is>
      </c>
      <c r="E342" s="2" t="inlineStr">
        <is>
          <t>../../2024/jama.2024.6063/.ai_paper_validation/review_1_5_3/source_inventory.md</t>
        </is>
      </c>
    </row>
    <row r="343" ht="40" customHeight="1">
      <c r="A343" s="3" t="inlineStr">
        <is>
          <t>2024::jama.2024.6063::C013</t>
        </is>
      </c>
      <c r="B343" s="3" t="inlineStr">
        <is>
          <t>evidencePaths</t>
        </is>
      </c>
      <c r="C343" s="3" t="n">
        <v>1</v>
      </c>
      <c r="D343" s="3" t="inlineStr">
        <is>
          <t>2024/jama.2024.6063/.ai_paper_validation/review_1_5_3/verification/evidence_recheck.md</t>
        </is>
      </c>
      <c r="E343" s="3" t="inlineStr">
        <is>
          <t>../../2024/jama.2024.6063/.ai_paper_validation/review_1_5_3/verification/evidence_recheck.md</t>
        </is>
      </c>
    </row>
    <row r="344" ht="30" customHeight="1">
      <c r="A344" s="2" t="inlineStr">
        <is>
          <t>2024::jama.2024.6063::C014</t>
        </is>
      </c>
      <c r="B344" s="2" t="inlineStr">
        <is>
          <t>sourceLinks</t>
        </is>
      </c>
      <c r="C344" s="2" t="n">
        <v>0</v>
      </c>
      <c r="D344" s="2" t="inlineStr">
        <is>
          <t>Main article — PDF p. 8</t>
        </is>
      </c>
      <c r="E344" s="2" t="inlineStr">
        <is>
          <t>../../2024/jama.2024.6063/jama_laslett_2024_oi_240048_1727199125.7595.pdf#page=8</t>
        </is>
      </c>
    </row>
    <row r="345" ht="30" customHeight="1">
      <c r="A345" s="3" t="inlineStr">
        <is>
          <t>2024::jama.2024.6063::C014</t>
        </is>
      </c>
      <c r="B345" s="3" t="inlineStr">
        <is>
          <t>sourceLinks</t>
        </is>
      </c>
      <c r="C345" s="3" t="n">
        <v>1</v>
      </c>
      <c r="D345" s="3" t="inlineStr">
        <is>
          <t>Supplement 3 — PDF p. 5</t>
        </is>
      </c>
      <c r="E345" s="3" t="inlineStr">
        <is>
          <t>../../2024/jama.2024.6063/joi240048supp3_prod_1727199125.83025.pdf#page=5</t>
        </is>
      </c>
    </row>
    <row r="346" ht="30" customHeight="1">
      <c r="A346" s="2" t="inlineStr">
        <is>
          <t>2024::jama.2024.6063::C014</t>
        </is>
      </c>
      <c r="B346" s="2" t="inlineStr">
        <is>
          <t>sourceLinks</t>
        </is>
      </c>
      <c r="C346" s="2" t="n">
        <v>2</v>
      </c>
      <c r="D346" s="2" t="inlineStr">
        <is>
          <t>Supplement 3 — PDF p. 10</t>
        </is>
      </c>
      <c r="E346" s="2" t="inlineStr">
        <is>
          <t>../../2024/jama.2024.6063/joi240048supp3_prod_1727199125.83025.pdf#page=10</t>
        </is>
      </c>
    </row>
    <row r="347" ht="40" customHeight="1">
      <c r="A347" s="3" t="inlineStr">
        <is>
          <t>2024::jama.2024.6063::C014</t>
        </is>
      </c>
      <c r="B347" s="3" t="inlineStr">
        <is>
          <t>evidencePaths</t>
        </is>
      </c>
      <c r="C347" s="3" t="n">
        <v>0</v>
      </c>
      <c r="D347" s="3" t="inlineStr">
        <is>
          <t>2024/jama.2024.6063/.ai_paper_validation/review_1_5_3/source_inventory.md</t>
        </is>
      </c>
      <c r="E347" s="3" t="inlineStr">
        <is>
          <t>../../2024/jama.2024.6063/.ai_paper_validation/review_1_5_3/source_inventory.md</t>
        </is>
      </c>
    </row>
    <row r="348" ht="40" customHeight="1">
      <c r="A348" s="2" t="inlineStr">
        <is>
          <t>2024::jama.2024.6063::C014</t>
        </is>
      </c>
      <c r="B348" s="2" t="inlineStr">
        <is>
          <t>evidencePaths</t>
        </is>
      </c>
      <c r="C348" s="2" t="n">
        <v>1</v>
      </c>
      <c r="D348" s="2" t="inlineStr">
        <is>
          <t>2024/jama.2024.6063/.ai_paper_validation/review_1_5_3/verification/evidence_recheck.md</t>
        </is>
      </c>
      <c r="E348" s="2" t="inlineStr">
        <is>
          <t>../../2024/jama.2024.6063/.ai_paper_validation/review_1_5_3/verification/evidence_recheck.md</t>
        </is>
      </c>
    </row>
    <row r="349" ht="30" customHeight="1">
      <c r="A349" s="3" t="inlineStr">
        <is>
          <t>2024::jama.2024.6063::C015</t>
        </is>
      </c>
      <c r="B349" s="3" t="inlineStr">
        <is>
          <t>sourceLinks</t>
        </is>
      </c>
      <c r="C349" s="3" t="n">
        <v>0</v>
      </c>
      <c r="D349" s="3" t="inlineStr">
        <is>
          <t>Main article — PDF p. 8</t>
        </is>
      </c>
      <c r="E349" s="3" t="inlineStr">
        <is>
          <t>../../2024/jama.2024.6063/jama_laslett_2024_oi_240048_1727199125.7595.pdf#page=8</t>
        </is>
      </c>
    </row>
    <row r="350" ht="30" customHeight="1">
      <c r="A350" s="2" t="inlineStr">
        <is>
          <t>2024::jama.2024.6063::C015</t>
        </is>
      </c>
      <c r="B350" s="2" t="inlineStr">
        <is>
          <t>sourceLinks</t>
        </is>
      </c>
      <c r="C350" s="2" t="n">
        <v>1</v>
      </c>
      <c r="D350" s="2" t="inlineStr">
        <is>
          <t>Supplement 3 — PDF p. 8</t>
        </is>
      </c>
      <c r="E350" s="2" t="inlineStr">
        <is>
          <t>../../2024/jama.2024.6063/joi240048supp3_prod_1727199125.83025.pdf#page=8</t>
        </is>
      </c>
    </row>
    <row r="351" ht="30" customHeight="1">
      <c r="A351" s="3" t="inlineStr">
        <is>
          <t>2024::jama.2024.6063::C015</t>
        </is>
      </c>
      <c r="B351" s="3" t="inlineStr">
        <is>
          <t>sourceLinks</t>
        </is>
      </c>
      <c r="C351" s="3" t="n">
        <v>2</v>
      </c>
      <c r="D351" s="3" t="inlineStr">
        <is>
          <t>Supplement 3 — PDF p. 9</t>
        </is>
      </c>
      <c r="E351" s="3" t="inlineStr">
        <is>
          <t>../../2024/jama.2024.6063/joi240048supp3_prod_1727199125.83025.pdf#page=9</t>
        </is>
      </c>
    </row>
    <row r="352" ht="30" customHeight="1">
      <c r="A352" s="2" t="inlineStr">
        <is>
          <t>2024::jama.2024.6063::C015</t>
        </is>
      </c>
      <c r="B352" s="2" t="inlineStr">
        <is>
          <t>sourceLinks</t>
        </is>
      </c>
      <c r="C352" s="2" t="n">
        <v>3</v>
      </c>
      <c r="D352" s="2" t="inlineStr">
        <is>
          <t>Supplement 3 — PDF p. 14</t>
        </is>
      </c>
      <c r="E352" s="2" t="inlineStr">
        <is>
          <t>../../2024/jama.2024.6063/joi240048supp3_prod_1727199125.83025.pdf#page=14</t>
        </is>
      </c>
    </row>
    <row r="353" ht="40" customHeight="1">
      <c r="A353" s="3" t="inlineStr">
        <is>
          <t>2024::jama.2024.6063::C015</t>
        </is>
      </c>
      <c r="B353" s="3" t="inlineStr">
        <is>
          <t>evidencePaths</t>
        </is>
      </c>
      <c r="C353" s="3" t="n">
        <v>0</v>
      </c>
      <c r="D353" s="3" t="inlineStr">
        <is>
          <t>2024/jama.2024.6063/.ai_paper_validation/review_1_5_3/source_inventory.md</t>
        </is>
      </c>
      <c r="E353" s="3" t="inlineStr">
        <is>
          <t>../../2024/jama.2024.6063/.ai_paper_validation/review_1_5_3/source_inventory.md</t>
        </is>
      </c>
    </row>
    <row r="354" ht="40" customHeight="1">
      <c r="A354" s="2" t="inlineStr">
        <is>
          <t>2024::jama.2024.6063::C015</t>
        </is>
      </c>
      <c r="B354" s="2" t="inlineStr">
        <is>
          <t>evidencePaths</t>
        </is>
      </c>
      <c r="C354" s="2" t="n">
        <v>1</v>
      </c>
      <c r="D354" s="2" t="inlineStr">
        <is>
          <t>2024/jama.2024.6063/.ai_paper_validation/review_1_5_3/verification/evidence_recheck.md</t>
        </is>
      </c>
      <c r="E354" s="2" t="inlineStr">
        <is>
          <t>../../2024/jama.2024.6063/.ai_paper_validation/review_1_5_3/verification/evidence_recheck.md</t>
        </is>
      </c>
    </row>
    <row r="355" ht="30" customHeight="1">
      <c r="A355" s="3" t="inlineStr">
        <is>
          <t>2024::jama.2024.6063::C016</t>
        </is>
      </c>
      <c r="B355" s="3" t="inlineStr">
        <is>
          <t>sourceLinks</t>
        </is>
      </c>
      <c r="C355" s="3" t="n">
        <v>0</v>
      </c>
      <c r="D355" s="3" t="inlineStr">
        <is>
          <t>Main article — PDF p. 7</t>
        </is>
      </c>
      <c r="E355" s="3" t="inlineStr">
        <is>
          <t>../../2024/jama.2024.6063/jama_laslett_2024_oi_240048_1727199125.7595.pdf#page=7</t>
        </is>
      </c>
    </row>
    <row r="356" ht="30" customHeight="1">
      <c r="A356" s="2" t="inlineStr">
        <is>
          <t>2024::jama.2024.6063::C016</t>
        </is>
      </c>
      <c r="B356" s="2" t="inlineStr">
        <is>
          <t>sourceLinks</t>
        </is>
      </c>
      <c r="C356" s="2" t="n">
        <v>1</v>
      </c>
      <c r="D356" s="2" t="inlineStr">
        <is>
          <t>Supplement 3 — PDF p. 3</t>
        </is>
      </c>
      <c r="E356" s="2" t="inlineStr">
        <is>
          <t>../../2024/jama.2024.6063/joi240048supp3_prod_1727199125.83025.pdf#page=3</t>
        </is>
      </c>
    </row>
    <row r="357" ht="40" customHeight="1">
      <c r="A357" s="3" t="inlineStr">
        <is>
          <t>2024::jama.2024.6063::C016</t>
        </is>
      </c>
      <c r="B357" s="3" t="inlineStr">
        <is>
          <t>evidencePaths</t>
        </is>
      </c>
      <c r="C357" s="3" t="n">
        <v>0</v>
      </c>
      <c r="D357" s="3" t="inlineStr">
        <is>
          <t>2024/jama.2024.6063/.ai_paper_validation/review_1_5_3/source_inventory.md</t>
        </is>
      </c>
      <c r="E357" s="3" t="inlineStr">
        <is>
          <t>../../2024/jama.2024.6063/.ai_paper_validation/review_1_5_3/source_inventory.md</t>
        </is>
      </c>
    </row>
    <row r="358" ht="40" customHeight="1">
      <c r="A358" s="2" t="inlineStr">
        <is>
          <t>2024::jama.2024.6063::C016</t>
        </is>
      </c>
      <c r="B358" s="2" t="inlineStr">
        <is>
          <t>evidencePaths</t>
        </is>
      </c>
      <c r="C358" s="2" t="n">
        <v>1</v>
      </c>
      <c r="D358" s="2" t="inlineStr">
        <is>
          <t>2024/jama.2024.6063/.ai_paper_validation/review_1_5_3/verification/evidence_recheck.md</t>
        </is>
      </c>
      <c r="E358" s="2" t="inlineStr">
        <is>
          <t>../../2024/jama.2024.6063/.ai_paper_validation/review_1_5_3/verification/evidence_recheck.md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58"/>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10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2024::jama.2024.0318::C001</t>
        </is>
      </c>
      <c r="B2" s="2" t="inlineStr">
        <is>
          <t>relations</t>
        </is>
      </c>
      <c r="C2" s="2" t="n">
        <v>0</v>
      </c>
      <c r="D2" s="2" t="inlineStr">
        <is>
          <t>S_W</t>
        </is>
      </c>
    </row>
    <row r="3" ht="30" customHeight="1">
      <c r="A3" s="3" t="inlineStr">
        <is>
          <t>2024::jama.2024.0318::C002</t>
        </is>
      </c>
      <c r="B3" s="3" t="inlineStr">
        <is>
          <t>relations</t>
        </is>
      </c>
      <c r="C3" s="3" t="n">
        <v>0</v>
      </c>
      <c r="D3" s="3" t="inlineStr">
        <is>
          <t>S_W</t>
        </is>
      </c>
    </row>
    <row r="4" ht="30" customHeight="1">
      <c r="A4" s="2" t="inlineStr">
        <is>
          <t>2024::jama.2024.0318::C003</t>
        </is>
      </c>
      <c r="B4" s="2" t="inlineStr">
        <is>
          <t>relations</t>
        </is>
      </c>
      <c r="C4" s="2" t="n">
        <v>0</v>
      </c>
      <c r="D4" s="2" t="inlineStr">
        <is>
          <t>S_C</t>
        </is>
      </c>
    </row>
    <row r="5" ht="30" customHeight="1">
      <c r="A5" s="3" t="inlineStr">
        <is>
          <t>2024::jama.2024.0318::C004</t>
        </is>
      </c>
      <c r="B5" s="3" t="inlineStr">
        <is>
          <t>relations</t>
        </is>
      </c>
      <c r="C5" s="3" t="n">
        <v>0</v>
      </c>
      <c r="D5" s="3" t="inlineStr">
        <is>
          <t>S_W</t>
        </is>
      </c>
    </row>
    <row r="6" ht="30" customHeight="1">
      <c r="A6" s="2" t="inlineStr">
        <is>
          <t>2024::jama.2024.0318::C005</t>
        </is>
      </c>
      <c r="B6" s="2" t="inlineStr">
        <is>
          <t>relations</t>
        </is>
      </c>
      <c r="C6" s="2" t="n">
        <v>0</v>
      </c>
      <c r="D6" s="2" t="inlineStr">
        <is>
          <t>S_W</t>
        </is>
      </c>
    </row>
    <row r="7" ht="30" customHeight="1">
      <c r="A7" s="3" t="inlineStr">
        <is>
          <t>2024::jama.2024.0318::C006</t>
        </is>
      </c>
      <c r="B7" s="3" t="inlineStr">
        <is>
          <t>relations</t>
        </is>
      </c>
      <c r="C7" s="3" t="n">
        <v>0</v>
      </c>
      <c r="D7" s="3" t="inlineStr">
        <is>
          <t>S_C</t>
        </is>
      </c>
    </row>
    <row r="8" ht="30" customHeight="1">
      <c r="A8" s="2" t="inlineStr">
        <is>
          <t>2024::jama.2024.0572::C001</t>
        </is>
      </c>
      <c r="B8" s="2" t="inlineStr">
        <is>
          <t>relations</t>
        </is>
      </c>
      <c r="C8" s="2" t="n">
        <v>0</v>
      </c>
      <c r="D8" s="2" t="inlineStr">
        <is>
          <t>S_C</t>
        </is>
      </c>
    </row>
    <row r="9" ht="30" customHeight="1">
      <c r="A9" s="3" t="inlineStr">
        <is>
          <t>2024::jama.2024.0572::C002</t>
        </is>
      </c>
      <c r="B9" s="3" t="inlineStr">
        <is>
          <t>relations</t>
        </is>
      </c>
      <c r="C9" s="3" t="n">
        <v>0</v>
      </c>
      <c r="D9" s="3" t="inlineStr">
        <is>
          <t>S_W</t>
        </is>
      </c>
    </row>
    <row r="10" ht="30" customHeight="1">
      <c r="A10" s="2" t="inlineStr">
        <is>
          <t>2024::jama.2024.11057::C001</t>
        </is>
      </c>
      <c r="B10" s="2" t="inlineStr">
        <is>
          <t>relations</t>
        </is>
      </c>
      <c r="C10" s="2" t="n">
        <v>0</v>
      </c>
      <c r="D10" s="2" t="inlineStr">
        <is>
          <t>P_R</t>
        </is>
      </c>
    </row>
    <row r="11" ht="30" customHeight="1">
      <c r="A11" s="3" t="inlineStr">
        <is>
          <t>2024::jama.2024.11057::C001</t>
        </is>
      </c>
      <c r="B11" s="3" t="inlineStr">
        <is>
          <t>relations</t>
        </is>
      </c>
      <c r="C11" s="3" t="n">
        <v>1</v>
      </c>
      <c r="D11" s="3" t="inlineStr">
        <is>
          <t>S_C</t>
        </is>
      </c>
    </row>
    <row r="12" ht="30" customHeight="1">
      <c r="A12" s="2" t="inlineStr">
        <is>
          <t>2024::jama.2024.11057::C002</t>
        </is>
      </c>
      <c r="B12" s="2" t="inlineStr">
        <is>
          <t>relations</t>
        </is>
      </c>
      <c r="C12" s="2" t="n">
        <v>0</v>
      </c>
      <c r="D12" s="2" t="inlineStr">
        <is>
          <t>S_W</t>
        </is>
      </c>
    </row>
    <row r="13" ht="30" customHeight="1">
      <c r="A13" s="3" t="inlineStr">
        <is>
          <t>2024::jama.2024.11057::C003</t>
        </is>
      </c>
      <c r="B13" s="3" t="inlineStr">
        <is>
          <t>relations</t>
        </is>
      </c>
      <c r="C13" s="3" t="n">
        <v>0</v>
      </c>
      <c r="D13" s="3" t="inlineStr">
        <is>
          <t>S_W</t>
        </is>
      </c>
    </row>
    <row r="14" ht="30" customHeight="1">
      <c r="A14" s="2" t="inlineStr">
        <is>
          <t>2024::jama.2024.12829::C001</t>
        </is>
      </c>
      <c r="B14" s="2" t="inlineStr">
        <is>
          <t>relations</t>
        </is>
      </c>
      <c r="C14" s="2" t="n">
        <v>0</v>
      </c>
      <c r="D14" s="2" t="inlineStr">
        <is>
          <t>S_W</t>
        </is>
      </c>
    </row>
    <row r="15" ht="30" customHeight="1">
      <c r="A15" s="3" t="inlineStr">
        <is>
          <t>2024::jama.2024.12829::C002</t>
        </is>
      </c>
      <c r="B15" s="3" t="inlineStr">
        <is>
          <t>relations</t>
        </is>
      </c>
      <c r="C15" s="3" t="n">
        <v>0</v>
      </c>
      <c r="D15" s="3" t="inlineStr">
        <is>
          <t>S_W</t>
        </is>
      </c>
    </row>
    <row r="16" ht="30" customHeight="1">
      <c r="A16" s="2" t="inlineStr">
        <is>
          <t>2024::jama.2024.12829::C003</t>
        </is>
      </c>
      <c r="B16" s="2" t="inlineStr">
        <is>
          <t>relations</t>
        </is>
      </c>
      <c r="C16" s="2" t="n">
        <v>0</v>
      </c>
      <c r="D16" s="2" t="inlineStr">
        <is>
          <t>S_W</t>
        </is>
      </c>
    </row>
    <row r="17" ht="30" customHeight="1">
      <c r="A17" s="3" t="inlineStr">
        <is>
          <t>2024::jama.2024.12829::C004</t>
        </is>
      </c>
      <c r="B17" s="3" t="inlineStr">
        <is>
          <t>relations</t>
        </is>
      </c>
      <c r="C17" s="3" t="n">
        <v>0</v>
      </c>
      <c r="D17" s="3" t="inlineStr">
        <is>
          <t>S_W</t>
        </is>
      </c>
    </row>
    <row r="18" ht="30" customHeight="1">
      <c r="A18" s="2" t="inlineStr">
        <is>
          <t>2024::jama.2024.12829::C005</t>
        </is>
      </c>
      <c r="B18" s="2" t="inlineStr">
        <is>
          <t>relations</t>
        </is>
      </c>
      <c r="C18" s="2" t="n">
        <v>0</v>
      </c>
      <c r="D18" s="2" t="inlineStr">
        <is>
          <t>S_W</t>
        </is>
      </c>
    </row>
    <row r="19" ht="30" customHeight="1">
      <c r="A19" s="3" t="inlineStr">
        <is>
          <t>2024::jama.2024.12829::C006</t>
        </is>
      </c>
      <c r="B19" s="3" t="inlineStr">
        <is>
          <t>relations</t>
        </is>
      </c>
      <c r="C19" s="3" t="n">
        <v>0</v>
      </c>
      <c r="D19" s="3" t="inlineStr">
        <is>
          <t>S_W</t>
        </is>
      </c>
    </row>
    <row r="20" ht="30" customHeight="1">
      <c r="A20" s="2" t="inlineStr">
        <is>
          <t>2024::jama.2024.12829::C007</t>
        </is>
      </c>
      <c r="B20" s="2" t="inlineStr">
        <is>
          <t>relations</t>
        </is>
      </c>
      <c r="C20" s="2" t="n">
        <v>0</v>
      </c>
      <c r="D20" s="2" t="inlineStr">
        <is>
          <t>S_W</t>
        </is>
      </c>
    </row>
    <row r="21" ht="30" customHeight="1">
      <c r="A21" s="3" t="inlineStr">
        <is>
          <t>2024::jama.2024.12829::C008</t>
        </is>
      </c>
      <c r="B21" s="3" t="inlineStr">
        <is>
          <t>relations</t>
        </is>
      </c>
      <c r="C21" s="3" t="n">
        <v>0</v>
      </c>
      <c r="D21" s="3" t="inlineStr">
        <is>
          <t>S_W</t>
        </is>
      </c>
    </row>
    <row r="22" ht="30" customHeight="1">
      <c r="A22" s="2" t="inlineStr">
        <is>
          <t>2024::jama.2024.12829::C009</t>
        </is>
      </c>
      <c r="B22" s="2" t="inlineStr">
        <is>
          <t>relations</t>
        </is>
      </c>
      <c r="C22" s="2" t="n">
        <v>0</v>
      </c>
      <c r="D22" s="2" t="inlineStr">
        <is>
          <t>P_R</t>
        </is>
      </c>
    </row>
    <row r="23" ht="30" customHeight="1">
      <c r="A23" s="3" t="inlineStr">
        <is>
          <t>2024::jama.2024.12829::C009</t>
        </is>
      </c>
      <c r="B23" s="3" t="inlineStr">
        <is>
          <t>relations</t>
        </is>
      </c>
      <c r="C23" s="3" t="n">
        <v>1</v>
      </c>
      <c r="D23" s="3" t="inlineStr">
        <is>
          <t>S_C</t>
        </is>
      </c>
    </row>
    <row r="24" ht="30" customHeight="1">
      <c r="A24" s="2" t="inlineStr">
        <is>
          <t>2024::jama.2024.12829::C010</t>
        </is>
      </c>
      <c r="B24" s="2" t="inlineStr">
        <is>
          <t>relations</t>
        </is>
      </c>
      <c r="C24" s="2" t="n">
        <v>0</v>
      </c>
      <c r="D24" s="2" t="inlineStr">
        <is>
          <t>P_P</t>
        </is>
      </c>
    </row>
    <row r="25" ht="30" customHeight="1">
      <c r="A25" s="3" t="inlineStr">
        <is>
          <t>2024::jama.2024.12829::C011</t>
        </is>
      </c>
      <c r="B25" s="3" t="inlineStr">
        <is>
          <t>relations</t>
        </is>
      </c>
      <c r="C25" s="3" t="n">
        <v>0</v>
      </c>
      <c r="D25" s="3" t="inlineStr">
        <is>
          <t>S_W</t>
        </is>
      </c>
    </row>
    <row r="26" ht="30" customHeight="1">
      <c r="A26" s="2" t="inlineStr">
        <is>
          <t>2024::jama.2024.12829::C012</t>
        </is>
      </c>
      <c r="B26" s="2" t="inlineStr">
        <is>
          <t>relations</t>
        </is>
      </c>
      <c r="C26" s="2" t="n">
        <v>0</v>
      </c>
      <c r="D26" s="2" t="inlineStr">
        <is>
          <t>S_W</t>
        </is>
      </c>
    </row>
    <row r="27" ht="30" customHeight="1">
      <c r="A27" s="3" t="inlineStr">
        <is>
          <t>2024::jama.2024.12829::C013</t>
        </is>
      </c>
      <c r="B27" s="3" t="inlineStr">
        <is>
          <t>relations</t>
        </is>
      </c>
      <c r="C27" s="3" t="n">
        <v>0</v>
      </c>
      <c r="D27" s="3" t="inlineStr">
        <is>
          <t>P_P</t>
        </is>
      </c>
    </row>
    <row r="28" ht="30" customHeight="1">
      <c r="A28" s="2" t="inlineStr">
        <is>
          <t>2024::jama.2024.12829::C014</t>
        </is>
      </c>
      <c r="B28" s="2" t="inlineStr">
        <is>
          <t>relations</t>
        </is>
      </c>
      <c r="C28" s="2" t="n">
        <v>0</v>
      </c>
      <c r="D28" s="2" t="inlineStr">
        <is>
          <t>S_W</t>
        </is>
      </c>
    </row>
    <row r="29" ht="30" customHeight="1">
      <c r="A29" s="3" t="inlineStr">
        <is>
          <t>2024::jama.2024.12829::C015</t>
        </is>
      </c>
      <c r="B29" s="3" t="inlineStr">
        <is>
          <t>relations</t>
        </is>
      </c>
      <c r="C29" s="3" t="n">
        <v>0</v>
      </c>
      <c r="D29" s="3" t="inlineStr">
        <is>
          <t>S_W</t>
        </is>
      </c>
    </row>
    <row r="30" ht="30" customHeight="1">
      <c r="A30" s="2" t="inlineStr">
        <is>
          <t>2024::jama.2024.12829::C016</t>
        </is>
      </c>
      <c r="B30" s="2" t="inlineStr">
        <is>
          <t>relations</t>
        </is>
      </c>
      <c r="C30" s="2" t="n">
        <v>0</v>
      </c>
      <c r="D30" s="2" t="inlineStr">
        <is>
          <t>S_C</t>
        </is>
      </c>
    </row>
    <row r="31" ht="30" customHeight="1">
      <c r="A31" s="3" t="inlineStr">
        <is>
          <t>2024::jama.2024.12829::C017</t>
        </is>
      </c>
      <c r="B31" s="3" t="inlineStr">
        <is>
          <t>relations</t>
        </is>
      </c>
      <c r="C31" s="3" t="n">
        <v>0</v>
      </c>
      <c r="D31" s="3" t="inlineStr">
        <is>
          <t>S_W</t>
        </is>
      </c>
    </row>
    <row r="32" ht="30" customHeight="1">
      <c r="A32" s="2" t="inlineStr">
        <is>
          <t>2024::jama.2024.19585::C001</t>
        </is>
      </c>
      <c r="B32" s="2" t="inlineStr">
        <is>
          <t>relations</t>
        </is>
      </c>
      <c r="C32" s="2" t="n">
        <v>0</v>
      </c>
      <c r="D32" s="2" t="inlineStr">
        <is>
          <t>S_W</t>
        </is>
      </c>
    </row>
    <row r="33" ht="30" customHeight="1">
      <c r="A33" s="3" t="inlineStr">
        <is>
          <t>2024::jama.2024.19585::C002</t>
        </is>
      </c>
      <c r="B33" s="3" t="inlineStr">
        <is>
          <t>relations</t>
        </is>
      </c>
      <c r="C33" s="3" t="n">
        <v>0</v>
      </c>
      <c r="D33" s="3" t="inlineStr">
        <is>
          <t>S_C</t>
        </is>
      </c>
    </row>
    <row r="34" ht="30" customHeight="1">
      <c r="A34" s="2" t="inlineStr">
        <is>
          <t>2024::jama.2024.19585::C003</t>
        </is>
      </c>
      <c r="B34" s="2" t="inlineStr">
        <is>
          <t>relations</t>
        </is>
      </c>
      <c r="C34" s="2" t="n">
        <v>0</v>
      </c>
      <c r="D34" s="2" t="inlineStr">
        <is>
          <t>S_W</t>
        </is>
      </c>
    </row>
    <row r="35" ht="30" customHeight="1">
      <c r="A35" s="3" t="inlineStr">
        <is>
          <t>2024::jama.2024.2302::C001</t>
        </is>
      </c>
      <c r="B35" s="3" t="inlineStr">
        <is>
          <t>relations</t>
        </is>
      </c>
      <c r="C35" s="3" t="n">
        <v>0</v>
      </c>
      <c r="D35" s="3" t="inlineStr">
        <is>
          <t>P_R</t>
        </is>
      </c>
    </row>
    <row r="36" ht="30" customHeight="1">
      <c r="A36" s="2" t="inlineStr">
        <is>
          <t>2024::jama.2024.2302::C001</t>
        </is>
      </c>
      <c r="B36" s="2" t="inlineStr">
        <is>
          <t>relations</t>
        </is>
      </c>
      <c r="C36" s="2" t="n">
        <v>1</v>
      </c>
      <c r="D36" s="2" t="inlineStr">
        <is>
          <t>P_P</t>
        </is>
      </c>
    </row>
    <row r="37" ht="30" customHeight="1">
      <c r="A37" s="3" t="inlineStr">
        <is>
          <t>2024::jama.2024.2302::C001</t>
        </is>
      </c>
      <c r="B37" s="3" t="inlineStr">
        <is>
          <t>relations</t>
        </is>
      </c>
      <c r="C37" s="3" t="n">
        <v>2</v>
      </c>
      <c r="D37" s="3" t="inlineStr">
        <is>
          <t>S_C</t>
        </is>
      </c>
    </row>
    <row r="38" ht="30" customHeight="1">
      <c r="A38" s="2" t="inlineStr">
        <is>
          <t>2024::jama.2024.2302::C002</t>
        </is>
      </c>
      <c r="B38" s="2" t="inlineStr">
        <is>
          <t>relations</t>
        </is>
      </c>
      <c r="C38" s="2" t="n">
        <v>0</v>
      </c>
      <c r="D38" s="2" t="inlineStr">
        <is>
          <t>P_P</t>
        </is>
      </c>
    </row>
    <row r="39" ht="30" customHeight="1">
      <c r="A39" s="3" t="inlineStr">
        <is>
          <t>2024::jama.2024.2302::C003</t>
        </is>
      </c>
      <c r="B39" s="3" t="inlineStr">
        <is>
          <t>relations</t>
        </is>
      </c>
      <c r="C39" s="3" t="n">
        <v>0</v>
      </c>
      <c r="D39" s="3" t="inlineStr">
        <is>
          <t>P_R</t>
        </is>
      </c>
    </row>
    <row r="40" ht="30" customHeight="1">
      <c r="A40" s="2" t="inlineStr">
        <is>
          <t>2024::jama.2024.2302::C004</t>
        </is>
      </c>
      <c r="B40" s="2" t="inlineStr">
        <is>
          <t>relations</t>
        </is>
      </c>
      <c r="C40" s="2" t="n">
        <v>0</v>
      </c>
      <c r="D40" s="2" t="inlineStr">
        <is>
          <t>P_R</t>
        </is>
      </c>
    </row>
    <row r="41" ht="30" customHeight="1">
      <c r="A41" s="3" t="inlineStr">
        <is>
          <t>2024::jama.2024.2302::C004</t>
        </is>
      </c>
      <c r="B41" s="3" t="inlineStr">
        <is>
          <t>relations</t>
        </is>
      </c>
      <c r="C41" s="3" t="n">
        <v>1</v>
      </c>
      <c r="D41" s="3" t="inlineStr">
        <is>
          <t>P_P</t>
        </is>
      </c>
    </row>
    <row r="42" ht="30" customHeight="1">
      <c r="A42" s="2" t="inlineStr">
        <is>
          <t>2024::jama.2024.2302::C005</t>
        </is>
      </c>
      <c r="B42" s="2" t="inlineStr">
        <is>
          <t>relations</t>
        </is>
      </c>
      <c r="C42" s="2" t="n">
        <v>0</v>
      </c>
      <c r="D42" s="2" t="inlineStr">
        <is>
          <t>P_R</t>
        </is>
      </c>
    </row>
    <row r="43" ht="30" customHeight="1">
      <c r="A43" s="3" t="inlineStr">
        <is>
          <t>2024::jama.2024.2302::C005</t>
        </is>
      </c>
      <c r="B43" s="3" t="inlineStr">
        <is>
          <t>relations</t>
        </is>
      </c>
      <c r="C43" s="3" t="n">
        <v>1</v>
      </c>
      <c r="D43" s="3" t="inlineStr">
        <is>
          <t>P_P</t>
        </is>
      </c>
    </row>
    <row r="44" ht="30" customHeight="1">
      <c r="A44" s="2" t="inlineStr">
        <is>
          <t>2024::jama.2024.23898::C001</t>
        </is>
      </c>
      <c r="B44" s="2" t="inlineStr">
        <is>
          <t>relations</t>
        </is>
      </c>
      <c r="C44" s="2" t="n">
        <v>0</v>
      </c>
      <c r="D44" s="2" t="inlineStr">
        <is>
          <t>P_R</t>
        </is>
      </c>
    </row>
    <row r="45" ht="30" customHeight="1">
      <c r="A45" s="3" t="inlineStr">
        <is>
          <t>2024::jama.2024.23898::C002</t>
        </is>
      </c>
      <c r="B45" s="3" t="inlineStr">
        <is>
          <t>relations</t>
        </is>
      </c>
      <c r="C45" s="3" t="n">
        <v>0</v>
      </c>
      <c r="D45" s="3" t="inlineStr">
        <is>
          <t>P_R</t>
        </is>
      </c>
    </row>
    <row r="46" ht="30" customHeight="1">
      <c r="A46" s="2" t="inlineStr">
        <is>
          <t>2024::jama.2024.23898::C003</t>
        </is>
      </c>
      <c r="B46" s="2" t="inlineStr">
        <is>
          <t>relations</t>
        </is>
      </c>
      <c r="C46" s="2" t="n">
        <v>0</v>
      </c>
      <c r="D46" s="2" t="inlineStr">
        <is>
          <t>P_R</t>
        </is>
      </c>
    </row>
    <row r="47" ht="30" customHeight="1">
      <c r="A47" s="3" t="inlineStr">
        <is>
          <t>2024::jama.2024.23898::C003</t>
        </is>
      </c>
      <c r="B47" s="3" t="inlineStr">
        <is>
          <t>relations</t>
        </is>
      </c>
      <c r="C47" s="3" t="n">
        <v>1</v>
      </c>
      <c r="D47" s="3" t="inlineStr">
        <is>
          <t>S_W</t>
        </is>
      </c>
    </row>
    <row r="48" ht="30" customHeight="1">
      <c r="A48" s="2" t="inlineStr">
        <is>
          <t>2024::jama.2024.23898::C004</t>
        </is>
      </c>
      <c r="B48" s="2" t="inlineStr">
        <is>
          <t>relations</t>
        </is>
      </c>
      <c r="C48" s="2" t="n">
        <v>0</v>
      </c>
      <c r="D48" s="2" t="inlineStr">
        <is>
          <t>P_R</t>
        </is>
      </c>
    </row>
    <row r="49" ht="30" customHeight="1">
      <c r="A49" s="3" t="inlineStr">
        <is>
          <t>2024::jama.2024.23898::C005</t>
        </is>
      </c>
      <c r="B49" s="3" t="inlineStr">
        <is>
          <t>relations</t>
        </is>
      </c>
      <c r="C49" s="3" t="n">
        <v>0</v>
      </c>
      <c r="D49" s="3" t="inlineStr">
        <is>
          <t>S_W</t>
        </is>
      </c>
    </row>
    <row r="50" ht="30" customHeight="1">
      <c r="A50" s="2" t="inlineStr">
        <is>
          <t>2024::jama.2024.23898::C006</t>
        </is>
      </c>
      <c r="B50" s="2" t="inlineStr">
        <is>
          <t>relations</t>
        </is>
      </c>
      <c r="C50" s="2" t="n">
        <v>0</v>
      </c>
      <c r="D50" s="2" t="inlineStr">
        <is>
          <t>S_W</t>
        </is>
      </c>
    </row>
    <row r="51" ht="30" customHeight="1">
      <c r="A51" s="3" t="inlineStr">
        <is>
          <t>2024::jama.2024.23898::C007</t>
        </is>
      </c>
      <c r="B51" s="3" t="inlineStr">
        <is>
          <t>relations</t>
        </is>
      </c>
      <c r="C51" s="3" t="n">
        <v>0</v>
      </c>
      <c r="D51" s="3" t="inlineStr">
        <is>
          <t>P_R</t>
        </is>
      </c>
    </row>
    <row r="52" ht="30" customHeight="1">
      <c r="A52" s="2" t="inlineStr">
        <is>
          <t>2024::jama.2024.23898::C007</t>
        </is>
      </c>
      <c r="B52" s="2" t="inlineStr">
        <is>
          <t>relations</t>
        </is>
      </c>
      <c r="C52" s="2" t="n">
        <v>1</v>
      </c>
      <c r="D52" s="2" t="inlineStr">
        <is>
          <t>S_C</t>
        </is>
      </c>
    </row>
    <row r="53" ht="30" customHeight="1">
      <c r="A53" s="3" t="inlineStr">
        <is>
          <t>2024::jama.2024.25786::C001</t>
        </is>
      </c>
      <c r="B53" s="3" t="inlineStr">
        <is>
          <t>relations</t>
        </is>
      </c>
      <c r="C53" s="3" t="n">
        <v>0</v>
      </c>
      <c r="D53" s="3" t="inlineStr">
        <is>
          <t>S_W</t>
        </is>
      </c>
    </row>
    <row r="54" ht="30" customHeight="1">
      <c r="A54" s="2" t="inlineStr">
        <is>
          <t>2024::jama.2024.25786::C002</t>
        </is>
      </c>
      <c r="B54" s="2" t="inlineStr">
        <is>
          <t>relations</t>
        </is>
      </c>
      <c r="C54" s="2" t="n">
        <v>0</v>
      </c>
      <c r="D54" s="2" t="inlineStr">
        <is>
          <t>S_W</t>
        </is>
      </c>
    </row>
    <row r="55" ht="30" customHeight="1">
      <c r="A55" s="3" t="inlineStr">
        <is>
          <t>2024::jama.2024.25786::C003</t>
        </is>
      </c>
      <c r="B55" s="3" t="inlineStr">
        <is>
          <t>relations</t>
        </is>
      </c>
      <c r="C55" s="3" t="n">
        <v>0</v>
      </c>
      <c r="D55" s="3" t="inlineStr">
        <is>
          <t>S_W</t>
        </is>
      </c>
    </row>
    <row r="56" ht="30" customHeight="1">
      <c r="A56" s="2" t="inlineStr">
        <is>
          <t>2024::jama.2024.25786::C004</t>
        </is>
      </c>
      <c r="B56" s="2" t="inlineStr">
        <is>
          <t>relations</t>
        </is>
      </c>
      <c r="C56" s="2" t="n">
        <v>0</v>
      </c>
      <c r="D56" s="2" t="inlineStr">
        <is>
          <t>S_C</t>
        </is>
      </c>
    </row>
    <row r="57" ht="30" customHeight="1">
      <c r="A57" s="3" t="inlineStr">
        <is>
          <t>2024::jama.2024.25786::C004</t>
        </is>
      </c>
      <c r="B57" s="3" t="inlineStr">
        <is>
          <t>relations</t>
        </is>
      </c>
      <c r="C57" s="3" t="n">
        <v>1</v>
      </c>
      <c r="D57" s="3" t="inlineStr">
        <is>
          <t>S_W</t>
        </is>
      </c>
    </row>
    <row r="58" ht="30" customHeight="1">
      <c r="A58" s="2" t="inlineStr">
        <is>
          <t>2024::jama.2024.25786::C005</t>
        </is>
      </c>
      <c r="B58" s="2" t="inlineStr">
        <is>
          <t>relations</t>
        </is>
      </c>
      <c r="C58" s="2" t="n">
        <v>0</v>
      </c>
      <c r="D58" s="2" t="inlineStr">
        <is>
          <t>S_C</t>
        </is>
      </c>
    </row>
    <row r="59" ht="30" customHeight="1">
      <c r="A59" s="3" t="inlineStr">
        <is>
          <t>2024::jama.2024.25786::C005</t>
        </is>
      </c>
      <c r="B59" s="3" t="inlineStr">
        <is>
          <t>relations</t>
        </is>
      </c>
      <c r="C59" s="3" t="n">
        <v>1</v>
      </c>
      <c r="D59" s="3" t="inlineStr">
        <is>
          <t>S_W</t>
        </is>
      </c>
    </row>
    <row r="60" ht="30" customHeight="1">
      <c r="A60" s="2" t="inlineStr">
        <is>
          <t>2024::jama.2024.25786::C006</t>
        </is>
      </c>
      <c r="B60" s="2" t="inlineStr">
        <is>
          <t>relations</t>
        </is>
      </c>
      <c r="C60" s="2" t="n">
        <v>0</v>
      </c>
      <c r="D60" s="2" t="inlineStr">
        <is>
          <t>S_C</t>
        </is>
      </c>
    </row>
    <row r="61" ht="30" customHeight="1">
      <c r="A61" s="3" t="inlineStr">
        <is>
          <t>2024::jama.2024.25786::C006</t>
        </is>
      </c>
      <c r="B61" s="3" t="inlineStr">
        <is>
          <t>relations</t>
        </is>
      </c>
      <c r="C61" s="3" t="n">
        <v>1</v>
      </c>
      <c r="D61" s="3" t="inlineStr">
        <is>
          <t>S_W</t>
        </is>
      </c>
    </row>
    <row r="62" ht="30" customHeight="1">
      <c r="A62" s="2" t="inlineStr">
        <is>
          <t>2024::jama.2024.25786::C007</t>
        </is>
      </c>
      <c r="B62" s="2" t="inlineStr">
        <is>
          <t>relations</t>
        </is>
      </c>
      <c r="C62" s="2" t="n">
        <v>0</v>
      </c>
      <c r="D62" s="2" t="inlineStr">
        <is>
          <t>S_W</t>
        </is>
      </c>
    </row>
    <row r="63" ht="30" customHeight="1">
      <c r="A63" s="3" t="inlineStr">
        <is>
          <t>2024::jama.2024.25786::C008</t>
        </is>
      </c>
      <c r="B63" s="3" t="inlineStr">
        <is>
          <t>relations</t>
        </is>
      </c>
      <c r="C63" s="3" t="n">
        <v>0</v>
      </c>
      <c r="D63" s="3" t="inlineStr">
        <is>
          <t>S_W</t>
        </is>
      </c>
    </row>
    <row r="64" ht="30" customHeight="1">
      <c r="A64" s="2" t="inlineStr">
        <is>
          <t>2024::jama.2024.4183::C001</t>
        </is>
      </c>
      <c r="B64" s="2" t="inlineStr">
        <is>
          <t>relations</t>
        </is>
      </c>
      <c r="C64" s="2" t="n">
        <v>0</v>
      </c>
      <c r="D64" s="2" t="inlineStr">
        <is>
          <t>S_W</t>
        </is>
      </c>
    </row>
    <row r="65" ht="30" customHeight="1">
      <c r="A65" s="3" t="inlineStr">
        <is>
          <t>2024::jama.2024.4183::C002</t>
        </is>
      </c>
      <c r="B65" s="3" t="inlineStr">
        <is>
          <t>relations</t>
        </is>
      </c>
      <c r="C65" s="3" t="n">
        <v>0</v>
      </c>
      <c r="D65" s="3" t="inlineStr">
        <is>
          <t>S_W</t>
        </is>
      </c>
    </row>
    <row r="66" ht="30" customHeight="1">
      <c r="A66" s="2" t="inlineStr">
        <is>
          <t>2024::jama.2024.4183::C003</t>
        </is>
      </c>
      <c r="B66" s="2" t="inlineStr">
        <is>
          <t>relations</t>
        </is>
      </c>
      <c r="C66" s="2" t="n">
        <v>0</v>
      </c>
      <c r="D66" s="2" t="inlineStr">
        <is>
          <t>S_W</t>
        </is>
      </c>
    </row>
    <row r="67" ht="30" customHeight="1">
      <c r="A67" s="3" t="inlineStr">
        <is>
          <t>2024::jama.2024.4183::C004</t>
        </is>
      </c>
      <c r="B67" s="3" t="inlineStr">
        <is>
          <t>relations</t>
        </is>
      </c>
      <c r="C67" s="3" t="n">
        <v>0</v>
      </c>
      <c r="D67" s="3" t="inlineStr">
        <is>
          <t>S_W</t>
        </is>
      </c>
    </row>
    <row r="68" ht="30" customHeight="1">
      <c r="A68" s="2" t="inlineStr">
        <is>
          <t>2024::jama.2024.4183::C005</t>
        </is>
      </c>
      <c r="B68" s="2" t="inlineStr">
        <is>
          <t>relations</t>
        </is>
      </c>
      <c r="C68" s="2" t="n">
        <v>0</v>
      </c>
      <c r="D68" s="2" t="inlineStr">
        <is>
          <t>S_C</t>
        </is>
      </c>
    </row>
    <row r="69" ht="30" customHeight="1">
      <c r="A69" s="3" t="inlineStr">
        <is>
          <t>2024::jama.2024.4183::C005</t>
        </is>
      </c>
      <c r="B69" s="3" t="inlineStr">
        <is>
          <t>relations</t>
        </is>
      </c>
      <c r="C69" s="3" t="n">
        <v>1</v>
      </c>
      <c r="D69" s="3" t="inlineStr">
        <is>
          <t>S_W</t>
        </is>
      </c>
    </row>
    <row r="70" ht="30" customHeight="1">
      <c r="A70" s="2" t="inlineStr">
        <is>
          <t>2024::jama.2024.4183::C006</t>
        </is>
      </c>
      <c r="B70" s="2" t="inlineStr">
        <is>
          <t>relations</t>
        </is>
      </c>
      <c r="C70" s="2" t="n">
        <v>0</v>
      </c>
      <c r="D70" s="2" t="inlineStr">
        <is>
          <t>S_C</t>
        </is>
      </c>
    </row>
    <row r="71" ht="30" customHeight="1">
      <c r="A71" s="3" t="inlineStr">
        <is>
          <t>2024::jama.2024.4183::C006</t>
        </is>
      </c>
      <c r="B71" s="3" t="inlineStr">
        <is>
          <t>relations</t>
        </is>
      </c>
      <c r="C71" s="3" t="n">
        <v>1</v>
      </c>
      <c r="D71" s="3" t="inlineStr">
        <is>
          <t>S_W</t>
        </is>
      </c>
    </row>
    <row r="72" ht="30" customHeight="1">
      <c r="A72" s="2" t="inlineStr">
        <is>
          <t>2024::jama.2024.4183::C007</t>
        </is>
      </c>
      <c r="B72" s="2" t="inlineStr">
        <is>
          <t>relations</t>
        </is>
      </c>
      <c r="C72" s="2" t="n">
        <v>0</v>
      </c>
      <c r="D72" s="2" t="inlineStr">
        <is>
          <t>S_C</t>
        </is>
      </c>
    </row>
    <row r="73" ht="30" customHeight="1">
      <c r="A73" s="3" t="inlineStr">
        <is>
          <t>2024::jama.2024.4183::C007</t>
        </is>
      </c>
      <c r="B73" s="3" t="inlineStr">
        <is>
          <t>relations</t>
        </is>
      </c>
      <c r="C73" s="3" t="n">
        <v>1</v>
      </c>
      <c r="D73" s="3" t="inlineStr">
        <is>
          <t>S_W</t>
        </is>
      </c>
    </row>
    <row r="74" ht="30" customHeight="1">
      <c r="A74" s="2" t="inlineStr">
        <is>
          <t>2024::jama.2024.4183::C008</t>
        </is>
      </c>
      <c r="B74" s="2" t="inlineStr">
        <is>
          <t>relations</t>
        </is>
      </c>
      <c r="C74" s="2" t="n">
        <v>0</v>
      </c>
      <c r="D74" s="2" t="inlineStr">
        <is>
          <t>S_C</t>
        </is>
      </c>
    </row>
    <row r="75" ht="30" customHeight="1">
      <c r="A75" s="3" t="inlineStr">
        <is>
          <t>2024::jama.2024.4183::C009</t>
        </is>
      </c>
      <c r="B75" s="3" t="inlineStr">
        <is>
          <t>relations</t>
        </is>
      </c>
      <c r="C75" s="3" t="n">
        <v>0</v>
      </c>
      <c r="D75" s="3" t="inlineStr">
        <is>
          <t>S_C</t>
        </is>
      </c>
    </row>
    <row r="76" ht="30" customHeight="1">
      <c r="A76" s="2" t="inlineStr">
        <is>
          <t>2024::jama.2024.4183::C010</t>
        </is>
      </c>
      <c r="B76" s="2" t="inlineStr">
        <is>
          <t>relations</t>
        </is>
      </c>
      <c r="C76" s="2" t="n">
        <v>0</v>
      </c>
      <c r="D76" s="2" t="inlineStr">
        <is>
          <t>P_P</t>
        </is>
      </c>
    </row>
    <row r="77" ht="30" customHeight="1">
      <c r="A77" s="3" t="inlineStr">
        <is>
          <t>2024::jama.2024.4183::C011</t>
        </is>
      </c>
      <c r="B77" s="3" t="inlineStr">
        <is>
          <t>relations</t>
        </is>
      </c>
      <c r="C77" s="3" t="n">
        <v>0</v>
      </c>
      <c r="D77" s="3" t="inlineStr">
        <is>
          <t>P_P</t>
        </is>
      </c>
    </row>
    <row r="78" ht="30" customHeight="1">
      <c r="A78" s="2" t="inlineStr">
        <is>
          <t>2024::jama.2024.4183::C012</t>
        </is>
      </c>
      <c r="B78" s="2" t="inlineStr">
        <is>
          <t>relations</t>
        </is>
      </c>
      <c r="C78" s="2" t="n">
        <v>0</v>
      </c>
      <c r="D78" s="2" t="inlineStr">
        <is>
          <t>P_P</t>
        </is>
      </c>
    </row>
    <row r="79" ht="30" customHeight="1">
      <c r="A79" s="3" t="inlineStr">
        <is>
          <t>2024::jama.2024.4183::C013</t>
        </is>
      </c>
      <c r="B79" s="3" t="inlineStr">
        <is>
          <t>relations</t>
        </is>
      </c>
      <c r="C79" s="3" t="n">
        <v>0</v>
      </c>
      <c r="D79" s="3" t="inlineStr">
        <is>
          <t>S_W</t>
        </is>
      </c>
    </row>
    <row r="80" ht="30" customHeight="1">
      <c r="A80" s="2" t="inlineStr">
        <is>
          <t>2024::jama.2024.4183::C014</t>
        </is>
      </c>
      <c r="B80" s="2" t="inlineStr">
        <is>
          <t>relations</t>
        </is>
      </c>
      <c r="C80" s="2" t="n">
        <v>0</v>
      </c>
      <c r="D80" s="2" t="inlineStr">
        <is>
          <t>S_W</t>
        </is>
      </c>
    </row>
    <row r="81" ht="30" customHeight="1">
      <c r="A81" s="3" t="inlineStr">
        <is>
          <t>2024::jama.2024.4183::C015</t>
        </is>
      </c>
      <c r="B81" s="3" t="inlineStr">
        <is>
          <t>relations</t>
        </is>
      </c>
      <c r="C81" s="3" t="n">
        <v>0</v>
      </c>
      <c r="D81" s="3" t="inlineStr">
        <is>
          <t>S_W</t>
        </is>
      </c>
    </row>
    <row r="82" ht="30" customHeight="1">
      <c r="A82" s="2" t="inlineStr">
        <is>
          <t>2024::jama.2024.4183::C016</t>
        </is>
      </c>
      <c r="B82" s="2" t="inlineStr">
        <is>
          <t>relations</t>
        </is>
      </c>
      <c r="C82" s="2" t="n">
        <v>0</v>
      </c>
      <c r="D82" s="2" t="inlineStr">
        <is>
          <t>S_W</t>
        </is>
      </c>
    </row>
    <row r="83" ht="30" customHeight="1">
      <c r="A83" s="3" t="inlineStr">
        <is>
          <t>2024::jama.2024.4183::C017</t>
        </is>
      </c>
      <c r="B83" s="3" t="inlineStr">
        <is>
          <t>relations</t>
        </is>
      </c>
      <c r="C83" s="3" t="n">
        <v>0</v>
      </c>
      <c r="D83" s="3" t="inlineStr">
        <is>
          <t>S_W</t>
        </is>
      </c>
    </row>
    <row r="84" ht="30" customHeight="1">
      <c r="A84" s="2" t="inlineStr">
        <is>
          <t>2024::jama.2024.4183::C018</t>
        </is>
      </c>
      <c r="B84" s="2" t="inlineStr">
        <is>
          <t>relations</t>
        </is>
      </c>
      <c r="C84" s="2" t="n">
        <v>0</v>
      </c>
      <c r="D84" s="2" t="inlineStr">
        <is>
          <t>S_W</t>
        </is>
      </c>
    </row>
    <row r="85" ht="30" customHeight="1">
      <c r="A85" s="3" t="inlineStr">
        <is>
          <t>2024::jama.2024.4183::C019</t>
        </is>
      </c>
      <c r="B85" s="3" t="inlineStr">
        <is>
          <t>relations</t>
        </is>
      </c>
      <c r="C85" s="3" t="n">
        <v>0</v>
      </c>
      <c r="D85" s="3" t="inlineStr">
        <is>
          <t>S_W</t>
        </is>
      </c>
    </row>
    <row r="86" ht="30" customHeight="1">
      <c r="A86" s="2" t="inlineStr">
        <is>
          <t>2024::jama.2024.4183::C020</t>
        </is>
      </c>
      <c r="B86" s="2" t="inlineStr">
        <is>
          <t>relations</t>
        </is>
      </c>
      <c r="C86" s="2" t="n">
        <v>0</v>
      </c>
      <c r="D86" s="2" t="inlineStr">
        <is>
          <t>S_W</t>
        </is>
      </c>
    </row>
    <row r="87" ht="30" customHeight="1">
      <c r="A87" s="3" t="inlineStr">
        <is>
          <t>2024::jama.2024.4183::C021</t>
        </is>
      </c>
      <c r="B87" s="3" t="inlineStr">
        <is>
          <t>relations</t>
        </is>
      </c>
      <c r="C87" s="3" t="n">
        <v>0</v>
      </c>
      <c r="D87" s="3" t="inlineStr">
        <is>
          <t>S_W</t>
        </is>
      </c>
    </row>
    <row r="88" ht="30" customHeight="1">
      <c r="A88" s="2" t="inlineStr">
        <is>
          <t>2024::jama.2024.4183::C022</t>
        </is>
      </c>
      <c r="B88" s="2" t="inlineStr">
        <is>
          <t>relations</t>
        </is>
      </c>
      <c r="C88" s="2" t="n">
        <v>0</v>
      </c>
      <c r="D88" s="2" t="inlineStr">
        <is>
          <t>S_W</t>
        </is>
      </c>
    </row>
    <row r="89" ht="30" customHeight="1">
      <c r="A89" s="3" t="inlineStr">
        <is>
          <t>2024::jama.2024.4183::C023</t>
        </is>
      </c>
      <c r="B89" s="3" t="inlineStr">
        <is>
          <t>relations</t>
        </is>
      </c>
      <c r="C89" s="3" t="n">
        <v>0</v>
      </c>
      <c r="D89" s="3" t="inlineStr">
        <is>
          <t>S_W</t>
        </is>
      </c>
    </row>
    <row r="90" ht="30" customHeight="1">
      <c r="A90" s="2" t="inlineStr">
        <is>
          <t>2024::jama.2024.4183::C024</t>
        </is>
      </c>
      <c r="B90" s="2" t="inlineStr">
        <is>
          <t>relations</t>
        </is>
      </c>
      <c r="C90" s="2" t="n">
        <v>0</v>
      </c>
      <c r="D90" s="2" t="inlineStr">
        <is>
          <t>S_W</t>
        </is>
      </c>
    </row>
    <row r="91" ht="30" customHeight="1">
      <c r="A91" s="3" t="inlineStr">
        <is>
          <t>2024::jama.2024.6063::C001</t>
        </is>
      </c>
      <c r="B91" s="3" t="inlineStr">
        <is>
          <t>relations</t>
        </is>
      </c>
      <c r="C91" s="3" t="n">
        <v>0</v>
      </c>
      <c r="D91" s="3" t="inlineStr">
        <is>
          <t>S_W</t>
        </is>
      </c>
    </row>
    <row r="92" ht="30" customHeight="1">
      <c r="A92" s="2" t="inlineStr">
        <is>
          <t>2024::jama.2024.6063::C002</t>
        </is>
      </c>
      <c r="B92" s="2" t="inlineStr">
        <is>
          <t>relations</t>
        </is>
      </c>
      <c r="C92" s="2" t="n">
        <v>0</v>
      </c>
      <c r="D92" s="2" t="inlineStr">
        <is>
          <t>S_W</t>
        </is>
      </c>
    </row>
    <row r="93" ht="30" customHeight="1">
      <c r="A93" s="3" t="inlineStr">
        <is>
          <t>2024::jama.2024.6063::C003</t>
        </is>
      </c>
      <c r="B93" s="3" t="inlineStr">
        <is>
          <t>relations</t>
        </is>
      </c>
      <c r="C93" s="3" t="n">
        <v>0</v>
      </c>
      <c r="D93" s="3" t="inlineStr">
        <is>
          <t>S_W</t>
        </is>
      </c>
    </row>
    <row r="94" ht="30" customHeight="1">
      <c r="A94" s="2" t="inlineStr">
        <is>
          <t>2024::jama.2024.6063::C004</t>
        </is>
      </c>
      <c r="B94" s="2" t="inlineStr">
        <is>
          <t>relations</t>
        </is>
      </c>
      <c r="C94" s="2" t="n">
        <v>0</v>
      </c>
      <c r="D94" s="2" t="inlineStr">
        <is>
          <t>S_W</t>
        </is>
      </c>
    </row>
    <row r="95" ht="30" customHeight="1">
      <c r="A95" s="3" t="inlineStr">
        <is>
          <t>2024::jama.2024.6063::C005</t>
        </is>
      </c>
      <c r="B95" s="3" t="inlineStr">
        <is>
          <t>relations</t>
        </is>
      </c>
      <c r="C95" s="3" t="n">
        <v>0</v>
      </c>
      <c r="D95" s="3" t="inlineStr">
        <is>
          <t>S_W</t>
        </is>
      </c>
    </row>
    <row r="96" ht="30" customHeight="1">
      <c r="A96" s="2" t="inlineStr">
        <is>
          <t>2024::jama.2024.6063::C006</t>
        </is>
      </c>
      <c r="B96" s="2" t="inlineStr">
        <is>
          <t>relations</t>
        </is>
      </c>
      <c r="C96" s="2" t="n">
        <v>0</v>
      </c>
      <c r="D96" s="2" t="inlineStr">
        <is>
          <t>S_W</t>
        </is>
      </c>
    </row>
    <row r="97" ht="30" customHeight="1">
      <c r="A97" s="3" t="inlineStr">
        <is>
          <t>2024::jama.2024.6063::C007</t>
        </is>
      </c>
      <c r="B97" s="3" t="inlineStr">
        <is>
          <t>relations</t>
        </is>
      </c>
      <c r="C97" s="3" t="n">
        <v>0</v>
      </c>
      <c r="D97" s="3" t="inlineStr">
        <is>
          <t>S_W</t>
        </is>
      </c>
    </row>
    <row r="98" ht="30" customHeight="1">
      <c r="A98" s="2" t="inlineStr">
        <is>
          <t>2024::jama.2024.6063::C008</t>
        </is>
      </c>
      <c r="B98" s="2" t="inlineStr">
        <is>
          <t>relations</t>
        </is>
      </c>
      <c r="C98" s="2" t="n">
        <v>0</v>
      </c>
      <c r="D98" s="2" t="inlineStr">
        <is>
          <t>S_W</t>
        </is>
      </c>
    </row>
    <row r="99" ht="30" customHeight="1">
      <c r="A99" s="3" t="inlineStr">
        <is>
          <t>2024::jama.2024.6063::C009</t>
        </is>
      </c>
      <c r="B99" s="3" t="inlineStr">
        <is>
          <t>relations</t>
        </is>
      </c>
      <c r="C99" s="3" t="n">
        <v>0</v>
      </c>
      <c r="D99" s="3" t="inlineStr">
        <is>
          <t>S_W</t>
        </is>
      </c>
    </row>
    <row r="100" ht="30" customHeight="1">
      <c r="A100" s="2" t="inlineStr">
        <is>
          <t>2024::jama.2024.6063::C010</t>
        </is>
      </c>
      <c r="B100" s="2" t="inlineStr">
        <is>
          <t>relations</t>
        </is>
      </c>
      <c r="C100" s="2" t="n">
        <v>0</v>
      </c>
      <c r="D100" s="2" t="inlineStr">
        <is>
          <t>S_W</t>
        </is>
      </c>
    </row>
    <row r="101" ht="30" customHeight="1">
      <c r="A101" s="3" t="inlineStr">
        <is>
          <t>2024::jama.2024.6063::C011</t>
        </is>
      </c>
      <c r="B101" s="3" t="inlineStr">
        <is>
          <t>relations</t>
        </is>
      </c>
      <c r="C101" s="3" t="n">
        <v>0</v>
      </c>
      <c r="D101" s="3" t="inlineStr">
        <is>
          <t>S_W</t>
        </is>
      </c>
    </row>
    <row r="102" ht="30" customHeight="1">
      <c r="A102" s="2" t="inlineStr">
        <is>
          <t>2024::jama.2024.6063::C012</t>
        </is>
      </c>
      <c r="B102" s="2" t="inlineStr">
        <is>
          <t>relations</t>
        </is>
      </c>
      <c r="C102" s="2" t="n">
        <v>0</v>
      </c>
      <c r="D102" s="2" t="inlineStr">
        <is>
          <t>S_C</t>
        </is>
      </c>
    </row>
    <row r="103" ht="30" customHeight="1">
      <c r="A103" s="3" t="inlineStr">
        <is>
          <t>2024::jama.2024.6063::C012</t>
        </is>
      </c>
      <c r="B103" s="3" t="inlineStr">
        <is>
          <t>relations</t>
        </is>
      </c>
      <c r="C103" s="3" t="n">
        <v>1</v>
      </c>
      <c r="D103" s="3" t="inlineStr">
        <is>
          <t>S_W</t>
        </is>
      </c>
    </row>
    <row r="104" ht="30" customHeight="1">
      <c r="A104" s="2" t="inlineStr">
        <is>
          <t>2024::jama.2024.6063::C013</t>
        </is>
      </c>
      <c r="B104" s="2" t="inlineStr">
        <is>
          <t>relations</t>
        </is>
      </c>
      <c r="C104" s="2" t="n">
        <v>0</v>
      </c>
      <c r="D104" s="2" t="inlineStr">
        <is>
          <t>S_C</t>
        </is>
      </c>
    </row>
    <row r="105" ht="30" customHeight="1">
      <c r="A105" s="3" t="inlineStr">
        <is>
          <t>2024::jama.2024.6063::C013</t>
        </is>
      </c>
      <c r="B105" s="3" t="inlineStr">
        <is>
          <t>relations</t>
        </is>
      </c>
      <c r="C105" s="3" t="n">
        <v>1</v>
      </c>
      <c r="D105" s="3" t="inlineStr">
        <is>
          <t>S_W</t>
        </is>
      </c>
    </row>
    <row r="106" ht="30" customHeight="1">
      <c r="A106" s="2" t="inlineStr">
        <is>
          <t>2024::jama.2024.6063::C014</t>
        </is>
      </c>
      <c r="B106" s="2" t="inlineStr">
        <is>
          <t>relations</t>
        </is>
      </c>
      <c r="C106" s="2" t="n">
        <v>0</v>
      </c>
      <c r="D106" s="2" t="inlineStr">
        <is>
          <t>S_C</t>
        </is>
      </c>
    </row>
    <row r="107" ht="30" customHeight="1">
      <c r="A107" s="3" t="inlineStr">
        <is>
          <t>2024::jama.2024.6063::C015</t>
        </is>
      </c>
      <c r="B107" s="3" t="inlineStr">
        <is>
          <t>relations</t>
        </is>
      </c>
      <c r="C107" s="3" t="n">
        <v>0</v>
      </c>
      <c r="D107" s="3" t="inlineStr">
        <is>
          <t>S_C</t>
        </is>
      </c>
    </row>
    <row r="108" ht="30" customHeight="1">
      <c r="A108" s="2" t="inlineStr">
        <is>
          <t>2024::jama.2024.6063::C016</t>
        </is>
      </c>
      <c r="B108" s="2" t="inlineStr">
        <is>
          <t>relations</t>
        </is>
      </c>
      <c r="C108" s="2" t="n">
        <v>0</v>
      </c>
      <c r="D108" s="2" t="inlineStr">
        <is>
          <t>S_C</t>
        </is>
      </c>
    </row>
  </sheetData>
  <sheetProtection selectLockedCells="0" selectUnlockedCells="0" sheet="1" objects="0" insertRows="1" insertHyperlinks="1" autoFilter="0" scenarios="0" formatColumns="1" deleteColumns="1" insertColumns="1" pivotTables="1" deleteRows="1" formatCells="1" formatRows="1" sort="1"/>
  <autoFilter ref="A1:D10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2026-09-13T23:21:54Z</dcterms:created>
  <dcterms:modified xsi:type="dcterms:W3CDTF">2026-09-13T23:21:54Z</dcterms:modified>
</cp:coreProperties>
</file>