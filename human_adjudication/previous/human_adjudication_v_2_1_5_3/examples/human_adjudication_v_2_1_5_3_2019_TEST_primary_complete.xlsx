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04b2b7c8144597" /></Relationships>
</file>

<file path=xl/workbook.xml><?xml version="1.0" encoding="utf-8"?>
<x:workbook xmlns:x="http://schemas.openxmlformats.org/spreadsheetml/2006/main">
  <x:sheets>
    <x:sheet xmlns:r="http://schemas.openxmlformats.org/officeDocument/2006/relationships" name="Start" sheetId="1" r:id="R9743d680221241d4"/>
    <x:sheet xmlns:r="http://schemas.openxmlformats.org/officeDocument/2006/relationships" name="Setup" sheetId="2" r:id="R21ab8d9a9b7e4e21"/>
    <x:sheet xmlns:r="http://schemas.openxmlformats.org/officeDocument/2006/relationships" name="Checks" sheetId="3" r:id="R37985ab23ec64412"/>
    <x:sheet xmlns:r="http://schemas.openxmlformats.org/officeDocument/2006/relationships" name="Papers" sheetId="4" r:id="Rd12e2641171f486b"/>
    <x:sheet xmlns:r="http://schemas.openxmlformats.org/officeDocument/2006/relationships" name="C_jama.2019.0556" sheetId="5" r:id="R0257b4e8022b4c53"/>
    <x:sheet xmlns:r="http://schemas.openxmlformats.org/officeDocument/2006/relationships" name="C_jama.2019.10517" sheetId="6" r:id="R3ba01e98384a40e1"/>
    <x:sheet xmlns:r="http://schemas.openxmlformats.org/officeDocument/2006/relationships" name="C_jama.2019.12618" sheetId="7" r:id="R504d7684a3b74f20"/>
    <x:sheet xmlns:r="http://schemas.openxmlformats.org/officeDocument/2006/relationships" name="C_jama.2019.14231" sheetId="8" r:id="R1cf28964f5fe4201"/>
    <x:sheet xmlns:r="http://schemas.openxmlformats.org/officeDocument/2006/relationships" name="C_jama.2019.14630" sheetId="9" r:id="R5e6e9e092fbc4d44"/>
    <x:sheet xmlns:r="http://schemas.openxmlformats.org/officeDocument/2006/relationships" name="C_jama.2019.14901" sheetId="10" r:id="R4dcc360774274b36"/>
    <x:sheet xmlns:r="http://schemas.openxmlformats.org/officeDocument/2006/relationships" name="C_jama.2019.17380" sheetId="11" r:id="Ra7e09ebef8ad4e6f"/>
    <x:sheet xmlns:r="http://schemas.openxmlformats.org/officeDocument/2006/relationships" name="C_jama.2019.2210" sheetId="12" r:id="R6c6bfc8a0c2d4112"/>
    <x:sheet xmlns:r="http://schemas.openxmlformats.org/officeDocument/2006/relationships" name="C_jama.2019.4755" sheetId="13" r:id="Rcbf73c8c3f924fa7"/>
    <x:sheet xmlns:r="http://schemas.openxmlformats.org/officeDocument/2006/relationships" name="C_jama.2019.7505" sheetId="14" r:id="Rf82710420b2440e8"/>
    <x:sheet xmlns:r="http://schemas.openxmlformats.org/officeDocument/2006/relationships" name="Primary_snapshot" sheetId="15" r:id="R2de8c629b9104cc6"/>
    <x:sheet xmlns:r="http://schemas.openxmlformats.org/officeDocument/2006/relationships" name="Decisions" sheetId="16" r:id="Rf95628ca287f4a47"/>
    <x:sheet xmlns:r="http://schemas.openxmlformats.org/officeDocument/2006/relationships" name="Paper_counts" sheetId="17" r:id="Rf86d7e729b8446c2"/>
    <x:sheet xmlns:r="http://schemas.openxmlformats.org/officeDocument/2006/relationships" name="Protocol_plan_table" sheetId="18" r:id="R693dd7e8c9c5459b"/>
    <x:sheet xmlns:r="http://schemas.openxmlformats.org/officeDocument/2006/relationships" name="Candidates" sheetId="19" r:id="R8eba3c2351184fc0"/>
    <x:sheet xmlns:r="http://schemas.openxmlformats.org/officeDocument/2006/relationships" name="Evidence" sheetId="20" r:id="R334b77ed057e4a03"/>
    <x:sheet xmlns:r="http://schemas.openxmlformats.org/officeDocument/2006/relationships" name="Links" sheetId="21" r:id="Rd2cd8e620d694c49"/>
    <x:sheet xmlns:r="http://schemas.openxmlformats.org/officeDocument/2006/relationships" name="Relations" sheetId="22" r:id="Rb1b71985e24845ab"/>
    <x:sheet xmlns:r="http://schemas.openxmlformats.org/officeDocument/2006/relationships" name="Codebook" sheetId="23" r:id="Rceaf86cbd86a44b7"/>
    <x:sheet xmlns:r="http://schemas.openxmlformats.org/officeDocument/2006/relationships" name="Manifest" sheetId="24" r:id="Rfc07489fc36f4239"/>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0211282f514068" /><Relationship Type="http://schemas.openxmlformats.org/officeDocument/2006/relationships/theme" Target="/xl/theme/theme1.xml" Id="R40d3f320d07c4fd5" /><Relationship Type="http://schemas.microsoft.com/office/2022/11/relationships/FeaturePropertyBag" Target="/xl/featurePropertyBag/featurePropertyBag.xml" Id="R513dc7ea43624d0e" /><Relationship Type="http://schemas.openxmlformats.org/officeDocument/2006/relationships/sharedStrings" Target="/xl/sharedStrings.xml" Id="R1e0745e84f9446ae" /><Relationship Type="http://schemas.openxmlformats.org/officeDocument/2006/relationships/worksheet" Target="/xl/worksheets/sheet1.xml" Id="R9743d680221241d4" /><Relationship Type="http://schemas.openxmlformats.org/officeDocument/2006/relationships/worksheet" Target="/xl/worksheets/sheet2.xml" Id="R21ab8d9a9b7e4e21" /><Relationship Type="http://schemas.openxmlformats.org/officeDocument/2006/relationships/worksheet" Target="/xl/worksheets/sheet3.xml" Id="R37985ab23ec64412" /><Relationship Type="http://schemas.openxmlformats.org/officeDocument/2006/relationships/worksheet" Target="/xl/worksheets/sheet4.xml" Id="Rd12e2641171f486b" /><Relationship Type="http://schemas.openxmlformats.org/officeDocument/2006/relationships/worksheet" Target="/xl/worksheets/sheet5.xml" Id="R0257b4e8022b4c53" /><Relationship Type="http://schemas.openxmlformats.org/officeDocument/2006/relationships/worksheet" Target="/xl/worksheets/sheet6.xml" Id="R3ba01e98384a40e1" /><Relationship Type="http://schemas.openxmlformats.org/officeDocument/2006/relationships/worksheet" Target="/xl/worksheets/sheet7.xml" Id="R504d7684a3b74f20" /><Relationship Type="http://schemas.openxmlformats.org/officeDocument/2006/relationships/worksheet" Target="/xl/worksheets/sheet8.xml" Id="R1cf28964f5fe4201" /><Relationship Type="http://schemas.openxmlformats.org/officeDocument/2006/relationships/worksheet" Target="/xl/worksheets/sheet9.xml" Id="R5e6e9e092fbc4d44" /><Relationship Type="http://schemas.openxmlformats.org/officeDocument/2006/relationships/worksheet" Target="/xl/worksheets/sheet10.xml" Id="R4dcc360774274b36" /><Relationship Type="http://schemas.openxmlformats.org/officeDocument/2006/relationships/worksheet" Target="/xl/worksheets/sheet11.xml" Id="Ra7e09ebef8ad4e6f" /><Relationship Type="http://schemas.openxmlformats.org/officeDocument/2006/relationships/worksheet" Target="/xl/worksheets/sheet12.xml" Id="R6c6bfc8a0c2d4112" /><Relationship Type="http://schemas.openxmlformats.org/officeDocument/2006/relationships/worksheet" Target="/xl/worksheets/sheet13.xml" Id="Rcbf73c8c3f924fa7" /><Relationship Type="http://schemas.openxmlformats.org/officeDocument/2006/relationships/worksheet" Target="/xl/worksheets/sheet14.xml" Id="Rf82710420b2440e8" /><Relationship Type="http://schemas.openxmlformats.org/officeDocument/2006/relationships/worksheet" Target="/xl/worksheets/sheet15.xml" Id="R2de8c629b9104cc6" /><Relationship Type="http://schemas.openxmlformats.org/officeDocument/2006/relationships/worksheet" Target="/xl/worksheets/sheet16.xml" Id="Rf95628ca287f4a47" /><Relationship Type="http://schemas.openxmlformats.org/officeDocument/2006/relationships/worksheet" Target="/xl/worksheets/sheet17.xml" Id="Rf86d7e729b8446c2" /><Relationship Type="http://schemas.openxmlformats.org/officeDocument/2006/relationships/worksheet" Target="/xl/worksheets/sheet18.xml" Id="R693dd7e8c9c5459b" /><Relationship Type="http://schemas.openxmlformats.org/officeDocument/2006/relationships/worksheet" Target="/xl/worksheets/sheet19.xml" Id="R8eba3c2351184fc0" /><Relationship Type="http://schemas.openxmlformats.org/officeDocument/2006/relationships/worksheet" Target="/xl/worksheets/sheet20.xml" Id="R334b77ed057e4a03" /><Relationship Type="http://schemas.openxmlformats.org/officeDocument/2006/relationships/worksheet" Target="/xl/worksheets/sheet21.xml" Id="Rd2cd8e620d694c49" /><Relationship Type="http://schemas.openxmlformats.org/officeDocument/2006/relationships/worksheet" Target="/xl/worksheets/sheet22.xml" Id="Rb1b71985e24845ab" /><Relationship Type="http://schemas.openxmlformats.org/officeDocument/2006/relationships/worksheet" Target="/xl/worksheets/sheet23.xml" Id="Rceaf86cbd86a44b7" /><Relationship Type="http://schemas.openxmlformats.org/officeDocument/2006/relationships/worksheet" Target="/xl/worksheets/sheet24.xml" Id="Rfc07489fc36f42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4f616e96aa844367" /></Relationships>
</file>

<file path=xl/worksheets/_rels/sheet6.xml.rels>&#65279;<?xml version="1.0" encoding="utf-8"?><Relationships xmlns="http://schemas.openxmlformats.org/package/2006/relationships"><Relationship Type="http://schemas.openxmlformats.org/officeDocument/2006/relationships/table" Target="/xl/tables/table2.xml" Id="Ra6d8c497d79941ed" /></Relationships>
</file>

<file path=xl/worksheets/_rels/sheet7.xml.rels>&#65279;<?xml version="1.0" encoding="utf-8"?><Relationships xmlns="http://schemas.openxmlformats.org/package/2006/relationships"><Relationship Type="http://schemas.openxmlformats.org/officeDocument/2006/relationships/table" Target="/xl/tables/table3.xml" Id="R046a0476e5094a1b" /></Relationships>
</file>

<file path=xl/worksheets/_rels/sheet8.xml.rels>&#65279;<?xml version="1.0" encoding="utf-8"?><Relationships xmlns="http://schemas.openxmlformats.org/package/2006/relationships"><Relationship Type="http://schemas.openxmlformats.org/officeDocument/2006/relationships/table" Target="/xl/tables/table4.xml" Id="R6eaeb4d2b89a44fb" /></Relationships>
</file>

<file path=xl/worksheets/_rels/sheet9.xml.rels>&#65279;<?xml version="1.0" encoding="utf-8"?><Relationships xmlns="http://schemas.openxmlformats.org/package/2006/relationships"><Relationship Type="http://schemas.openxmlformats.org/officeDocument/2006/relationships/table" Target="/xl/tables/table5.xml" Id="R60778391b33f4f8c" /></Relationships>
</file>

<file path=xl/worksheets/_rels/sheet10.xml.rels>&#65279;<?xml version="1.0" encoding="utf-8"?><Relationships xmlns="http://schemas.openxmlformats.org/package/2006/relationships"><Relationship Type="http://schemas.openxmlformats.org/officeDocument/2006/relationships/table" Target="/xl/tables/table6.xml" Id="R04eb3e2fad24465b" /></Relationships>
</file>

<file path=xl/worksheets/_rels/sheet11.xml.rels>&#65279;<?xml version="1.0" encoding="utf-8"?><Relationships xmlns="http://schemas.openxmlformats.org/package/2006/relationships"><Relationship Type="http://schemas.openxmlformats.org/officeDocument/2006/relationships/table" Target="/xl/tables/table7.xml" Id="R9e34488cda9f44db" /></Relationships>
</file>

<file path=xl/worksheets/_rels/sheet12.xml.rels>&#65279;<?xml version="1.0" encoding="utf-8"?><Relationships xmlns="http://schemas.openxmlformats.org/package/2006/relationships"><Relationship Type="http://schemas.openxmlformats.org/officeDocument/2006/relationships/table" Target="/xl/tables/table8.xml" Id="Rfa9cac4e21d7419c" /></Relationships>
</file>

<file path=xl/worksheets/_rels/sheet13.xml.rels>&#65279;<?xml version="1.0" encoding="utf-8"?><Relationships xmlns="http://schemas.openxmlformats.org/package/2006/relationships"><Relationship Type="http://schemas.openxmlformats.org/officeDocument/2006/relationships/table" Target="/xl/tables/table9.xml" Id="Rf70c77bc525649c6" /></Relationships>
</file>

<file path=xl/worksheets/_rels/sheet14.xml.rels>&#65279;<?xml version="1.0" encoding="utf-8"?><Relationships xmlns="http://schemas.openxmlformats.org/package/2006/relationships"><Relationship Type="http://schemas.openxmlformats.org/officeDocument/2006/relationships/table" Target="/xl/tables/table10.xml" Id="R08f876d1cb314a52" /></Relationships>
</file>

<file path=xl/worksheets/_rels/sheet16.xml.rels>&#65279;<?xml version="1.0" encoding="utf-8"?><Relationships xmlns="http://schemas.openxmlformats.org/package/2006/relationships"><Relationship Type="http://schemas.openxmlformats.org/officeDocument/2006/relationships/table" Target="/xl/tables/table11.xml" Id="Rce374ff37e534255" /></Relationships>
</file>

<file path=xl/worksheets/_rels/sheet19.xml.rels>&#65279;<?xml version="1.0" encoding="utf-8"?><Relationships xmlns="http://schemas.openxmlformats.org/package/2006/relationships"><Relationship Type="http://schemas.openxmlformats.org/officeDocument/2006/relationships/table" Target="/xl/tables/table12.xml" Id="R98657a67646d4b74" /></Relationships>
</file>

<file path=xl/worksheets/_rels/sheet20.xml.rels>&#65279;<?xml version="1.0" encoding="utf-8"?><Relationships xmlns="http://schemas.openxmlformats.org/package/2006/relationships"><Relationship Type="http://schemas.openxmlformats.org/officeDocument/2006/relationships/table" Target="/xl/tables/table13.xml" Id="R234b2b2d25754c5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TEST ONLY - SYNTHETIC ANSWERS | 2019 | v.2.1.5.3 | primary | Never include in research results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v>TEST_PRIMARY</x:v>
      </x:c>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71</x:v>
      </x:c>
    </x:row>
    <x:row r="4" ht="44" customHeight="1">
      <x:c r="A4" s="6" t="str">
        <x:v>Primary ready rows</x:v>
      </x:c>
      <x:c r="B4" s="6" t="n">
        <x:f>COUNTIF(Decisions!G2:G72,"PRIMARY READY")</x:f>
        <x:v>71</x:v>
      </x:c>
    </x:row>
    <x:row r="5" ht="44" customHeight="1">
      <x:c r="A5" s="3" t="str">
        <x:v>Final ready rows</x:v>
      </x:c>
      <x:c r="B5" s="3" t="n">
        <x:f>COUNTIF(Decisions!G2:G72,"FINAL READY")</x:f>
        <x:v>0</x:v>
      </x:c>
    </x:row>
    <x:row r="6" ht="44" customHeight="1">
      <x:c r="A6" s="6" t="str">
        <x:v>Other / unfinished rows</x:v>
      </x:c>
      <x:c r="B6" s="6" t="n">
        <x:f>B3-B4-B5</x:f>
        <x:v>0</x:v>
      </x:c>
    </x:row>
    <x:row r="7" ht="44" customHeight="1">
      <x:c r="A7" s="3" t="str">
        <x:v>Workflow status</x:v>
      </x:c>
      <x:c r="B7" s="3" t="str">
        <x:f>IF(AND(B2="primary",B4=B3),"PRIMARY READY",IF(AND(B2="checker",B5=B3),"FINAL READY","ACTION NEEDED"))</x:f>
        <x:v>PRIMARY READY</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Save primary backup, then follow Start steps 5-7.</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v>retain</x:v>
      </x:c>
      <x:c r="E9" s="7" t="str">
        <x:v>plan_material</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v>retain</x:v>
      </x:c>
      <x:c r="E10" s="7" t="str">
        <x:v>plan_material</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4f616e96aa84436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a6d8c497d79941ed"/>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v>retain</x:v>
      </x:c>
      <x:c r="E2" s="7" t="str">
        <x:v>plan_material</x:v>
      </x:c>
      <x:c r="F2" s="7" t="str">
        <x:v>primary_done</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v>retain</x:v>
      </x:c>
      <x:c r="E4" s="7" t="str">
        <x:v>protocol_report</x:v>
      </x:c>
      <x:c r="F4" s="7" t="str">
        <x:v>primary_done</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046a0476e5094a1b"/>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v>retain</x:v>
      </x:c>
      <x:c r="E2" s="7" t="str">
        <x:v>protocol_report</x:v>
      </x:c>
      <x:c r="F2" s="7" t="str">
        <x:v>primary_done</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v>retain</x:v>
      </x:c>
      <x:c r="E7" s="7" t="str">
        <x:v>statistical_results</x:v>
      </x:c>
      <x:c r="F7" s="7" t="str">
        <x:v>primary_done</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v>confirmed_issue</x:v>
      </x:c>
      <x:c r="I7" s="7" t="str">
        <x:v>substantive</x:v>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v>retain</x:v>
      </x:c>
      <x:c r="E11" s="7" t="str">
        <x:v>statistical_results</x:v>
      </x:c>
      <x:c r="F11" s="7" t="str">
        <x:v>primary_done</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PRIMARY READY</x:v>
      </x:c>
      <x:c r="H11" s="7" t="str">
        <x:v>confirmed_issue</x:v>
      </x:c>
      <x:c r="I11" s="7" t="str">
        <x:v>substantive</x:v>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v>retain</x:v>
      </x:c>
      <x:c r="E12" s="7" t="str">
        <x:v>report_internal_inconsistency</x:v>
      </x:c>
      <x:c r="F12" s="7" t="str">
        <x:v>primary_done</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PRIMARY READY</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v>substantive_inconsistency</x:v>
      </x:c>
      <x:c r="L12" s="13" t="str">
        <x:f>IF(AND(OR(D12="retain",D12=""),E12="protocol_report"),"","not_applicable")</x:f>
        <x:v>not_applicable</x:v>
      </x:c>
      <x:c r="M12" s="6" t="str">
        <x:f>IF(Setup!$B$6="primary","",IFERROR(IF(INDEX('Primary_snapshot'!$L$2:$L$72,MATCH(A12,'Primary_snapshot'!$A$2:$A$72,0))="","",INDEX('Primary_snapshot'!$L$2:$L$72,MATCH(A12,'Primary_snapshot'!$A$2:$A$72,0))),"SNAPSHOT MISSING"))</x:f>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6eaeb4d2b89a44fb"/>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v>retain</x:v>
      </x:c>
      <x:c r="E8" s="7" t="str">
        <x:v>report_internal_inconsistency</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v>substantive_inconsistency</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60778391b33f4f8c"/>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v>retain</x:v>
      </x:c>
      <x:c r="E3" s="7" t="str">
        <x:v>protocol_report</x:v>
      </x:c>
      <x:c r="F3" s="7" t="str">
        <x:v>primary_done</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2019::jama.2019.14901::C003</x:v>
      </x:c>
      <x:c r="B4" s="6" t="str">
        <x:v>Hypercapnic ineffective-cough percentages conflict with printed fractions</x:v>
      </x:c>
      <x:c r="C4" s="6"/>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2019::jama.2019.14901::C004</x:v>
      </x:c>
      <x:c r="B5" s="3" t="str">
        <x:v>Hypercapnic abundant-secretion percentages conflict with printed fractions</x:v>
      </x:c>
      <x:c r="C5" s="3"/>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04eb3e2fad24465b"/>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9e34488cda9f44db"/>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v>retain</x:v>
      </x:c>
      <x:c r="E9" s="7" t="str">
        <x:v>protocol_report</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fa9cac4e21d7419c"/>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f70c77bc525649c6"/>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08f876d1cb314a52"/>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IF(Setup!$B$6="primary","2019::jama.2019.0556::C001","NOT FROZEN")</x:f>
        <x:v>2019::jama.2019.0556::C001</x:v>
      </x:c>
      <x:c r="B2" s="6" t="str">
        <x:f>IF(Setup!$B$6="primary",IF(INDEX('C_jama.2019.0556'!$D$2:$D$10,MATCH("2019::jama.2019.0556::C001",'C_jama.2019.0556'!$A$2:$A$10,0))="","",INDEX('C_jama.2019.0556'!$D$2:$D$10,MATCH("2019::jama.2019.0556::C001",'C_jama.2019.0556'!$A$2:$A$10,0))),"NOT FROZEN")</x:f>
        <x:v>retain</x:v>
      </x:c>
      <x:c r="C2" s="6" t="str">
        <x:f>IF(Setup!$B$6="primary",IF(INDEX('C_jama.2019.0556'!$E$2:$E$10,MATCH("2019::jama.2019.0556::C001",'C_jama.2019.0556'!$A$2:$A$10,0))="","",INDEX('C_jama.2019.0556'!$E$2:$E$10,MATCH("2019::jama.2019.0556::C001",'C_jama.2019.0556'!$A$2:$A$10,0))),"NOT FROZEN")</x:f>
        <x:v>report_internal_inconsistency</x:v>
      </x:c>
      <x:c r="D2" s="6" t="str">
        <x:f>IF(Setup!$B$6="primary",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NOT FROZEN")</x:f>
        <x:v>not_applicable</x:v>
      </x:c>
      <x:c r="E2" s="6" t="str">
        <x:f>IF(Setup!$B$6="primary",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NOT FROZEN")</x:f>
        <x:v>not_applicable</x:v>
      </x:c>
      <x:c r="F2" s="6" t="str">
        <x:f>IF(Setup!$B$6="primary",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NOT FROZEN")</x:f>
        <x:v>not_applicable</x:v>
      </x:c>
      <x:c r="G2" s="6" t="str">
        <x:f>IF(Setup!$B$6="primary",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NOT FROZEN")</x:f>
        <x:v>substantive_inconsistency</x:v>
      </x:c>
      <x:c r="H2" s="6" t="str">
        <x:f>IF(Setup!$B$6="primary",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NOT FROZEN")</x:f>
        <x:v>not_applicable</x:v>
      </x:c>
      <x:c r="I2" s="6" t="str">
        <x:f>IF(Setup!$B$6="primary",IF(INDEX('C_jama.2019.0556'!$R$2:$R$10,MATCH("2019::jama.2019.0556::C001",'C_jama.2019.0556'!$A$2:$A$10,0))="","",INDEX('C_jama.2019.0556'!$R$2:$R$10,MATCH("2019::jama.2019.0556::C001",'C_jama.2019.0556'!$A$2:$A$10,0))),"NOT FROZEN")</x:f>
      </x:c>
      <x:c r="J2" s="6" t="str">
        <x:f>IF(Setup!$B$6="primary",INDEX('C_jama.2019.0556'!$F$2:$F$10,MATCH("2019::jama.2019.0556::C001",'C_jama.2019.0556'!$A$2:$A$10,0)),"NOT FROZEN")</x:f>
        <x:v>primary_done</x:v>
      </x:c>
      <x:c r="K2" s="6" t="str">
        <x:f>IF(Setup!$B$6="primary",Setup!$B$2,"NOT FROZEN")</x:f>
        <x:v>TEST_PRIMARY</x:v>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Disposition: retain
Review domain: report_internal_inconsistency
Report-internal or planning-material inconsistency: substantive_inconsistency
</x:v>
      </x:c>
    </x:row>
    <x:row r="3" ht="70" customHeight="1">
      <x:c r="A3" s="3" t="str">
        <x:f>IF(Setup!$B$6="primary","2019::jama.2019.0556::C002","NOT FROZEN")</x:f>
        <x:v>2019::jama.2019.0556::C002</x:v>
      </x:c>
      <x:c r="B3" s="3" t="str">
        <x:f>IF(Setup!$B$6="primary",IF(INDEX('C_jama.2019.0556'!$D$2:$D$10,MATCH("2019::jama.2019.0556::C002",'C_jama.2019.0556'!$A$2:$A$10,0))="","",INDEX('C_jama.2019.0556'!$D$2:$D$10,MATCH("2019::jama.2019.0556::C002",'C_jama.2019.0556'!$A$2:$A$10,0))),"NOT FROZEN")</x:f>
        <x:v>retain</x:v>
      </x:c>
      <x:c r="C3" s="3" t="str">
        <x:f>IF(Setup!$B$6="primary",IF(INDEX('C_jama.2019.0556'!$E$2:$E$10,MATCH("2019::jama.2019.0556::C002",'C_jama.2019.0556'!$A$2:$A$10,0))="","",INDEX('C_jama.2019.0556'!$E$2:$E$10,MATCH("2019::jama.2019.0556::C002",'C_jama.2019.0556'!$A$2:$A$10,0))),"NOT FROZEN")</x:f>
        <x:v>report_internal_inconsistency</x:v>
      </x:c>
      <x:c r="D3" s="3" t="str">
        <x:f>IF(Setup!$B$6="primary",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NOT FROZEN")</x:f>
        <x:v>not_applicable</x:v>
      </x:c>
      <x:c r="E3" s="3" t="str">
        <x:f>IF(Setup!$B$6="primary",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NOT FROZEN")</x:f>
        <x:v>not_applicable</x:v>
      </x:c>
      <x:c r="F3" s="3" t="str">
        <x:f>IF(Setup!$B$6="primary",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NOT FROZEN")</x:f>
        <x:v>not_applicable</x:v>
      </x:c>
      <x:c r="G3" s="3" t="str">
        <x:f>IF(Setup!$B$6="primary",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NOT FROZEN")</x:f>
        <x:v>substantive_inconsistency</x:v>
      </x:c>
      <x:c r="H3" s="3" t="str">
        <x:f>IF(Setup!$B$6="primary",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NOT FROZEN")</x:f>
        <x:v>not_applicable</x:v>
      </x:c>
      <x:c r="I3" s="3" t="str">
        <x:f>IF(Setup!$B$6="primary",IF(INDEX('C_jama.2019.0556'!$R$2:$R$10,MATCH("2019::jama.2019.0556::C002",'C_jama.2019.0556'!$A$2:$A$10,0))="","",INDEX('C_jama.2019.0556'!$R$2:$R$10,MATCH("2019::jama.2019.0556::C002",'C_jama.2019.0556'!$A$2:$A$10,0))),"NOT FROZEN")</x:f>
      </x:c>
      <x:c r="J3" s="3" t="str">
        <x:f>IF(Setup!$B$6="primary",INDEX('C_jama.2019.0556'!$F$2:$F$10,MATCH("2019::jama.2019.0556::C002",'C_jama.2019.0556'!$A$2:$A$10,0)),"NOT FROZEN")</x:f>
        <x:v>primary_done</x:v>
      </x:c>
      <x:c r="K3" s="3" t="str">
        <x:f>IF(Setup!$B$6="primary",Setup!$B$2,"NOT FROZEN")</x:f>
        <x:v>TEST_PRIMARY</x:v>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Disposition: retain
Review domain: report_internal_inconsistency
Report-internal or planning-material inconsistency: substantive_inconsistency
</x:v>
      </x:c>
    </x:row>
    <x:row r="4" ht="70" customHeight="1">
      <x:c r="A4" s="6" t="str">
        <x:f>IF(Setup!$B$6="primary","2019::jama.2019.0556::C003","NOT FROZEN")</x:f>
        <x:v>2019::jama.2019.0556::C003</x:v>
      </x:c>
      <x:c r="B4" s="6" t="str">
        <x:f>IF(Setup!$B$6="primary",IF(INDEX('C_jama.2019.0556'!$D$2:$D$10,MATCH("2019::jama.2019.0556::C003",'C_jama.2019.0556'!$A$2:$A$10,0))="","",INDEX('C_jama.2019.0556'!$D$2:$D$10,MATCH("2019::jama.2019.0556::C003",'C_jama.2019.0556'!$A$2:$A$10,0))),"NOT FROZEN")</x:f>
        <x:v>retain</x:v>
      </x:c>
      <x:c r="C4" s="6" t="str">
        <x:f>IF(Setup!$B$6="primary",IF(INDEX('C_jama.2019.0556'!$E$2:$E$10,MATCH("2019::jama.2019.0556::C003",'C_jama.2019.0556'!$A$2:$A$10,0))="","",INDEX('C_jama.2019.0556'!$E$2:$E$10,MATCH("2019::jama.2019.0556::C003",'C_jama.2019.0556'!$A$2:$A$10,0))),"NOT FROZEN")</x:f>
        <x:v>report_internal_inconsistency</x:v>
      </x:c>
      <x:c r="D4" s="6" t="str">
        <x:f>IF(Setup!$B$6="primary",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NOT FROZEN")</x:f>
        <x:v>not_applicable</x:v>
      </x:c>
      <x:c r="E4" s="6" t="str">
        <x:f>IF(Setup!$B$6="primary",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NOT FROZEN")</x:f>
        <x:v>not_applicable</x:v>
      </x:c>
      <x:c r="F4" s="6" t="str">
        <x:f>IF(Setup!$B$6="primary",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NOT FROZEN")</x:f>
        <x:v>not_applicable</x:v>
      </x:c>
      <x:c r="G4" s="6" t="str">
        <x:f>IF(Setup!$B$6="primary",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NOT FROZEN")</x:f>
        <x:v>substantive_inconsistency</x:v>
      </x:c>
      <x:c r="H4" s="6" t="str">
        <x:f>IF(Setup!$B$6="primary",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NOT FROZEN")</x:f>
        <x:v>not_applicable</x:v>
      </x:c>
      <x:c r="I4" s="6" t="str">
        <x:f>IF(Setup!$B$6="primary",IF(INDEX('C_jama.2019.0556'!$R$2:$R$10,MATCH("2019::jama.2019.0556::C003",'C_jama.2019.0556'!$A$2:$A$10,0))="","",INDEX('C_jama.2019.0556'!$R$2:$R$10,MATCH("2019::jama.2019.0556::C003",'C_jama.2019.0556'!$A$2:$A$10,0))),"NOT FROZEN")</x:f>
      </x:c>
      <x:c r="J4" s="6" t="str">
        <x:f>IF(Setup!$B$6="primary",INDEX('C_jama.2019.0556'!$F$2:$F$10,MATCH("2019::jama.2019.0556::C003",'C_jama.2019.0556'!$A$2:$A$10,0)),"NOT FROZEN")</x:f>
        <x:v>primary_done</x:v>
      </x:c>
      <x:c r="K4" s="6" t="str">
        <x:f>IF(Setup!$B$6="primary",Setup!$B$2,"NOT FROZEN")</x:f>
        <x:v>TEST_PRIMARY</x:v>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Disposition: retain
Review domain: report_internal_inconsistency
Report-internal or planning-material inconsistency: substantive_inconsistency
</x:v>
      </x:c>
    </x:row>
    <x:row r="5" ht="70" customHeight="1">
      <x:c r="A5" s="3" t="str">
        <x:f>IF(Setup!$B$6="primary","2019::jama.2019.0556::C004","NOT FROZEN")</x:f>
        <x:v>2019::jama.2019.0556::C004</x:v>
      </x:c>
      <x:c r="B5" s="3" t="str">
        <x:f>IF(Setup!$B$6="primary",IF(INDEX('C_jama.2019.0556'!$D$2:$D$10,MATCH("2019::jama.2019.0556::C004",'C_jama.2019.0556'!$A$2:$A$10,0))="","",INDEX('C_jama.2019.0556'!$D$2:$D$10,MATCH("2019::jama.2019.0556::C004",'C_jama.2019.0556'!$A$2:$A$10,0))),"NOT FROZEN")</x:f>
        <x:v>retain</x:v>
      </x:c>
      <x:c r="C5" s="3" t="str">
        <x:f>IF(Setup!$B$6="primary",IF(INDEX('C_jama.2019.0556'!$E$2:$E$10,MATCH("2019::jama.2019.0556::C004",'C_jama.2019.0556'!$A$2:$A$10,0))="","",INDEX('C_jama.2019.0556'!$E$2:$E$10,MATCH("2019::jama.2019.0556::C004",'C_jama.2019.0556'!$A$2:$A$10,0))),"NOT FROZEN")</x:f>
        <x:v>statistical_results</x:v>
      </x:c>
      <x:c r="D5" s="3" t="str">
        <x:f>IF(Setup!$B$6="primary",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NOT FROZEN")</x:f>
        <x:v>confirmed_issue</x:v>
      </x:c>
      <x:c r="E5" s="3" t="str">
        <x:f>IF(Setup!$B$6="primary",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NOT FROZEN")</x:f>
        <x:v>substantive</x:v>
      </x:c>
      <x:c r="F5" s="3" t="str">
        <x:f>IF(Setup!$B$6="primary",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NOT FROZEN")</x:f>
      </x:c>
      <x:c r="G5" s="3" t="str">
        <x:f>IF(Setup!$B$6="primary",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NOT FROZEN")</x:f>
        <x:v>not_applicable</x:v>
      </x:c>
      <x:c r="H5" s="3" t="str">
        <x:f>IF(Setup!$B$6="primary",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NOT FROZEN")</x:f>
        <x:v>not_applicable</x:v>
      </x:c>
      <x:c r="I5" s="3" t="str">
        <x:f>IF(Setup!$B$6="primary",IF(INDEX('C_jama.2019.0556'!$R$2:$R$10,MATCH("2019::jama.2019.0556::C004",'C_jama.2019.0556'!$A$2:$A$10,0))="","",INDEX('C_jama.2019.0556'!$R$2:$R$10,MATCH("2019::jama.2019.0556::C004",'C_jama.2019.0556'!$A$2:$A$10,0))),"NOT FROZEN")</x:f>
      </x:c>
      <x:c r="J5" s="3" t="str">
        <x:f>IF(Setup!$B$6="primary",INDEX('C_jama.2019.0556'!$F$2:$F$10,MATCH("2019::jama.2019.0556::C004",'C_jama.2019.0556'!$A$2:$A$10,0)),"NOT FROZEN")</x:f>
        <x:v>primary_done</x:v>
      </x:c>
      <x:c r="K5" s="3" t="str">
        <x:f>IF(Setup!$B$6="primary",Setup!$B$2,"NOT FROZEN")</x:f>
        <x:v>TEST_PRIMARY</x:v>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Disposition: retain
Review domain: statistical_results
Statistcal_or_numerical issue: confirmed_issue
Substantiveness: substantive
</x:v>
      </x:c>
    </x:row>
    <x:row r="6" ht="70" customHeight="1">
      <x:c r="A6" s="6" t="str">
        <x:f>IF(Setup!$B$6="primary","2019::jama.2019.0556::C005","NOT FROZEN")</x:f>
        <x:v>2019::jama.2019.0556::C005</x:v>
      </x:c>
      <x:c r="B6" s="6" t="str">
        <x:f>IF(Setup!$B$6="primary",IF(INDEX('C_jama.2019.0556'!$D$2:$D$10,MATCH("2019::jama.2019.0556::C005",'C_jama.2019.0556'!$A$2:$A$10,0))="","",INDEX('C_jama.2019.0556'!$D$2:$D$10,MATCH("2019::jama.2019.0556::C005",'C_jama.2019.0556'!$A$2:$A$10,0))),"NOT FROZEN")</x:f>
        <x:v>retain</x:v>
      </x:c>
      <x:c r="C6" s="6" t="str">
        <x:f>IF(Setup!$B$6="primary",IF(INDEX('C_jama.2019.0556'!$E$2:$E$10,MATCH("2019::jama.2019.0556::C005",'C_jama.2019.0556'!$A$2:$A$10,0))="","",INDEX('C_jama.2019.0556'!$E$2:$E$10,MATCH("2019::jama.2019.0556::C005",'C_jama.2019.0556'!$A$2:$A$10,0))),"NOT FROZEN")</x:f>
        <x:v>statistical_results</x:v>
      </x:c>
      <x:c r="D6" s="6" t="str">
        <x:f>IF(Setup!$B$6="primary",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NOT FROZEN")</x:f>
        <x:v>confirmed_issue</x:v>
      </x:c>
      <x:c r="E6" s="6" t="str">
        <x:f>IF(Setup!$B$6="primary",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NOT FROZEN")</x:f>
        <x:v>substantive</x:v>
      </x:c>
      <x:c r="F6" s="6" t="str">
        <x:f>IF(Setup!$B$6="primary",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NOT FROZEN")</x:f>
      </x:c>
      <x:c r="G6" s="6" t="str">
        <x:f>IF(Setup!$B$6="primary",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NOT FROZEN")</x:f>
        <x:v>not_applicable</x:v>
      </x:c>
      <x:c r="H6" s="6" t="str">
        <x:f>IF(Setup!$B$6="primary",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NOT FROZEN")</x:f>
        <x:v>not_applicable</x:v>
      </x:c>
      <x:c r="I6" s="6" t="str">
        <x:f>IF(Setup!$B$6="primary",IF(INDEX('C_jama.2019.0556'!$R$2:$R$10,MATCH("2019::jama.2019.0556::C005",'C_jama.2019.0556'!$A$2:$A$10,0))="","",INDEX('C_jama.2019.0556'!$R$2:$R$10,MATCH("2019::jama.2019.0556::C005",'C_jama.2019.0556'!$A$2:$A$10,0))),"NOT FROZEN")</x:f>
      </x:c>
      <x:c r="J6" s="6" t="str">
        <x:f>IF(Setup!$B$6="primary",INDEX('C_jama.2019.0556'!$F$2:$F$10,MATCH("2019::jama.2019.0556::C005",'C_jama.2019.0556'!$A$2:$A$10,0)),"NOT FROZEN")</x:f>
        <x:v>primary_done</x:v>
      </x:c>
      <x:c r="K6" s="6" t="str">
        <x:f>IF(Setup!$B$6="primary",Setup!$B$2,"NOT FROZEN")</x:f>
        <x:v>TEST_PRIMARY</x:v>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Disposition: retain
Review domain: statistical_results
Statistcal_or_numerical issue: confirmed_issue
Substantiveness: substantive
</x:v>
      </x:c>
    </x:row>
    <x:row r="7" ht="70" customHeight="1">
      <x:c r="A7" s="3" t="str">
        <x:f>IF(Setup!$B$6="primary","2019::jama.2019.0556::C006","NOT FROZEN")</x:f>
        <x:v>2019::jama.2019.0556::C006</x:v>
      </x:c>
      <x:c r="B7" s="3" t="str">
        <x:f>IF(Setup!$B$6="primary",IF(INDEX('C_jama.2019.0556'!$D$2:$D$10,MATCH("2019::jama.2019.0556::C006",'C_jama.2019.0556'!$A$2:$A$10,0))="","",INDEX('C_jama.2019.0556'!$D$2:$D$10,MATCH("2019::jama.2019.0556::C006",'C_jama.2019.0556'!$A$2:$A$10,0))),"NOT FROZEN")</x:f>
        <x:v>retain</x:v>
      </x:c>
      <x:c r="C7" s="3" t="str">
        <x:f>IF(Setup!$B$6="primary",IF(INDEX('C_jama.2019.0556'!$E$2:$E$10,MATCH("2019::jama.2019.0556::C006",'C_jama.2019.0556'!$A$2:$A$10,0))="","",INDEX('C_jama.2019.0556'!$E$2:$E$10,MATCH("2019::jama.2019.0556::C006",'C_jama.2019.0556'!$A$2:$A$10,0))),"NOT FROZEN")</x:f>
        <x:v>plan_material</x:v>
      </x:c>
      <x:c r="D7" s="3" t="str">
        <x:f>IF(Setup!$B$6="primary",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NOT FROZEN")</x:f>
        <x:v>not_applicable</x:v>
      </x:c>
      <x:c r="E7" s="3" t="str">
        <x:f>IF(Setup!$B$6="primary",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NOT FROZEN")</x:f>
        <x:v>not_applicable</x:v>
      </x:c>
      <x:c r="F7" s="3" t="str">
        <x:f>IF(Setup!$B$6="primary",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NOT FROZEN")</x:f>
        <x:v>not_applicable</x:v>
      </x:c>
      <x:c r="G7" s="3" t="str">
        <x:f>IF(Setup!$B$6="primary",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NOT FROZEN")</x:f>
        <x:v>substantive_inconsistency</x:v>
      </x:c>
      <x:c r="H7" s="3" t="str">
        <x:f>IF(Setup!$B$6="primary",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NOT FROZEN")</x:f>
        <x:v>not_applicable</x:v>
      </x:c>
      <x:c r="I7" s="3" t="str">
        <x:f>IF(Setup!$B$6="primary",IF(INDEX('C_jama.2019.0556'!$R$2:$R$10,MATCH("2019::jama.2019.0556::C006",'C_jama.2019.0556'!$A$2:$A$10,0))="","",INDEX('C_jama.2019.0556'!$R$2:$R$10,MATCH("2019::jama.2019.0556::C006",'C_jama.2019.0556'!$A$2:$A$10,0))),"NOT FROZEN")</x:f>
      </x:c>
      <x:c r="J7" s="3" t="str">
        <x:f>IF(Setup!$B$6="primary",INDEX('C_jama.2019.0556'!$F$2:$F$10,MATCH("2019::jama.2019.0556::C006",'C_jama.2019.0556'!$A$2:$A$10,0)),"NOT FROZEN")</x:f>
        <x:v>primary_done</x:v>
      </x:c>
      <x:c r="K7" s="3" t="str">
        <x:f>IF(Setup!$B$6="primary",Setup!$B$2,"NOT FROZEN")</x:f>
        <x:v>TEST_PRIMARY</x:v>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Disposition: retain
Review domain: plan_material
Report-internal or planning-material inconsistency: substantive_inconsistency
</x:v>
      </x:c>
    </x:row>
    <x:row r="8" ht="70" customHeight="1">
      <x:c r="A8" s="6" t="str">
        <x:f>IF(Setup!$B$6="primary","2019::jama.2019.0556::C007","NOT FROZEN")</x:f>
        <x:v>2019::jama.2019.0556::C007</x:v>
      </x:c>
      <x:c r="B8" s="6" t="str">
        <x:f>IF(Setup!$B$6="primary",IF(INDEX('C_jama.2019.0556'!$D$2:$D$10,MATCH("2019::jama.2019.0556::C007",'C_jama.2019.0556'!$A$2:$A$10,0))="","",INDEX('C_jama.2019.0556'!$D$2:$D$10,MATCH("2019::jama.2019.0556::C007",'C_jama.2019.0556'!$A$2:$A$10,0))),"NOT FROZEN")</x:f>
        <x:v>retain</x:v>
      </x:c>
      <x:c r="C8" s="6" t="str">
        <x:f>IF(Setup!$B$6="primary",IF(INDEX('C_jama.2019.0556'!$E$2:$E$10,MATCH("2019::jama.2019.0556::C007",'C_jama.2019.0556'!$A$2:$A$10,0))="","",INDEX('C_jama.2019.0556'!$E$2:$E$10,MATCH("2019::jama.2019.0556::C007",'C_jama.2019.0556'!$A$2:$A$10,0))),"NOT FROZEN")</x:f>
        <x:v>protocol_report</x:v>
      </x:c>
      <x:c r="D8" s="6" t="str">
        <x:f>IF(Setup!$B$6="primary",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NOT FROZEN")</x:f>
        <x:v>not_applicable</x:v>
      </x:c>
      <x:c r="E8" s="6" t="str">
        <x:f>IF(Setup!$B$6="primary",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NOT FROZEN")</x:f>
        <x:v>not_applicable</x:v>
      </x:c>
      <x:c r="F8" s="6" t="str">
        <x:f>IF(Setup!$B$6="primary",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NOT FROZEN")</x:f>
        <x:v>not_applicable</x:v>
      </x:c>
      <x:c r="G8" s="6" t="str">
        <x:f>IF(Setup!$B$6="primary",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NOT FROZEN")</x:f>
        <x:v>not_applicable</x:v>
      </x:c>
      <x:c r="H8" s="6" t="str">
        <x:f>IF(Setup!$B$6="primary",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NOT FROZEN")</x:f>
      </x:c>
      <x:c r="I8" s="6" t="str">
        <x:f>IF(Setup!$B$6="primary",IF(INDEX('C_jama.2019.0556'!$R$2:$R$10,MATCH("2019::jama.2019.0556::C007",'C_jama.2019.0556'!$A$2:$A$10,0))="","",INDEX('C_jama.2019.0556'!$R$2:$R$10,MATCH("2019::jama.2019.0556::C007",'C_jama.2019.0556'!$A$2:$A$10,0))),"NOT FROZEN")</x:f>
      </x:c>
      <x:c r="J8" s="6" t="str">
        <x:f>IF(Setup!$B$6="primary",INDEX('C_jama.2019.0556'!$F$2:$F$10,MATCH("2019::jama.2019.0556::C007",'C_jama.2019.0556'!$A$2:$A$10,0)),"NOT FROZEN")</x:f>
        <x:v>primary_done</x:v>
      </x:c>
      <x:c r="K8" s="6" t="str">
        <x:f>IF(Setup!$B$6="primary",Setup!$B$2,"NOT FROZEN")</x:f>
        <x:v>TEST_PRIMARY</x:v>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Disposition: retain
Review domain: protocol_report
</x:v>
      </x:c>
    </x:row>
    <x:row r="9" ht="70" customHeight="1">
      <x:c r="A9" s="3" t="str">
        <x:f>IF(Setup!$B$6="primary","2019::jama.2019.0556::C008","NOT FROZEN")</x:f>
        <x:v>2019::jama.2019.0556::C008</x:v>
      </x:c>
      <x:c r="B9" s="3" t="str">
        <x:f>IF(Setup!$B$6="primary",IF(INDEX('C_jama.2019.0556'!$D$2:$D$10,MATCH("2019::jama.2019.0556::C008",'C_jama.2019.0556'!$A$2:$A$10,0))="","",INDEX('C_jama.2019.0556'!$D$2:$D$10,MATCH("2019::jama.2019.0556::C008",'C_jama.2019.0556'!$A$2:$A$10,0))),"NOT FROZEN")</x:f>
        <x:v>retain</x:v>
      </x:c>
      <x:c r="C9" s="3" t="str">
        <x:f>IF(Setup!$B$6="primary",IF(INDEX('C_jama.2019.0556'!$E$2:$E$10,MATCH("2019::jama.2019.0556::C008",'C_jama.2019.0556'!$A$2:$A$10,0))="","",INDEX('C_jama.2019.0556'!$E$2:$E$10,MATCH("2019::jama.2019.0556::C008",'C_jama.2019.0556'!$A$2:$A$10,0))),"NOT FROZEN")</x:f>
        <x:v>plan_material</x:v>
      </x:c>
      <x:c r="D9" s="3" t="str">
        <x:f>IF(Setup!$B$6="primary",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NOT FROZEN")</x:f>
        <x:v>not_applicable</x:v>
      </x:c>
      <x:c r="E9" s="3" t="str">
        <x:f>IF(Setup!$B$6="primary",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NOT FROZEN")</x:f>
        <x:v>not_applicable</x:v>
      </x:c>
      <x:c r="F9" s="3" t="str">
        <x:f>IF(Setup!$B$6="primary",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NOT FROZEN")</x:f>
        <x:v>not_applicable</x:v>
      </x:c>
      <x:c r="G9" s="3" t="str">
        <x:f>IF(Setup!$B$6="primary",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NOT FROZEN")</x:f>
        <x:v>substantive_inconsistency</x:v>
      </x:c>
      <x:c r="H9" s="3" t="str">
        <x:f>IF(Setup!$B$6="primary",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NOT FROZEN")</x:f>
        <x:v>not_applicable</x:v>
      </x:c>
      <x:c r="I9" s="3" t="str">
        <x:f>IF(Setup!$B$6="primary",IF(INDEX('C_jama.2019.0556'!$R$2:$R$10,MATCH("2019::jama.2019.0556::C008",'C_jama.2019.0556'!$A$2:$A$10,0))="","",INDEX('C_jama.2019.0556'!$R$2:$R$10,MATCH("2019::jama.2019.0556::C008",'C_jama.2019.0556'!$A$2:$A$10,0))),"NOT FROZEN")</x:f>
      </x:c>
      <x:c r="J9" s="3" t="str">
        <x:f>IF(Setup!$B$6="primary",INDEX('C_jama.2019.0556'!$F$2:$F$10,MATCH("2019::jama.2019.0556::C008",'C_jama.2019.0556'!$A$2:$A$10,0)),"NOT FROZEN")</x:f>
        <x:v>primary_done</x:v>
      </x:c>
      <x:c r="K9" s="3" t="str">
        <x:f>IF(Setup!$B$6="primary",Setup!$B$2,"NOT FROZEN")</x:f>
        <x:v>TEST_PRIMARY</x:v>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Disposition: retain
Review domain: plan_material
Report-internal or planning-material inconsistency: substantive_inconsistency
</x:v>
      </x:c>
    </x:row>
    <x:row r="10" ht="70" customHeight="1">
      <x:c r="A10" s="6" t="str">
        <x:f>IF(Setup!$B$6="primary","2019::jama.2019.0556::C009","NOT FROZEN")</x:f>
        <x:v>2019::jama.2019.0556::C009</x:v>
      </x:c>
      <x:c r="B10" s="6" t="str">
        <x:f>IF(Setup!$B$6="primary",IF(INDEX('C_jama.2019.0556'!$D$2:$D$10,MATCH("2019::jama.2019.0556::C009",'C_jama.2019.0556'!$A$2:$A$10,0))="","",INDEX('C_jama.2019.0556'!$D$2:$D$10,MATCH("2019::jama.2019.0556::C009",'C_jama.2019.0556'!$A$2:$A$10,0))),"NOT FROZEN")</x:f>
        <x:v>retain</x:v>
      </x:c>
      <x:c r="C10" s="6" t="str">
        <x:f>IF(Setup!$B$6="primary",IF(INDEX('C_jama.2019.0556'!$E$2:$E$10,MATCH("2019::jama.2019.0556::C009",'C_jama.2019.0556'!$A$2:$A$10,0))="","",INDEX('C_jama.2019.0556'!$E$2:$E$10,MATCH("2019::jama.2019.0556::C009",'C_jama.2019.0556'!$A$2:$A$10,0))),"NOT FROZEN")</x:f>
        <x:v>plan_material</x:v>
      </x:c>
      <x:c r="D10" s="6" t="str">
        <x:f>IF(Setup!$B$6="primary",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NOT FROZEN")</x:f>
        <x:v>not_applicable</x:v>
      </x:c>
      <x:c r="E10" s="6" t="str">
        <x:f>IF(Setup!$B$6="primary",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NOT FROZEN")</x:f>
        <x:v>not_applicable</x:v>
      </x:c>
      <x:c r="F10" s="6" t="str">
        <x:f>IF(Setup!$B$6="primary",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NOT FROZEN")</x:f>
        <x:v>not_applicable</x:v>
      </x:c>
      <x:c r="G10" s="6" t="str">
        <x:f>IF(Setup!$B$6="primary",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NOT FROZEN")</x:f>
        <x:v>substantive_inconsistency</x:v>
      </x:c>
      <x:c r="H10" s="6" t="str">
        <x:f>IF(Setup!$B$6="primary",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NOT FROZEN")</x:f>
        <x:v>not_applicable</x:v>
      </x:c>
      <x:c r="I10" s="6" t="str">
        <x:f>IF(Setup!$B$6="primary",IF(INDEX('C_jama.2019.0556'!$R$2:$R$10,MATCH("2019::jama.2019.0556::C009",'C_jama.2019.0556'!$A$2:$A$10,0))="","",INDEX('C_jama.2019.0556'!$R$2:$R$10,MATCH("2019::jama.2019.0556::C009",'C_jama.2019.0556'!$A$2:$A$10,0))),"NOT FROZEN")</x:f>
      </x:c>
      <x:c r="J10" s="6" t="str">
        <x:f>IF(Setup!$B$6="primary",INDEX('C_jama.2019.0556'!$F$2:$F$10,MATCH("2019::jama.2019.0556::C009",'C_jama.2019.0556'!$A$2:$A$10,0)),"NOT FROZEN")</x:f>
        <x:v>primary_done</x:v>
      </x:c>
      <x:c r="K10" s="6" t="str">
        <x:f>IF(Setup!$B$6="primary",Setup!$B$2,"NOT FROZEN")</x:f>
        <x:v>TEST_PRIMARY</x:v>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Disposition: retain
Review domain: plan_material
Report-internal or planning-material inconsistency: substantive_inconsistency
</x:v>
      </x:c>
    </x:row>
    <x:row r="11" ht="70" customHeight="1">
      <x:c r="A11" s="3" t="str">
        <x:f>IF(Setup!$B$6="primary","2019::jama.2019.10517::C001","NOT FROZEN")</x:f>
        <x:v>2019::jama.2019.10517::C001</x:v>
      </x:c>
      <x:c r="B11" s="3" t="str">
        <x:f>IF(Setup!$B$6="primary",IF(INDEX('C_jama.2019.10517'!$D$2:$D$4,MATCH("2019::jama.2019.10517::C001",'C_jama.2019.10517'!$A$2:$A$4,0))="","",INDEX('C_jama.2019.10517'!$D$2:$D$4,MATCH("2019::jama.2019.10517::C001",'C_jama.2019.10517'!$A$2:$A$4,0))),"NOT FROZEN")</x:f>
        <x:v>retain</x:v>
      </x:c>
      <x:c r="C11" s="3" t="str">
        <x:f>IF(Setup!$B$6="primary",IF(INDEX('C_jama.2019.10517'!$E$2:$E$4,MATCH("2019::jama.2019.10517::C001",'C_jama.2019.10517'!$A$2:$A$4,0))="","",INDEX('C_jama.2019.10517'!$E$2:$E$4,MATCH("2019::jama.2019.10517::C001",'C_jama.2019.10517'!$A$2:$A$4,0))),"NOT FROZEN")</x:f>
        <x:v>statistical_results</x:v>
      </x:c>
      <x:c r="D11" s="3" t="str">
        <x:f>IF(Setup!$B$6="primary",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NOT FROZEN")</x:f>
        <x:v>confirmed_issue</x:v>
      </x:c>
      <x:c r="E11" s="3" t="str">
        <x:f>IF(Setup!$B$6="primary",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NOT FROZEN")</x:f>
        <x:v>substantive</x:v>
      </x:c>
      <x:c r="F11" s="3" t="str">
        <x:f>IF(Setup!$B$6="primary",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NOT FROZEN")</x:f>
      </x:c>
      <x:c r="G11" s="3" t="str">
        <x:f>IF(Setup!$B$6="primary",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NOT FROZEN")</x:f>
        <x:v>not_applicable</x:v>
      </x:c>
      <x:c r="H11" s="3" t="str">
        <x:f>IF(Setup!$B$6="primary",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NOT FROZEN")</x:f>
        <x:v>not_applicable</x:v>
      </x:c>
      <x:c r="I11" s="3" t="str">
        <x:f>IF(Setup!$B$6="primary",IF(INDEX('C_jama.2019.10517'!$R$2:$R$4,MATCH("2019::jama.2019.10517::C001",'C_jama.2019.10517'!$A$2:$A$4,0))="","",INDEX('C_jama.2019.10517'!$R$2:$R$4,MATCH("2019::jama.2019.10517::C001",'C_jama.2019.10517'!$A$2:$A$4,0))),"NOT FROZEN")</x:f>
      </x:c>
      <x:c r="J11" s="3" t="str">
        <x:f>IF(Setup!$B$6="primary",INDEX('C_jama.2019.10517'!$F$2:$F$4,MATCH("2019::jama.2019.10517::C001",'C_jama.2019.10517'!$A$2:$A$4,0)),"NOT FROZEN")</x:f>
        <x:v>primary_done</x:v>
      </x:c>
      <x:c r="K11" s="3" t="str">
        <x:f>IF(Setup!$B$6="primary",Setup!$B$2,"NOT FROZEN")</x:f>
        <x:v>TEST_PRIMARY</x:v>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Disposition: retain
Review domain: statistical_results
Statistcal_or_numerical issue: confirmed_issue
Substantiveness: substantive
</x:v>
      </x:c>
    </x:row>
    <x:row r="12" ht="70" customHeight="1">
      <x:c r="A12" s="6" t="str">
        <x:f>IF(Setup!$B$6="primary","2019::jama.2019.10517::C002","NOT FROZEN")</x:f>
        <x:v>2019::jama.2019.10517::C002</x:v>
      </x:c>
      <x:c r="B12" s="6" t="str">
        <x:f>IF(Setup!$B$6="primary",IF(INDEX('C_jama.2019.10517'!$D$2:$D$4,MATCH("2019::jama.2019.10517::C002",'C_jama.2019.10517'!$A$2:$A$4,0))="","",INDEX('C_jama.2019.10517'!$D$2:$D$4,MATCH("2019::jama.2019.10517::C002",'C_jama.2019.10517'!$A$2:$A$4,0))),"NOT FROZEN")</x:f>
        <x:v>retain</x:v>
      </x:c>
      <x:c r="C12" s="6" t="str">
        <x:f>IF(Setup!$B$6="primary",IF(INDEX('C_jama.2019.10517'!$E$2:$E$4,MATCH("2019::jama.2019.10517::C002",'C_jama.2019.10517'!$A$2:$A$4,0))="","",INDEX('C_jama.2019.10517'!$E$2:$E$4,MATCH("2019::jama.2019.10517::C002",'C_jama.2019.10517'!$A$2:$A$4,0))),"NOT FROZEN")</x:f>
        <x:v>report_internal_inconsistency</x:v>
      </x:c>
      <x:c r="D12" s="6" t="str">
        <x:f>IF(Setup!$B$6="primary",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NOT FROZEN")</x:f>
        <x:v>not_applicable</x:v>
      </x:c>
      <x:c r="E12" s="6" t="str">
        <x:f>IF(Setup!$B$6="primary",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NOT FROZEN")</x:f>
        <x:v>not_applicable</x:v>
      </x:c>
      <x:c r="F12" s="6" t="str">
        <x:f>IF(Setup!$B$6="primary",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NOT FROZEN")</x:f>
        <x:v>not_applicable</x:v>
      </x:c>
      <x:c r="G12" s="6" t="str">
        <x:f>IF(Setup!$B$6="primary",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NOT FROZEN")</x:f>
        <x:v>substantive_inconsistency</x:v>
      </x:c>
      <x:c r="H12" s="6" t="str">
        <x:f>IF(Setup!$B$6="primary",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NOT FROZEN")</x:f>
        <x:v>not_applicable</x:v>
      </x:c>
      <x:c r="I12" s="6" t="str">
        <x:f>IF(Setup!$B$6="primary",IF(INDEX('C_jama.2019.10517'!$R$2:$R$4,MATCH("2019::jama.2019.10517::C002",'C_jama.2019.10517'!$A$2:$A$4,0))="","",INDEX('C_jama.2019.10517'!$R$2:$R$4,MATCH("2019::jama.2019.10517::C002",'C_jama.2019.10517'!$A$2:$A$4,0))),"NOT FROZEN")</x:f>
      </x:c>
      <x:c r="J12" s="6" t="str">
        <x:f>IF(Setup!$B$6="primary",INDEX('C_jama.2019.10517'!$F$2:$F$4,MATCH("2019::jama.2019.10517::C002",'C_jama.2019.10517'!$A$2:$A$4,0)),"NOT FROZEN")</x:f>
        <x:v>primary_done</x:v>
      </x:c>
      <x:c r="K12" s="6" t="str">
        <x:f>IF(Setup!$B$6="primary",Setup!$B$2,"NOT FROZEN")</x:f>
        <x:v>TEST_PRIMARY</x:v>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Disposition: retain
Review domain: report_internal_inconsistency
Report-internal or planning-material inconsistency: substantive_inconsistency
</x:v>
      </x:c>
    </x:row>
    <x:row r="13" ht="70" customHeight="1">
      <x:c r="A13" s="3" t="str">
        <x:f>IF(Setup!$B$6="primary","2019::jama.2019.10517::C003","NOT FROZEN")</x:f>
        <x:v>2019::jama.2019.10517::C003</x:v>
      </x:c>
      <x:c r="B13" s="3" t="str">
        <x:f>IF(Setup!$B$6="primary",IF(INDEX('C_jama.2019.10517'!$D$2:$D$4,MATCH("2019::jama.2019.10517::C003",'C_jama.2019.10517'!$A$2:$A$4,0))="","",INDEX('C_jama.2019.10517'!$D$2:$D$4,MATCH("2019::jama.2019.10517::C003",'C_jama.2019.10517'!$A$2:$A$4,0))),"NOT FROZEN")</x:f>
        <x:v>retain</x:v>
      </x:c>
      <x:c r="C13" s="3" t="str">
        <x:f>IF(Setup!$B$6="primary",IF(INDEX('C_jama.2019.10517'!$E$2:$E$4,MATCH("2019::jama.2019.10517::C003",'C_jama.2019.10517'!$A$2:$A$4,0))="","",INDEX('C_jama.2019.10517'!$E$2:$E$4,MATCH("2019::jama.2019.10517::C003",'C_jama.2019.10517'!$A$2:$A$4,0))),"NOT FROZEN")</x:f>
        <x:v>plan_material</x:v>
      </x:c>
      <x:c r="D13" s="3" t="str">
        <x:f>IF(Setup!$B$6="primary",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NOT FROZEN")</x:f>
        <x:v>not_applicable</x:v>
      </x:c>
      <x:c r="E13" s="3" t="str">
        <x:f>IF(Setup!$B$6="primary",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NOT FROZEN")</x:f>
        <x:v>not_applicable</x:v>
      </x:c>
      <x:c r="F13" s="3" t="str">
        <x:f>IF(Setup!$B$6="primary",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NOT FROZEN")</x:f>
        <x:v>not_applicable</x:v>
      </x:c>
      <x:c r="G13" s="3" t="str">
        <x:f>IF(Setup!$B$6="primary",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NOT FROZEN")</x:f>
        <x:v>substantive_inconsistency</x:v>
      </x:c>
      <x:c r="H13" s="3" t="str">
        <x:f>IF(Setup!$B$6="primary",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NOT FROZEN")</x:f>
        <x:v>not_applicable</x:v>
      </x:c>
      <x:c r="I13" s="3" t="str">
        <x:f>IF(Setup!$B$6="primary",IF(INDEX('C_jama.2019.10517'!$R$2:$R$4,MATCH("2019::jama.2019.10517::C003",'C_jama.2019.10517'!$A$2:$A$4,0))="","",INDEX('C_jama.2019.10517'!$R$2:$R$4,MATCH("2019::jama.2019.10517::C003",'C_jama.2019.10517'!$A$2:$A$4,0))),"NOT FROZEN")</x:f>
      </x:c>
      <x:c r="J13" s="3" t="str">
        <x:f>IF(Setup!$B$6="primary",INDEX('C_jama.2019.10517'!$F$2:$F$4,MATCH("2019::jama.2019.10517::C003",'C_jama.2019.10517'!$A$2:$A$4,0)),"NOT FROZEN")</x:f>
        <x:v>primary_done</x:v>
      </x:c>
      <x:c r="K13" s="3" t="str">
        <x:f>IF(Setup!$B$6="primary",Setup!$B$2,"NOT FROZEN")</x:f>
        <x:v>TEST_PRIMARY</x:v>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Disposition: retain
Review domain: plan_material
Report-internal or planning-material inconsistency: substantive_inconsistency
</x:v>
      </x:c>
    </x:row>
    <x:row r="14" ht="70" customHeight="1">
      <x:c r="A14" s="6" t="str">
        <x:f>IF(Setup!$B$6="primary","2019::jama.2019.12618::C001","NOT FROZEN")</x:f>
        <x:v>2019::jama.2019.12618::C001</x:v>
      </x:c>
      <x:c r="B14" s="6" t="str">
        <x:f>IF(Setup!$B$6="primary",IF(INDEX('C_jama.2019.12618'!$D$2:$D$9,MATCH("2019::jama.2019.12618::C001",'C_jama.2019.12618'!$A$2:$A$9,0))="","",INDEX('C_jama.2019.12618'!$D$2:$D$9,MATCH("2019::jama.2019.12618::C001",'C_jama.2019.12618'!$A$2:$A$9,0))),"NOT FROZEN")</x:f>
        <x:v>retain</x:v>
      </x:c>
      <x:c r="C14" s="6" t="str">
        <x:f>IF(Setup!$B$6="primary",IF(INDEX('C_jama.2019.12618'!$E$2:$E$9,MATCH("2019::jama.2019.12618::C001",'C_jama.2019.12618'!$A$2:$A$9,0))="","",INDEX('C_jama.2019.12618'!$E$2:$E$9,MATCH("2019::jama.2019.12618::C001",'C_jama.2019.12618'!$A$2:$A$9,0))),"NOT FROZEN")</x:f>
        <x:v>plan_material</x:v>
      </x:c>
      <x:c r="D14" s="6" t="str">
        <x:f>IF(Setup!$B$6="primary",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NOT FROZEN")</x:f>
        <x:v>not_applicable</x:v>
      </x:c>
      <x:c r="E14" s="6" t="str">
        <x:f>IF(Setup!$B$6="primary",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NOT FROZEN")</x:f>
        <x:v>not_applicable</x:v>
      </x:c>
      <x:c r="F14" s="6" t="str">
        <x:f>IF(Setup!$B$6="primary",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NOT FROZEN")</x:f>
        <x:v>not_applicable</x:v>
      </x:c>
      <x:c r="G14" s="6" t="str">
        <x:f>IF(Setup!$B$6="primary",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NOT FROZEN")</x:f>
        <x:v>substantive_inconsistency</x:v>
      </x:c>
      <x:c r="H14" s="6" t="str">
        <x:f>IF(Setup!$B$6="primary",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NOT FROZEN")</x:f>
        <x:v>not_applicable</x:v>
      </x:c>
      <x:c r="I14" s="6" t="str">
        <x:f>IF(Setup!$B$6="primary",IF(INDEX('C_jama.2019.12618'!$R$2:$R$9,MATCH("2019::jama.2019.12618::C001",'C_jama.2019.12618'!$A$2:$A$9,0))="","",INDEX('C_jama.2019.12618'!$R$2:$R$9,MATCH("2019::jama.2019.12618::C001",'C_jama.2019.12618'!$A$2:$A$9,0))),"NOT FROZEN")</x:f>
      </x:c>
      <x:c r="J14" s="6" t="str">
        <x:f>IF(Setup!$B$6="primary",INDEX('C_jama.2019.12618'!$F$2:$F$9,MATCH("2019::jama.2019.12618::C001",'C_jama.2019.12618'!$A$2:$A$9,0)),"NOT FROZEN")</x:f>
        <x:v>primary_done</x:v>
      </x:c>
      <x:c r="K14" s="6" t="str">
        <x:f>IF(Setup!$B$6="primary",Setup!$B$2,"NOT FROZEN")</x:f>
        <x:v>TEST_PRIMARY</x:v>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Disposition: retain
Review domain: plan_material
Report-internal or planning-material inconsistency: substantive_inconsistency
</x:v>
      </x:c>
    </x:row>
    <x:row r="15" ht="70" customHeight="1">
      <x:c r="A15" s="3" t="str">
        <x:f>IF(Setup!$B$6="primary","2019::jama.2019.12618::C002","NOT FROZEN")</x:f>
        <x:v>2019::jama.2019.12618::C002</x:v>
      </x:c>
      <x:c r="B15" s="3" t="str">
        <x:f>IF(Setup!$B$6="primary",IF(INDEX('C_jama.2019.12618'!$D$2:$D$9,MATCH("2019::jama.2019.12618::C002",'C_jama.2019.12618'!$A$2:$A$9,0))="","",INDEX('C_jama.2019.12618'!$D$2:$D$9,MATCH("2019::jama.2019.12618::C002",'C_jama.2019.12618'!$A$2:$A$9,0))),"NOT FROZEN")</x:f>
        <x:v>retain</x:v>
      </x:c>
      <x:c r="C15" s="3" t="str">
        <x:f>IF(Setup!$B$6="primary",IF(INDEX('C_jama.2019.12618'!$E$2:$E$9,MATCH("2019::jama.2019.12618::C002",'C_jama.2019.12618'!$A$2:$A$9,0))="","",INDEX('C_jama.2019.12618'!$E$2:$E$9,MATCH("2019::jama.2019.12618::C002",'C_jama.2019.12618'!$A$2:$A$9,0))),"NOT FROZEN")</x:f>
        <x:v>statistical_results</x:v>
      </x:c>
      <x:c r="D15" s="3" t="str">
        <x:f>IF(Setup!$B$6="primary",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NOT FROZEN")</x:f>
        <x:v>confirmed_issue</x:v>
      </x:c>
      <x:c r="E15" s="3" t="str">
        <x:f>IF(Setup!$B$6="primary",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NOT FROZEN")</x:f>
        <x:v>substantive</x:v>
      </x:c>
      <x:c r="F15" s="3" t="str">
        <x:f>IF(Setup!$B$6="primary",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NOT FROZEN")</x:f>
      </x:c>
      <x:c r="G15" s="3" t="str">
        <x:f>IF(Setup!$B$6="primary",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NOT FROZEN")</x:f>
        <x:v>not_applicable</x:v>
      </x:c>
      <x:c r="H15" s="3" t="str">
        <x:f>IF(Setup!$B$6="primary",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NOT FROZEN")</x:f>
        <x:v>not_applicable</x:v>
      </x:c>
      <x:c r="I15" s="3" t="str">
        <x:f>IF(Setup!$B$6="primary",IF(INDEX('C_jama.2019.12618'!$R$2:$R$9,MATCH("2019::jama.2019.12618::C002",'C_jama.2019.12618'!$A$2:$A$9,0))="","",INDEX('C_jama.2019.12618'!$R$2:$R$9,MATCH("2019::jama.2019.12618::C002",'C_jama.2019.12618'!$A$2:$A$9,0))),"NOT FROZEN")</x:f>
      </x:c>
      <x:c r="J15" s="3" t="str">
        <x:f>IF(Setup!$B$6="primary",INDEX('C_jama.2019.12618'!$F$2:$F$9,MATCH("2019::jama.2019.12618::C002",'C_jama.2019.12618'!$A$2:$A$9,0)),"NOT FROZEN")</x:f>
        <x:v>primary_done</x:v>
      </x:c>
      <x:c r="K15" s="3" t="str">
        <x:f>IF(Setup!$B$6="primary",Setup!$B$2,"NOT FROZEN")</x:f>
        <x:v>TEST_PRIMARY</x:v>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Disposition: retain
Review domain: statistical_results
Statistcal_or_numerical issue: confirmed_issue
Substantiveness: substantive
</x:v>
      </x:c>
    </x:row>
    <x:row r="16" ht="70" customHeight="1">
      <x:c r="A16" s="6" t="str">
        <x:f>IF(Setup!$B$6="primary","2019::jama.2019.12618::C003","NOT FROZEN")</x:f>
        <x:v>2019::jama.2019.12618::C003</x:v>
      </x:c>
      <x:c r="B16" s="6" t="str">
        <x:f>IF(Setup!$B$6="primary",IF(INDEX('C_jama.2019.12618'!$D$2:$D$9,MATCH("2019::jama.2019.12618::C003",'C_jama.2019.12618'!$A$2:$A$9,0))="","",INDEX('C_jama.2019.12618'!$D$2:$D$9,MATCH("2019::jama.2019.12618::C003",'C_jama.2019.12618'!$A$2:$A$9,0))),"NOT FROZEN")</x:f>
        <x:v>retain</x:v>
      </x:c>
      <x:c r="C16" s="6" t="str">
        <x:f>IF(Setup!$B$6="primary",IF(INDEX('C_jama.2019.12618'!$E$2:$E$9,MATCH("2019::jama.2019.12618::C003",'C_jama.2019.12618'!$A$2:$A$9,0))="","",INDEX('C_jama.2019.12618'!$E$2:$E$9,MATCH("2019::jama.2019.12618::C003",'C_jama.2019.12618'!$A$2:$A$9,0))),"NOT FROZEN")</x:f>
        <x:v>protocol_report</x:v>
      </x:c>
      <x:c r="D16" s="6" t="str">
        <x:f>IF(Setup!$B$6="primary",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NOT FROZEN")</x:f>
        <x:v>not_applicable</x:v>
      </x:c>
      <x:c r="E16" s="6" t="str">
        <x:f>IF(Setup!$B$6="primary",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NOT FROZEN")</x:f>
        <x:v>not_applicable</x:v>
      </x:c>
      <x:c r="F16" s="6" t="str">
        <x:f>IF(Setup!$B$6="primary",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NOT FROZEN")</x:f>
        <x:v>not_applicable</x:v>
      </x:c>
      <x:c r="G16" s="6" t="str">
        <x:f>IF(Setup!$B$6="primary",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NOT FROZEN")</x:f>
        <x:v>not_applicable</x:v>
      </x:c>
      <x:c r="H16" s="6" t="str">
        <x:f>IF(Setup!$B$6="primary",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NOT FROZEN")</x:f>
      </x:c>
      <x:c r="I16" s="6" t="str">
        <x:f>IF(Setup!$B$6="primary",IF(INDEX('C_jama.2019.12618'!$R$2:$R$9,MATCH("2019::jama.2019.12618::C003",'C_jama.2019.12618'!$A$2:$A$9,0))="","",INDEX('C_jama.2019.12618'!$R$2:$R$9,MATCH("2019::jama.2019.12618::C003",'C_jama.2019.12618'!$A$2:$A$9,0))),"NOT FROZEN")</x:f>
      </x:c>
      <x:c r="J16" s="6" t="str">
        <x:f>IF(Setup!$B$6="primary",INDEX('C_jama.2019.12618'!$F$2:$F$9,MATCH("2019::jama.2019.12618::C003",'C_jama.2019.12618'!$A$2:$A$9,0)),"NOT FROZEN")</x:f>
        <x:v>primary_done</x:v>
      </x:c>
      <x:c r="K16" s="6" t="str">
        <x:f>IF(Setup!$B$6="primary",Setup!$B$2,"NOT FROZEN")</x:f>
        <x:v>TEST_PRIMARY</x:v>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Disposition: retain
Review domain: protocol_report
</x:v>
      </x:c>
    </x:row>
    <x:row r="17" ht="70" customHeight="1">
      <x:c r="A17" s="3" t="str">
        <x:f>IF(Setup!$B$6="primary","2019::jama.2019.12618::C004","NOT FROZEN")</x:f>
        <x:v>2019::jama.2019.12618::C004</x:v>
      </x:c>
      <x:c r="B17" s="3" t="str">
        <x:f>IF(Setup!$B$6="primary",IF(INDEX('C_jama.2019.12618'!$D$2:$D$9,MATCH("2019::jama.2019.12618::C004",'C_jama.2019.12618'!$A$2:$A$9,0))="","",INDEX('C_jama.2019.12618'!$D$2:$D$9,MATCH("2019::jama.2019.12618::C004",'C_jama.2019.12618'!$A$2:$A$9,0))),"NOT FROZEN")</x:f>
        <x:v>retain</x:v>
      </x:c>
      <x:c r="C17" s="3" t="str">
        <x:f>IF(Setup!$B$6="primary",IF(INDEX('C_jama.2019.12618'!$E$2:$E$9,MATCH("2019::jama.2019.12618::C004",'C_jama.2019.12618'!$A$2:$A$9,0))="","",INDEX('C_jama.2019.12618'!$E$2:$E$9,MATCH("2019::jama.2019.12618::C004",'C_jama.2019.12618'!$A$2:$A$9,0))),"NOT FROZEN")</x:f>
        <x:v>protocol_report</x:v>
      </x:c>
      <x:c r="D17" s="3" t="str">
        <x:f>IF(Setup!$B$6="primary",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NOT FROZEN")</x:f>
        <x:v>not_applicable</x:v>
      </x:c>
      <x:c r="E17" s="3" t="str">
        <x:f>IF(Setup!$B$6="primary",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NOT FROZEN")</x:f>
        <x:v>not_applicable</x:v>
      </x:c>
      <x:c r="F17" s="3" t="str">
        <x:f>IF(Setup!$B$6="primary",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NOT FROZEN")</x:f>
        <x:v>not_applicable</x:v>
      </x:c>
      <x:c r="G17" s="3" t="str">
        <x:f>IF(Setup!$B$6="primary",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NOT FROZEN")</x:f>
        <x:v>not_applicable</x:v>
      </x:c>
      <x:c r="H17" s="3" t="str">
        <x:f>IF(Setup!$B$6="primary",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NOT FROZEN")</x:f>
      </x:c>
      <x:c r="I17" s="3" t="str">
        <x:f>IF(Setup!$B$6="primary",IF(INDEX('C_jama.2019.12618'!$R$2:$R$9,MATCH("2019::jama.2019.12618::C004",'C_jama.2019.12618'!$A$2:$A$9,0))="","",INDEX('C_jama.2019.12618'!$R$2:$R$9,MATCH("2019::jama.2019.12618::C004",'C_jama.2019.12618'!$A$2:$A$9,0))),"NOT FROZEN")</x:f>
      </x:c>
      <x:c r="J17" s="3" t="str">
        <x:f>IF(Setup!$B$6="primary",INDEX('C_jama.2019.12618'!$F$2:$F$9,MATCH("2019::jama.2019.12618::C004",'C_jama.2019.12618'!$A$2:$A$9,0)),"NOT FROZEN")</x:f>
        <x:v>primary_done</x:v>
      </x:c>
      <x:c r="K17" s="3" t="str">
        <x:f>IF(Setup!$B$6="primary",Setup!$B$2,"NOT FROZEN")</x:f>
        <x:v>TEST_PRIMARY</x:v>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Disposition: retain
Review domain: protocol_report
</x:v>
      </x:c>
    </x:row>
    <x:row r="18" ht="70" customHeight="1">
      <x:c r="A18" s="6" t="str">
        <x:f>IF(Setup!$B$6="primary","2019::jama.2019.12618::C005","NOT FROZEN")</x:f>
        <x:v>2019::jama.2019.12618::C005</x:v>
      </x:c>
      <x:c r="B18" s="6" t="str">
        <x:f>IF(Setup!$B$6="primary",IF(INDEX('C_jama.2019.12618'!$D$2:$D$9,MATCH("2019::jama.2019.12618::C005",'C_jama.2019.12618'!$A$2:$A$9,0))="","",INDEX('C_jama.2019.12618'!$D$2:$D$9,MATCH("2019::jama.2019.12618::C005",'C_jama.2019.12618'!$A$2:$A$9,0))),"NOT FROZEN")</x:f>
        <x:v>retain</x:v>
      </x:c>
      <x:c r="C18" s="6" t="str">
        <x:f>IF(Setup!$B$6="primary",IF(INDEX('C_jama.2019.12618'!$E$2:$E$9,MATCH("2019::jama.2019.12618::C005",'C_jama.2019.12618'!$A$2:$A$9,0))="","",INDEX('C_jama.2019.12618'!$E$2:$E$9,MATCH("2019::jama.2019.12618::C005",'C_jama.2019.12618'!$A$2:$A$9,0))),"NOT FROZEN")</x:f>
        <x:v>statistical_results</x:v>
      </x:c>
      <x:c r="D18" s="6" t="str">
        <x:f>IF(Setup!$B$6="primary",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NOT FROZEN")</x:f>
        <x:v>confirmed_issue</x:v>
      </x:c>
      <x:c r="E18" s="6" t="str">
        <x:f>IF(Setup!$B$6="primary",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NOT FROZEN")</x:f>
        <x:v>substantive</x:v>
      </x:c>
      <x:c r="F18" s="6" t="str">
        <x:f>IF(Setup!$B$6="primary",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NOT FROZEN")</x:f>
      </x:c>
      <x:c r="G18" s="6" t="str">
        <x:f>IF(Setup!$B$6="primary",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NOT FROZEN")</x:f>
        <x:v>not_applicable</x:v>
      </x:c>
      <x:c r="H18" s="6" t="str">
        <x:f>IF(Setup!$B$6="primary",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NOT FROZEN")</x:f>
        <x:v>not_applicable</x:v>
      </x:c>
      <x:c r="I18" s="6" t="str">
        <x:f>IF(Setup!$B$6="primary",IF(INDEX('C_jama.2019.12618'!$R$2:$R$9,MATCH("2019::jama.2019.12618::C005",'C_jama.2019.12618'!$A$2:$A$9,0))="","",INDEX('C_jama.2019.12618'!$R$2:$R$9,MATCH("2019::jama.2019.12618::C005",'C_jama.2019.12618'!$A$2:$A$9,0))),"NOT FROZEN")</x:f>
      </x:c>
      <x:c r="J18" s="6" t="str">
        <x:f>IF(Setup!$B$6="primary",INDEX('C_jama.2019.12618'!$F$2:$F$9,MATCH("2019::jama.2019.12618::C005",'C_jama.2019.12618'!$A$2:$A$9,0)),"NOT FROZEN")</x:f>
        <x:v>primary_done</x:v>
      </x:c>
      <x:c r="K18" s="6" t="str">
        <x:f>IF(Setup!$B$6="primary",Setup!$B$2,"NOT FROZEN")</x:f>
        <x:v>TEST_PRIMARY</x:v>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Disposition: retain
Review domain: statistical_results
Statistcal_or_numerical issue: confirmed_issue
Substantiveness: substantive
</x:v>
      </x:c>
    </x:row>
    <x:row r="19" ht="70" customHeight="1">
      <x:c r="A19" s="3" t="str">
        <x:f>IF(Setup!$B$6="primary","2019::jama.2019.12618::C006","NOT FROZEN")</x:f>
        <x:v>2019::jama.2019.12618::C006</x:v>
      </x:c>
      <x:c r="B19" s="3" t="str">
        <x:f>IF(Setup!$B$6="primary",IF(INDEX('C_jama.2019.12618'!$D$2:$D$9,MATCH("2019::jama.2019.12618::C006",'C_jama.2019.12618'!$A$2:$A$9,0))="","",INDEX('C_jama.2019.12618'!$D$2:$D$9,MATCH("2019::jama.2019.12618::C006",'C_jama.2019.12618'!$A$2:$A$9,0))),"NOT FROZEN")</x:f>
        <x:v>retain</x:v>
      </x:c>
      <x:c r="C19" s="3" t="str">
        <x:f>IF(Setup!$B$6="primary",IF(INDEX('C_jama.2019.12618'!$E$2:$E$9,MATCH("2019::jama.2019.12618::C006",'C_jama.2019.12618'!$A$2:$A$9,0))="","",INDEX('C_jama.2019.12618'!$E$2:$E$9,MATCH("2019::jama.2019.12618::C006",'C_jama.2019.12618'!$A$2:$A$9,0))),"NOT FROZEN")</x:f>
        <x:v>report_internal_inconsistency</x:v>
      </x:c>
      <x:c r="D19" s="3" t="str">
        <x:f>IF(Setup!$B$6="primary",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NOT FROZEN")</x:f>
        <x:v>not_applicable</x:v>
      </x:c>
      <x:c r="E19" s="3" t="str">
        <x:f>IF(Setup!$B$6="primary",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NOT FROZEN")</x:f>
        <x:v>not_applicable</x:v>
      </x:c>
      <x:c r="F19" s="3" t="str">
        <x:f>IF(Setup!$B$6="primary",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NOT FROZEN")</x:f>
        <x:v>not_applicable</x:v>
      </x:c>
      <x:c r="G19" s="3" t="str">
        <x:f>IF(Setup!$B$6="primary",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NOT FROZEN")</x:f>
        <x:v>substantive_inconsistency</x:v>
      </x:c>
      <x:c r="H19" s="3" t="str">
        <x:f>IF(Setup!$B$6="primary",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NOT FROZEN")</x:f>
        <x:v>not_applicable</x:v>
      </x:c>
      <x:c r="I19" s="3" t="str">
        <x:f>IF(Setup!$B$6="primary",IF(INDEX('C_jama.2019.12618'!$R$2:$R$9,MATCH("2019::jama.2019.12618::C006",'C_jama.2019.12618'!$A$2:$A$9,0))="","",INDEX('C_jama.2019.12618'!$R$2:$R$9,MATCH("2019::jama.2019.12618::C006",'C_jama.2019.12618'!$A$2:$A$9,0))),"NOT FROZEN")</x:f>
      </x:c>
      <x:c r="J19" s="3" t="str">
        <x:f>IF(Setup!$B$6="primary",INDEX('C_jama.2019.12618'!$F$2:$F$9,MATCH("2019::jama.2019.12618::C006",'C_jama.2019.12618'!$A$2:$A$9,0)),"NOT FROZEN")</x:f>
        <x:v>primary_done</x:v>
      </x:c>
      <x:c r="K19" s="3" t="str">
        <x:f>IF(Setup!$B$6="primary",Setup!$B$2,"NOT FROZEN")</x:f>
        <x:v>TEST_PRIMARY</x:v>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Disposition: retain
Review domain: report_internal_inconsistency
Report-internal or planning-material inconsistency: substantive_inconsistency
</x:v>
      </x:c>
    </x:row>
    <x:row r="20" ht="70" customHeight="1">
      <x:c r="A20" s="6" t="str">
        <x:f>IF(Setup!$B$6="primary","2019::jama.2019.12618::C007","NOT FROZEN")</x:f>
        <x:v>2019::jama.2019.12618::C007</x:v>
      </x:c>
      <x:c r="B20" s="6" t="str">
        <x:f>IF(Setup!$B$6="primary",IF(INDEX('C_jama.2019.12618'!$D$2:$D$9,MATCH("2019::jama.2019.12618::C007",'C_jama.2019.12618'!$A$2:$A$9,0))="","",INDEX('C_jama.2019.12618'!$D$2:$D$9,MATCH("2019::jama.2019.12618::C007",'C_jama.2019.12618'!$A$2:$A$9,0))),"NOT FROZEN")</x:f>
        <x:v>retain</x:v>
      </x:c>
      <x:c r="C20" s="6" t="str">
        <x:f>IF(Setup!$B$6="primary",IF(INDEX('C_jama.2019.12618'!$E$2:$E$9,MATCH("2019::jama.2019.12618::C007",'C_jama.2019.12618'!$A$2:$A$9,0))="","",INDEX('C_jama.2019.12618'!$E$2:$E$9,MATCH("2019::jama.2019.12618::C007",'C_jama.2019.12618'!$A$2:$A$9,0))),"NOT FROZEN")</x:f>
        <x:v>statistical_results</x:v>
      </x:c>
      <x:c r="D20" s="6" t="str">
        <x:f>IF(Setup!$B$6="primary",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NOT FROZEN")</x:f>
        <x:v>confirmed_issue</x:v>
      </x:c>
      <x:c r="E20" s="6" t="str">
        <x:f>IF(Setup!$B$6="primary",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NOT FROZEN")</x:f>
        <x:v>substantive</x:v>
      </x:c>
      <x:c r="F20" s="6" t="str">
        <x:f>IF(Setup!$B$6="primary",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NOT FROZEN")</x:f>
      </x:c>
      <x:c r="G20" s="6" t="str">
        <x:f>IF(Setup!$B$6="primary",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NOT FROZEN")</x:f>
        <x:v>not_applicable</x:v>
      </x:c>
      <x:c r="H20" s="6" t="str">
        <x:f>IF(Setup!$B$6="primary",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NOT FROZEN")</x:f>
        <x:v>not_applicable</x:v>
      </x:c>
      <x:c r="I20" s="6" t="str">
        <x:f>IF(Setup!$B$6="primary",IF(INDEX('C_jama.2019.12618'!$R$2:$R$9,MATCH("2019::jama.2019.12618::C007",'C_jama.2019.12618'!$A$2:$A$9,0))="","",INDEX('C_jama.2019.12618'!$R$2:$R$9,MATCH("2019::jama.2019.12618::C007",'C_jama.2019.12618'!$A$2:$A$9,0))),"NOT FROZEN")</x:f>
      </x:c>
      <x:c r="J20" s="6" t="str">
        <x:f>IF(Setup!$B$6="primary",INDEX('C_jama.2019.12618'!$F$2:$F$9,MATCH("2019::jama.2019.12618::C007",'C_jama.2019.12618'!$A$2:$A$9,0)),"NOT FROZEN")</x:f>
        <x:v>primary_done</x:v>
      </x:c>
      <x:c r="K20" s="6" t="str">
        <x:f>IF(Setup!$B$6="primary",Setup!$B$2,"NOT FROZEN")</x:f>
        <x:v>TEST_PRIMARY</x:v>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Disposition: retain
Review domain: statistical_results
Statistcal_or_numerical issue: confirmed_issue
Substantiveness: substantive
</x:v>
      </x:c>
    </x:row>
    <x:row r="21" ht="70" customHeight="1">
      <x:c r="A21" s="3" t="str">
        <x:f>IF(Setup!$B$6="primary","2019::jama.2019.12618::C008","NOT FROZEN")</x:f>
        <x:v>2019::jama.2019.12618::C008</x:v>
      </x:c>
      <x:c r="B21" s="3" t="str">
        <x:f>IF(Setup!$B$6="primary",IF(INDEX('C_jama.2019.12618'!$D$2:$D$9,MATCH("2019::jama.2019.12618::C008",'C_jama.2019.12618'!$A$2:$A$9,0))="","",INDEX('C_jama.2019.12618'!$D$2:$D$9,MATCH("2019::jama.2019.12618::C008",'C_jama.2019.12618'!$A$2:$A$9,0))),"NOT FROZEN")</x:f>
        <x:v>retain</x:v>
      </x:c>
      <x:c r="C21" s="3" t="str">
        <x:f>IF(Setup!$B$6="primary",IF(INDEX('C_jama.2019.12618'!$E$2:$E$9,MATCH("2019::jama.2019.12618::C008",'C_jama.2019.12618'!$A$2:$A$9,0))="","",INDEX('C_jama.2019.12618'!$E$2:$E$9,MATCH("2019::jama.2019.12618::C008",'C_jama.2019.12618'!$A$2:$A$9,0))),"NOT FROZEN")</x:f>
        <x:v>report_internal_inconsistency</x:v>
      </x:c>
      <x:c r="D21" s="3" t="str">
        <x:f>IF(Setup!$B$6="primary",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NOT FROZEN")</x:f>
        <x:v>not_applicable</x:v>
      </x:c>
      <x:c r="E21" s="3" t="str">
        <x:f>IF(Setup!$B$6="primary",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NOT FROZEN")</x:f>
        <x:v>not_applicable</x:v>
      </x:c>
      <x:c r="F21" s="3" t="str">
        <x:f>IF(Setup!$B$6="primary",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NOT FROZEN")</x:f>
        <x:v>not_applicable</x:v>
      </x:c>
      <x:c r="G21" s="3" t="str">
        <x:f>IF(Setup!$B$6="primary",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NOT FROZEN")</x:f>
        <x:v>substantive_inconsistency</x:v>
      </x:c>
      <x:c r="H21" s="3" t="str">
        <x:f>IF(Setup!$B$6="primary",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NOT FROZEN")</x:f>
        <x:v>not_applicable</x:v>
      </x:c>
      <x:c r="I21" s="3" t="str">
        <x:f>IF(Setup!$B$6="primary",IF(INDEX('C_jama.2019.12618'!$R$2:$R$9,MATCH("2019::jama.2019.12618::C008",'C_jama.2019.12618'!$A$2:$A$9,0))="","",INDEX('C_jama.2019.12618'!$R$2:$R$9,MATCH("2019::jama.2019.12618::C008",'C_jama.2019.12618'!$A$2:$A$9,0))),"NOT FROZEN")</x:f>
      </x:c>
      <x:c r="J21" s="3" t="str">
        <x:f>IF(Setup!$B$6="primary",INDEX('C_jama.2019.12618'!$F$2:$F$9,MATCH("2019::jama.2019.12618::C008",'C_jama.2019.12618'!$A$2:$A$9,0)),"NOT FROZEN")</x:f>
        <x:v>primary_done</x:v>
      </x:c>
      <x:c r="K21" s="3" t="str">
        <x:f>IF(Setup!$B$6="primary",Setup!$B$2,"NOT FROZEN")</x:f>
        <x:v>TEST_PRIMARY</x:v>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Disposition: retain
Review domain: report_internal_inconsistency
Report-internal or planning-material inconsistency: substantive_inconsistency
</x:v>
      </x:c>
    </x:row>
    <x:row r="22" ht="70" customHeight="1">
      <x:c r="A22" s="6" t="str">
        <x:f>IF(Setup!$B$6="primary","2019::jama.2019.14231::C001","NOT FROZEN")</x:f>
        <x:v>2019::jama.2019.14231::C001</x:v>
      </x:c>
      <x:c r="B22" s="6" t="str">
        <x:f>IF(Setup!$B$6="primary",IF(INDEX('C_jama.2019.14231'!$D$2:$D$12,MATCH("2019::jama.2019.14231::C001",'C_jama.2019.14231'!$A$2:$A$12,0))="","",INDEX('C_jama.2019.14231'!$D$2:$D$12,MATCH("2019::jama.2019.14231::C001",'C_jama.2019.14231'!$A$2:$A$12,0))),"NOT FROZEN")</x:f>
        <x:v>retain</x:v>
      </x:c>
      <x:c r="C22" s="6" t="str">
        <x:f>IF(Setup!$B$6="primary",IF(INDEX('C_jama.2019.14231'!$E$2:$E$12,MATCH("2019::jama.2019.14231::C001",'C_jama.2019.14231'!$A$2:$A$12,0))="","",INDEX('C_jama.2019.14231'!$E$2:$E$12,MATCH("2019::jama.2019.14231::C001",'C_jama.2019.14231'!$A$2:$A$12,0))),"NOT FROZEN")</x:f>
        <x:v>protocol_report</x:v>
      </x:c>
      <x:c r="D22" s="6" t="str">
        <x:f>IF(Setup!$B$6="primary",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NOT FROZEN")</x:f>
        <x:v>not_applicable</x:v>
      </x:c>
      <x:c r="E22" s="6" t="str">
        <x:f>IF(Setup!$B$6="primary",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NOT FROZEN")</x:f>
        <x:v>not_applicable</x:v>
      </x:c>
      <x:c r="F22" s="6" t="str">
        <x:f>IF(Setup!$B$6="primary",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NOT FROZEN")</x:f>
        <x:v>not_applicable</x:v>
      </x:c>
      <x:c r="G22" s="6" t="str">
        <x:f>IF(Setup!$B$6="primary",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NOT FROZEN")</x:f>
        <x:v>not_applicable</x:v>
      </x:c>
      <x:c r="H22" s="6" t="str">
        <x:f>IF(Setup!$B$6="primary",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NOT FROZEN")</x:f>
      </x:c>
      <x:c r="I22" s="6" t="str">
        <x:f>IF(Setup!$B$6="primary",IF(INDEX('C_jama.2019.14231'!$R$2:$R$12,MATCH("2019::jama.2019.14231::C001",'C_jama.2019.14231'!$A$2:$A$12,0))="","",INDEX('C_jama.2019.14231'!$R$2:$R$12,MATCH("2019::jama.2019.14231::C001",'C_jama.2019.14231'!$A$2:$A$12,0))),"NOT FROZEN")</x:f>
      </x:c>
      <x:c r="J22" s="6" t="str">
        <x:f>IF(Setup!$B$6="primary",INDEX('C_jama.2019.14231'!$F$2:$F$12,MATCH("2019::jama.2019.14231::C001",'C_jama.2019.14231'!$A$2:$A$12,0)),"NOT FROZEN")</x:f>
        <x:v>primary_done</x:v>
      </x:c>
      <x:c r="K22" s="6" t="str">
        <x:f>IF(Setup!$B$6="primary",Setup!$B$2,"NOT FROZEN")</x:f>
        <x:v>TEST_PRIMARY</x:v>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Disposition: retain
Review domain: protocol_report
</x:v>
      </x:c>
    </x:row>
    <x:row r="23" ht="70" customHeight="1">
      <x:c r="A23" s="3" t="str">
        <x:f>IF(Setup!$B$6="primary","2019::jama.2019.14231::C002","NOT FROZEN")</x:f>
        <x:v>2019::jama.2019.14231::C002</x:v>
      </x:c>
      <x:c r="B23" s="3" t="str">
        <x:f>IF(Setup!$B$6="primary",IF(INDEX('C_jama.2019.14231'!$D$2:$D$12,MATCH("2019::jama.2019.14231::C002",'C_jama.2019.14231'!$A$2:$A$12,0))="","",INDEX('C_jama.2019.14231'!$D$2:$D$12,MATCH("2019::jama.2019.14231::C002",'C_jama.2019.14231'!$A$2:$A$12,0))),"NOT FROZEN")</x:f>
        <x:v>retain</x:v>
      </x:c>
      <x:c r="C23" s="3" t="str">
        <x:f>IF(Setup!$B$6="primary",IF(INDEX('C_jama.2019.14231'!$E$2:$E$12,MATCH("2019::jama.2019.14231::C002",'C_jama.2019.14231'!$A$2:$A$12,0))="","",INDEX('C_jama.2019.14231'!$E$2:$E$12,MATCH("2019::jama.2019.14231::C002",'C_jama.2019.14231'!$A$2:$A$12,0))),"NOT FROZEN")</x:f>
        <x:v>statistical_results</x:v>
      </x:c>
      <x:c r="D23" s="3" t="str">
        <x:f>IF(Setup!$B$6="primary",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NOT FROZEN")</x:f>
        <x:v>confirmed_issue</x:v>
      </x:c>
      <x:c r="E23" s="3" t="str">
        <x:f>IF(Setup!$B$6="primary",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NOT FROZEN")</x:f>
        <x:v>substantive</x:v>
      </x:c>
      <x:c r="F23" s="3" t="str">
        <x:f>IF(Setup!$B$6="primary",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NOT FROZEN")</x:f>
      </x:c>
      <x:c r="G23" s="3" t="str">
        <x:f>IF(Setup!$B$6="primary",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NOT FROZEN")</x:f>
        <x:v>not_applicable</x:v>
      </x:c>
      <x:c r="H23" s="3" t="str">
        <x:f>IF(Setup!$B$6="primary",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NOT FROZEN")</x:f>
        <x:v>not_applicable</x:v>
      </x:c>
      <x:c r="I23" s="3" t="str">
        <x:f>IF(Setup!$B$6="primary",IF(INDEX('C_jama.2019.14231'!$R$2:$R$12,MATCH("2019::jama.2019.14231::C002",'C_jama.2019.14231'!$A$2:$A$12,0))="","",INDEX('C_jama.2019.14231'!$R$2:$R$12,MATCH("2019::jama.2019.14231::C002",'C_jama.2019.14231'!$A$2:$A$12,0))),"NOT FROZEN")</x:f>
      </x:c>
      <x:c r="J23" s="3" t="str">
        <x:f>IF(Setup!$B$6="primary",INDEX('C_jama.2019.14231'!$F$2:$F$12,MATCH("2019::jama.2019.14231::C002",'C_jama.2019.14231'!$A$2:$A$12,0)),"NOT FROZEN")</x:f>
        <x:v>primary_done</x:v>
      </x:c>
      <x:c r="K23" s="3" t="str">
        <x:f>IF(Setup!$B$6="primary",Setup!$B$2,"NOT FROZEN")</x:f>
        <x:v>TEST_PRIMARY</x:v>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Disposition: retain
Review domain: statistical_results
Statistcal_or_numerical issue: confirmed_issue
Substantiveness: substantive
</x:v>
      </x:c>
    </x:row>
    <x:row r="24" ht="70" customHeight="1">
      <x:c r="A24" s="6" t="str">
        <x:f>IF(Setup!$B$6="primary","2019::jama.2019.14231::C003","NOT FROZEN")</x:f>
        <x:v>2019::jama.2019.14231::C003</x:v>
      </x:c>
      <x:c r="B24" s="6" t="str">
        <x:f>IF(Setup!$B$6="primary",IF(INDEX('C_jama.2019.14231'!$D$2:$D$12,MATCH("2019::jama.2019.14231::C003",'C_jama.2019.14231'!$A$2:$A$12,0))="","",INDEX('C_jama.2019.14231'!$D$2:$D$12,MATCH("2019::jama.2019.14231::C003",'C_jama.2019.14231'!$A$2:$A$12,0))),"NOT FROZEN")</x:f>
        <x:v>retain</x:v>
      </x:c>
      <x:c r="C24" s="6" t="str">
        <x:f>IF(Setup!$B$6="primary",IF(INDEX('C_jama.2019.14231'!$E$2:$E$12,MATCH("2019::jama.2019.14231::C003",'C_jama.2019.14231'!$A$2:$A$12,0))="","",INDEX('C_jama.2019.14231'!$E$2:$E$12,MATCH("2019::jama.2019.14231::C003",'C_jama.2019.14231'!$A$2:$A$12,0))),"NOT FROZEN")</x:f>
        <x:v>statistical_results</x:v>
      </x:c>
      <x:c r="D24" s="6" t="str">
        <x:f>IF(Setup!$B$6="primary",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NOT FROZEN")</x:f>
        <x:v>confirmed_issue</x:v>
      </x:c>
      <x:c r="E24" s="6" t="str">
        <x:f>IF(Setup!$B$6="primary",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NOT FROZEN")</x:f>
        <x:v>substantive</x:v>
      </x:c>
      <x:c r="F24" s="6" t="str">
        <x:f>IF(Setup!$B$6="primary",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NOT FROZEN")</x:f>
      </x:c>
      <x:c r="G24" s="6" t="str">
        <x:f>IF(Setup!$B$6="primary",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NOT FROZEN")</x:f>
        <x:v>not_applicable</x:v>
      </x:c>
      <x:c r="H24" s="6" t="str">
        <x:f>IF(Setup!$B$6="primary",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NOT FROZEN")</x:f>
        <x:v>not_applicable</x:v>
      </x:c>
      <x:c r="I24" s="6" t="str">
        <x:f>IF(Setup!$B$6="primary",IF(INDEX('C_jama.2019.14231'!$R$2:$R$12,MATCH("2019::jama.2019.14231::C003",'C_jama.2019.14231'!$A$2:$A$12,0))="","",INDEX('C_jama.2019.14231'!$R$2:$R$12,MATCH("2019::jama.2019.14231::C003",'C_jama.2019.14231'!$A$2:$A$12,0))),"NOT FROZEN")</x:f>
      </x:c>
      <x:c r="J24" s="6" t="str">
        <x:f>IF(Setup!$B$6="primary",INDEX('C_jama.2019.14231'!$F$2:$F$12,MATCH("2019::jama.2019.14231::C003",'C_jama.2019.14231'!$A$2:$A$12,0)),"NOT FROZEN")</x:f>
        <x:v>primary_done</x:v>
      </x:c>
      <x:c r="K24" s="6" t="str">
        <x:f>IF(Setup!$B$6="primary",Setup!$B$2,"NOT FROZEN")</x:f>
        <x:v>TEST_PRIMARY</x:v>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Disposition: retain
Review domain: statistical_results
Statistcal_or_numerical issue: confirmed_issue
Substantiveness: substantive
</x:v>
      </x:c>
    </x:row>
    <x:row r="25" ht="70" customHeight="1">
      <x:c r="A25" s="3" t="str">
        <x:f>IF(Setup!$B$6="primary","2019::jama.2019.14231::C004","NOT FROZEN")</x:f>
        <x:v>2019::jama.2019.14231::C004</x:v>
      </x:c>
      <x:c r="B25" s="3" t="str">
        <x:f>IF(Setup!$B$6="primary",IF(INDEX('C_jama.2019.14231'!$D$2:$D$12,MATCH("2019::jama.2019.14231::C004",'C_jama.2019.14231'!$A$2:$A$12,0))="","",INDEX('C_jama.2019.14231'!$D$2:$D$12,MATCH("2019::jama.2019.14231::C004",'C_jama.2019.14231'!$A$2:$A$12,0))),"NOT FROZEN")</x:f>
        <x:v>retain</x:v>
      </x:c>
      <x:c r="C25" s="3" t="str">
        <x:f>IF(Setup!$B$6="primary",IF(INDEX('C_jama.2019.14231'!$E$2:$E$12,MATCH("2019::jama.2019.14231::C004",'C_jama.2019.14231'!$A$2:$A$12,0))="","",INDEX('C_jama.2019.14231'!$E$2:$E$12,MATCH("2019::jama.2019.14231::C004",'C_jama.2019.14231'!$A$2:$A$12,0))),"NOT FROZEN")</x:f>
        <x:v>statistical_results</x:v>
      </x:c>
      <x:c r="D25" s="3" t="str">
        <x:f>IF(Setup!$B$6="primary",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NOT FROZEN")</x:f>
        <x:v>confirmed_issue</x:v>
      </x:c>
      <x:c r="E25" s="3" t="str">
        <x:f>IF(Setup!$B$6="primary",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NOT FROZEN")</x:f>
        <x:v>substantive</x:v>
      </x:c>
      <x:c r="F25" s="3" t="str">
        <x:f>IF(Setup!$B$6="primary",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NOT FROZEN")</x:f>
      </x:c>
      <x:c r="G25" s="3" t="str">
        <x:f>IF(Setup!$B$6="primary",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NOT FROZEN")</x:f>
        <x:v>not_applicable</x:v>
      </x:c>
      <x:c r="H25" s="3" t="str">
        <x:f>IF(Setup!$B$6="primary",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NOT FROZEN")</x:f>
        <x:v>not_applicable</x:v>
      </x:c>
      <x:c r="I25" s="3" t="str">
        <x:f>IF(Setup!$B$6="primary",IF(INDEX('C_jama.2019.14231'!$R$2:$R$12,MATCH("2019::jama.2019.14231::C004",'C_jama.2019.14231'!$A$2:$A$12,0))="","",INDEX('C_jama.2019.14231'!$R$2:$R$12,MATCH("2019::jama.2019.14231::C004",'C_jama.2019.14231'!$A$2:$A$12,0))),"NOT FROZEN")</x:f>
      </x:c>
      <x:c r="J25" s="3" t="str">
        <x:f>IF(Setup!$B$6="primary",INDEX('C_jama.2019.14231'!$F$2:$F$12,MATCH("2019::jama.2019.14231::C004",'C_jama.2019.14231'!$A$2:$A$12,0)),"NOT FROZEN")</x:f>
        <x:v>primary_done</x:v>
      </x:c>
      <x:c r="K25" s="3" t="str">
        <x:f>IF(Setup!$B$6="primary",Setup!$B$2,"NOT FROZEN")</x:f>
        <x:v>TEST_PRIMARY</x:v>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Disposition: retain
Review domain: statistical_results
Statistcal_or_numerical issue: confirmed_issue
Substantiveness: substantive
</x:v>
      </x:c>
    </x:row>
    <x:row r="26" ht="70" customHeight="1">
      <x:c r="A26" s="6" t="str">
        <x:f>IF(Setup!$B$6="primary","2019::jama.2019.14231::C005","NOT FROZEN")</x:f>
        <x:v>2019::jama.2019.14231::C005</x:v>
      </x:c>
      <x:c r="B26" s="6" t="str">
        <x:f>IF(Setup!$B$6="primary",IF(INDEX('C_jama.2019.14231'!$D$2:$D$12,MATCH("2019::jama.2019.14231::C005",'C_jama.2019.14231'!$A$2:$A$12,0))="","",INDEX('C_jama.2019.14231'!$D$2:$D$12,MATCH("2019::jama.2019.14231::C005",'C_jama.2019.14231'!$A$2:$A$12,0))),"NOT FROZEN")</x:f>
        <x:v>retain</x:v>
      </x:c>
      <x:c r="C26" s="6" t="str">
        <x:f>IF(Setup!$B$6="primary",IF(INDEX('C_jama.2019.14231'!$E$2:$E$12,MATCH("2019::jama.2019.14231::C005",'C_jama.2019.14231'!$A$2:$A$12,0))="","",INDEX('C_jama.2019.14231'!$E$2:$E$12,MATCH("2019::jama.2019.14231::C005",'C_jama.2019.14231'!$A$2:$A$12,0))),"NOT FROZEN")</x:f>
        <x:v>statistical_results</x:v>
      </x:c>
      <x:c r="D26" s="6" t="str">
        <x:f>IF(Setup!$B$6="primary",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NOT FROZEN")</x:f>
        <x:v>confirmed_issue</x:v>
      </x:c>
      <x:c r="E26" s="6" t="str">
        <x:f>IF(Setup!$B$6="primary",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NOT FROZEN")</x:f>
        <x:v>substantive</x:v>
      </x:c>
      <x:c r="F26" s="6" t="str">
        <x:f>IF(Setup!$B$6="primary",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NOT FROZEN")</x:f>
      </x:c>
      <x:c r="G26" s="6" t="str">
        <x:f>IF(Setup!$B$6="primary",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NOT FROZEN")</x:f>
        <x:v>not_applicable</x:v>
      </x:c>
      <x:c r="H26" s="6" t="str">
        <x:f>IF(Setup!$B$6="primary",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NOT FROZEN")</x:f>
        <x:v>not_applicable</x:v>
      </x:c>
      <x:c r="I26" s="6" t="str">
        <x:f>IF(Setup!$B$6="primary",IF(INDEX('C_jama.2019.14231'!$R$2:$R$12,MATCH("2019::jama.2019.14231::C005",'C_jama.2019.14231'!$A$2:$A$12,0))="","",INDEX('C_jama.2019.14231'!$R$2:$R$12,MATCH("2019::jama.2019.14231::C005",'C_jama.2019.14231'!$A$2:$A$12,0))),"NOT FROZEN")</x:f>
      </x:c>
      <x:c r="J26" s="6" t="str">
        <x:f>IF(Setup!$B$6="primary",INDEX('C_jama.2019.14231'!$F$2:$F$12,MATCH("2019::jama.2019.14231::C005",'C_jama.2019.14231'!$A$2:$A$12,0)),"NOT FROZEN")</x:f>
        <x:v>primary_done</x:v>
      </x:c>
      <x:c r="K26" s="6" t="str">
        <x:f>IF(Setup!$B$6="primary",Setup!$B$2,"NOT FROZEN")</x:f>
        <x:v>TEST_PRIMARY</x:v>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Disposition: retain
Review domain: statistical_results
Statistcal_or_numerical issue: confirmed_issue
Substantiveness: substantive
</x:v>
      </x:c>
    </x:row>
    <x:row r="27" ht="70" customHeight="1">
      <x:c r="A27" s="3" t="str">
        <x:f>IF(Setup!$B$6="primary","2019::jama.2019.14231::C006","NOT FROZEN")</x:f>
        <x:v>2019::jama.2019.14231::C006</x:v>
      </x:c>
      <x:c r="B27" s="3" t="str">
        <x:f>IF(Setup!$B$6="primary",IF(INDEX('C_jama.2019.14231'!$D$2:$D$12,MATCH("2019::jama.2019.14231::C006",'C_jama.2019.14231'!$A$2:$A$12,0))="","",INDEX('C_jama.2019.14231'!$D$2:$D$12,MATCH("2019::jama.2019.14231::C006",'C_jama.2019.14231'!$A$2:$A$12,0))),"NOT FROZEN")</x:f>
        <x:v>retain</x:v>
      </x:c>
      <x:c r="C27" s="3" t="str">
        <x:f>IF(Setup!$B$6="primary",IF(INDEX('C_jama.2019.14231'!$E$2:$E$12,MATCH("2019::jama.2019.14231::C006",'C_jama.2019.14231'!$A$2:$A$12,0))="","",INDEX('C_jama.2019.14231'!$E$2:$E$12,MATCH("2019::jama.2019.14231::C006",'C_jama.2019.14231'!$A$2:$A$12,0))),"NOT FROZEN")</x:f>
        <x:v>statistical_results</x:v>
      </x:c>
      <x:c r="D27" s="3" t="str">
        <x:f>IF(Setup!$B$6="primary",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NOT FROZEN")</x:f>
        <x:v>confirmed_issue</x:v>
      </x:c>
      <x:c r="E27" s="3" t="str">
        <x:f>IF(Setup!$B$6="primary",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NOT FROZEN")</x:f>
        <x:v>substantive</x:v>
      </x:c>
      <x:c r="F27" s="3" t="str">
        <x:f>IF(Setup!$B$6="primary",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NOT FROZEN")</x:f>
      </x:c>
      <x:c r="G27" s="3" t="str">
        <x:f>IF(Setup!$B$6="primary",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NOT FROZEN")</x:f>
        <x:v>not_applicable</x:v>
      </x:c>
      <x:c r="H27" s="3" t="str">
        <x:f>IF(Setup!$B$6="primary",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NOT FROZEN")</x:f>
        <x:v>not_applicable</x:v>
      </x:c>
      <x:c r="I27" s="3" t="str">
        <x:f>IF(Setup!$B$6="primary",IF(INDEX('C_jama.2019.14231'!$R$2:$R$12,MATCH("2019::jama.2019.14231::C006",'C_jama.2019.14231'!$A$2:$A$12,0))="","",INDEX('C_jama.2019.14231'!$R$2:$R$12,MATCH("2019::jama.2019.14231::C006",'C_jama.2019.14231'!$A$2:$A$12,0))),"NOT FROZEN")</x:f>
      </x:c>
      <x:c r="J27" s="3" t="str">
        <x:f>IF(Setup!$B$6="primary",INDEX('C_jama.2019.14231'!$F$2:$F$12,MATCH("2019::jama.2019.14231::C006",'C_jama.2019.14231'!$A$2:$A$12,0)),"NOT FROZEN")</x:f>
        <x:v>primary_done</x:v>
      </x:c>
      <x:c r="K27" s="3" t="str">
        <x:f>IF(Setup!$B$6="primary",Setup!$B$2,"NOT FROZEN")</x:f>
        <x:v>TEST_PRIMARY</x:v>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Disposition: retain
Review domain: statistical_results
Statistcal_or_numerical issue: confirmed_issue
Substantiveness: substantive
</x:v>
      </x:c>
    </x:row>
    <x:row r="28" ht="70" customHeight="1">
      <x:c r="A28" s="6" t="str">
        <x:f>IF(Setup!$B$6="primary","2019::jama.2019.14231::C007","NOT FROZEN")</x:f>
        <x:v>2019::jama.2019.14231::C007</x:v>
      </x:c>
      <x:c r="B28" s="6" t="str">
        <x:f>IF(Setup!$B$6="primary",IF(INDEX('C_jama.2019.14231'!$D$2:$D$12,MATCH("2019::jama.2019.14231::C007",'C_jama.2019.14231'!$A$2:$A$12,0))="","",INDEX('C_jama.2019.14231'!$D$2:$D$12,MATCH("2019::jama.2019.14231::C007",'C_jama.2019.14231'!$A$2:$A$12,0))),"NOT FROZEN")</x:f>
        <x:v>retain</x:v>
      </x:c>
      <x:c r="C28" s="6" t="str">
        <x:f>IF(Setup!$B$6="primary",IF(INDEX('C_jama.2019.14231'!$E$2:$E$12,MATCH("2019::jama.2019.14231::C007",'C_jama.2019.14231'!$A$2:$A$12,0))="","",INDEX('C_jama.2019.14231'!$E$2:$E$12,MATCH("2019::jama.2019.14231::C007",'C_jama.2019.14231'!$A$2:$A$12,0))),"NOT FROZEN")</x:f>
        <x:v>statistical_results</x:v>
      </x:c>
      <x:c r="D28" s="6" t="str">
        <x:f>IF(Setup!$B$6="primary",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NOT FROZEN")</x:f>
        <x:v>confirmed_issue</x:v>
      </x:c>
      <x:c r="E28" s="6" t="str">
        <x:f>IF(Setup!$B$6="primary",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NOT FROZEN")</x:f>
        <x:v>substantive</x:v>
      </x:c>
      <x:c r="F28" s="6" t="str">
        <x:f>IF(Setup!$B$6="primary",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NOT FROZEN")</x:f>
      </x:c>
      <x:c r="G28" s="6" t="str">
        <x:f>IF(Setup!$B$6="primary",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NOT FROZEN")</x:f>
        <x:v>not_applicable</x:v>
      </x:c>
      <x:c r="H28" s="6" t="str">
        <x:f>IF(Setup!$B$6="primary",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NOT FROZEN")</x:f>
        <x:v>not_applicable</x:v>
      </x:c>
      <x:c r="I28" s="6" t="str">
        <x:f>IF(Setup!$B$6="primary",IF(INDEX('C_jama.2019.14231'!$R$2:$R$12,MATCH("2019::jama.2019.14231::C007",'C_jama.2019.14231'!$A$2:$A$12,0))="","",INDEX('C_jama.2019.14231'!$R$2:$R$12,MATCH("2019::jama.2019.14231::C007",'C_jama.2019.14231'!$A$2:$A$12,0))),"NOT FROZEN")</x:f>
      </x:c>
      <x:c r="J28" s="6" t="str">
        <x:f>IF(Setup!$B$6="primary",INDEX('C_jama.2019.14231'!$F$2:$F$12,MATCH("2019::jama.2019.14231::C007",'C_jama.2019.14231'!$A$2:$A$12,0)),"NOT FROZEN")</x:f>
        <x:v>primary_done</x:v>
      </x:c>
      <x:c r="K28" s="6" t="str">
        <x:f>IF(Setup!$B$6="primary",Setup!$B$2,"NOT FROZEN")</x:f>
        <x:v>TEST_PRIMARY</x:v>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Disposition: retain
Review domain: statistical_results
Statistcal_or_numerical issue: confirmed_issue
Substantiveness: substantive
</x:v>
      </x:c>
    </x:row>
    <x:row r="29" ht="70" customHeight="1">
      <x:c r="A29" s="3" t="str">
        <x:f>IF(Setup!$B$6="primary","2019::jama.2019.14231::C008","NOT FROZEN")</x:f>
        <x:v>2019::jama.2019.14231::C008</x:v>
      </x:c>
      <x:c r="B29" s="3" t="str">
        <x:f>IF(Setup!$B$6="primary",IF(INDEX('C_jama.2019.14231'!$D$2:$D$12,MATCH("2019::jama.2019.14231::C008",'C_jama.2019.14231'!$A$2:$A$12,0))="","",INDEX('C_jama.2019.14231'!$D$2:$D$12,MATCH("2019::jama.2019.14231::C008",'C_jama.2019.14231'!$A$2:$A$12,0))),"NOT FROZEN")</x:f>
        <x:v>retain</x:v>
      </x:c>
      <x:c r="C29" s="3" t="str">
        <x:f>IF(Setup!$B$6="primary",IF(INDEX('C_jama.2019.14231'!$E$2:$E$12,MATCH("2019::jama.2019.14231::C008",'C_jama.2019.14231'!$A$2:$A$12,0))="","",INDEX('C_jama.2019.14231'!$E$2:$E$12,MATCH("2019::jama.2019.14231::C008",'C_jama.2019.14231'!$A$2:$A$12,0))),"NOT FROZEN")</x:f>
        <x:v>report_internal_inconsistency</x:v>
      </x:c>
      <x:c r="D29" s="3" t="str">
        <x:f>IF(Setup!$B$6="primary",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NOT FROZEN")</x:f>
        <x:v>not_applicable</x:v>
      </x:c>
      <x:c r="E29" s="3" t="str">
        <x:f>IF(Setup!$B$6="primary",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NOT FROZEN")</x:f>
        <x:v>not_applicable</x:v>
      </x:c>
      <x:c r="F29" s="3" t="str">
        <x:f>IF(Setup!$B$6="primary",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NOT FROZEN")</x:f>
        <x:v>not_applicable</x:v>
      </x:c>
      <x:c r="G29" s="3" t="str">
        <x:f>IF(Setup!$B$6="primary",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NOT FROZEN")</x:f>
        <x:v>substantive_inconsistency</x:v>
      </x:c>
      <x:c r="H29" s="3" t="str">
        <x:f>IF(Setup!$B$6="primary",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NOT FROZEN")</x:f>
        <x:v>not_applicable</x:v>
      </x:c>
      <x:c r="I29" s="3" t="str">
        <x:f>IF(Setup!$B$6="primary",IF(INDEX('C_jama.2019.14231'!$R$2:$R$12,MATCH("2019::jama.2019.14231::C008",'C_jama.2019.14231'!$A$2:$A$12,0))="","",INDEX('C_jama.2019.14231'!$R$2:$R$12,MATCH("2019::jama.2019.14231::C008",'C_jama.2019.14231'!$A$2:$A$12,0))),"NOT FROZEN")</x:f>
      </x:c>
      <x:c r="J29" s="3" t="str">
        <x:f>IF(Setup!$B$6="primary",INDEX('C_jama.2019.14231'!$F$2:$F$12,MATCH("2019::jama.2019.14231::C008",'C_jama.2019.14231'!$A$2:$A$12,0)),"NOT FROZEN")</x:f>
        <x:v>primary_done</x:v>
      </x:c>
      <x:c r="K29" s="3" t="str">
        <x:f>IF(Setup!$B$6="primary",Setup!$B$2,"NOT FROZEN")</x:f>
        <x:v>TEST_PRIMARY</x:v>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Disposition: retain
Review domain: report_internal_inconsistency
Report-internal or planning-material inconsistency: substantive_inconsistency
</x:v>
      </x:c>
    </x:row>
    <x:row r="30" ht="70" customHeight="1">
      <x:c r="A30" s="6" t="str">
        <x:f>IF(Setup!$B$6="primary","2019::jama.2019.14231::C009","NOT FROZEN")</x:f>
        <x:v>2019::jama.2019.14231::C009</x:v>
      </x:c>
      <x:c r="B30" s="6" t="str">
        <x:f>IF(Setup!$B$6="primary",IF(INDEX('C_jama.2019.14231'!$D$2:$D$12,MATCH("2019::jama.2019.14231::C009",'C_jama.2019.14231'!$A$2:$A$12,0))="","",INDEX('C_jama.2019.14231'!$D$2:$D$12,MATCH("2019::jama.2019.14231::C009",'C_jama.2019.14231'!$A$2:$A$12,0))),"NOT FROZEN")</x:f>
        <x:v>retain</x:v>
      </x:c>
      <x:c r="C30" s="6" t="str">
        <x:f>IF(Setup!$B$6="primary",IF(INDEX('C_jama.2019.14231'!$E$2:$E$12,MATCH("2019::jama.2019.14231::C009",'C_jama.2019.14231'!$A$2:$A$12,0))="","",INDEX('C_jama.2019.14231'!$E$2:$E$12,MATCH("2019::jama.2019.14231::C009",'C_jama.2019.14231'!$A$2:$A$12,0))),"NOT FROZEN")</x:f>
        <x:v>report_internal_inconsistency</x:v>
      </x:c>
      <x:c r="D30" s="6" t="str">
        <x:f>IF(Setup!$B$6="primary",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NOT FROZEN")</x:f>
        <x:v>not_applicable</x:v>
      </x:c>
      <x:c r="E30" s="6" t="str">
        <x:f>IF(Setup!$B$6="primary",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NOT FROZEN")</x:f>
        <x:v>not_applicable</x:v>
      </x:c>
      <x:c r="F30" s="6" t="str">
        <x:f>IF(Setup!$B$6="primary",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NOT FROZEN")</x:f>
        <x:v>not_applicable</x:v>
      </x:c>
      <x:c r="G30" s="6" t="str">
        <x:f>IF(Setup!$B$6="primary",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NOT FROZEN")</x:f>
        <x:v>substantive_inconsistency</x:v>
      </x:c>
      <x:c r="H30" s="6" t="str">
        <x:f>IF(Setup!$B$6="primary",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NOT FROZEN")</x:f>
        <x:v>not_applicable</x:v>
      </x:c>
      <x:c r="I30" s="6" t="str">
        <x:f>IF(Setup!$B$6="primary",IF(INDEX('C_jama.2019.14231'!$R$2:$R$12,MATCH("2019::jama.2019.14231::C009",'C_jama.2019.14231'!$A$2:$A$12,0))="","",INDEX('C_jama.2019.14231'!$R$2:$R$12,MATCH("2019::jama.2019.14231::C009",'C_jama.2019.14231'!$A$2:$A$12,0))),"NOT FROZEN")</x:f>
      </x:c>
      <x:c r="J30" s="6" t="str">
        <x:f>IF(Setup!$B$6="primary",INDEX('C_jama.2019.14231'!$F$2:$F$12,MATCH("2019::jama.2019.14231::C009",'C_jama.2019.14231'!$A$2:$A$12,0)),"NOT FROZEN")</x:f>
        <x:v>primary_done</x:v>
      </x:c>
      <x:c r="K30" s="6" t="str">
        <x:f>IF(Setup!$B$6="primary",Setup!$B$2,"NOT FROZEN")</x:f>
        <x:v>TEST_PRIMARY</x:v>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Disposition: retain
Review domain: report_internal_inconsistency
Report-internal or planning-material inconsistency: substantive_inconsistency
</x:v>
      </x:c>
    </x:row>
    <x:row r="31" ht="70" customHeight="1">
      <x:c r="A31" s="3" t="str">
        <x:f>IF(Setup!$B$6="primary","2019::jama.2019.14231::C010","NOT FROZEN")</x:f>
        <x:v>2019::jama.2019.14231::C010</x:v>
      </x:c>
      <x:c r="B31" s="3" t="str">
        <x:f>IF(Setup!$B$6="primary",IF(INDEX('C_jama.2019.14231'!$D$2:$D$12,MATCH("2019::jama.2019.14231::C010",'C_jama.2019.14231'!$A$2:$A$12,0))="","",INDEX('C_jama.2019.14231'!$D$2:$D$12,MATCH("2019::jama.2019.14231::C010",'C_jama.2019.14231'!$A$2:$A$12,0))),"NOT FROZEN")</x:f>
        <x:v>retain</x:v>
      </x:c>
      <x:c r="C31" s="3" t="str">
        <x:f>IF(Setup!$B$6="primary",IF(INDEX('C_jama.2019.14231'!$E$2:$E$12,MATCH("2019::jama.2019.14231::C010",'C_jama.2019.14231'!$A$2:$A$12,0))="","",INDEX('C_jama.2019.14231'!$E$2:$E$12,MATCH("2019::jama.2019.14231::C010",'C_jama.2019.14231'!$A$2:$A$12,0))),"NOT FROZEN")</x:f>
        <x:v>statistical_results</x:v>
      </x:c>
      <x:c r="D31" s="3" t="str">
        <x:f>IF(Setup!$B$6="primary",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NOT FROZEN")</x:f>
        <x:v>confirmed_issue</x:v>
      </x:c>
      <x:c r="E31" s="3" t="str">
        <x:f>IF(Setup!$B$6="primary",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NOT FROZEN")</x:f>
        <x:v>substantive</x:v>
      </x:c>
      <x:c r="F31" s="3" t="str">
        <x:f>IF(Setup!$B$6="primary",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NOT FROZEN")</x:f>
      </x:c>
      <x:c r="G31" s="3" t="str">
        <x:f>IF(Setup!$B$6="primary",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NOT FROZEN")</x:f>
        <x:v>not_applicable</x:v>
      </x:c>
      <x:c r="H31" s="3" t="str">
        <x:f>IF(Setup!$B$6="primary",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NOT FROZEN")</x:f>
        <x:v>not_applicable</x:v>
      </x:c>
      <x:c r="I31" s="3" t="str">
        <x:f>IF(Setup!$B$6="primary",IF(INDEX('C_jama.2019.14231'!$R$2:$R$12,MATCH("2019::jama.2019.14231::C010",'C_jama.2019.14231'!$A$2:$A$12,0))="","",INDEX('C_jama.2019.14231'!$R$2:$R$12,MATCH("2019::jama.2019.14231::C010",'C_jama.2019.14231'!$A$2:$A$12,0))),"NOT FROZEN")</x:f>
      </x:c>
      <x:c r="J31" s="3" t="str">
        <x:f>IF(Setup!$B$6="primary",INDEX('C_jama.2019.14231'!$F$2:$F$12,MATCH("2019::jama.2019.14231::C010",'C_jama.2019.14231'!$A$2:$A$12,0)),"NOT FROZEN")</x:f>
        <x:v>primary_done</x:v>
      </x:c>
      <x:c r="K31" s="3" t="str">
        <x:f>IF(Setup!$B$6="primary",Setup!$B$2,"NOT FROZEN")</x:f>
        <x:v>TEST_PRIMARY</x:v>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Disposition: retain
Review domain: statistical_results
Statistcal_or_numerical issue: confirmed_issue
Substantiveness: substantive
</x:v>
      </x:c>
    </x:row>
    <x:row r="32" ht="70" customHeight="1">
      <x:c r="A32" s="6" t="str">
        <x:f>IF(Setup!$B$6="primary","2019::jama.2019.14231::C011","NOT FROZEN")</x:f>
        <x:v>2019::jama.2019.14231::C011</x:v>
      </x:c>
      <x:c r="B32" s="6" t="str">
        <x:f>IF(Setup!$B$6="primary",IF(INDEX('C_jama.2019.14231'!$D$2:$D$12,MATCH("2019::jama.2019.14231::C011",'C_jama.2019.14231'!$A$2:$A$12,0))="","",INDEX('C_jama.2019.14231'!$D$2:$D$12,MATCH("2019::jama.2019.14231::C011",'C_jama.2019.14231'!$A$2:$A$12,0))),"NOT FROZEN")</x:f>
        <x:v>retain</x:v>
      </x:c>
      <x:c r="C32" s="6" t="str">
        <x:f>IF(Setup!$B$6="primary",IF(INDEX('C_jama.2019.14231'!$E$2:$E$12,MATCH("2019::jama.2019.14231::C011",'C_jama.2019.14231'!$A$2:$A$12,0))="","",INDEX('C_jama.2019.14231'!$E$2:$E$12,MATCH("2019::jama.2019.14231::C011",'C_jama.2019.14231'!$A$2:$A$12,0))),"NOT FROZEN")</x:f>
        <x:v>report_internal_inconsistency</x:v>
      </x:c>
      <x:c r="D32" s="6" t="str">
        <x:f>IF(Setup!$B$6="primary",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NOT FROZEN")</x:f>
        <x:v>not_applicable</x:v>
      </x:c>
      <x:c r="E32" s="6" t="str">
        <x:f>IF(Setup!$B$6="primary",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NOT FROZEN")</x:f>
        <x:v>not_applicable</x:v>
      </x:c>
      <x:c r="F32" s="6" t="str">
        <x:f>IF(Setup!$B$6="primary",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NOT FROZEN")</x:f>
        <x:v>not_applicable</x:v>
      </x:c>
      <x:c r="G32" s="6" t="str">
        <x:f>IF(Setup!$B$6="primary",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NOT FROZEN")</x:f>
        <x:v>substantive_inconsistency</x:v>
      </x:c>
      <x:c r="H32" s="6" t="str">
        <x:f>IF(Setup!$B$6="primary",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NOT FROZEN")</x:f>
        <x:v>not_applicable</x:v>
      </x:c>
      <x:c r="I32" s="6" t="str">
        <x:f>IF(Setup!$B$6="primary",IF(INDEX('C_jama.2019.14231'!$R$2:$R$12,MATCH("2019::jama.2019.14231::C011",'C_jama.2019.14231'!$A$2:$A$12,0))="","",INDEX('C_jama.2019.14231'!$R$2:$R$12,MATCH("2019::jama.2019.14231::C011",'C_jama.2019.14231'!$A$2:$A$12,0))),"NOT FROZEN")</x:f>
      </x:c>
      <x:c r="J32" s="6" t="str">
        <x:f>IF(Setup!$B$6="primary",INDEX('C_jama.2019.14231'!$F$2:$F$12,MATCH("2019::jama.2019.14231::C011",'C_jama.2019.14231'!$A$2:$A$12,0)),"NOT FROZEN")</x:f>
        <x:v>primary_done</x:v>
      </x:c>
      <x:c r="K32" s="6" t="str">
        <x:f>IF(Setup!$B$6="primary",Setup!$B$2,"NOT FROZEN")</x:f>
        <x:v>TEST_PRIMARY</x:v>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Disposition: retain
Review domain: report_internal_inconsistency
Report-internal or planning-material inconsistency: substantive_inconsistency
</x:v>
      </x:c>
    </x:row>
    <x:row r="33" ht="70" customHeight="1">
      <x:c r="A33" s="3" t="str">
        <x:f>IF(Setup!$B$6="primary","2019::jama.2019.14630::C001","NOT FROZEN")</x:f>
        <x:v>2019::jama.2019.14630::C001</x:v>
      </x:c>
      <x:c r="B33" s="3" t="str">
        <x:f>IF(Setup!$B$6="primary",IF(INDEX('C_jama.2019.14630'!$D$2:$D$10,MATCH("2019::jama.2019.14630::C001",'C_jama.2019.14630'!$A$2:$A$10,0))="","",INDEX('C_jama.2019.14630'!$D$2:$D$10,MATCH("2019::jama.2019.14630::C001",'C_jama.2019.14630'!$A$2:$A$10,0))),"NOT FROZEN")</x:f>
        <x:v>retain</x:v>
      </x:c>
      <x:c r="C33" s="3" t="str">
        <x:f>IF(Setup!$B$6="primary",IF(INDEX('C_jama.2019.14630'!$E$2:$E$10,MATCH("2019::jama.2019.14630::C001",'C_jama.2019.14630'!$A$2:$A$10,0))="","",INDEX('C_jama.2019.14630'!$E$2:$E$10,MATCH("2019::jama.2019.14630::C001",'C_jama.2019.14630'!$A$2:$A$10,0))),"NOT FROZEN")</x:f>
        <x:v>report_internal_inconsistency</x:v>
      </x:c>
      <x:c r="D33" s="3" t="str">
        <x:f>IF(Setup!$B$6="primary",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NOT FROZEN")</x:f>
        <x:v>not_applicable</x:v>
      </x:c>
      <x:c r="E33" s="3" t="str">
        <x:f>IF(Setup!$B$6="primary",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NOT FROZEN")</x:f>
        <x:v>not_applicable</x:v>
      </x:c>
      <x:c r="F33" s="3" t="str">
        <x:f>IF(Setup!$B$6="primary",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NOT FROZEN")</x:f>
        <x:v>not_applicable</x:v>
      </x:c>
      <x:c r="G33" s="3" t="str">
        <x:f>IF(Setup!$B$6="primary",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NOT FROZEN")</x:f>
        <x:v>substantive_inconsistency</x:v>
      </x:c>
      <x:c r="H33" s="3" t="str">
        <x:f>IF(Setup!$B$6="primary",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NOT FROZEN")</x:f>
        <x:v>not_applicable</x:v>
      </x:c>
      <x:c r="I33" s="3" t="str">
        <x:f>IF(Setup!$B$6="primary",IF(INDEX('C_jama.2019.14630'!$R$2:$R$10,MATCH("2019::jama.2019.14630::C001",'C_jama.2019.14630'!$A$2:$A$10,0))="","",INDEX('C_jama.2019.14630'!$R$2:$R$10,MATCH("2019::jama.2019.14630::C001",'C_jama.2019.14630'!$A$2:$A$10,0))),"NOT FROZEN")</x:f>
      </x:c>
      <x:c r="J33" s="3" t="str">
        <x:f>IF(Setup!$B$6="primary",INDEX('C_jama.2019.14630'!$F$2:$F$10,MATCH("2019::jama.2019.14630::C001",'C_jama.2019.14630'!$A$2:$A$10,0)),"NOT FROZEN")</x:f>
        <x:v>primary_done</x:v>
      </x:c>
      <x:c r="K33" s="3" t="str">
        <x:f>IF(Setup!$B$6="primary",Setup!$B$2,"NOT FROZEN")</x:f>
        <x:v>TEST_PRIMARY</x:v>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Disposition: retain
Review domain: report_internal_inconsistency
Report-internal or planning-material inconsistency: substantive_inconsistency
</x:v>
      </x:c>
    </x:row>
    <x:row r="34" ht="70" customHeight="1">
      <x:c r="A34" s="6" t="str">
        <x:f>IF(Setup!$B$6="primary","2019::jama.2019.14630::C002","NOT FROZEN")</x:f>
        <x:v>2019::jama.2019.14630::C002</x:v>
      </x:c>
      <x:c r="B34" s="6" t="str">
        <x:f>IF(Setup!$B$6="primary",IF(INDEX('C_jama.2019.14630'!$D$2:$D$10,MATCH("2019::jama.2019.14630::C002",'C_jama.2019.14630'!$A$2:$A$10,0))="","",INDEX('C_jama.2019.14630'!$D$2:$D$10,MATCH("2019::jama.2019.14630::C002",'C_jama.2019.14630'!$A$2:$A$10,0))),"NOT FROZEN")</x:f>
        <x:v>retain</x:v>
      </x:c>
      <x:c r="C34" s="6" t="str">
        <x:f>IF(Setup!$B$6="primary",IF(INDEX('C_jama.2019.14630'!$E$2:$E$10,MATCH("2019::jama.2019.14630::C002",'C_jama.2019.14630'!$A$2:$A$10,0))="","",INDEX('C_jama.2019.14630'!$E$2:$E$10,MATCH("2019::jama.2019.14630::C002",'C_jama.2019.14630'!$A$2:$A$10,0))),"NOT FROZEN")</x:f>
        <x:v>statistical_results</x:v>
      </x:c>
      <x:c r="D34" s="6" t="str">
        <x:f>IF(Setup!$B$6="primary",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NOT FROZEN")</x:f>
        <x:v>confirmed_issue</x:v>
      </x:c>
      <x:c r="E34" s="6" t="str">
        <x:f>IF(Setup!$B$6="primary",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NOT FROZEN")</x:f>
        <x:v>substantive</x:v>
      </x:c>
      <x:c r="F34" s="6" t="str">
        <x:f>IF(Setup!$B$6="primary",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NOT FROZEN")</x:f>
      </x:c>
      <x:c r="G34" s="6" t="str">
        <x:f>IF(Setup!$B$6="primary",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NOT FROZEN")</x:f>
        <x:v>not_applicable</x:v>
      </x:c>
      <x:c r="H34" s="6" t="str">
        <x:f>IF(Setup!$B$6="primary",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NOT FROZEN")</x:f>
        <x:v>not_applicable</x:v>
      </x:c>
      <x:c r="I34" s="6" t="str">
        <x:f>IF(Setup!$B$6="primary",IF(INDEX('C_jama.2019.14630'!$R$2:$R$10,MATCH("2019::jama.2019.14630::C002",'C_jama.2019.14630'!$A$2:$A$10,0))="","",INDEX('C_jama.2019.14630'!$R$2:$R$10,MATCH("2019::jama.2019.14630::C002",'C_jama.2019.14630'!$A$2:$A$10,0))),"NOT FROZEN")</x:f>
      </x:c>
      <x:c r="J34" s="6" t="str">
        <x:f>IF(Setup!$B$6="primary",INDEX('C_jama.2019.14630'!$F$2:$F$10,MATCH("2019::jama.2019.14630::C002",'C_jama.2019.14630'!$A$2:$A$10,0)),"NOT FROZEN")</x:f>
        <x:v>primary_done</x:v>
      </x:c>
      <x:c r="K34" s="6" t="str">
        <x:f>IF(Setup!$B$6="primary",Setup!$B$2,"NOT FROZEN")</x:f>
        <x:v>TEST_PRIMARY</x:v>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Disposition: retain
Review domain: statistical_results
Statistcal_or_numerical issue: confirmed_issue
Substantiveness: substantive
</x:v>
      </x:c>
    </x:row>
    <x:row r="35" ht="70" customHeight="1">
      <x:c r="A35" s="3" t="str">
        <x:f>IF(Setup!$B$6="primary","2019::jama.2019.14630::C003","NOT FROZEN")</x:f>
        <x:v>2019::jama.2019.14630::C003</x:v>
      </x:c>
      <x:c r="B35" s="3" t="str">
        <x:f>IF(Setup!$B$6="primary",IF(INDEX('C_jama.2019.14630'!$D$2:$D$10,MATCH("2019::jama.2019.14630::C003",'C_jama.2019.14630'!$A$2:$A$10,0))="","",INDEX('C_jama.2019.14630'!$D$2:$D$10,MATCH("2019::jama.2019.14630::C003",'C_jama.2019.14630'!$A$2:$A$10,0))),"NOT FROZEN")</x:f>
        <x:v>retain</x:v>
      </x:c>
      <x:c r="C35" s="3" t="str">
        <x:f>IF(Setup!$B$6="primary",IF(INDEX('C_jama.2019.14630'!$E$2:$E$10,MATCH("2019::jama.2019.14630::C003",'C_jama.2019.14630'!$A$2:$A$10,0))="","",INDEX('C_jama.2019.14630'!$E$2:$E$10,MATCH("2019::jama.2019.14630::C003",'C_jama.2019.14630'!$A$2:$A$10,0))),"NOT FROZEN")</x:f>
        <x:v>report_internal_inconsistency</x:v>
      </x:c>
      <x:c r="D35" s="3" t="str">
        <x:f>IF(Setup!$B$6="primary",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NOT FROZEN")</x:f>
        <x:v>not_applicable</x:v>
      </x:c>
      <x:c r="E35" s="3" t="str">
        <x:f>IF(Setup!$B$6="primary",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NOT FROZEN")</x:f>
        <x:v>not_applicable</x:v>
      </x:c>
      <x:c r="F35" s="3" t="str">
        <x:f>IF(Setup!$B$6="primary",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NOT FROZEN")</x:f>
        <x:v>not_applicable</x:v>
      </x:c>
      <x:c r="G35" s="3" t="str">
        <x:f>IF(Setup!$B$6="primary",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NOT FROZEN")</x:f>
        <x:v>substantive_inconsistency</x:v>
      </x:c>
      <x:c r="H35" s="3" t="str">
        <x:f>IF(Setup!$B$6="primary",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NOT FROZEN")</x:f>
        <x:v>not_applicable</x:v>
      </x:c>
      <x:c r="I35" s="3" t="str">
        <x:f>IF(Setup!$B$6="primary",IF(INDEX('C_jama.2019.14630'!$R$2:$R$10,MATCH("2019::jama.2019.14630::C003",'C_jama.2019.14630'!$A$2:$A$10,0))="","",INDEX('C_jama.2019.14630'!$R$2:$R$10,MATCH("2019::jama.2019.14630::C003",'C_jama.2019.14630'!$A$2:$A$10,0))),"NOT FROZEN")</x:f>
      </x:c>
      <x:c r="J35" s="3" t="str">
        <x:f>IF(Setup!$B$6="primary",INDEX('C_jama.2019.14630'!$F$2:$F$10,MATCH("2019::jama.2019.14630::C003",'C_jama.2019.14630'!$A$2:$A$10,0)),"NOT FROZEN")</x:f>
        <x:v>primary_done</x:v>
      </x:c>
      <x:c r="K35" s="3" t="str">
        <x:f>IF(Setup!$B$6="primary",Setup!$B$2,"NOT FROZEN")</x:f>
        <x:v>TEST_PRIMARY</x:v>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Disposition: retain
Review domain: report_internal_inconsistency
Report-internal or planning-material inconsistency: substantive_inconsistency
</x:v>
      </x:c>
    </x:row>
    <x:row r="36" ht="70" customHeight="1">
      <x:c r="A36" s="6" t="str">
        <x:f>IF(Setup!$B$6="primary","2019::jama.2019.14630::C004","NOT FROZEN")</x:f>
        <x:v>2019::jama.2019.14630::C004</x:v>
      </x:c>
      <x:c r="B36" s="6" t="str">
        <x:f>IF(Setup!$B$6="primary",IF(INDEX('C_jama.2019.14630'!$D$2:$D$10,MATCH("2019::jama.2019.14630::C004",'C_jama.2019.14630'!$A$2:$A$10,0))="","",INDEX('C_jama.2019.14630'!$D$2:$D$10,MATCH("2019::jama.2019.14630::C004",'C_jama.2019.14630'!$A$2:$A$10,0))),"NOT FROZEN")</x:f>
        <x:v>retain</x:v>
      </x:c>
      <x:c r="C36" s="6" t="str">
        <x:f>IF(Setup!$B$6="primary",IF(INDEX('C_jama.2019.14630'!$E$2:$E$10,MATCH("2019::jama.2019.14630::C004",'C_jama.2019.14630'!$A$2:$A$10,0))="","",INDEX('C_jama.2019.14630'!$E$2:$E$10,MATCH("2019::jama.2019.14630::C004",'C_jama.2019.14630'!$A$2:$A$10,0))),"NOT FROZEN")</x:f>
        <x:v>report_internal_inconsistency</x:v>
      </x:c>
      <x:c r="D36" s="6" t="str">
        <x:f>IF(Setup!$B$6="primary",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NOT FROZEN")</x:f>
        <x:v>not_applicable</x:v>
      </x:c>
      <x:c r="E36" s="6" t="str">
        <x:f>IF(Setup!$B$6="primary",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NOT FROZEN")</x:f>
        <x:v>not_applicable</x:v>
      </x:c>
      <x:c r="F36" s="6" t="str">
        <x:f>IF(Setup!$B$6="primary",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NOT FROZEN")</x:f>
        <x:v>not_applicable</x:v>
      </x:c>
      <x:c r="G36" s="6" t="str">
        <x:f>IF(Setup!$B$6="primary",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NOT FROZEN")</x:f>
        <x:v>substantive_inconsistency</x:v>
      </x:c>
      <x:c r="H36" s="6" t="str">
        <x:f>IF(Setup!$B$6="primary",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NOT FROZEN")</x:f>
        <x:v>not_applicable</x:v>
      </x:c>
      <x:c r="I36" s="6" t="str">
        <x:f>IF(Setup!$B$6="primary",IF(INDEX('C_jama.2019.14630'!$R$2:$R$10,MATCH("2019::jama.2019.14630::C004",'C_jama.2019.14630'!$A$2:$A$10,0))="","",INDEX('C_jama.2019.14630'!$R$2:$R$10,MATCH("2019::jama.2019.14630::C004",'C_jama.2019.14630'!$A$2:$A$10,0))),"NOT FROZEN")</x:f>
      </x:c>
      <x:c r="J36" s="6" t="str">
        <x:f>IF(Setup!$B$6="primary",INDEX('C_jama.2019.14630'!$F$2:$F$10,MATCH("2019::jama.2019.14630::C004",'C_jama.2019.14630'!$A$2:$A$10,0)),"NOT FROZEN")</x:f>
        <x:v>primary_done</x:v>
      </x:c>
      <x:c r="K36" s="6" t="str">
        <x:f>IF(Setup!$B$6="primary",Setup!$B$2,"NOT FROZEN")</x:f>
        <x:v>TEST_PRIMARY</x:v>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Disposition: retain
Review domain: report_internal_inconsistency
Report-internal or planning-material inconsistency: substantive_inconsistency
</x:v>
      </x:c>
    </x:row>
    <x:row r="37" ht="70" customHeight="1">
      <x:c r="A37" s="3" t="str">
        <x:f>IF(Setup!$B$6="primary","2019::jama.2019.14630::C005","NOT FROZEN")</x:f>
        <x:v>2019::jama.2019.14630::C005</x:v>
      </x:c>
      <x:c r="B37" s="3" t="str">
        <x:f>IF(Setup!$B$6="primary",IF(INDEX('C_jama.2019.14630'!$D$2:$D$10,MATCH("2019::jama.2019.14630::C005",'C_jama.2019.14630'!$A$2:$A$10,0))="","",INDEX('C_jama.2019.14630'!$D$2:$D$10,MATCH("2019::jama.2019.14630::C005",'C_jama.2019.14630'!$A$2:$A$10,0))),"NOT FROZEN")</x:f>
        <x:v>retain</x:v>
      </x:c>
      <x:c r="C37" s="3" t="str">
        <x:f>IF(Setup!$B$6="primary",IF(INDEX('C_jama.2019.14630'!$E$2:$E$10,MATCH("2019::jama.2019.14630::C005",'C_jama.2019.14630'!$A$2:$A$10,0))="","",INDEX('C_jama.2019.14630'!$E$2:$E$10,MATCH("2019::jama.2019.14630::C005",'C_jama.2019.14630'!$A$2:$A$10,0))),"NOT FROZEN")</x:f>
        <x:v>report_internal_inconsistency</x:v>
      </x:c>
      <x:c r="D37" s="3" t="str">
        <x:f>IF(Setup!$B$6="primary",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NOT FROZEN")</x:f>
        <x:v>not_applicable</x:v>
      </x:c>
      <x:c r="E37" s="3" t="str">
        <x:f>IF(Setup!$B$6="primary",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NOT FROZEN")</x:f>
        <x:v>not_applicable</x:v>
      </x:c>
      <x:c r="F37" s="3" t="str">
        <x:f>IF(Setup!$B$6="primary",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NOT FROZEN")</x:f>
        <x:v>not_applicable</x:v>
      </x:c>
      <x:c r="G37" s="3" t="str">
        <x:f>IF(Setup!$B$6="primary",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NOT FROZEN")</x:f>
        <x:v>substantive_inconsistency</x:v>
      </x:c>
      <x:c r="H37" s="3" t="str">
        <x:f>IF(Setup!$B$6="primary",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NOT FROZEN")</x:f>
        <x:v>not_applicable</x:v>
      </x:c>
      <x:c r="I37" s="3" t="str">
        <x:f>IF(Setup!$B$6="primary",IF(INDEX('C_jama.2019.14630'!$R$2:$R$10,MATCH("2019::jama.2019.14630::C005",'C_jama.2019.14630'!$A$2:$A$10,0))="","",INDEX('C_jama.2019.14630'!$R$2:$R$10,MATCH("2019::jama.2019.14630::C005",'C_jama.2019.14630'!$A$2:$A$10,0))),"NOT FROZEN")</x:f>
      </x:c>
      <x:c r="J37" s="3" t="str">
        <x:f>IF(Setup!$B$6="primary",INDEX('C_jama.2019.14630'!$F$2:$F$10,MATCH("2019::jama.2019.14630::C005",'C_jama.2019.14630'!$A$2:$A$10,0)),"NOT FROZEN")</x:f>
        <x:v>primary_done</x:v>
      </x:c>
      <x:c r="K37" s="3" t="str">
        <x:f>IF(Setup!$B$6="primary",Setup!$B$2,"NOT FROZEN")</x:f>
        <x:v>TEST_PRIMARY</x:v>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Disposition: retain
Review domain: report_internal_inconsistency
Report-internal or planning-material inconsistency: substantive_inconsistency
</x:v>
      </x:c>
    </x:row>
    <x:row r="38" ht="70" customHeight="1">
      <x:c r="A38" s="6" t="str">
        <x:f>IF(Setup!$B$6="primary","2019::jama.2019.14630::C006","NOT FROZEN")</x:f>
        <x:v>2019::jama.2019.14630::C006</x:v>
      </x:c>
      <x:c r="B38" s="6" t="str">
        <x:f>IF(Setup!$B$6="primary",IF(INDEX('C_jama.2019.14630'!$D$2:$D$10,MATCH("2019::jama.2019.14630::C006",'C_jama.2019.14630'!$A$2:$A$10,0))="","",INDEX('C_jama.2019.14630'!$D$2:$D$10,MATCH("2019::jama.2019.14630::C006",'C_jama.2019.14630'!$A$2:$A$10,0))),"NOT FROZEN")</x:f>
        <x:v>retain</x:v>
      </x:c>
      <x:c r="C38" s="6" t="str">
        <x:f>IF(Setup!$B$6="primary",IF(INDEX('C_jama.2019.14630'!$E$2:$E$10,MATCH("2019::jama.2019.14630::C006",'C_jama.2019.14630'!$A$2:$A$10,0))="","",INDEX('C_jama.2019.14630'!$E$2:$E$10,MATCH("2019::jama.2019.14630::C006",'C_jama.2019.14630'!$A$2:$A$10,0))),"NOT FROZEN")</x:f>
        <x:v>report_internal_inconsistency</x:v>
      </x:c>
      <x:c r="D38" s="6" t="str">
        <x:f>IF(Setup!$B$6="primary",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NOT FROZEN")</x:f>
        <x:v>not_applicable</x:v>
      </x:c>
      <x:c r="E38" s="6" t="str">
        <x:f>IF(Setup!$B$6="primary",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NOT FROZEN")</x:f>
        <x:v>not_applicable</x:v>
      </x:c>
      <x:c r="F38" s="6" t="str">
        <x:f>IF(Setup!$B$6="primary",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NOT FROZEN")</x:f>
        <x:v>not_applicable</x:v>
      </x:c>
      <x:c r="G38" s="6" t="str">
        <x:f>IF(Setup!$B$6="primary",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NOT FROZEN")</x:f>
        <x:v>substantive_inconsistency</x:v>
      </x:c>
      <x:c r="H38" s="6" t="str">
        <x:f>IF(Setup!$B$6="primary",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NOT FROZEN")</x:f>
        <x:v>not_applicable</x:v>
      </x:c>
      <x:c r="I38" s="6" t="str">
        <x:f>IF(Setup!$B$6="primary",IF(INDEX('C_jama.2019.14630'!$R$2:$R$10,MATCH("2019::jama.2019.14630::C006",'C_jama.2019.14630'!$A$2:$A$10,0))="","",INDEX('C_jama.2019.14630'!$R$2:$R$10,MATCH("2019::jama.2019.14630::C006",'C_jama.2019.14630'!$A$2:$A$10,0))),"NOT FROZEN")</x:f>
      </x:c>
      <x:c r="J38" s="6" t="str">
        <x:f>IF(Setup!$B$6="primary",INDEX('C_jama.2019.14630'!$F$2:$F$10,MATCH("2019::jama.2019.14630::C006",'C_jama.2019.14630'!$A$2:$A$10,0)),"NOT FROZEN")</x:f>
        <x:v>primary_done</x:v>
      </x:c>
      <x:c r="K38" s="6" t="str">
        <x:f>IF(Setup!$B$6="primary",Setup!$B$2,"NOT FROZEN")</x:f>
        <x:v>TEST_PRIMARY</x:v>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Disposition: retain
Review domain: report_internal_inconsistency
Report-internal or planning-material inconsistency: substantive_inconsistency
</x:v>
      </x:c>
    </x:row>
    <x:row r="39" ht="70" customHeight="1">
      <x:c r="A39" s="3" t="str">
        <x:f>IF(Setup!$B$6="primary","2019::jama.2019.14630::C007","NOT FROZEN")</x:f>
        <x:v>2019::jama.2019.14630::C007</x:v>
      </x:c>
      <x:c r="B39" s="3" t="str">
        <x:f>IF(Setup!$B$6="primary",IF(INDEX('C_jama.2019.14630'!$D$2:$D$10,MATCH("2019::jama.2019.14630::C007",'C_jama.2019.14630'!$A$2:$A$10,0))="","",INDEX('C_jama.2019.14630'!$D$2:$D$10,MATCH("2019::jama.2019.14630::C007",'C_jama.2019.14630'!$A$2:$A$10,0))),"NOT FROZEN")</x:f>
        <x:v>retain</x:v>
      </x:c>
      <x:c r="C39" s="3" t="str">
        <x:f>IF(Setup!$B$6="primary",IF(INDEX('C_jama.2019.14630'!$E$2:$E$10,MATCH("2019::jama.2019.14630::C007",'C_jama.2019.14630'!$A$2:$A$10,0))="","",INDEX('C_jama.2019.14630'!$E$2:$E$10,MATCH("2019::jama.2019.14630::C007",'C_jama.2019.14630'!$A$2:$A$10,0))),"NOT FROZEN")</x:f>
        <x:v>report_internal_inconsistency</x:v>
      </x:c>
      <x:c r="D39" s="3" t="str">
        <x:f>IF(Setup!$B$6="primary",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NOT FROZEN")</x:f>
        <x:v>not_applicable</x:v>
      </x:c>
      <x:c r="E39" s="3" t="str">
        <x:f>IF(Setup!$B$6="primary",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NOT FROZEN")</x:f>
        <x:v>not_applicable</x:v>
      </x:c>
      <x:c r="F39" s="3" t="str">
        <x:f>IF(Setup!$B$6="primary",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NOT FROZEN")</x:f>
        <x:v>not_applicable</x:v>
      </x:c>
      <x:c r="G39" s="3" t="str">
        <x:f>IF(Setup!$B$6="primary",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NOT FROZEN")</x:f>
        <x:v>substantive_inconsistency</x:v>
      </x:c>
      <x:c r="H39" s="3" t="str">
        <x:f>IF(Setup!$B$6="primary",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NOT FROZEN")</x:f>
        <x:v>not_applicable</x:v>
      </x:c>
      <x:c r="I39" s="3" t="str">
        <x:f>IF(Setup!$B$6="primary",IF(INDEX('C_jama.2019.14630'!$R$2:$R$10,MATCH("2019::jama.2019.14630::C007",'C_jama.2019.14630'!$A$2:$A$10,0))="","",INDEX('C_jama.2019.14630'!$R$2:$R$10,MATCH("2019::jama.2019.14630::C007",'C_jama.2019.14630'!$A$2:$A$10,0))),"NOT FROZEN")</x:f>
      </x:c>
      <x:c r="J39" s="3" t="str">
        <x:f>IF(Setup!$B$6="primary",INDEX('C_jama.2019.14630'!$F$2:$F$10,MATCH("2019::jama.2019.14630::C007",'C_jama.2019.14630'!$A$2:$A$10,0)),"NOT FROZEN")</x:f>
        <x:v>primary_done</x:v>
      </x:c>
      <x:c r="K39" s="3" t="str">
        <x:f>IF(Setup!$B$6="primary",Setup!$B$2,"NOT FROZEN")</x:f>
        <x:v>TEST_PRIMARY</x:v>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Disposition: retain
Review domain: report_internal_inconsistency
Report-internal or planning-material inconsistency: substantive_inconsistency
</x:v>
      </x:c>
    </x:row>
    <x:row r="40" ht="70" customHeight="1">
      <x:c r="A40" s="6" t="str">
        <x:f>IF(Setup!$B$6="primary","2019::jama.2019.14630::C008","NOT FROZEN")</x:f>
        <x:v>2019::jama.2019.14630::C008</x:v>
      </x:c>
      <x:c r="B40" s="6" t="str">
        <x:f>IF(Setup!$B$6="primary",IF(INDEX('C_jama.2019.14630'!$D$2:$D$10,MATCH("2019::jama.2019.14630::C008",'C_jama.2019.14630'!$A$2:$A$10,0))="","",INDEX('C_jama.2019.14630'!$D$2:$D$10,MATCH("2019::jama.2019.14630::C008",'C_jama.2019.14630'!$A$2:$A$10,0))),"NOT FROZEN")</x:f>
        <x:v>retain</x:v>
      </x:c>
      <x:c r="C40" s="6" t="str">
        <x:f>IF(Setup!$B$6="primary",IF(INDEX('C_jama.2019.14630'!$E$2:$E$10,MATCH("2019::jama.2019.14630::C008",'C_jama.2019.14630'!$A$2:$A$10,0))="","",INDEX('C_jama.2019.14630'!$E$2:$E$10,MATCH("2019::jama.2019.14630::C008",'C_jama.2019.14630'!$A$2:$A$10,0))),"NOT FROZEN")</x:f>
        <x:v>report_internal_inconsistency</x:v>
      </x:c>
      <x:c r="D40" s="6" t="str">
        <x:f>IF(Setup!$B$6="primary",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NOT FROZEN")</x:f>
        <x:v>not_applicable</x:v>
      </x:c>
      <x:c r="E40" s="6" t="str">
        <x:f>IF(Setup!$B$6="primary",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NOT FROZEN")</x:f>
        <x:v>not_applicable</x:v>
      </x:c>
      <x:c r="F40" s="6" t="str">
        <x:f>IF(Setup!$B$6="primary",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NOT FROZEN")</x:f>
        <x:v>not_applicable</x:v>
      </x:c>
      <x:c r="G40" s="6" t="str">
        <x:f>IF(Setup!$B$6="primary",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NOT FROZEN")</x:f>
        <x:v>substantive_inconsistency</x:v>
      </x:c>
      <x:c r="H40" s="6" t="str">
        <x:f>IF(Setup!$B$6="primary",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NOT FROZEN")</x:f>
        <x:v>not_applicable</x:v>
      </x:c>
      <x:c r="I40" s="6" t="str">
        <x:f>IF(Setup!$B$6="primary",IF(INDEX('C_jama.2019.14630'!$R$2:$R$10,MATCH("2019::jama.2019.14630::C008",'C_jama.2019.14630'!$A$2:$A$10,0))="","",INDEX('C_jama.2019.14630'!$R$2:$R$10,MATCH("2019::jama.2019.14630::C008",'C_jama.2019.14630'!$A$2:$A$10,0))),"NOT FROZEN")</x:f>
      </x:c>
      <x:c r="J40" s="6" t="str">
        <x:f>IF(Setup!$B$6="primary",INDEX('C_jama.2019.14630'!$F$2:$F$10,MATCH("2019::jama.2019.14630::C008",'C_jama.2019.14630'!$A$2:$A$10,0)),"NOT FROZEN")</x:f>
        <x:v>primary_done</x:v>
      </x:c>
      <x:c r="K40" s="6" t="str">
        <x:f>IF(Setup!$B$6="primary",Setup!$B$2,"NOT FROZEN")</x:f>
        <x:v>TEST_PRIMARY</x:v>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Disposition: retain
Review domain: report_internal_inconsistency
Report-internal or planning-material inconsistency: substantive_inconsistency
</x:v>
      </x:c>
    </x:row>
    <x:row r="41" ht="70" customHeight="1">
      <x:c r="A41" s="3" t="str">
        <x:f>IF(Setup!$B$6="primary","2019::jama.2019.14630::C009","NOT FROZEN")</x:f>
        <x:v>2019::jama.2019.14630::C009</x:v>
      </x:c>
      <x:c r="B41" s="3" t="str">
        <x:f>IF(Setup!$B$6="primary",IF(INDEX('C_jama.2019.14630'!$D$2:$D$10,MATCH("2019::jama.2019.14630::C009",'C_jama.2019.14630'!$A$2:$A$10,0))="","",INDEX('C_jama.2019.14630'!$D$2:$D$10,MATCH("2019::jama.2019.14630::C009",'C_jama.2019.14630'!$A$2:$A$10,0))),"NOT FROZEN")</x:f>
        <x:v>retain</x:v>
      </x:c>
      <x:c r="C41" s="3" t="str">
        <x:f>IF(Setup!$B$6="primary",IF(INDEX('C_jama.2019.14630'!$E$2:$E$10,MATCH("2019::jama.2019.14630::C009",'C_jama.2019.14630'!$A$2:$A$10,0))="","",INDEX('C_jama.2019.14630'!$E$2:$E$10,MATCH("2019::jama.2019.14630::C009",'C_jama.2019.14630'!$A$2:$A$10,0))),"NOT FROZEN")</x:f>
        <x:v>report_internal_inconsistency</x:v>
      </x:c>
      <x:c r="D41" s="3" t="str">
        <x:f>IF(Setup!$B$6="primary",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NOT FROZEN")</x:f>
        <x:v>not_applicable</x:v>
      </x:c>
      <x:c r="E41" s="3" t="str">
        <x:f>IF(Setup!$B$6="primary",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NOT FROZEN")</x:f>
        <x:v>not_applicable</x:v>
      </x:c>
      <x:c r="F41" s="3" t="str">
        <x:f>IF(Setup!$B$6="primary",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NOT FROZEN")</x:f>
        <x:v>not_applicable</x:v>
      </x:c>
      <x:c r="G41" s="3" t="str">
        <x:f>IF(Setup!$B$6="primary",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NOT FROZEN")</x:f>
        <x:v>substantive_inconsistency</x:v>
      </x:c>
      <x:c r="H41" s="3" t="str">
        <x:f>IF(Setup!$B$6="primary",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NOT FROZEN")</x:f>
        <x:v>not_applicable</x:v>
      </x:c>
      <x:c r="I41" s="3" t="str">
        <x:f>IF(Setup!$B$6="primary",IF(INDEX('C_jama.2019.14630'!$R$2:$R$10,MATCH("2019::jama.2019.14630::C009",'C_jama.2019.14630'!$A$2:$A$10,0))="","",INDEX('C_jama.2019.14630'!$R$2:$R$10,MATCH("2019::jama.2019.14630::C009",'C_jama.2019.14630'!$A$2:$A$10,0))),"NOT FROZEN")</x:f>
      </x:c>
      <x:c r="J41" s="3" t="str">
        <x:f>IF(Setup!$B$6="primary",INDEX('C_jama.2019.14630'!$F$2:$F$10,MATCH("2019::jama.2019.14630::C009",'C_jama.2019.14630'!$A$2:$A$10,0)),"NOT FROZEN")</x:f>
        <x:v>primary_done</x:v>
      </x:c>
      <x:c r="K41" s="3" t="str">
        <x:f>IF(Setup!$B$6="primary",Setup!$B$2,"NOT FROZEN")</x:f>
        <x:v>TEST_PRIMARY</x:v>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Disposition: retain
Review domain: report_internal_inconsistency
Report-internal or planning-material inconsistency: substantive_inconsistency
</x:v>
      </x:c>
    </x:row>
    <x:row r="42" ht="70" customHeight="1">
      <x:c r="A42" s="6" t="str">
        <x:f>IF(Setup!$B$6="primary","2019::jama.2019.14901::C001","NOT FROZEN")</x:f>
        <x:v>2019::jama.2019.14901::C001</x:v>
      </x:c>
      <x:c r="B42" s="6" t="str">
        <x:f>IF(Setup!$B$6="primary",IF(INDEX('C_jama.2019.14901'!$D$2:$D$7,MATCH("2019::jama.2019.14901::C001",'C_jama.2019.14901'!$A$2:$A$7,0))="","",INDEX('C_jama.2019.14901'!$D$2:$D$7,MATCH("2019::jama.2019.14901::C001",'C_jama.2019.14901'!$A$2:$A$7,0))),"NOT FROZEN")</x:f>
        <x:v>retain</x:v>
      </x:c>
      <x:c r="C42" s="6" t="str">
        <x:f>IF(Setup!$B$6="primary",IF(INDEX('C_jama.2019.14901'!$E$2:$E$7,MATCH("2019::jama.2019.14901::C001",'C_jama.2019.14901'!$A$2:$A$7,0))="","",INDEX('C_jama.2019.14901'!$E$2:$E$7,MATCH("2019::jama.2019.14901::C001",'C_jama.2019.14901'!$A$2:$A$7,0))),"NOT FROZEN")</x:f>
        <x:v>statistical_results</x:v>
      </x:c>
      <x:c r="D42" s="6" t="str">
        <x:f>IF(Setup!$B$6="primary",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NOT FROZEN")</x:f>
        <x:v>confirmed_issue</x:v>
      </x:c>
      <x:c r="E42" s="6" t="str">
        <x:f>IF(Setup!$B$6="primary",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NOT FROZEN")</x:f>
        <x:v>substantive</x:v>
      </x:c>
      <x:c r="F42" s="6" t="str">
        <x:f>IF(Setup!$B$6="primary",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NOT FROZEN")</x:f>
      </x:c>
      <x:c r="G42" s="6" t="str">
        <x:f>IF(Setup!$B$6="primary",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NOT FROZEN")</x:f>
        <x:v>not_applicable</x:v>
      </x:c>
      <x:c r="H42" s="6" t="str">
        <x:f>IF(Setup!$B$6="primary",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NOT FROZEN")</x:f>
        <x:v>not_applicable</x:v>
      </x:c>
      <x:c r="I42" s="6" t="str">
        <x:f>IF(Setup!$B$6="primary",IF(INDEX('C_jama.2019.14901'!$R$2:$R$7,MATCH("2019::jama.2019.14901::C001",'C_jama.2019.14901'!$A$2:$A$7,0))="","",INDEX('C_jama.2019.14901'!$R$2:$R$7,MATCH("2019::jama.2019.14901::C001",'C_jama.2019.14901'!$A$2:$A$7,0))),"NOT FROZEN")</x:f>
      </x:c>
      <x:c r="J42" s="6" t="str">
        <x:f>IF(Setup!$B$6="primary",INDEX('C_jama.2019.14901'!$F$2:$F$7,MATCH("2019::jama.2019.14901::C001",'C_jama.2019.14901'!$A$2:$A$7,0)),"NOT FROZEN")</x:f>
        <x:v>primary_done</x:v>
      </x:c>
      <x:c r="K42" s="6" t="str">
        <x:f>IF(Setup!$B$6="primary",Setup!$B$2,"NOT FROZEN")</x:f>
        <x:v>TEST_PRIMARY</x:v>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Disposition: retain
Review domain: statistical_results
Statistcal_or_numerical issue: confirmed_issue
Substantiveness: substantive
</x:v>
      </x:c>
    </x:row>
    <x:row r="43" ht="70" customHeight="1">
      <x:c r="A43" s="3" t="str">
        <x:f>IF(Setup!$B$6="primary","2019::jama.2019.14901::C002","NOT FROZEN")</x:f>
        <x:v>2019::jama.2019.14901::C002</x:v>
      </x:c>
      <x:c r="B43" s="3" t="str">
        <x:f>IF(Setup!$B$6="primary",IF(INDEX('C_jama.2019.14901'!$D$2:$D$7,MATCH("2019::jama.2019.14901::C002",'C_jama.2019.14901'!$A$2:$A$7,0))="","",INDEX('C_jama.2019.14901'!$D$2:$D$7,MATCH("2019::jama.2019.14901::C002",'C_jama.2019.14901'!$A$2:$A$7,0))),"NOT FROZEN")</x:f>
        <x:v>retain</x:v>
      </x:c>
      <x:c r="C43" s="3" t="str">
        <x:f>IF(Setup!$B$6="primary",IF(INDEX('C_jama.2019.14901'!$E$2:$E$7,MATCH("2019::jama.2019.14901::C002",'C_jama.2019.14901'!$A$2:$A$7,0))="","",INDEX('C_jama.2019.14901'!$E$2:$E$7,MATCH("2019::jama.2019.14901::C002",'C_jama.2019.14901'!$A$2:$A$7,0))),"NOT FROZEN")</x:f>
        <x:v>protocol_report</x:v>
      </x:c>
      <x:c r="D43" s="3" t="str">
        <x:f>IF(Setup!$B$6="primary",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NOT FROZEN")</x:f>
        <x:v>not_applicable</x:v>
      </x:c>
      <x:c r="E43" s="3" t="str">
        <x:f>IF(Setup!$B$6="primary",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NOT FROZEN")</x:f>
        <x:v>not_applicable</x:v>
      </x:c>
      <x:c r="F43" s="3" t="str">
        <x:f>IF(Setup!$B$6="primary",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NOT FROZEN")</x:f>
        <x:v>not_applicable</x:v>
      </x:c>
      <x:c r="G43" s="3" t="str">
        <x:f>IF(Setup!$B$6="primary",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NOT FROZEN")</x:f>
        <x:v>not_applicable</x:v>
      </x:c>
      <x:c r="H43" s="3" t="str">
        <x:f>IF(Setup!$B$6="primary",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NOT FROZEN")</x:f>
      </x:c>
      <x:c r="I43" s="3" t="str">
        <x:f>IF(Setup!$B$6="primary",IF(INDEX('C_jama.2019.14901'!$R$2:$R$7,MATCH("2019::jama.2019.14901::C002",'C_jama.2019.14901'!$A$2:$A$7,0))="","",INDEX('C_jama.2019.14901'!$R$2:$R$7,MATCH("2019::jama.2019.14901::C002",'C_jama.2019.14901'!$A$2:$A$7,0))),"NOT FROZEN")</x:f>
      </x:c>
      <x:c r="J43" s="3" t="str">
        <x:f>IF(Setup!$B$6="primary",INDEX('C_jama.2019.14901'!$F$2:$F$7,MATCH("2019::jama.2019.14901::C002",'C_jama.2019.14901'!$A$2:$A$7,0)),"NOT FROZEN")</x:f>
        <x:v>primary_done</x:v>
      </x:c>
      <x:c r="K43" s="3" t="str">
        <x:f>IF(Setup!$B$6="primary",Setup!$B$2,"NOT FROZEN")</x:f>
        <x:v>TEST_PRIMARY</x:v>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Disposition: retain
Review domain: protocol_report
</x:v>
      </x:c>
    </x:row>
    <x:row r="44" ht="70" customHeight="1">
      <x:c r="A44" s="6" t="str">
        <x:f>IF(Setup!$B$6="primary","2019::jama.2019.14901::C003","NOT FROZEN")</x:f>
        <x:v>2019::jama.2019.14901::C003</x:v>
      </x:c>
      <x:c r="B44" s="6" t="str">
        <x:f>IF(Setup!$B$6="primary",IF(INDEX('C_jama.2019.14901'!$D$2:$D$7,MATCH("2019::jama.2019.14901::C003",'C_jama.2019.14901'!$A$2:$A$7,0))="","",INDEX('C_jama.2019.14901'!$D$2:$D$7,MATCH("2019::jama.2019.14901::C003",'C_jama.2019.14901'!$A$2:$A$7,0))),"NOT FROZEN")</x:f>
        <x:v>retain</x:v>
      </x:c>
      <x:c r="C44" s="6" t="str">
        <x:f>IF(Setup!$B$6="primary",IF(INDEX('C_jama.2019.14901'!$E$2:$E$7,MATCH("2019::jama.2019.14901::C003",'C_jama.2019.14901'!$A$2:$A$7,0))="","",INDEX('C_jama.2019.14901'!$E$2:$E$7,MATCH("2019::jama.2019.14901::C003",'C_jama.2019.14901'!$A$2:$A$7,0))),"NOT FROZEN")</x:f>
        <x:v>statistical_results</x:v>
      </x:c>
      <x:c r="D44" s="6" t="str">
        <x:f>IF(Setup!$B$6="primary",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NOT FROZEN")</x:f>
        <x:v>confirmed_issue</x:v>
      </x:c>
      <x:c r="E44" s="6" t="str">
        <x:f>IF(Setup!$B$6="primary",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NOT FROZEN")</x:f>
        <x:v>substantive</x:v>
      </x:c>
      <x:c r="F44" s="6" t="str">
        <x:f>IF(Setup!$B$6="primary",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NOT FROZEN")</x:f>
      </x:c>
      <x:c r="G44" s="6" t="str">
        <x:f>IF(Setup!$B$6="primary",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NOT FROZEN")</x:f>
        <x:v>not_applicable</x:v>
      </x:c>
      <x:c r="H44" s="6" t="str">
        <x:f>IF(Setup!$B$6="primary",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NOT FROZEN")</x:f>
        <x:v>not_applicable</x:v>
      </x:c>
      <x:c r="I44" s="6" t="str">
        <x:f>IF(Setup!$B$6="primary",IF(INDEX('C_jama.2019.14901'!$R$2:$R$7,MATCH("2019::jama.2019.14901::C003",'C_jama.2019.14901'!$A$2:$A$7,0))="","",INDEX('C_jama.2019.14901'!$R$2:$R$7,MATCH("2019::jama.2019.14901::C003",'C_jama.2019.14901'!$A$2:$A$7,0))),"NOT FROZEN")</x:f>
      </x:c>
      <x:c r="J44" s="6" t="str">
        <x:f>IF(Setup!$B$6="primary",INDEX('C_jama.2019.14901'!$F$2:$F$7,MATCH("2019::jama.2019.14901::C003",'C_jama.2019.14901'!$A$2:$A$7,0)),"NOT FROZEN")</x:f>
        <x:v>primary_done</x:v>
      </x:c>
      <x:c r="K44" s="6" t="str">
        <x:f>IF(Setup!$B$6="primary",Setup!$B$2,"NOT FROZEN")</x:f>
        <x:v>TEST_PRIMARY</x:v>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Disposition: retain
Review domain: statistical_results
Statistcal_or_numerical issue: confirmed_issue
Substantiveness: substantive
</x:v>
      </x:c>
    </x:row>
    <x:row r="45" ht="70" customHeight="1">
      <x:c r="A45" s="3" t="str">
        <x:f>IF(Setup!$B$6="primary","2019::jama.2019.14901::C004","NOT FROZEN")</x:f>
        <x:v>2019::jama.2019.14901::C004</x:v>
      </x:c>
      <x:c r="B45" s="3" t="str">
        <x:f>IF(Setup!$B$6="primary",IF(INDEX('C_jama.2019.14901'!$D$2:$D$7,MATCH("2019::jama.2019.14901::C004",'C_jama.2019.14901'!$A$2:$A$7,0))="","",INDEX('C_jama.2019.14901'!$D$2:$D$7,MATCH("2019::jama.2019.14901::C004",'C_jama.2019.14901'!$A$2:$A$7,0))),"NOT FROZEN")</x:f>
        <x:v>retain</x:v>
      </x:c>
      <x:c r="C45" s="3" t="str">
        <x:f>IF(Setup!$B$6="primary",IF(INDEX('C_jama.2019.14901'!$E$2:$E$7,MATCH("2019::jama.2019.14901::C004",'C_jama.2019.14901'!$A$2:$A$7,0))="","",INDEX('C_jama.2019.14901'!$E$2:$E$7,MATCH("2019::jama.2019.14901::C004",'C_jama.2019.14901'!$A$2:$A$7,0))),"NOT FROZEN")</x:f>
        <x:v>statistical_results</x:v>
      </x:c>
      <x:c r="D45" s="3" t="str">
        <x:f>IF(Setup!$B$6="primary",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NOT FROZEN")</x:f>
        <x:v>confirmed_issue</x:v>
      </x:c>
      <x:c r="E45" s="3" t="str">
        <x:f>IF(Setup!$B$6="primary",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NOT FROZEN")</x:f>
        <x:v>substantive</x:v>
      </x:c>
      <x:c r="F45" s="3" t="str">
        <x:f>IF(Setup!$B$6="primary",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NOT FROZEN")</x:f>
      </x:c>
      <x:c r="G45" s="3" t="str">
        <x:f>IF(Setup!$B$6="primary",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NOT FROZEN")</x:f>
        <x:v>not_applicable</x:v>
      </x:c>
      <x:c r="H45" s="3" t="str">
        <x:f>IF(Setup!$B$6="primary",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NOT FROZEN")</x:f>
        <x:v>not_applicable</x:v>
      </x:c>
      <x:c r="I45" s="3" t="str">
        <x:f>IF(Setup!$B$6="primary",IF(INDEX('C_jama.2019.14901'!$R$2:$R$7,MATCH("2019::jama.2019.14901::C004",'C_jama.2019.14901'!$A$2:$A$7,0))="","",INDEX('C_jama.2019.14901'!$R$2:$R$7,MATCH("2019::jama.2019.14901::C004",'C_jama.2019.14901'!$A$2:$A$7,0))),"NOT FROZEN")</x:f>
      </x:c>
      <x:c r="J45" s="3" t="str">
        <x:f>IF(Setup!$B$6="primary",INDEX('C_jama.2019.14901'!$F$2:$F$7,MATCH("2019::jama.2019.14901::C004",'C_jama.2019.14901'!$A$2:$A$7,0)),"NOT FROZEN")</x:f>
        <x:v>primary_done</x:v>
      </x:c>
      <x:c r="K45" s="3" t="str">
        <x:f>IF(Setup!$B$6="primary",Setup!$B$2,"NOT FROZEN")</x:f>
        <x:v>TEST_PRIMARY</x:v>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Disposition: retain
Review domain: statistical_results
Statistcal_or_numerical issue: confirmed_issue
Substantiveness: substantive
</x:v>
      </x:c>
    </x:row>
    <x:row r="46" ht="70" customHeight="1">
      <x:c r="A46" s="6" t="str">
        <x:f>IF(Setup!$B$6="primary","2019::jama.2019.14901::C005","NOT FROZEN")</x:f>
        <x:v>2019::jama.2019.14901::C005</x:v>
      </x:c>
      <x:c r="B46" s="6" t="str">
        <x:f>IF(Setup!$B$6="primary",IF(INDEX('C_jama.2019.14901'!$D$2:$D$7,MATCH("2019::jama.2019.14901::C005",'C_jama.2019.14901'!$A$2:$A$7,0))="","",INDEX('C_jama.2019.14901'!$D$2:$D$7,MATCH("2019::jama.2019.14901::C005",'C_jama.2019.14901'!$A$2:$A$7,0))),"NOT FROZEN")</x:f>
        <x:v>retain</x:v>
      </x:c>
      <x:c r="C46" s="6" t="str">
        <x:f>IF(Setup!$B$6="primary",IF(INDEX('C_jama.2019.14901'!$E$2:$E$7,MATCH("2019::jama.2019.14901::C005",'C_jama.2019.14901'!$A$2:$A$7,0))="","",INDEX('C_jama.2019.14901'!$E$2:$E$7,MATCH("2019::jama.2019.14901::C005",'C_jama.2019.14901'!$A$2:$A$7,0))),"NOT FROZEN")</x:f>
        <x:v>report_internal_inconsistency</x:v>
      </x:c>
      <x:c r="D46" s="6" t="str">
        <x:f>IF(Setup!$B$6="primary",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NOT FROZEN")</x:f>
        <x:v>not_applicable</x:v>
      </x:c>
      <x:c r="E46" s="6" t="str">
        <x:f>IF(Setup!$B$6="primary",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NOT FROZEN")</x:f>
        <x:v>not_applicable</x:v>
      </x:c>
      <x:c r="F46" s="6" t="str">
        <x:f>IF(Setup!$B$6="primary",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NOT FROZEN")</x:f>
        <x:v>not_applicable</x:v>
      </x:c>
      <x:c r="G46" s="6" t="str">
        <x:f>IF(Setup!$B$6="primary",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NOT FROZEN")</x:f>
        <x:v>substantive_inconsistency</x:v>
      </x:c>
      <x:c r="H46" s="6" t="str">
        <x:f>IF(Setup!$B$6="primary",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NOT FROZEN")</x:f>
        <x:v>not_applicable</x:v>
      </x:c>
      <x:c r="I46" s="6" t="str">
        <x:f>IF(Setup!$B$6="primary",IF(INDEX('C_jama.2019.14901'!$R$2:$R$7,MATCH("2019::jama.2019.14901::C005",'C_jama.2019.14901'!$A$2:$A$7,0))="","",INDEX('C_jama.2019.14901'!$R$2:$R$7,MATCH("2019::jama.2019.14901::C005",'C_jama.2019.14901'!$A$2:$A$7,0))),"NOT FROZEN")</x:f>
      </x:c>
      <x:c r="J46" s="6" t="str">
        <x:f>IF(Setup!$B$6="primary",INDEX('C_jama.2019.14901'!$F$2:$F$7,MATCH("2019::jama.2019.14901::C005",'C_jama.2019.14901'!$A$2:$A$7,0)),"NOT FROZEN")</x:f>
        <x:v>primary_done</x:v>
      </x:c>
      <x:c r="K46" s="6" t="str">
        <x:f>IF(Setup!$B$6="primary",Setup!$B$2,"NOT FROZEN")</x:f>
        <x:v>TEST_PRIMARY</x:v>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Disposition: retain
Review domain: report_internal_inconsistency
Report-internal or planning-material inconsistency: substantive_inconsistency
</x:v>
      </x:c>
    </x:row>
    <x:row r="47" ht="70" customHeight="1">
      <x:c r="A47" s="3" t="str">
        <x:f>IF(Setup!$B$6="primary","2019::jama.2019.14901::C006","NOT FROZEN")</x:f>
        <x:v>2019::jama.2019.14901::C006</x:v>
      </x:c>
      <x:c r="B47" s="3" t="str">
        <x:f>IF(Setup!$B$6="primary",IF(INDEX('C_jama.2019.14901'!$D$2:$D$7,MATCH("2019::jama.2019.14901::C006",'C_jama.2019.14901'!$A$2:$A$7,0))="","",INDEX('C_jama.2019.14901'!$D$2:$D$7,MATCH("2019::jama.2019.14901::C006",'C_jama.2019.14901'!$A$2:$A$7,0))),"NOT FROZEN")</x:f>
        <x:v>retain</x:v>
      </x:c>
      <x:c r="C47" s="3" t="str">
        <x:f>IF(Setup!$B$6="primary",IF(INDEX('C_jama.2019.14901'!$E$2:$E$7,MATCH("2019::jama.2019.14901::C006",'C_jama.2019.14901'!$A$2:$A$7,0))="","",INDEX('C_jama.2019.14901'!$E$2:$E$7,MATCH("2019::jama.2019.14901::C006",'C_jama.2019.14901'!$A$2:$A$7,0))),"NOT FROZEN")</x:f>
        <x:v>plan_material</x:v>
      </x:c>
      <x:c r="D47" s="3" t="str">
        <x:f>IF(Setup!$B$6="primary",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NOT FROZEN")</x:f>
        <x:v>not_applicable</x:v>
      </x:c>
      <x:c r="E47" s="3" t="str">
        <x:f>IF(Setup!$B$6="primary",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NOT FROZEN")</x:f>
        <x:v>not_applicable</x:v>
      </x:c>
      <x:c r="F47" s="3" t="str">
        <x:f>IF(Setup!$B$6="primary",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NOT FROZEN")</x:f>
        <x:v>not_applicable</x:v>
      </x:c>
      <x:c r="G47" s="3" t="str">
        <x:f>IF(Setup!$B$6="primary",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NOT FROZEN")</x:f>
        <x:v>substantive_inconsistency</x:v>
      </x:c>
      <x:c r="H47" s="3" t="str">
        <x:f>IF(Setup!$B$6="primary",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NOT FROZEN")</x:f>
        <x:v>not_applicable</x:v>
      </x:c>
      <x:c r="I47" s="3" t="str">
        <x:f>IF(Setup!$B$6="primary",IF(INDEX('C_jama.2019.14901'!$R$2:$R$7,MATCH("2019::jama.2019.14901::C006",'C_jama.2019.14901'!$A$2:$A$7,0))="","",INDEX('C_jama.2019.14901'!$R$2:$R$7,MATCH("2019::jama.2019.14901::C006",'C_jama.2019.14901'!$A$2:$A$7,0))),"NOT FROZEN")</x:f>
      </x:c>
      <x:c r="J47" s="3" t="str">
        <x:f>IF(Setup!$B$6="primary",INDEX('C_jama.2019.14901'!$F$2:$F$7,MATCH("2019::jama.2019.14901::C006",'C_jama.2019.14901'!$A$2:$A$7,0)),"NOT FROZEN")</x:f>
        <x:v>primary_done</x:v>
      </x:c>
      <x:c r="K47" s="3" t="str">
        <x:f>IF(Setup!$B$6="primary",Setup!$B$2,"NOT FROZEN")</x:f>
        <x:v>TEST_PRIMARY</x:v>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Disposition: retain
Review domain: plan_material
Report-internal or planning-material inconsistency: substantive_inconsistency
</x:v>
      </x:c>
    </x:row>
    <x:row r="48" ht="70" customHeight="1">
      <x:c r="A48" s="6" t="str">
        <x:f>IF(Setup!$B$6="primary","2019::jama.2019.17380::C001","NOT FROZEN")</x:f>
        <x:v>2019::jama.2019.17380::C001</x:v>
      </x:c>
      <x:c r="B48" s="6" t="str">
        <x:f>IF(Setup!$B$6="primary",IF(INDEX('C_jama.2019.17380'!$D$2:$D$8,MATCH("2019::jama.2019.17380::C001",'C_jama.2019.17380'!$A$2:$A$8,0))="","",INDEX('C_jama.2019.17380'!$D$2:$D$8,MATCH("2019::jama.2019.17380::C001",'C_jama.2019.17380'!$A$2:$A$8,0))),"NOT FROZEN")</x:f>
        <x:v>retain</x:v>
      </x:c>
      <x:c r="C48" s="6" t="str">
        <x:f>IF(Setup!$B$6="primary",IF(INDEX('C_jama.2019.17380'!$E$2:$E$8,MATCH("2019::jama.2019.17380::C001",'C_jama.2019.17380'!$A$2:$A$8,0))="","",INDEX('C_jama.2019.17380'!$E$2:$E$8,MATCH("2019::jama.2019.17380::C001",'C_jama.2019.17380'!$A$2:$A$8,0))),"NOT FROZEN")</x:f>
        <x:v>report_internal_inconsistency</x:v>
      </x:c>
      <x:c r="D48" s="6" t="str">
        <x:f>IF(Setup!$B$6="primary",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NOT FROZEN")</x:f>
        <x:v>not_applicable</x:v>
      </x:c>
      <x:c r="E48" s="6" t="str">
        <x:f>IF(Setup!$B$6="primary",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NOT FROZEN")</x:f>
        <x:v>not_applicable</x:v>
      </x:c>
      <x:c r="F48" s="6" t="str">
        <x:f>IF(Setup!$B$6="primary",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NOT FROZEN")</x:f>
        <x:v>not_applicable</x:v>
      </x:c>
      <x:c r="G48" s="6" t="str">
        <x:f>IF(Setup!$B$6="primary",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NOT FROZEN")</x:f>
        <x:v>substantive_inconsistency</x:v>
      </x:c>
      <x:c r="H48" s="6" t="str">
        <x:f>IF(Setup!$B$6="primary",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NOT FROZEN")</x:f>
        <x:v>not_applicable</x:v>
      </x:c>
      <x:c r="I48" s="6" t="str">
        <x:f>IF(Setup!$B$6="primary",IF(INDEX('C_jama.2019.17380'!$R$2:$R$8,MATCH("2019::jama.2019.17380::C001",'C_jama.2019.17380'!$A$2:$A$8,0))="","",INDEX('C_jama.2019.17380'!$R$2:$R$8,MATCH("2019::jama.2019.17380::C001",'C_jama.2019.17380'!$A$2:$A$8,0))),"NOT FROZEN")</x:f>
      </x:c>
      <x:c r="J48" s="6" t="str">
        <x:f>IF(Setup!$B$6="primary",INDEX('C_jama.2019.17380'!$F$2:$F$8,MATCH("2019::jama.2019.17380::C001",'C_jama.2019.17380'!$A$2:$A$8,0)),"NOT FROZEN")</x:f>
        <x:v>primary_done</x:v>
      </x:c>
      <x:c r="K48" s="6" t="str">
        <x:f>IF(Setup!$B$6="primary",Setup!$B$2,"NOT FROZEN")</x:f>
        <x:v>TEST_PRIMARY</x:v>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Disposition: retain
Review domain: report_internal_inconsistency
Report-internal or planning-material inconsistency: substantive_inconsistency
</x:v>
      </x:c>
    </x:row>
    <x:row r="49" ht="70" customHeight="1">
      <x:c r="A49" s="3" t="str">
        <x:f>IF(Setup!$B$6="primary","2019::jama.2019.17380::C002","NOT FROZEN")</x:f>
        <x:v>2019::jama.2019.17380::C002</x:v>
      </x:c>
      <x:c r="B49" s="3" t="str">
        <x:f>IF(Setup!$B$6="primary",IF(INDEX('C_jama.2019.17380'!$D$2:$D$8,MATCH("2019::jama.2019.17380::C002",'C_jama.2019.17380'!$A$2:$A$8,0))="","",INDEX('C_jama.2019.17380'!$D$2:$D$8,MATCH("2019::jama.2019.17380::C002",'C_jama.2019.17380'!$A$2:$A$8,0))),"NOT FROZEN")</x:f>
        <x:v>retain</x:v>
      </x:c>
      <x:c r="C49" s="3" t="str">
        <x:f>IF(Setup!$B$6="primary",IF(INDEX('C_jama.2019.17380'!$E$2:$E$8,MATCH("2019::jama.2019.17380::C002",'C_jama.2019.17380'!$A$2:$A$8,0))="","",INDEX('C_jama.2019.17380'!$E$2:$E$8,MATCH("2019::jama.2019.17380::C002",'C_jama.2019.17380'!$A$2:$A$8,0))),"NOT FROZEN")</x:f>
        <x:v>report_internal_inconsistency</x:v>
      </x:c>
      <x:c r="D49" s="3" t="str">
        <x:f>IF(Setup!$B$6="primary",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NOT FROZEN")</x:f>
        <x:v>not_applicable</x:v>
      </x:c>
      <x:c r="E49" s="3" t="str">
        <x:f>IF(Setup!$B$6="primary",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NOT FROZEN")</x:f>
        <x:v>not_applicable</x:v>
      </x:c>
      <x:c r="F49" s="3" t="str">
        <x:f>IF(Setup!$B$6="primary",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NOT FROZEN")</x:f>
        <x:v>not_applicable</x:v>
      </x:c>
      <x:c r="G49" s="3" t="str">
        <x:f>IF(Setup!$B$6="primary",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NOT FROZEN")</x:f>
        <x:v>substantive_inconsistency</x:v>
      </x:c>
      <x:c r="H49" s="3" t="str">
        <x:f>IF(Setup!$B$6="primary",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NOT FROZEN")</x:f>
        <x:v>not_applicable</x:v>
      </x:c>
      <x:c r="I49" s="3" t="str">
        <x:f>IF(Setup!$B$6="primary",IF(INDEX('C_jama.2019.17380'!$R$2:$R$8,MATCH("2019::jama.2019.17380::C002",'C_jama.2019.17380'!$A$2:$A$8,0))="","",INDEX('C_jama.2019.17380'!$R$2:$R$8,MATCH("2019::jama.2019.17380::C002",'C_jama.2019.17380'!$A$2:$A$8,0))),"NOT FROZEN")</x:f>
      </x:c>
      <x:c r="J49" s="3" t="str">
        <x:f>IF(Setup!$B$6="primary",INDEX('C_jama.2019.17380'!$F$2:$F$8,MATCH("2019::jama.2019.17380::C002",'C_jama.2019.17380'!$A$2:$A$8,0)),"NOT FROZEN")</x:f>
        <x:v>primary_done</x:v>
      </x:c>
      <x:c r="K49" s="3" t="str">
        <x:f>IF(Setup!$B$6="primary",Setup!$B$2,"NOT FROZEN")</x:f>
        <x:v>TEST_PRIMARY</x:v>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Disposition: retain
Review domain: report_internal_inconsistency
Report-internal or planning-material inconsistency: substantive_inconsistency
</x:v>
      </x:c>
    </x:row>
    <x:row r="50" ht="70" customHeight="1">
      <x:c r="A50" s="6" t="str">
        <x:f>IF(Setup!$B$6="primary","2019::jama.2019.17380::C003","NOT FROZEN")</x:f>
        <x:v>2019::jama.2019.17380::C003</x:v>
      </x:c>
      <x:c r="B50" s="6" t="str">
        <x:f>IF(Setup!$B$6="primary",IF(INDEX('C_jama.2019.17380'!$D$2:$D$8,MATCH("2019::jama.2019.17380::C003",'C_jama.2019.17380'!$A$2:$A$8,0))="","",INDEX('C_jama.2019.17380'!$D$2:$D$8,MATCH("2019::jama.2019.17380::C003",'C_jama.2019.17380'!$A$2:$A$8,0))),"NOT FROZEN")</x:f>
        <x:v>retain</x:v>
      </x:c>
      <x:c r="C50" s="6" t="str">
        <x:f>IF(Setup!$B$6="primary",IF(INDEX('C_jama.2019.17380'!$E$2:$E$8,MATCH("2019::jama.2019.17380::C003",'C_jama.2019.17380'!$A$2:$A$8,0))="","",INDEX('C_jama.2019.17380'!$E$2:$E$8,MATCH("2019::jama.2019.17380::C003",'C_jama.2019.17380'!$A$2:$A$8,0))),"NOT FROZEN")</x:f>
        <x:v>report_internal_inconsistency</x:v>
      </x:c>
      <x:c r="D50" s="6" t="str">
        <x:f>IF(Setup!$B$6="primary",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NOT FROZEN")</x:f>
        <x:v>not_applicable</x:v>
      </x:c>
      <x:c r="E50" s="6" t="str">
        <x:f>IF(Setup!$B$6="primary",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NOT FROZEN")</x:f>
        <x:v>not_applicable</x:v>
      </x:c>
      <x:c r="F50" s="6" t="str">
        <x:f>IF(Setup!$B$6="primary",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NOT FROZEN")</x:f>
        <x:v>not_applicable</x:v>
      </x:c>
      <x:c r="G50" s="6" t="str">
        <x:f>IF(Setup!$B$6="primary",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NOT FROZEN")</x:f>
        <x:v>substantive_inconsistency</x:v>
      </x:c>
      <x:c r="H50" s="6" t="str">
        <x:f>IF(Setup!$B$6="primary",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NOT FROZEN")</x:f>
        <x:v>not_applicable</x:v>
      </x:c>
      <x:c r="I50" s="6" t="str">
        <x:f>IF(Setup!$B$6="primary",IF(INDEX('C_jama.2019.17380'!$R$2:$R$8,MATCH("2019::jama.2019.17380::C003",'C_jama.2019.17380'!$A$2:$A$8,0))="","",INDEX('C_jama.2019.17380'!$R$2:$R$8,MATCH("2019::jama.2019.17380::C003",'C_jama.2019.17380'!$A$2:$A$8,0))),"NOT FROZEN")</x:f>
      </x:c>
      <x:c r="J50" s="6" t="str">
        <x:f>IF(Setup!$B$6="primary",INDEX('C_jama.2019.17380'!$F$2:$F$8,MATCH("2019::jama.2019.17380::C003",'C_jama.2019.17380'!$A$2:$A$8,0)),"NOT FROZEN")</x:f>
        <x:v>primary_done</x:v>
      </x:c>
      <x:c r="K50" s="6" t="str">
        <x:f>IF(Setup!$B$6="primary",Setup!$B$2,"NOT FROZEN")</x:f>
        <x:v>TEST_PRIMARY</x:v>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Disposition: retain
Review domain: report_internal_inconsistency
Report-internal or planning-material inconsistency: substantive_inconsistency
</x:v>
      </x:c>
    </x:row>
    <x:row r="51" ht="70" customHeight="1">
      <x:c r="A51" s="3" t="str">
        <x:f>IF(Setup!$B$6="primary","2019::jama.2019.17380::C004","NOT FROZEN")</x:f>
        <x:v>2019::jama.2019.17380::C004</x:v>
      </x:c>
      <x:c r="B51" s="3" t="str">
        <x:f>IF(Setup!$B$6="primary",IF(INDEX('C_jama.2019.17380'!$D$2:$D$8,MATCH("2019::jama.2019.17380::C004",'C_jama.2019.17380'!$A$2:$A$8,0))="","",INDEX('C_jama.2019.17380'!$D$2:$D$8,MATCH("2019::jama.2019.17380::C004",'C_jama.2019.17380'!$A$2:$A$8,0))),"NOT FROZEN")</x:f>
        <x:v>retain</x:v>
      </x:c>
      <x:c r="C51" s="3" t="str">
        <x:f>IF(Setup!$B$6="primary",IF(INDEX('C_jama.2019.17380'!$E$2:$E$8,MATCH("2019::jama.2019.17380::C004",'C_jama.2019.17380'!$A$2:$A$8,0))="","",INDEX('C_jama.2019.17380'!$E$2:$E$8,MATCH("2019::jama.2019.17380::C004",'C_jama.2019.17380'!$A$2:$A$8,0))),"NOT FROZEN")</x:f>
        <x:v>report_internal_inconsistency</x:v>
      </x:c>
      <x:c r="D51" s="3" t="str">
        <x:f>IF(Setup!$B$6="primary",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NOT FROZEN")</x:f>
        <x:v>not_applicable</x:v>
      </x:c>
      <x:c r="E51" s="3" t="str">
        <x:f>IF(Setup!$B$6="primary",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NOT FROZEN")</x:f>
        <x:v>not_applicable</x:v>
      </x:c>
      <x:c r="F51" s="3" t="str">
        <x:f>IF(Setup!$B$6="primary",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NOT FROZEN")</x:f>
        <x:v>not_applicable</x:v>
      </x:c>
      <x:c r="G51" s="3" t="str">
        <x:f>IF(Setup!$B$6="primary",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NOT FROZEN")</x:f>
        <x:v>substantive_inconsistency</x:v>
      </x:c>
      <x:c r="H51" s="3" t="str">
        <x:f>IF(Setup!$B$6="primary",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NOT FROZEN")</x:f>
        <x:v>not_applicable</x:v>
      </x:c>
      <x:c r="I51" s="3" t="str">
        <x:f>IF(Setup!$B$6="primary",IF(INDEX('C_jama.2019.17380'!$R$2:$R$8,MATCH("2019::jama.2019.17380::C004",'C_jama.2019.17380'!$A$2:$A$8,0))="","",INDEX('C_jama.2019.17380'!$R$2:$R$8,MATCH("2019::jama.2019.17380::C004",'C_jama.2019.17380'!$A$2:$A$8,0))),"NOT FROZEN")</x:f>
      </x:c>
      <x:c r="J51" s="3" t="str">
        <x:f>IF(Setup!$B$6="primary",INDEX('C_jama.2019.17380'!$F$2:$F$8,MATCH("2019::jama.2019.17380::C004",'C_jama.2019.17380'!$A$2:$A$8,0)),"NOT FROZEN")</x:f>
        <x:v>primary_done</x:v>
      </x:c>
      <x:c r="K51" s="3" t="str">
        <x:f>IF(Setup!$B$6="primary",Setup!$B$2,"NOT FROZEN")</x:f>
        <x:v>TEST_PRIMARY</x:v>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Disposition: retain
Review domain: report_internal_inconsistency
Report-internal or planning-material inconsistency: substantive_inconsistency
</x:v>
      </x:c>
    </x:row>
    <x:row r="52" ht="70" customHeight="1">
      <x:c r="A52" s="6" t="str">
        <x:f>IF(Setup!$B$6="primary","2019::jama.2019.17380::C005","NOT FROZEN")</x:f>
        <x:v>2019::jama.2019.17380::C005</x:v>
      </x:c>
      <x:c r="B52" s="6" t="str">
        <x:f>IF(Setup!$B$6="primary",IF(INDEX('C_jama.2019.17380'!$D$2:$D$8,MATCH("2019::jama.2019.17380::C005",'C_jama.2019.17380'!$A$2:$A$8,0))="","",INDEX('C_jama.2019.17380'!$D$2:$D$8,MATCH("2019::jama.2019.17380::C005",'C_jama.2019.17380'!$A$2:$A$8,0))),"NOT FROZEN")</x:f>
        <x:v>retain</x:v>
      </x:c>
      <x:c r="C52" s="6" t="str">
        <x:f>IF(Setup!$B$6="primary",IF(INDEX('C_jama.2019.17380'!$E$2:$E$8,MATCH("2019::jama.2019.17380::C005",'C_jama.2019.17380'!$A$2:$A$8,0))="","",INDEX('C_jama.2019.17380'!$E$2:$E$8,MATCH("2019::jama.2019.17380::C005",'C_jama.2019.17380'!$A$2:$A$8,0))),"NOT FROZEN")</x:f>
        <x:v>report_internal_inconsistency</x:v>
      </x:c>
      <x:c r="D52" s="6" t="str">
        <x:f>IF(Setup!$B$6="primary",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NOT FROZEN")</x:f>
        <x:v>not_applicable</x:v>
      </x:c>
      <x:c r="E52" s="6" t="str">
        <x:f>IF(Setup!$B$6="primary",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NOT FROZEN")</x:f>
        <x:v>not_applicable</x:v>
      </x:c>
      <x:c r="F52" s="6" t="str">
        <x:f>IF(Setup!$B$6="primary",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NOT FROZEN")</x:f>
        <x:v>not_applicable</x:v>
      </x:c>
      <x:c r="G52" s="6" t="str">
        <x:f>IF(Setup!$B$6="primary",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NOT FROZEN")</x:f>
        <x:v>substantive_inconsistency</x:v>
      </x:c>
      <x:c r="H52" s="6" t="str">
        <x:f>IF(Setup!$B$6="primary",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NOT FROZEN")</x:f>
        <x:v>not_applicable</x:v>
      </x:c>
      <x:c r="I52" s="6" t="str">
        <x:f>IF(Setup!$B$6="primary",IF(INDEX('C_jama.2019.17380'!$R$2:$R$8,MATCH("2019::jama.2019.17380::C005",'C_jama.2019.17380'!$A$2:$A$8,0))="","",INDEX('C_jama.2019.17380'!$R$2:$R$8,MATCH("2019::jama.2019.17380::C005",'C_jama.2019.17380'!$A$2:$A$8,0))),"NOT FROZEN")</x:f>
      </x:c>
      <x:c r="J52" s="6" t="str">
        <x:f>IF(Setup!$B$6="primary",INDEX('C_jama.2019.17380'!$F$2:$F$8,MATCH("2019::jama.2019.17380::C005",'C_jama.2019.17380'!$A$2:$A$8,0)),"NOT FROZEN")</x:f>
        <x:v>primary_done</x:v>
      </x:c>
      <x:c r="K52" s="6" t="str">
        <x:f>IF(Setup!$B$6="primary",Setup!$B$2,"NOT FROZEN")</x:f>
        <x:v>TEST_PRIMARY</x:v>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Disposition: retain
Review domain: report_internal_inconsistency
Report-internal or planning-material inconsistency: substantive_inconsistency
</x:v>
      </x:c>
    </x:row>
    <x:row r="53" ht="70" customHeight="1">
      <x:c r="A53" s="3" t="str">
        <x:f>IF(Setup!$B$6="primary","2019::jama.2019.17380::C006","NOT FROZEN")</x:f>
        <x:v>2019::jama.2019.17380::C006</x:v>
      </x:c>
      <x:c r="B53" s="3" t="str">
        <x:f>IF(Setup!$B$6="primary",IF(INDEX('C_jama.2019.17380'!$D$2:$D$8,MATCH("2019::jama.2019.17380::C006",'C_jama.2019.17380'!$A$2:$A$8,0))="","",INDEX('C_jama.2019.17380'!$D$2:$D$8,MATCH("2019::jama.2019.17380::C006",'C_jama.2019.17380'!$A$2:$A$8,0))),"NOT FROZEN")</x:f>
        <x:v>retain</x:v>
      </x:c>
      <x:c r="C53" s="3" t="str">
        <x:f>IF(Setup!$B$6="primary",IF(INDEX('C_jama.2019.17380'!$E$2:$E$8,MATCH("2019::jama.2019.17380::C006",'C_jama.2019.17380'!$A$2:$A$8,0))="","",INDEX('C_jama.2019.17380'!$E$2:$E$8,MATCH("2019::jama.2019.17380::C006",'C_jama.2019.17380'!$A$2:$A$8,0))),"NOT FROZEN")</x:f>
        <x:v>report_internal_inconsistency</x:v>
      </x:c>
      <x:c r="D53" s="3" t="str">
        <x:f>IF(Setup!$B$6="primary",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NOT FROZEN")</x:f>
        <x:v>not_applicable</x:v>
      </x:c>
      <x:c r="E53" s="3" t="str">
        <x:f>IF(Setup!$B$6="primary",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NOT FROZEN")</x:f>
        <x:v>not_applicable</x:v>
      </x:c>
      <x:c r="F53" s="3" t="str">
        <x:f>IF(Setup!$B$6="primary",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NOT FROZEN")</x:f>
        <x:v>not_applicable</x:v>
      </x:c>
      <x:c r="G53" s="3" t="str">
        <x:f>IF(Setup!$B$6="primary",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NOT FROZEN")</x:f>
        <x:v>substantive_inconsistency</x:v>
      </x:c>
      <x:c r="H53" s="3" t="str">
        <x:f>IF(Setup!$B$6="primary",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NOT FROZEN")</x:f>
        <x:v>not_applicable</x:v>
      </x:c>
      <x:c r="I53" s="3" t="str">
        <x:f>IF(Setup!$B$6="primary",IF(INDEX('C_jama.2019.17380'!$R$2:$R$8,MATCH("2019::jama.2019.17380::C006",'C_jama.2019.17380'!$A$2:$A$8,0))="","",INDEX('C_jama.2019.17380'!$R$2:$R$8,MATCH("2019::jama.2019.17380::C006",'C_jama.2019.17380'!$A$2:$A$8,0))),"NOT FROZEN")</x:f>
      </x:c>
      <x:c r="J53" s="3" t="str">
        <x:f>IF(Setup!$B$6="primary",INDEX('C_jama.2019.17380'!$F$2:$F$8,MATCH("2019::jama.2019.17380::C006",'C_jama.2019.17380'!$A$2:$A$8,0)),"NOT FROZEN")</x:f>
        <x:v>primary_done</x:v>
      </x:c>
      <x:c r="K53" s="3" t="str">
        <x:f>IF(Setup!$B$6="primary",Setup!$B$2,"NOT FROZEN")</x:f>
        <x:v>TEST_PRIMARY</x:v>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Disposition: retain
Review domain: report_internal_inconsistency
Report-internal or planning-material inconsistency: substantive_inconsistency
</x:v>
      </x:c>
    </x:row>
    <x:row r="54" ht="70" customHeight="1">
      <x:c r="A54" s="6" t="str">
        <x:f>IF(Setup!$B$6="primary","2019::jama.2019.17380::C007","NOT FROZEN")</x:f>
        <x:v>2019::jama.2019.17380::C007</x:v>
      </x:c>
      <x:c r="B54" s="6" t="str">
        <x:f>IF(Setup!$B$6="primary",IF(INDEX('C_jama.2019.17380'!$D$2:$D$8,MATCH("2019::jama.2019.17380::C007",'C_jama.2019.17380'!$A$2:$A$8,0))="","",INDEX('C_jama.2019.17380'!$D$2:$D$8,MATCH("2019::jama.2019.17380::C007",'C_jama.2019.17380'!$A$2:$A$8,0))),"NOT FROZEN")</x:f>
        <x:v>retain</x:v>
      </x:c>
      <x:c r="C54" s="6" t="str">
        <x:f>IF(Setup!$B$6="primary",IF(INDEX('C_jama.2019.17380'!$E$2:$E$8,MATCH("2019::jama.2019.17380::C007",'C_jama.2019.17380'!$A$2:$A$8,0))="","",INDEX('C_jama.2019.17380'!$E$2:$E$8,MATCH("2019::jama.2019.17380::C007",'C_jama.2019.17380'!$A$2:$A$8,0))),"NOT FROZEN")</x:f>
        <x:v>protocol_report</x:v>
      </x:c>
      <x:c r="D54" s="6" t="str">
        <x:f>IF(Setup!$B$6="primary",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NOT FROZEN")</x:f>
        <x:v>not_applicable</x:v>
      </x:c>
      <x:c r="E54" s="6" t="str">
        <x:f>IF(Setup!$B$6="primary",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NOT FROZEN")</x:f>
        <x:v>not_applicable</x:v>
      </x:c>
      <x:c r="F54" s="6" t="str">
        <x:f>IF(Setup!$B$6="primary",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NOT FROZEN")</x:f>
        <x:v>not_applicable</x:v>
      </x:c>
      <x:c r="G54" s="6" t="str">
        <x:f>IF(Setup!$B$6="primary",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NOT FROZEN")</x:f>
        <x:v>not_applicable</x:v>
      </x:c>
      <x:c r="H54" s="6" t="str">
        <x:f>IF(Setup!$B$6="primary",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NOT FROZEN")</x:f>
      </x:c>
      <x:c r="I54" s="6" t="str">
        <x:f>IF(Setup!$B$6="primary",IF(INDEX('C_jama.2019.17380'!$R$2:$R$8,MATCH("2019::jama.2019.17380::C007",'C_jama.2019.17380'!$A$2:$A$8,0))="","",INDEX('C_jama.2019.17380'!$R$2:$R$8,MATCH("2019::jama.2019.17380::C007",'C_jama.2019.17380'!$A$2:$A$8,0))),"NOT FROZEN")</x:f>
      </x:c>
      <x:c r="J54" s="6" t="str">
        <x:f>IF(Setup!$B$6="primary",INDEX('C_jama.2019.17380'!$F$2:$F$8,MATCH("2019::jama.2019.17380::C007",'C_jama.2019.17380'!$A$2:$A$8,0)),"NOT FROZEN")</x:f>
        <x:v>primary_done</x:v>
      </x:c>
      <x:c r="K54" s="6" t="str">
        <x:f>IF(Setup!$B$6="primary",Setup!$B$2,"NOT FROZEN")</x:f>
        <x:v>TEST_PRIMARY</x:v>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Disposition: retain
Review domain: protocol_report
</x:v>
      </x:c>
    </x:row>
    <x:row r="55" ht="70" customHeight="1">
      <x:c r="A55" s="3" t="str">
        <x:f>IF(Setup!$B$6="primary","2019::jama.2019.2210::C001","NOT FROZEN")</x:f>
        <x:v>2019::jama.2019.2210::C001</x:v>
      </x:c>
      <x:c r="B55" s="3" t="str">
        <x:f>IF(Setup!$B$6="primary",IF(INDEX('C_jama.2019.2210'!$D$2:$D$10,MATCH("2019::jama.2019.2210::C001",'C_jama.2019.2210'!$A$2:$A$10,0))="","",INDEX('C_jama.2019.2210'!$D$2:$D$10,MATCH("2019::jama.2019.2210::C001",'C_jama.2019.2210'!$A$2:$A$10,0))),"NOT FROZEN")</x:f>
        <x:v>retain</x:v>
      </x:c>
      <x:c r="C55" s="3" t="str">
        <x:f>IF(Setup!$B$6="primary",IF(INDEX('C_jama.2019.2210'!$E$2:$E$10,MATCH("2019::jama.2019.2210::C001",'C_jama.2019.2210'!$A$2:$A$10,0))="","",INDEX('C_jama.2019.2210'!$E$2:$E$10,MATCH("2019::jama.2019.2210::C001",'C_jama.2019.2210'!$A$2:$A$10,0))),"NOT FROZEN")</x:f>
        <x:v>statistical_results</x:v>
      </x:c>
      <x:c r="D55" s="3" t="str">
        <x:f>IF(Setup!$B$6="primary",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NOT FROZEN")</x:f>
        <x:v>confirmed_issue</x:v>
      </x:c>
      <x:c r="E55" s="3" t="str">
        <x:f>IF(Setup!$B$6="primary",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NOT FROZEN")</x:f>
        <x:v>substantive</x:v>
      </x:c>
      <x:c r="F55" s="3" t="str">
        <x:f>IF(Setup!$B$6="primary",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NOT FROZEN")</x:f>
      </x:c>
      <x:c r="G55" s="3" t="str">
        <x:f>IF(Setup!$B$6="primary",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NOT FROZEN")</x:f>
        <x:v>not_applicable</x:v>
      </x:c>
      <x:c r="H55" s="3" t="str">
        <x:f>IF(Setup!$B$6="primary",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NOT FROZEN")</x:f>
        <x:v>not_applicable</x:v>
      </x:c>
      <x:c r="I55" s="3" t="str">
        <x:f>IF(Setup!$B$6="primary",IF(INDEX('C_jama.2019.2210'!$R$2:$R$10,MATCH("2019::jama.2019.2210::C001",'C_jama.2019.2210'!$A$2:$A$10,0))="","",INDEX('C_jama.2019.2210'!$R$2:$R$10,MATCH("2019::jama.2019.2210::C001",'C_jama.2019.2210'!$A$2:$A$10,0))),"NOT FROZEN")</x:f>
      </x:c>
      <x:c r="J55" s="3" t="str">
        <x:f>IF(Setup!$B$6="primary",INDEX('C_jama.2019.2210'!$F$2:$F$10,MATCH("2019::jama.2019.2210::C001",'C_jama.2019.2210'!$A$2:$A$10,0)),"NOT FROZEN")</x:f>
        <x:v>primary_done</x:v>
      </x:c>
      <x:c r="K55" s="3" t="str">
        <x:f>IF(Setup!$B$6="primary",Setup!$B$2,"NOT FROZEN")</x:f>
        <x:v>TEST_PRIMARY</x:v>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Disposition: retain
Review domain: statistical_results
Statistcal_or_numerical issue: confirmed_issue
Substantiveness: substantive
</x:v>
      </x:c>
    </x:row>
    <x:row r="56" ht="70" customHeight="1">
      <x:c r="A56" s="6" t="str">
        <x:f>IF(Setup!$B$6="primary","2019::jama.2019.2210::C002","NOT FROZEN")</x:f>
        <x:v>2019::jama.2019.2210::C002</x:v>
      </x:c>
      <x:c r="B56" s="6" t="str">
        <x:f>IF(Setup!$B$6="primary",IF(INDEX('C_jama.2019.2210'!$D$2:$D$10,MATCH("2019::jama.2019.2210::C002",'C_jama.2019.2210'!$A$2:$A$10,0))="","",INDEX('C_jama.2019.2210'!$D$2:$D$10,MATCH("2019::jama.2019.2210::C002",'C_jama.2019.2210'!$A$2:$A$10,0))),"NOT FROZEN")</x:f>
        <x:v>retain</x:v>
      </x:c>
      <x:c r="C56" s="6" t="str">
        <x:f>IF(Setup!$B$6="primary",IF(INDEX('C_jama.2019.2210'!$E$2:$E$10,MATCH("2019::jama.2019.2210::C002",'C_jama.2019.2210'!$A$2:$A$10,0))="","",INDEX('C_jama.2019.2210'!$E$2:$E$10,MATCH("2019::jama.2019.2210::C002",'C_jama.2019.2210'!$A$2:$A$10,0))),"NOT FROZEN")</x:f>
        <x:v>statistical_results</x:v>
      </x:c>
      <x:c r="D56" s="6" t="str">
        <x:f>IF(Setup!$B$6="primary",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NOT FROZEN")</x:f>
        <x:v>confirmed_issue</x:v>
      </x:c>
      <x:c r="E56" s="6" t="str">
        <x:f>IF(Setup!$B$6="primary",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NOT FROZEN")</x:f>
        <x:v>substantive</x:v>
      </x:c>
      <x:c r="F56" s="6" t="str">
        <x:f>IF(Setup!$B$6="primary",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NOT FROZEN")</x:f>
      </x:c>
      <x:c r="G56" s="6" t="str">
        <x:f>IF(Setup!$B$6="primary",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NOT FROZEN")</x:f>
        <x:v>not_applicable</x:v>
      </x:c>
      <x:c r="H56" s="6" t="str">
        <x:f>IF(Setup!$B$6="primary",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NOT FROZEN")</x:f>
        <x:v>not_applicable</x:v>
      </x:c>
      <x:c r="I56" s="6" t="str">
        <x:f>IF(Setup!$B$6="primary",IF(INDEX('C_jama.2019.2210'!$R$2:$R$10,MATCH("2019::jama.2019.2210::C002",'C_jama.2019.2210'!$A$2:$A$10,0))="","",INDEX('C_jama.2019.2210'!$R$2:$R$10,MATCH("2019::jama.2019.2210::C002",'C_jama.2019.2210'!$A$2:$A$10,0))),"NOT FROZEN")</x:f>
      </x:c>
      <x:c r="J56" s="6" t="str">
        <x:f>IF(Setup!$B$6="primary",INDEX('C_jama.2019.2210'!$F$2:$F$10,MATCH("2019::jama.2019.2210::C002",'C_jama.2019.2210'!$A$2:$A$10,0)),"NOT FROZEN")</x:f>
        <x:v>primary_done</x:v>
      </x:c>
      <x:c r="K56" s="6" t="str">
        <x:f>IF(Setup!$B$6="primary",Setup!$B$2,"NOT FROZEN")</x:f>
        <x:v>TEST_PRIMARY</x:v>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Disposition: retain
Review domain: statistical_results
Statistcal_or_numerical issue: confirmed_issue
Substantiveness: substantive
</x:v>
      </x:c>
    </x:row>
    <x:row r="57" ht="70" customHeight="1">
      <x:c r="A57" s="3" t="str">
        <x:f>IF(Setup!$B$6="primary","2019::jama.2019.2210::C003","NOT FROZEN")</x:f>
        <x:v>2019::jama.2019.2210::C003</x:v>
      </x:c>
      <x:c r="B57" s="3" t="str">
        <x:f>IF(Setup!$B$6="primary",IF(INDEX('C_jama.2019.2210'!$D$2:$D$10,MATCH("2019::jama.2019.2210::C003",'C_jama.2019.2210'!$A$2:$A$10,0))="","",INDEX('C_jama.2019.2210'!$D$2:$D$10,MATCH("2019::jama.2019.2210::C003",'C_jama.2019.2210'!$A$2:$A$10,0))),"NOT FROZEN")</x:f>
        <x:v>retain</x:v>
      </x:c>
      <x:c r="C57" s="3" t="str">
        <x:f>IF(Setup!$B$6="primary",IF(INDEX('C_jama.2019.2210'!$E$2:$E$10,MATCH("2019::jama.2019.2210::C003",'C_jama.2019.2210'!$A$2:$A$10,0))="","",INDEX('C_jama.2019.2210'!$E$2:$E$10,MATCH("2019::jama.2019.2210::C003",'C_jama.2019.2210'!$A$2:$A$10,0))),"NOT FROZEN")</x:f>
        <x:v>plan_material</x:v>
      </x:c>
      <x:c r="D57" s="3" t="str">
        <x:f>IF(Setup!$B$6="primary",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NOT FROZEN")</x:f>
        <x:v>not_applicable</x:v>
      </x:c>
      <x:c r="E57" s="3" t="str">
        <x:f>IF(Setup!$B$6="primary",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NOT FROZEN")</x:f>
        <x:v>not_applicable</x:v>
      </x:c>
      <x:c r="F57" s="3" t="str">
        <x:f>IF(Setup!$B$6="primary",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NOT FROZEN")</x:f>
        <x:v>not_applicable</x:v>
      </x:c>
      <x:c r="G57" s="3" t="str">
        <x:f>IF(Setup!$B$6="primary",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NOT FROZEN")</x:f>
        <x:v>substantive_inconsistency</x:v>
      </x:c>
      <x:c r="H57" s="3" t="str">
        <x:f>IF(Setup!$B$6="primary",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NOT FROZEN")</x:f>
        <x:v>not_applicable</x:v>
      </x:c>
      <x:c r="I57" s="3" t="str">
        <x:f>IF(Setup!$B$6="primary",IF(INDEX('C_jama.2019.2210'!$R$2:$R$10,MATCH("2019::jama.2019.2210::C003",'C_jama.2019.2210'!$A$2:$A$10,0))="","",INDEX('C_jama.2019.2210'!$R$2:$R$10,MATCH("2019::jama.2019.2210::C003",'C_jama.2019.2210'!$A$2:$A$10,0))),"NOT FROZEN")</x:f>
      </x:c>
      <x:c r="J57" s="3" t="str">
        <x:f>IF(Setup!$B$6="primary",INDEX('C_jama.2019.2210'!$F$2:$F$10,MATCH("2019::jama.2019.2210::C003",'C_jama.2019.2210'!$A$2:$A$10,0)),"NOT FROZEN")</x:f>
        <x:v>primary_done</x:v>
      </x:c>
      <x:c r="K57" s="3" t="str">
        <x:f>IF(Setup!$B$6="primary",Setup!$B$2,"NOT FROZEN")</x:f>
        <x:v>TEST_PRIMARY</x:v>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Disposition: retain
Review domain: plan_material
Report-internal or planning-material inconsistency: substantive_inconsistency
</x:v>
      </x:c>
    </x:row>
    <x:row r="58" ht="70" customHeight="1">
      <x:c r="A58" s="6" t="str">
        <x:f>IF(Setup!$B$6="primary","2019::jama.2019.2210::C004","NOT FROZEN")</x:f>
        <x:v>2019::jama.2019.2210::C004</x:v>
      </x:c>
      <x:c r="B58" s="6" t="str">
        <x:f>IF(Setup!$B$6="primary",IF(INDEX('C_jama.2019.2210'!$D$2:$D$10,MATCH("2019::jama.2019.2210::C004",'C_jama.2019.2210'!$A$2:$A$10,0))="","",INDEX('C_jama.2019.2210'!$D$2:$D$10,MATCH("2019::jama.2019.2210::C004",'C_jama.2019.2210'!$A$2:$A$10,0))),"NOT FROZEN")</x:f>
        <x:v>retain</x:v>
      </x:c>
      <x:c r="C58" s="6" t="str">
        <x:f>IF(Setup!$B$6="primary",IF(INDEX('C_jama.2019.2210'!$E$2:$E$10,MATCH("2019::jama.2019.2210::C004",'C_jama.2019.2210'!$A$2:$A$10,0))="","",INDEX('C_jama.2019.2210'!$E$2:$E$10,MATCH("2019::jama.2019.2210::C004",'C_jama.2019.2210'!$A$2:$A$10,0))),"NOT FROZEN")</x:f>
        <x:v>protocol_report</x:v>
      </x:c>
      <x:c r="D58" s="6" t="str">
        <x:f>IF(Setup!$B$6="primary",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NOT FROZEN")</x:f>
        <x:v>not_applicable</x:v>
      </x:c>
      <x:c r="E58" s="6" t="str">
        <x:f>IF(Setup!$B$6="primary",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NOT FROZEN")</x:f>
        <x:v>not_applicable</x:v>
      </x:c>
      <x:c r="F58" s="6" t="str">
        <x:f>IF(Setup!$B$6="primary",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NOT FROZEN")</x:f>
        <x:v>not_applicable</x:v>
      </x:c>
      <x:c r="G58" s="6" t="str">
        <x:f>IF(Setup!$B$6="primary",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NOT FROZEN")</x:f>
        <x:v>not_applicable</x:v>
      </x:c>
      <x:c r="H58" s="6" t="str">
        <x:f>IF(Setup!$B$6="primary",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NOT FROZEN")</x:f>
      </x:c>
      <x:c r="I58" s="6" t="str">
        <x:f>IF(Setup!$B$6="primary",IF(INDEX('C_jama.2019.2210'!$R$2:$R$10,MATCH("2019::jama.2019.2210::C004",'C_jama.2019.2210'!$A$2:$A$10,0))="","",INDEX('C_jama.2019.2210'!$R$2:$R$10,MATCH("2019::jama.2019.2210::C004",'C_jama.2019.2210'!$A$2:$A$10,0))),"NOT FROZEN")</x:f>
      </x:c>
      <x:c r="J58" s="6" t="str">
        <x:f>IF(Setup!$B$6="primary",INDEX('C_jama.2019.2210'!$F$2:$F$10,MATCH("2019::jama.2019.2210::C004",'C_jama.2019.2210'!$A$2:$A$10,0)),"NOT FROZEN")</x:f>
        <x:v>primary_done</x:v>
      </x:c>
      <x:c r="K58" s="6" t="str">
        <x:f>IF(Setup!$B$6="primary",Setup!$B$2,"NOT FROZEN")</x:f>
        <x:v>TEST_PRIMARY</x:v>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Disposition: retain
Review domain: protocol_report
</x:v>
      </x:c>
    </x:row>
    <x:row r="59" ht="70" customHeight="1">
      <x:c r="A59" s="3" t="str">
        <x:f>IF(Setup!$B$6="primary","2019::jama.2019.2210::C005","NOT FROZEN")</x:f>
        <x:v>2019::jama.2019.2210::C005</x:v>
      </x:c>
      <x:c r="B59" s="3" t="str">
        <x:f>IF(Setup!$B$6="primary",IF(INDEX('C_jama.2019.2210'!$D$2:$D$10,MATCH("2019::jama.2019.2210::C005",'C_jama.2019.2210'!$A$2:$A$10,0))="","",INDEX('C_jama.2019.2210'!$D$2:$D$10,MATCH("2019::jama.2019.2210::C005",'C_jama.2019.2210'!$A$2:$A$10,0))),"NOT FROZEN")</x:f>
        <x:v>retain</x:v>
      </x:c>
      <x:c r="C59" s="3" t="str">
        <x:f>IF(Setup!$B$6="primary",IF(INDEX('C_jama.2019.2210'!$E$2:$E$10,MATCH("2019::jama.2019.2210::C005",'C_jama.2019.2210'!$A$2:$A$10,0))="","",INDEX('C_jama.2019.2210'!$E$2:$E$10,MATCH("2019::jama.2019.2210::C005",'C_jama.2019.2210'!$A$2:$A$10,0))),"NOT FROZEN")</x:f>
        <x:v>plan_material</x:v>
      </x:c>
      <x:c r="D59" s="3" t="str">
        <x:f>IF(Setup!$B$6="primary",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NOT FROZEN")</x:f>
        <x:v>not_applicable</x:v>
      </x:c>
      <x:c r="E59" s="3" t="str">
        <x:f>IF(Setup!$B$6="primary",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NOT FROZEN")</x:f>
        <x:v>not_applicable</x:v>
      </x:c>
      <x:c r="F59" s="3" t="str">
        <x:f>IF(Setup!$B$6="primary",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NOT FROZEN")</x:f>
        <x:v>not_applicable</x:v>
      </x:c>
      <x:c r="G59" s="3" t="str">
        <x:f>IF(Setup!$B$6="primary",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NOT FROZEN")</x:f>
        <x:v>substantive_inconsistency</x:v>
      </x:c>
      <x:c r="H59" s="3" t="str">
        <x:f>IF(Setup!$B$6="primary",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NOT FROZEN")</x:f>
        <x:v>not_applicable</x:v>
      </x:c>
      <x:c r="I59" s="3" t="str">
        <x:f>IF(Setup!$B$6="primary",IF(INDEX('C_jama.2019.2210'!$R$2:$R$10,MATCH("2019::jama.2019.2210::C005",'C_jama.2019.2210'!$A$2:$A$10,0))="","",INDEX('C_jama.2019.2210'!$R$2:$R$10,MATCH("2019::jama.2019.2210::C005",'C_jama.2019.2210'!$A$2:$A$10,0))),"NOT FROZEN")</x:f>
      </x:c>
      <x:c r="J59" s="3" t="str">
        <x:f>IF(Setup!$B$6="primary",INDEX('C_jama.2019.2210'!$F$2:$F$10,MATCH("2019::jama.2019.2210::C005",'C_jama.2019.2210'!$A$2:$A$10,0)),"NOT FROZEN")</x:f>
        <x:v>primary_done</x:v>
      </x:c>
      <x:c r="K59" s="3" t="str">
        <x:f>IF(Setup!$B$6="primary",Setup!$B$2,"NOT FROZEN")</x:f>
        <x:v>TEST_PRIMARY</x:v>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Disposition: retain
Review domain: plan_material
Report-internal or planning-material inconsistency: substantive_inconsistency
</x:v>
      </x:c>
    </x:row>
    <x:row r="60" ht="70" customHeight="1">
      <x:c r="A60" s="6" t="str">
        <x:f>IF(Setup!$B$6="primary","2019::jama.2019.2210::C006","NOT FROZEN")</x:f>
        <x:v>2019::jama.2019.2210::C006</x:v>
      </x:c>
      <x:c r="B60" s="6" t="str">
        <x:f>IF(Setup!$B$6="primary",IF(INDEX('C_jama.2019.2210'!$D$2:$D$10,MATCH("2019::jama.2019.2210::C006",'C_jama.2019.2210'!$A$2:$A$10,0))="","",INDEX('C_jama.2019.2210'!$D$2:$D$10,MATCH("2019::jama.2019.2210::C006",'C_jama.2019.2210'!$A$2:$A$10,0))),"NOT FROZEN")</x:f>
        <x:v>retain</x:v>
      </x:c>
      <x:c r="C60" s="6" t="str">
        <x:f>IF(Setup!$B$6="primary",IF(INDEX('C_jama.2019.2210'!$E$2:$E$10,MATCH("2019::jama.2019.2210::C006",'C_jama.2019.2210'!$A$2:$A$10,0))="","",INDEX('C_jama.2019.2210'!$E$2:$E$10,MATCH("2019::jama.2019.2210::C006",'C_jama.2019.2210'!$A$2:$A$10,0))),"NOT FROZEN")</x:f>
        <x:v>report_internal_inconsistency</x:v>
      </x:c>
      <x:c r="D60" s="6" t="str">
        <x:f>IF(Setup!$B$6="primary",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NOT FROZEN")</x:f>
        <x:v>not_applicable</x:v>
      </x:c>
      <x:c r="E60" s="6" t="str">
        <x:f>IF(Setup!$B$6="primary",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NOT FROZEN")</x:f>
        <x:v>not_applicable</x:v>
      </x:c>
      <x:c r="F60" s="6" t="str">
        <x:f>IF(Setup!$B$6="primary",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NOT FROZEN")</x:f>
        <x:v>not_applicable</x:v>
      </x:c>
      <x:c r="G60" s="6" t="str">
        <x:f>IF(Setup!$B$6="primary",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NOT FROZEN")</x:f>
        <x:v>substantive_inconsistency</x:v>
      </x:c>
      <x:c r="H60" s="6" t="str">
        <x:f>IF(Setup!$B$6="primary",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NOT FROZEN")</x:f>
        <x:v>not_applicable</x:v>
      </x:c>
      <x:c r="I60" s="6" t="str">
        <x:f>IF(Setup!$B$6="primary",IF(INDEX('C_jama.2019.2210'!$R$2:$R$10,MATCH("2019::jama.2019.2210::C006",'C_jama.2019.2210'!$A$2:$A$10,0))="","",INDEX('C_jama.2019.2210'!$R$2:$R$10,MATCH("2019::jama.2019.2210::C006",'C_jama.2019.2210'!$A$2:$A$10,0))),"NOT FROZEN")</x:f>
      </x:c>
      <x:c r="J60" s="6" t="str">
        <x:f>IF(Setup!$B$6="primary",INDEX('C_jama.2019.2210'!$F$2:$F$10,MATCH("2019::jama.2019.2210::C006",'C_jama.2019.2210'!$A$2:$A$10,0)),"NOT FROZEN")</x:f>
        <x:v>primary_done</x:v>
      </x:c>
      <x:c r="K60" s="6" t="str">
        <x:f>IF(Setup!$B$6="primary",Setup!$B$2,"NOT FROZEN")</x:f>
        <x:v>TEST_PRIMARY</x:v>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Disposition: retain
Review domain: report_internal_inconsistency
Report-internal or planning-material inconsistency: substantive_inconsistency
</x:v>
      </x:c>
    </x:row>
    <x:row r="61" ht="70" customHeight="1">
      <x:c r="A61" s="3" t="str">
        <x:f>IF(Setup!$B$6="primary","2019::jama.2019.2210::C007","NOT FROZEN")</x:f>
        <x:v>2019::jama.2019.2210::C007</x:v>
      </x:c>
      <x:c r="B61" s="3" t="str">
        <x:f>IF(Setup!$B$6="primary",IF(INDEX('C_jama.2019.2210'!$D$2:$D$10,MATCH("2019::jama.2019.2210::C007",'C_jama.2019.2210'!$A$2:$A$10,0))="","",INDEX('C_jama.2019.2210'!$D$2:$D$10,MATCH("2019::jama.2019.2210::C007",'C_jama.2019.2210'!$A$2:$A$10,0))),"NOT FROZEN")</x:f>
        <x:v>retain</x:v>
      </x:c>
      <x:c r="C61" s="3" t="str">
        <x:f>IF(Setup!$B$6="primary",IF(INDEX('C_jama.2019.2210'!$E$2:$E$10,MATCH("2019::jama.2019.2210::C007",'C_jama.2019.2210'!$A$2:$A$10,0))="","",INDEX('C_jama.2019.2210'!$E$2:$E$10,MATCH("2019::jama.2019.2210::C007",'C_jama.2019.2210'!$A$2:$A$10,0))),"NOT FROZEN")</x:f>
        <x:v>statistical_results</x:v>
      </x:c>
      <x:c r="D61" s="3" t="str">
        <x:f>IF(Setup!$B$6="primary",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NOT FROZEN")</x:f>
        <x:v>confirmed_issue</x:v>
      </x:c>
      <x:c r="E61" s="3" t="str">
        <x:f>IF(Setup!$B$6="primary",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NOT FROZEN")</x:f>
        <x:v>substantive</x:v>
      </x:c>
      <x:c r="F61" s="3" t="str">
        <x:f>IF(Setup!$B$6="primary",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NOT FROZEN")</x:f>
      </x:c>
      <x:c r="G61" s="3" t="str">
        <x:f>IF(Setup!$B$6="primary",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NOT FROZEN")</x:f>
        <x:v>not_applicable</x:v>
      </x:c>
      <x:c r="H61" s="3" t="str">
        <x:f>IF(Setup!$B$6="primary",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NOT FROZEN")</x:f>
        <x:v>not_applicable</x:v>
      </x:c>
      <x:c r="I61" s="3" t="str">
        <x:f>IF(Setup!$B$6="primary",IF(INDEX('C_jama.2019.2210'!$R$2:$R$10,MATCH("2019::jama.2019.2210::C007",'C_jama.2019.2210'!$A$2:$A$10,0))="","",INDEX('C_jama.2019.2210'!$R$2:$R$10,MATCH("2019::jama.2019.2210::C007",'C_jama.2019.2210'!$A$2:$A$10,0))),"NOT FROZEN")</x:f>
      </x:c>
      <x:c r="J61" s="3" t="str">
        <x:f>IF(Setup!$B$6="primary",INDEX('C_jama.2019.2210'!$F$2:$F$10,MATCH("2019::jama.2019.2210::C007",'C_jama.2019.2210'!$A$2:$A$10,0)),"NOT FROZEN")</x:f>
        <x:v>primary_done</x:v>
      </x:c>
      <x:c r="K61" s="3" t="str">
        <x:f>IF(Setup!$B$6="primary",Setup!$B$2,"NOT FROZEN")</x:f>
        <x:v>TEST_PRIMARY</x:v>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Disposition: retain
Review domain: statistical_results
Statistcal_or_numerical issue: confirmed_issue
Substantiveness: substantive
</x:v>
      </x:c>
    </x:row>
    <x:row r="62" ht="70" customHeight="1">
      <x:c r="A62" s="6" t="str">
        <x:f>IF(Setup!$B$6="primary","2019::jama.2019.2210::C008","NOT FROZEN")</x:f>
        <x:v>2019::jama.2019.2210::C008</x:v>
      </x:c>
      <x:c r="B62" s="6" t="str">
        <x:f>IF(Setup!$B$6="primary",IF(INDEX('C_jama.2019.2210'!$D$2:$D$10,MATCH("2019::jama.2019.2210::C008",'C_jama.2019.2210'!$A$2:$A$10,0))="","",INDEX('C_jama.2019.2210'!$D$2:$D$10,MATCH("2019::jama.2019.2210::C008",'C_jama.2019.2210'!$A$2:$A$10,0))),"NOT FROZEN")</x:f>
        <x:v>retain</x:v>
      </x:c>
      <x:c r="C62" s="6" t="str">
        <x:f>IF(Setup!$B$6="primary",IF(INDEX('C_jama.2019.2210'!$E$2:$E$10,MATCH("2019::jama.2019.2210::C008",'C_jama.2019.2210'!$A$2:$A$10,0))="","",INDEX('C_jama.2019.2210'!$E$2:$E$10,MATCH("2019::jama.2019.2210::C008",'C_jama.2019.2210'!$A$2:$A$10,0))),"NOT FROZEN")</x:f>
        <x:v>protocol_report</x:v>
      </x:c>
      <x:c r="D62" s="6" t="str">
        <x:f>IF(Setup!$B$6="primary",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NOT FROZEN")</x:f>
        <x:v>not_applicable</x:v>
      </x:c>
      <x:c r="E62" s="6" t="str">
        <x:f>IF(Setup!$B$6="primary",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NOT FROZEN")</x:f>
        <x:v>not_applicable</x:v>
      </x:c>
      <x:c r="F62" s="6" t="str">
        <x:f>IF(Setup!$B$6="primary",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NOT FROZEN")</x:f>
        <x:v>not_applicable</x:v>
      </x:c>
      <x:c r="G62" s="6" t="str">
        <x:f>IF(Setup!$B$6="primary",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NOT FROZEN")</x:f>
        <x:v>not_applicable</x:v>
      </x:c>
      <x:c r="H62" s="6" t="str">
        <x:f>IF(Setup!$B$6="primary",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NOT FROZEN")</x:f>
      </x:c>
      <x:c r="I62" s="6" t="str">
        <x:f>IF(Setup!$B$6="primary",IF(INDEX('C_jama.2019.2210'!$R$2:$R$10,MATCH("2019::jama.2019.2210::C008",'C_jama.2019.2210'!$A$2:$A$10,0))="","",INDEX('C_jama.2019.2210'!$R$2:$R$10,MATCH("2019::jama.2019.2210::C008",'C_jama.2019.2210'!$A$2:$A$10,0))),"NOT FROZEN")</x:f>
      </x:c>
      <x:c r="J62" s="6" t="str">
        <x:f>IF(Setup!$B$6="primary",INDEX('C_jama.2019.2210'!$F$2:$F$10,MATCH("2019::jama.2019.2210::C008",'C_jama.2019.2210'!$A$2:$A$10,0)),"NOT FROZEN")</x:f>
        <x:v>primary_done</x:v>
      </x:c>
      <x:c r="K62" s="6" t="str">
        <x:f>IF(Setup!$B$6="primary",Setup!$B$2,"NOT FROZEN")</x:f>
        <x:v>TEST_PRIMARY</x:v>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Disposition: retain
Review domain: protocol_report
</x:v>
      </x:c>
    </x:row>
    <x:row r="63" ht="70" customHeight="1">
      <x:c r="A63" s="3" t="str">
        <x:f>IF(Setup!$B$6="primary","2019::jama.2019.2210::C009","NOT FROZEN")</x:f>
        <x:v>2019::jama.2019.2210::C009</x:v>
      </x:c>
      <x:c r="B63" s="3" t="str">
        <x:f>IF(Setup!$B$6="primary",IF(INDEX('C_jama.2019.2210'!$D$2:$D$10,MATCH("2019::jama.2019.2210::C009",'C_jama.2019.2210'!$A$2:$A$10,0))="","",INDEX('C_jama.2019.2210'!$D$2:$D$10,MATCH("2019::jama.2019.2210::C009",'C_jama.2019.2210'!$A$2:$A$10,0))),"NOT FROZEN")</x:f>
        <x:v>retain</x:v>
      </x:c>
      <x:c r="C63" s="3" t="str">
        <x:f>IF(Setup!$B$6="primary",IF(INDEX('C_jama.2019.2210'!$E$2:$E$10,MATCH("2019::jama.2019.2210::C009",'C_jama.2019.2210'!$A$2:$A$10,0))="","",INDEX('C_jama.2019.2210'!$E$2:$E$10,MATCH("2019::jama.2019.2210::C009",'C_jama.2019.2210'!$A$2:$A$10,0))),"NOT FROZEN")</x:f>
        <x:v>report_internal_inconsistency</x:v>
      </x:c>
      <x:c r="D63" s="3" t="str">
        <x:f>IF(Setup!$B$6="primary",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NOT FROZEN")</x:f>
        <x:v>not_applicable</x:v>
      </x:c>
      <x:c r="E63" s="3" t="str">
        <x:f>IF(Setup!$B$6="primary",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NOT FROZEN")</x:f>
        <x:v>not_applicable</x:v>
      </x:c>
      <x:c r="F63" s="3" t="str">
        <x:f>IF(Setup!$B$6="primary",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NOT FROZEN")</x:f>
        <x:v>not_applicable</x:v>
      </x:c>
      <x:c r="G63" s="3" t="str">
        <x:f>IF(Setup!$B$6="primary",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NOT FROZEN")</x:f>
        <x:v>substantive_inconsistency</x:v>
      </x:c>
      <x:c r="H63" s="3" t="str">
        <x:f>IF(Setup!$B$6="primary",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NOT FROZEN")</x:f>
        <x:v>not_applicable</x:v>
      </x:c>
      <x:c r="I63" s="3" t="str">
        <x:f>IF(Setup!$B$6="primary",IF(INDEX('C_jama.2019.2210'!$R$2:$R$10,MATCH("2019::jama.2019.2210::C009",'C_jama.2019.2210'!$A$2:$A$10,0))="","",INDEX('C_jama.2019.2210'!$R$2:$R$10,MATCH("2019::jama.2019.2210::C009",'C_jama.2019.2210'!$A$2:$A$10,0))),"NOT FROZEN")</x:f>
      </x:c>
      <x:c r="J63" s="3" t="str">
        <x:f>IF(Setup!$B$6="primary",INDEX('C_jama.2019.2210'!$F$2:$F$10,MATCH("2019::jama.2019.2210::C009",'C_jama.2019.2210'!$A$2:$A$10,0)),"NOT FROZEN")</x:f>
        <x:v>primary_done</x:v>
      </x:c>
      <x:c r="K63" s="3" t="str">
        <x:f>IF(Setup!$B$6="primary",Setup!$B$2,"NOT FROZEN")</x:f>
        <x:v>TEST_PRIMARY</x:v>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Disposition: retain
Review domain: report_internal_inconsistency
Report-internal or planning-material inconsistency: substantive_inconsistency
</x:v>
      </x:c>
    </x:row>
    <x:row r="64" ht="70" customHeight="1">
      <x:c r="A64" s="6" t="str">
        <x:f>IF(Setup!$B$6="primary","2019::jama.2019.4755::C001","NOT FROZEN")</x:f>
        <x:v>2019::jama.2019.4755::C001</x:v>
      </x:c>
      <x:c r="B64" s="6" t="str">
        <x:f>IF(Setup!$B$6="primary",IF(INDEX('C_jama.2019.4755'!$D$2:$D$6,MATCH("2019::jama.2019.4755::C001",'C_jama.2019.4755'!$A$2:$A$6,0))="","",INDEX('C_jama.2019.4755'!$D$2:$D$6,MATCH("2019::jama.2019.4755::C001",'C_jama.2019.4755'!$A$2:$A$6,0))),"NOT FROZEN")</x:f>
        <x:v>retain</x:v>
      </x:c>
      <x:c r="C64" s="6" t="str">
        <x:f>IF(Setup!$B$6="primary",IF(INDEX('C_jama.2019.4755'!$E$2:$E$6,MATCH("2019::jama.2019.4755::C001",'C_jama.2019.4755'!$A$2:$A$6,0))="","",INDEX('C_jama.2019.4755'!$E$2:$E$6,MATCH("2019::jama.2019.4755::C001",'C_jama.2019.4755'!$A$2:$A$6,0))),"NOT FROZEN")</x:f>
        <x:v>statistical_results</x:v>
      </x:c>
      <x:c r="D64" s="6" t="str">
        <x:f>IF(Setup!$B$6="primary",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NOT FROZEN")</x:f>
        <x:v>confirmed_issue</x:v>
      </x:c>
      <x:c r="E64" s="6" t="str">
        <x:f>IF(Setup!$B$6="primary",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NOT FROZEN")</x:f>
        <x:v>substantive</x:v>
      </x:c>
      <x:c r="F64" s="6" t="str">
        <x:f>IF(Setup!$B$6="primary",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NOT FROZEN")</x:f>
      </x:c>
      <x:c r="G64" s="6" t="str">
        <x:f>IF(Setup!$B$6="primary",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NOT FROZEN")</x:f>
        <x:v>not_applicable</x:v>
      </x:c>
      <x:c r="H64" s="6" t="str">
        <x:f>IF(Setup!$B$6="primary",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NOT FROZEN")</x:f>
        <x:v>not_applicable</x:v>
      </x:c>
      <x:c r="I64" s="6" t="str">
        <x:f>IF(Setup!$B$6="primary",IF(INDEX('C_jama.2019.4755'!$R$2:$R$6,MATCH("2019::jama.2019.4755::C001",'C_jama.2019.4755'!$A$2:$A$6,0))="","",INDEX('C_jama.2019.4755'!$R$2:$R$6,MATCH("2019::jama.2019.4755::C001",'C_jama.2019.4755'!$A$2:$A$6,0))),"NOT FROZEN")</x:f>
      </x:c>
      <x:c r="J64" s="6" t="str">
        <x:f>IF(Setup!$B$6="primary",INDEX('C_jama.2019.4755'!$F$2:$F$6,MATCH("2019::jama.2019.4755::C001",'C_jama.2019.4755'!$A$2:$A$6,0)),"NOT FROZEN")</x:f>
        <x:v>primary_done</x:v>
      </x:c>
      <x:c r="K64" s="6" t="str">
        <x:f>IF(Setup!$B$6="primary",Setup!$B$2,"NOT FROZEN")</x:f>
        <x:v>TEST_PRIMARY</x:v>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Disposition: retain
Review domain: statistical_results
Statistcal_or_numerical issue: confirmed_issue
Substantiveness: substantive
</x:v>
      </x:c>
    </x:row>
    <x:row r="65" ht="70" customHeight="1">
      <x:c r="A65" s="3" t="str">
        <x:f>IF(Setup!$B$6="primary","2019::jama.2019.4755::C002","NOT FROZEN")</x:f>
        <x:v>2019::jama.2019.4755::C002</x:v>
      </x:c>
      <x:c r="B65" s="3" t="str">
        <x:f>IF(Setup!$B$6="primary",IF(INDEX('C_jama.2019.4755'!$D$2:$D$6,MATCH("2019::jama.2019.4755::C002",'C_jama.2019.4755'!$A$2:$A$6,0))="","",INDEX('C_jama.2019.4755'!$D$2:$D$6,MATCH("2019::jama.2019.4755::C002",'C_jama.2019.4755'!$A$2:$A$6,0))),"NOT FROZEN")</x:f>
        <x:v>retain</x:v>
      </x:c>
      <x:c r="C65" s="3" t="str">
        <x:f>IF(Setup!$B$6="primary",IF(INDEX('C_jama.2019.4755'!$E$2:$E$6,MATCH("2019::jama.2019.4755::C002",'C_jama.2019.4755'!$A$2:$A$6,0))="","",INDEX('C_jama.2019.4755'!$E$2:$E$6,MATCH("2019::jama.2019.4755::C002",'C_jama.2019.4755'!$A$2:$A$6,0))),"NOT FROZEN")</x:f>
        <x:v>statistical_results</x:v>
      </x:c>
      <x:c r="D65" s="3" t="str">
        <x:f>IF(Setup!$B$6="primary",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NOT FROZEN")</x:f>
        <x:v>confirmed_issue</x:v>
      </x:c>
      <x:c r="E65" s="3" t="str">
        <x:f>IF(Setup!$B$6="primary",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NOT FROZEN")</x:f>
        <x:v>substantive</x:v>
      </x:c>
      <x:c r="F65" s="3" t="str">
        <x:f>IF(Setup!$B$6="primary",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NOT FROZEN")</x:f>
      </x:c>
      <x:c r="G65" s="3" t="str">
        <x:f>IF(Setup!$B$6="primary",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NOT FROZEN")</x:f>
        <x:v>not_applicable</x:v>
      </x:c>
      <x:c r="H65" s="3" t="str">
        <x:f>IF(Setup!$B$6="primary",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NOT FROZEN")</x:f>
        <x:v>not_applicable</x:v>
      </x:c>
      <x:c r="I65" s="3" t="str">
        <x:f>IF(Setup!$B$6="primary",IF(INDEX('C_jama.2019.4755'!$R$2:$R$6,MATCH("2019::jama.2019.4755::C002",'C_jama.2019.4755'!$A$2:$A$6,0))="","",INDEX('C_jama.2019.4755'!$R$2:$R$6,MATCH("2019::jama.2019.4755::C002",'C_jama.2019.4755'!$A$2:$A$6,0))),"NOT FROZEN")</x:f>
      </x:c>
      <x:c r="J65" s="3" t="str">
        <x:f>IF(Setup!$B$6="primary",INDEX('C_jama.2019.4755'!$F$2:$F$6,MATCH("2019::jama.2019.4755::C002",'C_jama.2019.4755'!$A$2:$A$6,0)),"NOT FROZEN")</x:f>
        <x:v>primary_done</x:v>
      </x:c>
      <x:c r="K65" s="3" t="str">
        <x:f>IF(Setup!$B$6="primary",Setup!$B$2,"NOT FROZEN")</x:f>
        <x:v>TEST_PRIMARY</x:v>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Disposition: retain
Review domain: statistical_results
Statistcal_or_numerical issue: confirmed_issue
Substantiveness: substantive
</x:v>
      </x:c>
    </x:row>
    <x:row r="66" ht="70" customHeight="1">
      <x:c r="A66" s="6" t="str">
        <x:f>IF(Setup!$B$6="primary","2019::jama.2019.4755::C003","NOT FROZEN")</x:f>
        <x:v>2019::jama.2019.4755::C003</x:v>
      </x:c>
      <x:c r="B66" s="6" t="str">
        <x:f>IF(Setup!$B$6="primary",IF(INDEX('C_jama.2019.4755'!$D$2:$D$6,MATCH("2019::jama.2019.4755::C003",'C_jama.2019.4755'!$A$2:$A$6,0))="","",INDEX('C_jama.2019.4755'!$D$2:$D$6,MATCH("2019::jama.2019.4755::C003",'C_jama.2019.4755'!$A$2:$A$6,0))),"NOT FROZEN")</x:f>
        <x:v>retain</x:v>
      </x:c>
      <x:c r="C66" s="6" t="str">
        <x:f>IF(Setup!$B$6="primary",IF(INDEX('C_jama.2019.4755'!$E$2:$E$6,MATCH("2019::jama.2019.4755::C003",'C_jama.2019.4755'!$A$2:$A$6,0))="","",INDEX('C_jama.2019.4755'!$E$2:$E$6,MATCH("2019::jama.2019.4755::C003",'C_jama.2019.4755'!$A$2:$A$6,0))),"NOT FROZEN")</x:f>
        <x:v>statistical_results</x:v>
      </x:c>
      <x:c r="D66" s="6" t="str">
        <x:f>IF(Setup!$B$6="primary",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NOT FROZEN")</x:f>
        <x:v>confirmed_issue</x:v>
      </x:c>
      <x:c r="E66" s="6" t="str">
        <x:f>IF(Setup!$B$6="primary",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NOT FROZEN")</x:f>
        <x:v>substantive</x:v>
      </x:c>
      <x:c r="F66" s="6" t="str">
        <x:f>IF(Setup!$B$6="primary",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NOT FROZEN")</x:f>
      </x:c>
      <x:c r="G66" s="6" t="str">
        <x:f>IF(Setup!$B$6="primary",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NOT FROZEN")</x:f>
        <x:v>not_applicable</x:v>
      </x:c>
      <x:c r="H66" s="6" t="str">
        <x:f>IF(Setup!$B$6="primary",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NOT FROZEN")</x:f>
        <x:v>not_applicable</x:v>
      </x:c>
      <x:c r="I66" s="6" t="str">
        <x:f>IF(Setup!$B$6="primary",IF(INDEX('C_jama.2019.4755'!$R$2:$R$6,MATCH("2019::jama.2019.4755::C003",'C_jama.2019.4755'!$A$2:$A$6,0))="","",INDEX('C_jama.2019.4755'!$R$2:$R$6,MATCH("2019::jama.2019.4755::C003",'C_jama.2019.4755'!$A$2:$A$6,0))),"NOT FROZEN")</x:f>
      </x:c>
      <x:c r="J66" s="6" t="str">
        <x:f>IF(Setup!$B$6="primary",INDEX('C_jama.2019.4755'!$F$2:$F$6,MATCH("2019::jama.2019.4755::C003",'C_jama.2019.4755'!$A$2:$A$6,0)),"NOT FROZEN")</x:f>
        <x:v>primary_done</x:v>
      </x:c>
      <x:c r="K66" s="6" t="str">
        <x:f>IF(Setup!$B$6="primary",Setup!$B$2,"NOT FROZEN")</x:f>
        <x:v>TEST_PRIMARY</x:v>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Disposition: retain
Review domain: statistical_results
Statistcal_or_numerical issue: confirmed_issue
Substantiveness: substantive
</x:v>
      </x:c>
    </x:row>
    <x:row r="67" ht="70" customHeight="1">
      <x:c r="A67" s="3" t="str">
        <x:f>IF(Setup!$B$6="primary","2019::jama.2019.4755::C004","NOT FROZEN")</x:f>
        <x:v>2019::jama.2019.4755::C004</x:v>
      </x:c>
      <x:c r="B67" s="3" t="str">
        <x:f>IF(Setup!$B$6="primary",IF(INDEX('C_jama.2019.4755'!$D$2:$D$6,MATCH("2019::jama.2019.4755::C004",'C_jama.2019.4755'!$A$2:$A$6,0))="","",INDEX('C_jama.2019.4755'!$D$2:$D$6,MATCH("2019::jama.2019.4755::C004",'C_jama.2019.4755'!$A$2:$A$6,0))),"NOT FROZEN")</x:f>
        <x:v>retain</x:v>
      </x:c>
      <x:c r="C67" s="3" t="str">
        <x:f>IF(Setup!$B$6="primary",IF(INDEX('C_jama.2019.4755'!$E$2:$E$6,MATCH("2019::jama.2019.4755::C004",'C_jama.2019.4755'!$A$2:$A$6,0))="","",INDEX('C_jama.2019.4755'!$E$2:$E$6,MATCH("2019::jama.2019.4755::C004",'C_jama.2019.4755'!$A$2:$A$6,0))),"NOT FROZEN")</x:f>
        <x:v>report_internal_inconsistency</x:v>
      </x:c>
      <x:c r="D67" s="3" t="str">
        <x:f>IF(Setup!$B$6="primary",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NOT FROZEN")</x:f>
        <x:v>not_applicable</x:v>
      </x:c>
      <x:c r="E67" s="3" t="str">
        <x:f>IF(Setup!$B$6="primary",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NOT FROZEN")</x:f>
        <x:v>not_applicable</x:v>
      </x:c>
      <x:c r="F67" s="3" t="str">
        <x:f>IF(Setup!$B$6="primary",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NOT FROZEN")</x:f>
        <x:v>not_applicable</x:v>
      </x:c>
      <x:c r="G67" s="3" t="str">
        <x:f>IF(Setup!$B$6="primary",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NOT FROZEN")</x:f>
        <x:v>substantive_inconsistency</x:v>
      </x:c>
      <x:c r="H67" s="3" t="str">
        <x:f>IF(Setup!$B$6="primary",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NOT FROZEN")</x:f>
        <x:v>not_applicable</x:v>
      </x:c>
      <x:c r="I67" s="3" t="str">
        <x:f>IF(Setup!$B$6="primary",IF(INDEX('C_jama.2019.4755'!$R$2:$R$6,MATCH("2019::jama.2019.4755::C004",'C_jama.2019.4755'!$A$2:$A$6,0))="","",INDEX('C_jama.2019.4755'!$R$2:$R$6,MATCH("2019::jama.2019.4755::C004",'C_jama.2019.4755'!$A$2:$A$6,0))),"NOT FROZEN")</x:f>
      </x:c>
      <x:c r="J67" s="3" t="str">
        <x:f>IF(Setup!$B$6="primary",INDEX('C_jama.2019.4755'!$F$2:$F$6,MATCH("2019::jama.2019.4755::C004",'C_jama.2019.4755'!$A$2:$A$6,0)),"NOT FROZEN")</x:f>
        <x:v>primary_done</x:v>
      </x:c>
      <x:c r="K67" s="3" t="str">
        <x:f>IF(Setup!$B$6="primary",Setup!$B$2,"NOT FROZEN")</x:f>
        <x:v>TEST_PRIMARY</x:v>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Disposition: retain
Review domain: report_internal_inconsistency
Report-internal or planning-material inconsistency: substantive_inconsistency
</x:v>
      </x:c>
    </x:row>
    <x:row r="68" ht="70" customHeight="1">
      <x:c r="A68" s="6" t="str">
        <x:f>IF(Setup!$B$6="primary","2019::jama.2019.4755::C005","NOT FROZEN")</x:f>
        <x:v>2019::jama.2019.4755::C005</x:v>
      </x:c>
      <x:c r="B68" s="6" t="str">
        <x:f>IF(Setup!$B$6="primary",IF(INDEX('C_jama.2019.4755'!$D$2:$D$6,MATCH("2019::jama.2019.4755::C005",'C_jama.2019.4755'!$A$2:$A$6,0))="","",INDEX('C_jama.2019.4755'!$D$2:$D$6,MATCH("2019::jama.2019.4755::C005",'C_jama.2019.4755'!$A$2:$A$6,0))),"NOT FROZEN")</x:f>
        <x:v>retain</x:v>
      </x:c>
      <x:c r="C68" s="6" t="str">
        <x:f>IF(Setup!$B$6="primary",IF(INDEX('C_jama.2019.4755'!$E$2:$E$6,MATCH("2019::jama.2019.4755::C005",'C_jama.2019.4755'!$A$2:$A$6,0))="","",INDEX('C_jama.2019.4755'!$E$2:$E$6,MATCH("2019::jama.2019.4755::C005",'C_jama.2019.4755'!$A$2:$A$6,0))),"NOT FROZEN")</x:f>
        <x:v>plan_material</x:v>
      </x:c>
      <x:c r="D68" s="6" t="str">
        <x:f>IF(Setup!$B$6="primary",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NOT FROZEN")</x:f>
        <x:v>not_applicable</x:v>
      </x:c>
      <x:c r="E68" s="6" t="str">
        <x:f>IF(Setup!$B$6="primary",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NOT FROZEN")</x:f>
        <x:v>not_applicable</x:v>
      </x:c>
      <x:c r="F68" s="6" t="str">
        <x:f>IF(Setup!$B$6="primary",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NOT FROZEN")</x:f>
        <x:v>not_applicable</x:v>
      </x:c>
      <x:c r="G68" s="6" t="str">
        <x:f>IF(Setup!$B$6="primary",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NOT FROZEN")</x:f>
        <x:v>substantive_inconsistency</x:v>
      </x:c>
      <x:c r="H68" s="6" t="str">
        <x:f>IF(Setup!$B$6="primary",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NOT FROZEN")</x:f>
        <x:v>not_applicable</x:v>
      </x:c>
      <x:c r="I68" s="6" t="str">
        <x:f>IF(Setup!$B$6="primary",IF(INDEX('C_jama.2019.4755'!$R$2:$R$6,MATCH("2019::jama.2019.4755::C005",'C_jama.2019.4755'!$A$2:$A$6,0))="","",INDEX('C_jama.2019.4755'!$R$2:$R$6,MATCH("2019::jama.2019.4755::C005",'C_jama.2019.4755'!$A$2:$A$6,0))),"NOT FROZEN")</x:f>
      </x:c>
      <x:c r="J68" s="6" t="str">
        <x:f>IF(Setup!$B$6="primary",INDEX('C_jama.2019.4755'!$F$2:$F$6,MATCH("2019::jama.2019.4755::C005",'C_jama.2019.4755'!$A$2:$A$6,0)),"NOT FROZEN")</x:f>
        <x:v>primary_done</x:v>
      </x:c>
      <x:c r="K68" s="6" t="str">
        <x:f>IF(Setup!$B$6="primary",Setup!$B$2,"NOT FROZEN")</x:f>
        <x:v>TEST_PRIMARY</x:v>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Disposition: retain
Review domain: plan_material
Report-internal or planning-material inconsistency: substantive_inconsistency
</x:v>
      </x:c>
    </x:row>
    <x:row r="69" ht="70" customHeight="1">
      <x:c r="A69" s="3" t="str">
        <x:f>IF(Setup!$B$6="primary","2019::jama.2019.7505::C001","NOT FROZEN")</x:f>
        <x:v>2019::jama.2019.7505::C001</x:v>
      </x:c>
      <x:c r="B69" s="3" t="str">
        <x:f>IF(Setup!$B$6="primary",IF(INDEX('C_jama.2019.7505'!$D$2:$D$5,MATCH("2019::jama.2019.7505::C001",'C_jama.2019.7505'!$A$2:$A$5,0))="","",INDEX('C_jama.2019.7505'!$D$2:$D$5,MATCH("2019::jama.2019.7505::C001",'C_jama.2019.7505'!$A$2:$A$5,0))),"NOT FROZEN")</x:f>
        <x:v>retain</x:v>
      </x:c>
      <x:c r="C69" s="3" t="str">
        <x:f>IF(Setup!$B$6="primary",IF(INDEX('C_jama.2019.7505'!$E$2:$E$5,MATCH("2019::jama.2019.7505::C001",'C_jama.2019.7505'!$A$2:$A$5,0))="","",INDEX('C_jama.2019.7505'!$E$2:$E$5,MATCH("2019::jama.2019.7505::C001",'C_jama.2019.7505'!$A$2:$A$5,0))),"NOT FROZEN")</x:f>
        <x:v>report_internal_inconsistency</x:v>
      </x:c>
      <x:c r="D69" s="3" t="str">
        <x:f>IF(Setup!$B$6="primary",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NOT FROZEN")</x:f>
        <x:v>not_applicable</x:v>
      </x:c>
      <x:c r="E69" s="3" t="str">
        <x:f>IF(Setup!$B$6="primary",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NOT FROZEN")</x:f>
        <x:v>not_applicable</x:v>
      </x:c>
      <x:c r="F69" s="3" t="str">
        <x:f>IF(Setup!$B$6="primary",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NOT FROZEN")</x:f>
        <x:v>not_applicable</x:v>
      </x:c>
      <x:c r="G69" s="3" t="str">
        <x:f>IF(Setup!$B$6="primary",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NOT FROZEN")</x:f>
        <x:v>substantive_inconsistency</x:v>
      </x:c>
      <x:c r="H69" s="3" t="str">
        <x:f>IF(Setup!$B$6="primary",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NOT FROZEN")</x:f>
        <x:v>not_applicable</x:v>
      </x:c>
      <x:c r="I69" s="3" t="str">
        <x:f>IF(Setup!$B$6="primary",IF(INDEX('C_jama.2019.7505'!$R$2:$R$5,MATCH("2019::jama.2019.7505::C001",'C_jama.2019.7505'!$A$2:$A$5,0))="","",INDEX('C_jama.2019.7505'!$R$2:$R$5,MATCH("2019::jama.2019.7505::C001",'C_jama.2019.7505'!$A$2:$A$5,0))),"NOT FROZEN")</x:f>
      </x:c>
      <x:c r="J69" s="3" t="str">
        <x:f>IF(Setup!$B$6="primary",INDEX('C_jama.2019.7505'!$F$2:$F$5,MATCH("2019::jama.2019.7505::C001",'C_jama.2019.7505'!$A$2:$A$5,0)),"NOT FROZEN")</x:f>
        <x:v>primary_done</x:v>
      </x:c>
      <x:c r="K69" s="3" t="str">
        <x:f>IF(Setup!$B$6="primary",Setup!$B$2,"NOT FROZEN")</x:f>
        <x:v>TEST_PRIMARY</x:v>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Disposition: retain
Review domain: report_internal_inconsistency
Report-internal or planning-material inconsistency: substantive_inconsistency
</x:v>
      </x:c>
    </x:row>
    <x:row r="70" ht="70" customHeight="1">
      <x:c r="A70" s="6" t="str">
        <x:f>IF(Setup!$B$6="primary","2019::jama.2019.7505::C002","NOT FROZEN")</x:f>
        <x:v>2019::jama.2019.7505::C002</x:v>
      </x:c>
      <x:c r="B70" s="6" t="str">
        <x:f>IF(Setup!$B$6="primary",IF(INDEX('C_jama.2019.7505'!$D$2:$D$5,MATCH("2019::jama.2019.7505::C002",'C_jama.2019.7505'!$A$2:$A$5,0))="","",INDEX('C_jama.2019.7505'!$D$2:$D$5,MATCH("2019::jama.2019.7505::C002",'C_jama.2019.7505'!$A$2:$A$5,0))),"NOT FROZEN")</x:f>
        <x:v>retain</x:v>
      </x:c>
      <x:c r="C70" s="6" t="str">
        <x:f>IF(Setup!$B$6="primary",IF(INDEX('C_jama.2019.7505'!$E$2:$E$5,MATCH("2019::jama.2019.7505::C002",'C_jama.2019.7505'!$A$2:$A$5,0))="","",INDEX('C_jama.2019.7505'!$E$2:$E$5,MATCH("2019::jama.2019.7505::C002",'C_jama.2019.7505'!$A$2:$A$5,0))),"NOT FROZEN")</x:f>
        <x:v>statistical_results</x:v>
      </x:c>
      <x:c r="D70" s="6" t="str">
        <x:f>IF(Setup!$B$6="primary",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NOT FROZEN")</x:f>
        <x:v>confirmed_issue</x:v>
      </x:c>
      <x:c r="E70" s="6" t="str">
        <x:f>IF(Setup!$B$6="primary",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NOT FROZEN")</x:f>
        <x:v>substantive</x:v>
      </x:c>
      <x:c r="F70" s="6" t="str">
        <x:f>IF(Setup!$B$6="primary",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NOT FROZEN")</x:f>
      </x:c>
      <x:c r="G70" s="6" t="str">
        <x:f>IF(Setup!$B$6="primary",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NOT FROZEN")</x:f>
        <x:v>not_applicable</x:v>
      </x:c>
      <x:c r="H70" s="6" t="str">
        <x:f>IF(Setup!$B$6="primary",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NOT FROZEN")</x:f>
        <x:v>not_applicable</x:v>
      </x:c>
      <x:c r="I70" s="6" t="str">
        <x:f>IF(Setup!$B$6="primary",IF(INDEX('C_jama.2019.7505'!$R$2:$R$5,MATCH("2019::jama.2019.7505::C002",'C_jama.2019.7505'!$A$2:$A$5,0))="","",INDEX('C_jama.2019.7505'!$R$2:$R$5,MATCH("2019::jama.2019.7505::C002",'C_jama.2019.7505'!$A$2:$A$5,0))),"NOT FROZEN")</x:f>
      </x:c>
      <x:c r="J70" s="6" t="str">
        <x:f>IF(Setup!$B$6="primary",INDEX('C_jama.2019.7505'!$F$2:$F$5,MATCH("2019::jama.2019.7505::C002",'C_jama.2019.7505'!$A$2:$A$5,0)),"NOT FROZEN")</x:f>
        <x:v>primary_done</x:v>
      </x:c>
      <x:c r="K70" s="6" t="str">
        <x:f>IF(Setup!$B$6="primary",Setup!$B$2,"NOT FROZEN")</x:f>
        <x:v>TEST_PRIMARY</x:v>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Disposition: retain
Review domain: statistical_results
Statistcal_or_numerical issue: confirmed_issue
Substantiveness: substantive
</x:v>
      </x:c>
    </x:row>
    <x:row r="71" ht="70" customHeight="1">
      <x:c r="A71" s="3" t="str">
        <x:f>IF(Setup!$B$6="primary","2019::jama.2019.7505::C003","NOT FROZEN")</x:f>
        <x:v>2019::jama.2019.7505::C003</x:v>
      </x:c>
      <x:c r="B71" s="3" t="str">
        <x:f>IF(Setup!$B$6="primary",IF(INDEX('C_jama.2019.7505'!$D$2:$D$5,MATCH("2019::jama.2019.7505::C003",'C_jama.2019.7505'!$A$2:$A$5,0))="","",INDEX('C_jama.2019.7505'!$D$2:$D$5,MATCH("2019::jama.2019.7505::C003",'C_jama.2019.7505'!$A$2:$A$5,0))),"NOT FROZEN")</x:f>
        <x:v>retain</x:v>
      </x:c>
      <x:c r="C71" s="3" t="str">
        <x:f>IF(Setup!$B$6="primary",IF(INDEX('C_jama.2019.7505'!$E$2:$E$5,MATCH("2019::jama.2019.7505::C003",'C_jama.2019.7505'!$A$2:$A$5,0))="","",INDEX('C_jama.2019.7505'!$E$2:$E$5,MATCH("2019::jama.2019.7505::C003",'C_jama.2019.7505'!$A$2:$A$5,0))),"NOT FROZEN")</x:f>
        <x:v>plan_material</x:v>
      </x:c>
      <x:c r="D71" s="3" t="str">
        <x:f>IF(Setup!$B$6="primary",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NOT FROZEN")</x:f>
        <x:v>not_applicable</x:v>
      </x:c>
      <x:c r="E71" s="3" t="str">
        <x:f>IF(Setup!$B$6="primary",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NOT FROZEN")</x:f>
        <x:v>not_applicable</x:v>
      </x:c>
      <x:c r="F71" s="3" t="str">
        <x:f>IF(Setup!$B$6="primary",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NOT FROZEN")</x:f>
        <x:v>not_applicable</x:v>
      </x:c>
      <x:c r="G71" s="3" t="str">
        <x:f>IF(Setup!$B$6="primary",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NOT FROZEN")</x:f>
        <x:v>substantive_inconsistency</x:v>
      </x:c>
      <x:c r="H71" s="3" t="str">
        <x:f>IF(Setup!$B$6="primary",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NOT FROZEN")</x:f>
        <x:v>not_applicable</x:v>
      </x:c>
      <x:c r="I71" s="3" t="str">
        <x:f>IF(Setup!$B$6="primary",IF(INDEX('C_jama.2019.7505'!$R$2:$R$5,MATCH("2019::jama.2019.7505::C003",'C_jama.2019.7505'!$A$2:$A$5,0))="","",INDEX('C_jama.2019.7505'!$R$2:$R$5,MATCH("2019::jama.2019.7505::C003",'C_jama.2019.7505'!$A$2:$A$5,0))),"NOT FROZEN")</x:f>
      </x:c>
      <x:c r="J71" s="3" t="str">
        <x:f>IF(Setup!$B$6="primary",INDEX('C_jama.2019.7505'!$F$2:$F$5,MATCH("2019::jama.2019.7505::C003",'C_jama.2019.7505'!$A$2:$A$5,0)),"NOT FROZEN")</x:f>
        <x:v>primary_done</x:v>
      </x:c>
      <x:c r="K71" s="3" t="str">
        <x:f>IF(Setup!$B$6="primary",Setup!$B$2,"NOT FROZEN")</x:f>
        <x:v>TEST_PRIMARY</x:v>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Disposition: retain
Review domain: plan_material
Report-internal or planning-material inconsistency: substantive_inconsistency
</x:v>
      </x:c>
    </x:row>
    <x:row r="72" ht="70" customHeight="1">
      <x:c r="A72" s="6" t="str">
        <x:f>IF(Setup!$B$6="primary","2019::jama.2019.7505::C004","NOT FROZEN")</x:f>
        <x:v>2019::jama.2019.7505::C004</x:v>
      </x:c>
      <x:c r="B72" s="6" t="str">
        <x:f>IF(Setup!$B$6="primary",IF(INDEX('C_jama.2019.7505'!$D$2:$D$5,MATCH("2019::jama.2019.7505::C004",'C_jama.2019.7505'!$A$2:$A$5,0))="","",INDEX('C_jama.2019.7505'!$D$2:$D$5,MATCH("2019::jama.2019.7505::C004",'C_jama.2019.7505'!$A$2:$A$5,0))),"NOT FROZEN")</x:f>
        <x:v>retain</x:v>
      </x:c>
      <x:c r="C72" s="6" t="str">
        <x:f>IF(Setup!$B$6="primary",IF(INDEX('C_jama.2019.7505'!$E$2:$E$5,MATCH("2019::jama.2019.7505::C004",'C_jama.2019.7505'!$A$2:$A$5,0))="","",INDEX('C_jama.2019.7505'!$E$2:$E$5,MATCH("2019::jama.2019.7505::C004",'C_jama.2019.7505'!$A$2:$A$5,0))),"NOT FROZEN")</x:f>
        <x:v>report_internal_inconsistency</x:v>
      </x:c>
      <x:c r="D72" s="6" t="str">
        <x:f>IF(Setup!$B$6="primary",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NOT FROZEN")</x:f>
        <x:v>not_applicable</x:v>
      </x:c>
      <x:c r="E72" s="6" t="str">
        <x:f>IF(Setup!$B$6="primary",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NOT FROZEN")</x:f>
        <x:v>not_applicable</x:v>
      </x:c>
      <x:c r="F72" s="6" t="str">
        <x:f>IF(Setup!$B$6="primary",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NOT FROZEN")</x:f>
        <x:v>not_applicable</x:v>
      </x:c>
      <x:c r="G72" s="6" t="str">
        <x:f>IF(Setup!$B$6="primary",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NOT FROZEN")</x:f>
        <x:v>substantive_inconsistency</x:v>
      </x:c>
      <x:c r="H72" s="6" t="str">
        <x:f>IF(Setup!$B$6="primary",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NOT FROZEN")</x:f>
        <x:v>not_applicable</x:v>
      </x:c>
      <x:c r="I72" s="6" t="str">
        <x:f>IF(Setup!$B$6="primary",IF(INDEX('C_jama.2019.7505'!$R$2:$R$5,MATCH("2019::jama.2019.7505::C004",'C_jama.2019.7505'!$A$2:$A$5,0))="","",INDEX('C_jama.2019.7505'!$R$2:$R$5,MATCH("2019::jama.2019.7505::C004",'C_jama.2019.7505'!$A$2:$A$5,0))),"NOT FROZEN")</x:f>
      </x:c>
      <x:c r="J72" s="6" t="str">
        <x:f>IF(Setup!$B$6="primary",INDEX('C_jama.2019.7505'!$F$2:$F$5,MATCH("2019::jama.2019.7505::C004",'C_jama.2019.7505'!$A$2:$A$5,0)),"NOT FROZEN")</x:f>
        <x:v>primary_done</x:v>
      </x:c>
      <x:c r="K72" s="6" t="str">
        <x:f>IF(Setup!$B$6="primary",Setup!$B$2,"NOT FROZEN")</x:f>
        <x:v>TEST_PRIMARY</x:v>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Disposition: retain
Review domain: report_internal_inconsistency
Report-internal or planning-material inconsistency: substantive_inconsistency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str">
        <x:f>Setup!$B$2</x:f>
        <x:v>TEST_PRIMARY</x:v>
      </x:c>
      <x:c r="F2" s="6" t="str">
        <x:f>IF(Setup!$B$4="","",Setup!$B$4)</x:f>
      </x:c>
      <x:c r="G2" s="6" t="str">
        <x:f>IFERROR(INDEX('C_jama.2019.0556'!$G$2:$G$10,MATCH("2019::jama.2019.0556::C001",'C_jama.2019.0556'!$A$2:$A$10,0)),"CHECK KEY")</x:f>
        <x:v>PRIMARY READY</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c>
      <x:c r="L2" s="6" t="str">
        <x:f>IF(Setup!$B$6="primary","",IFERROR(IF(INDEX('Primary_snapshot'!$C$2:$C$72,MATCH(C2,'Primary_snapshot'!$A$2:$A$72,0))="","",INDEX('Primary_snapshot'!$C$2:$C$72,MATCH(C2,'Primary_snapshot'!$A$2:$A$72,0))),"SNAPSHOT MISSING"))</x:f>
      </x:c>
      <x:c r="M2" s="6" t="str">
        <x:f>IF(Setup!$B$6="primary","",IFERROR(IF(INDEX('Primary_snapshot'!$D$2:$D$72,MATCH(C2,'Primary_snapshot'!$A$2:$A$72,0))="","",INDEX('Primary_snapshot'!$D$2:$D$72,MATCH(C2,'Primary_snapshot'!$A$2:$A$72,0))),"SNAPSHOT MISSING"))</x:f>
      </x:c>
      <x:c r="N2" s="6" t="str">
        <x:f>IF(Setup!$B$6="primary","",IFERROR(IF(INDEX('Primary_snapshot'!$E$2:$E$72,MATCH(C2,'Primary_snapshot'!$A$2:$A$72,0))="","",INDEX('Primary_snapshot'!$E$2:$E$72,MATCH(C2,'Primary_snapshot'!$A$2:$A$72,0))),"SNAPSHOT MISSING"))</x:f>
      </x:c>
      <x:c r="O2" s="6" t="str">
        <x:f>IF(Setup!$B$6="primary","",IFERROR(IF(INDEX('Primary_snapshot'!$F$2:$F$72,MATCH(C2,'Primary_snapshot'!$A$2:$A$72,0))="","",INDEX('Primary_snapshot'!$F$2:$F$72,MATCH(C2,'Primary_snapshot'!$A$2:$A$72,0))),"SNAPSHOT MISSING"))</x:f>
      </x:c>
      <x:c r="P2" s="6" t="str">
        <x:f>IF(Setup!$B$6="primary","",IFERROR(IF(INDEX('Primary_snapshot'!$G$2:$G$72,MATCH(C2,'Primary_snapshot'!$A$2:$A$72,0))="","",INDEX('Primary_snapshot'!$G$2:$G$72,MATCH(C2,'Primary_snapshot'!$A$2:$A$72,0))),"SNAPSHOT MISSING"))</x:f>
      </x:c>
      <x:c r="Q2" s="6" t="str">
        <x:f>IF(Setup!$B$6="primary","",IFERROR(IF(INDEX('Primary_snapshot'!$H$2:$H$72,MATCH(C2,'Primary_snapshot'!$A$2:$A$72,0))="","",INDEX('Primary_snapshot'!$H$2:$H$72,MATCH(C2,'Primary_snapshot'!$A$2:$A$72,0))),"SNAPSHOT MISSING"))</x:f>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v>retain</x:v>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substantive_inconsistency</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str">
        <x:f>Setup!$B$2</x:f>
        <x:v>TEST_PRIMARY</x:v>
      </x:c>
      <x:c r="F3" s="3" t="str">
        <x:f>IF(Setup!$B$4="","",Setup!$B$4)</x:f>
      </x:c>
      <x:c r="G3" s="3" t="str">
        <x:f>IFERROR(INDEX('C_jama.2019.0556'!$G$2:$G$10,MATCH("2019::jama.2019.0556::C002",'C_jama.2019.0556'!$A$2:$A$10,0)),"CHECK KEY")</x:f>
        <x:v>PRIMARY READY</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c>
      <x:c r="L3" s="3" t="str">
        <x:f>IF(Setup!$B$6="primary","",IFERROR(IF(INDEX('Primary_snapshot'!$C$2:$C$72,MATCH(C3,'Primary_snapshot'!$A$2:$A$72,0))="","",INDEX('Primary_snapshot'!$C$2:$C$72,MATCH(C3,'Primary_snapshot'!$A$2:$A$72,0))),"SNAPSHOT MISSING"))</x:f>
      </x:c>
      <x:c r="M3" s="3" t="str">
        <x:f>IF(Setup!$B$6="primary","",IFERROR(IF(INDEX('Primary_snapshot'!$D$2:$D$72,MATCH(C3,'Primary_snapshot'!$A$2:$A$72,0))="","",INDEX('Primary_snapshot'!$D$2:$D$72,MATCH(C3,'Primary_snapshot'!$A$2:$A$72,0))),"SNAPSHOT MISSING"))</x:f>
      </x:c>
      <x:c r="N3" s="3" t="str">
        <x:f>IF(Setup!$B$6="primary","",IFERROR(IF(INDEX('Primary_snapshot'!$E$2:$E$72,MATCH(C3,'Primary_snapshot'!$A$2:$A$72,0))="","",INDEX('Primary_snapshot'!$E$2:$E$72,MATCH(C3,'Primary_snapshot'!$A$2:$A$72,0))),"SNAPSHOT MISSING"))</x:f>
      </x:c>
      <x:c r="O3" s="3" t="str">
        <x:f>IF(Setup!$B$6="primary","",IFERROR(IF(INDEX('Primary_snapshot'!$F$2:$F$72,MATCH(C3,'Primary_snapshot'!$A$2:$A$72,0))="","",INDEX('Primary_snapshot'!$F$2:$F$72,MATCH(C3,'Primary_snapshot'!$A$2:$A$72,0))),"SNAPSHOT MISSING"))</x:f>
      </x:c>
      <x:c r="P3" s="3" t="str">
        <x:f>IF(Setup!$B$6="primary","",IFERROR(IF(INDEX('Primary_snapshot'!$G$2:$G$72,MATCH(C3,'Primary_snapshot'!$A$2:$A$72,0))="","",INDEX('Primary_snapshot'!$G$2:$G$72,MATCH(C3,'Primary_snapshot'!$A$2:$A$72,0))),"SNAPSHOT MISSING"))</x:f>
      </x:c>
      <x:c r="Q3" s="3" t="str">
        <x:f>IF(Setup!$B$6="primary","",IFERROR(IF(INDEX('Primary_snapshot'!$H$2:$H$72,MATCH(C3,'Primary_snapshot'!$A$2:$A$72,0))="","",INDEX('Primary_snapshot'!$H$2:$H$72,MATCH(C3,'Primary_snapshot'!$A$2:$A$72,0))),"SNAPSHOT MISSING"))</x:f>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v>retain</x:v>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substantive_inconsistency</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str">
        <x:f>Setup!$B$2</x:f>
        <x:v>TEST_PRIMARY</x:v>
      </x:c>
      <x:c r="F4" s="6" t="str">
        <x:f>IF(Setup!$B$4="","",Setup!$B$4)</x:f>
      </x:c>
      <x:c r="G4" s="6" t="str">
        <x:f>IFERROR(INDEX('C_jama.2019.0556'!$G$2:$G$10,MATCH("2019::jama.2019.0556::C003",'C_jama.2019.0556'!$A$2:$A$10,0)),"CHECK KEY")</x:f>
        <x:v>PRIMARY READY</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c>
      <x:c r="L4" s="6" t="str">
        <x:f>IF(Setup!$B$6="primary","",IFERROR(IF(INDEX('Primary_snapshot'!$C$2:$C$72,MATCH(C4,'Primary_snapshot'!$A$2:$A$72,0))="","",INDEX('Primary_snapshot'!$C$2:$C$72,MATCH(C4,'Primary_snapshot'!$A$2:$A$72,0))),"SNAPSHOT MISSING"))</x:f>
      </x:c>
      <x:c r="M4" s="6" t="str">
        <x:f>IF(Setup!$B$6="primary","",IFERROR(IF(INDEX('Primary_snapshot'!$D$2:$D$72,MATCH(C4,'Primary_snapshot'!$A$2:$A$72,0))="","",INDEX('Primary_snapshot'!$D$2:$D$72,MATCH(C4,'Primary_snapshot'!$A$2:$A$72,0))),"SNAPSHOT MISSING"))</x:f>
      </x:c>
      <x:c r="N4" s="6" t="str">
        <x:f>IF(Setup!$B$6="primary","",IFERROR(IF(INDEX('Primary_snapshot'!$E$2:$E$72,MATCH(C4,'Primary_snapshot'!$A$2:$A$72,0))="","",INDEX('Primary_snapshot'!$E$2:$E$72,MATCH(C4,'Primary_snapshot'!$A$2:$A$72,0))),"SNAPSHOT MISSING"))</x:f>
      </x:c>
      <x:c r="O4" s="6" t="str">
        <x:f>IF(Setup!$B$6="primary","",IFERROR(IF(INDEX('Primary_snapshot'!$F$2:$F$72,MATCH(C4,'Primary_snapshot'!$A$2:$A$72,0))="","",INDEX('Primary_snapshot'!$F$2:$F$72,MATCH(C4,'Primary_snapshot'!$A$2:$A$72,0))),"SNAPSHOT MISSING"))</x:f>
      </x:c>
      <x:c r="P4" s="6" t="str">
        <x:f>IF(Setup!$B$6="primary","",IFERROR(IF(INDEX('Primary_snapshot'!$G$2:$G$72,MATCH(C4,'Primary_snapshot'!$A$2:$A$72,0))="","",INDEX('Primary_snapshot'!$G$2:$G$72,MATCH(C4,'Primary_snapshot'!$A$2:$A$72,0))),"SNAPSHOT MISSING"))</x:f>
      </x:c>
      <x:c r="Q4" s="6" t="str">
        <x:f>IF(Setup!$B$6="primary","",IFERROR(IF(INDEX('Primary_snapshot'!$H$2:$H$72,MATCH(C4,'Primary_snapshot'!$A$2:$A$72,0))="","",INDEX('Primary_snapshot'!$H$2:$H$72,MATCH(C4,'Primary_snapshot'!$A$2:$A$72,0))),"SNAPSHOT MISSING"))</x:f>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v>retain</x:v>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substantive_inconsistency</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str">
        <x:f>Setup!$B$2</x:f>
        <x:v>TEST_PRIMARY</x:v>
      </x:c>
      <x:c r="F5" s="3" t="str">
        <x:f>IF(Setup!$B$4="","",Setup!$B$4)</x:f>
      </x:c>
      <x:c r="G5" s="3" t="str">
        <x:f>IFERROR(INDEX('C_jama.2019.0556'!$G$2:$G$10,MATCH("2019::jama.2019.0556::C004",'C_jama.2019.0556'!$A$2:$A$10,0)),"CHECK KEY")</x:f>
        <x:v>PRIMARY READY</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c>
      <x:c r="L5" s="3" t="str">
        <x:f>IF(Setup!$B$6="primary","",IFERROR(IF(INDEX('Primary_snapshot'!$C$2:$C$72,MATCH(C5,'Primary_snapshot'!$A$2:$A$72,0))="","",INDEX('Primary_snapshot'!$C$2:$C$72,MATCH(C5,'Primary_snapshot'!$A$2:$A$72,0))),"SNAPSHOT MISSING"))</x:f>
      </x:c>
      <x:c r="M5" s="3" t="str">
        <x:f>IF(Setup!$B$6="primary","",IFERROR(IF(INDEX('Primary_snapshot'!$D$2:$D$72,MATCH(C5,'Primary_snapshot'!$A$2:$A$72,0))="","",INDEX('Primary_snapshot'!$D$2:$D$72,MATCH(C5,'Primary_snapshot'!$A$2:$A$72,0))),"SNAPSHOT MISSING"))</x:f>
      </x:c>
      <x:c r="N5" s="3" t="str">
        <x:f>IF(Setup!$B$6="primary","",IFERROR(IF(INDEX('Primary_snapshot'!$E$2:$E$72,MATCH(C5,'Primary_snapshot'!$A$2:$A$72,0))="","",INDEX('Primary_snapshot'!$E$2:$E$72,MATCH(C5,'Primary_snapshot'!$A$2:$A$72,0))),"SNAPSHOT MISSING"))</x:f>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c>
      <x:c r="Q5" s="3" t="str">
        <x:f>IF(Setup!$B$6="primary","",IFERROR(IF(INDEX('Primary_snapshot'!$H$2:$H$72,MATCH(C5,'Primary_snapshot'!$A$2:$A$72,0))="","",INDEX('Primary_snapshot'!$H$2:$H$72,MATCH(C5,'Primary_snapshot'!$A$2:$A$72,0))),"SNAPSHOT MISSING"))</x:f>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v>retain</x:v>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confirmed_issue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substantive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str">
        <x:f>Setup!$B$2</x:f>
        <x:v>TEST_PRIMARY</x:v>
      </x:c>
      <x:c r="F6" s="6" t="str">
        <x:f>IF(Setup!$B$4="","",Setup!$B$4)</x:f>
      </x:c>
      <x:c r="G6" s="6" t="str">
        <x:f>IFERROR(INDEX('C_jama.2019.0556'!$G$2:$G$10,MATCH("2019::jama.2019.0556::C005",'C_jama.2019.0556'!$A$2:$A$10,0)),"CHECK KEY")</x:f>
        <x:v>PRIMARY READY</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c>
      <x:c r="L6" s="6" t="str">
        <x:f>IF(Setup!$B$6="primary","",IFERROR(IF(INDEX('Primary_snapshot'!$C$2:$C$72,MATCH(C6,'Primary_snapshot'!$A$2:$A$72,0))="","",INDEX('Primary_snapshot'!$C$2:$C$72,MATCH(C6,'Primary_snapshot'!$A$2:$A$72,0))),"SNAPSHOT MISSING"))</x:f>
      </x:c>
      <x:c r="M6" s="6" t="str">
        <x:f>IF(Setup!$B$6="primary","",IFERROR(IF(INDEX('Primary_snapshot'!$D$2:$D$72,MATCH(C6,'Primary_snapshot'!$A$2:$A$72,0))="","",INDEX('Primary_snapshot'!$D$2:$D$72,MATCH(C6,'Primary_snapshot'!$A$2:$A$72,0))),"SNAPSHOT MISSING"))</x:f>
      </x:c>
      <x:c r="N6" s="6" t="str">
        <x:f>IF(Setup!$B$6="primary","",IFERROR(IF(INDEX('Primary_snapshot'!$E$2:$E$72,MATCH(C6,'Primary_snapshot'!$A$2:$A$72,0))="","",INDEX('Primary_snapshot'!$E$2:$E$72,MATCH(C6,'Primary_snapshot'!$A$2:$A$72,0))),"SNAPSHOT MISSING"))</x:f>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c>
      <x:c r="Q6" s="6" t="str">
        <x:f>IF(Setup!$B$6="primary","",IFERROR(IF(INDEX('Primary_snapshot'!$H$2:$H$72,MATCH(C6,'Primary_snapshot'!$A$2:$A$72,0))="","",INDEX('Primary_snapshot'!$H$2:$H$72,MATCH(C6,'Primary_snapshot'!$A$2:$A$72,0))),"SNAPSHOT MISSING"))</x:f>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v>retain</x:v>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confirmed_issue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substantive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str">
        <x:f>Setup!$B$2</x:f>
        <x:v>TEST_PRIMARY</x:v>
      </x:c>
      <x:c r="F7" s="3" t="str">
        <x:f>IF(Setup!$B$4="","",Setup!$B$4)</x:f>
      </x:c>
      <x:c r="G7" s="3" t="str">
        <x:f>IFERROR(INDEX('C_jama.2019.0556'!$G$2:$G$10,MATCH("2019::jama.2019.0556::C006",'C_jama.2019.0556'!$A$2:$A$10,0)),"CHECK KEY")</x:f>
        <x:v>PRIMARY READY</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c>
      <x:c r="L7" s="3" t="str">
        <x:f>IF(Setup!$B$6="primary","",IFERROR(IF(INDEX('Primary_snapshot'!$C$2:$C$72,MATCH(C7,'Primary_snapshot'!$A$2:$A$72,0))="","",INDEX('Primary_snapshot'!$C$2:$C$72,MATCH(C7,'Primary_snapshot'!$A$2:$A$72,0))),"SNAPSHOT MISSING"))</x:f>
      </x:c>
      <x:c r="M7" s="3" t="str">
        <x:f>IF(Setup!$B$6="primary","",IFERROR(IF(INDEX('Primary_snapshot'!$D$2:$D$72,MATCH(C7,'Primary_snapshot'!$A$2:$A$72,0))="","",INDEX('Primary_snapshot'!$D$2:$D$72,MATCH(C7,'Primary_snapshot'!$A$2:$A$72,0))),"SNAPSHOT MISSING"))</x:f>
      </x:c>
      <x:c r="N7" s="3" t="str">
        <x:f>IF(Setup!$B$6="primary","",IFERROR(IF(INDEX('Primary_snapshot'!$E$2:$E$72,MATCH(C7,'Primary_snapshot'!$A$2:$A$72,0))="","",INDEX('Primary_snapshot'!$E$2:$E$72,MATCH(C7,'Primary_snapshot'!$A$2:$A$72,0))),"SNAPSHOT MISSING"))</x:f>
      </x:c>
      <x:c r="O7" s="3" t="str">
        <x:f>IF(Setup!$B$6="primary","",IFERROR(IF(INDEX('Primary_snapshot'!$F$2:$F$72,MATCH(C7,'Primary_snapshot'!$A$2:$A$72,0))="","",INDEX('Primary_snapshot'!$F$2:$F$72,MATCH(C7,'Primary_snapshot'!$A$2:$A$72,0))),"SNAPSHOT MISSING"))</x:f>
      </x:c>
      <x:c r="P7" s="3" t="str">
        <x:f>IF(Setup!$B$6="primary","",IFERROR(IF(INDEX('Primary_snapshot'!$G$2:$G$72,MATCH(C7,'Primary_snapshot'!$A$2:$A$72,0))="","",INDEX('Primary_snapshot'!$G$2:$G$72,MATCH(C7,'Primary_snapshot'!$A$2:$A$72,0))),"SNAPSHOT MISSING"))</x:f>
      </x:c>
      <x:c r="Q7" s="3" t="str">
        <x:f>IF(Setup!$B$6="primary","",IFERROR(IF(INDEX('Primary_snapshot'!$H$2:$H$72,MATCH(C7,'Primary_snapshot'!$A$2:$A$72,0))="","",INDEX('Primary_snapshot'!$H$2:$H$72,MATCH(C7,'Primary_snapshot'!$A$2:$A$72,0))),"SNAPSHOT MISSING"))</x:f>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v>retain</x:v>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substantive_inconsistency</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str">
        <x:f>Setup!$B$2</x:f>
        <x:v>TEST_PRIMARY</x:v>
      </x:c>
      <x:c r="F8" s="6" t="str">
        <x:f>IF(Setup!$B$4="","",Setup!$B$4)</x:f>
      </x:c>
      <x:c r="G8" s="6" t="str">
        <x:f>IFERROR(INDEX('C_jama.2019.0556'!$G$2:$G$10,MATCH("2019::jama.2019.0556::C007",'C_jama.2019.0556'!$A$2:$A$10,0)),"CHECK KEY")</x:f>
        <x:v>PRIMARY READY</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c>
      <x:c r="L8" s="6" t="str">
        <x:f>IF(Setup!$B$6="primary","",IFERROR(IF(INDEX('Primary_snapshot'!$C$2:$C$72,MATCH(C8,'Primary_snapshot'!$A$2:$A$72,0))="","",INDEX('Primary_snapshot'!$C$2:$C$72,MATCH(C8,'Primary_snapshot'!$A$2:$A$72,0))),"SNAPSHOT MISSING"))</x:f>
      </x:c>
      <x:c r="M8" s="6" t="str">
        <x:f>IF(Setup!$B$6="primary","",IFERROR(IF(INDEX('Primary_snapshot'!$D$2:$D$72,MATCH(C8,'Primary_snapshot'!$A$2:$A$72,0))="","",INDEX('Primary_snapshot'!$D$2:$D$72,MATCH(C8,'Primary_snapshot'!$A$2:$A$72,0))),"SNAPSHOT MISSING"))</x:f>
      </x:c>
      <x:c r="N8" s="6" t="str">
        <x:f>IF(Setup!$B$6="primary","",IFERROR(IF(INDEX('Primary_snapshot'!$E$2:$E$72,MATCH(C8,'Primary_snapshot'!$A$2:$A$72,0))="","",INDEX('Primary_snapshot'!$E$2:$E$72,MATCH(C8,'Primary_snapshot'!$A$2:$A$72,0))),"SNAPSHOT MISSING"))</x:f>
      </x:c>
      <x:c r="O8" s="6" t="str">
        <x:f>IF(Setup!$B$6="primary","",IFERROR(IF(INDEX('Primary_snapshot'!$F$2:$F$72,MATCH(C8,'Primary_snapshot'!$A$2:$A$72,0))="","",INDEX('Primary_snapshot'!$F$2:$F$72,MATCH(C8,'Primary_snapshot'!$A$2:$A$72,0))),"SNAPSHOT MISSING"))</x:f>
      </x:c>
      <x:c r="P8" s="6" t="str">
        <x:f>IF(Setup!$B$6="primary","",IFERROR(IF(INDEX('Primary_snapshot'!$G$2:$G$72,MATCH(C8,'Primary_snapshot'!$A$2:$A$72,0))="","",INDEX('Primary_snapshot'!$G$2:$G$72,MATCH(C8,'Primary_snapshot'!$A$2:$A$72,0))),"SNAPSHOT MISSING"))</x:f>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v>retain</x:v>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str">
        <x:f>Setup!$B$2</x:f>
        <x:v>TEST_PRIMARY</x:v>
      </x:c>
      <x:c r="F9" s="3" t="str">
        <x:f>IF(Setup!$B$4="","",Setup!$B$4)</x:f>
      </x:c>
      <x:c r="G9" s="3" t="str">
        <x:f>IFERROR(INDEX('C_jama.2019.0556'!$G$2:$G$10,MATCH("2019::jama.2019.0556::C008",'C_jama.2019.0556'!$A$2:$A$10,0)),"CHECK KEY")</x:f>
        <x:v>PRIMARY READY</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c>
      <x:c r="L9" s="3" t="str">
        <x:f>IF(Setup!$B$6="primary","",IFERROR(IF(INDEX('Primary_snapshot'!$C$2:$C$72,MATCH(C9,'Primary_snapshot'!$A$2:$A$72,0))="","",INDEX('Primary_snapshot'!$C$2:$C$72,MATCH(C9,'Primary_snapshot'!$A$2:$A$72,0))),"SNAPSHOT MISSING"))</x:f>
      </x:c>
      <x:c r="M9" s="3" t="str">
        <x:f>IF(Setup!$B$6="primary","",IFERROR(IF(INDEX('Primary_snapshot'!$D$2:$D$72,MATCH(C9,'Primary_snapshot'!$A$2:$A$72,0))="","",INDEX('Primary_snapshot'!$D$2:$D$72,MATCH(C9,'Primary_snapshot'!$A$2:$A$72,0))),"SNAPSHOT MISSING"))</x:f>
      </x:c>
      <x:c r="N9" s="3" t="str">
        <x:f>IF(Setup!$B$6="primary","",IFERROR(IF(INDEX('Primary_snapshot'!$E$2:$E$72,MATCH(C9,'Primary_snapshot'!$A$2:$A$72,0))="","",INDEX('Primary_snapshot'!$E$2:$E$72,MATCH(C9,'Primary_snapshot'!$A$2:$A$72,0))),"SNAPSHOT MISSING"))</x:f>
      </x:c>
      <x:c r="O9" s="3" t="str">
        <x:f>IF(Setup!$B$6="primary","",IFERROR(IF(INDEX('Primary_snapshot'!$F$2:$F$72,MATCH(C9,'Primary_snapshot'!$A$2:$A$72,0))="","",INDEX('Primary_snapshot'!$F$2:$F$72,MATCH(C9,'Primary_snapshot'!$A$2:$A$72,0))),"SNAPSHOT MISSING"))</x:f>
      </x:c>
      <x:c r="P9" s="3" t="str">
        <x:f>IF(Setup!$B$6="primary","",IFERROR(IF(INDEX('Primary_snapshot'!$G$2:$G$72,MATCH(C9,'Primary_snapshot'!$A$2:$A$72,0))="","",INDEX('Primary_snapshot'!$G$2:$G$72,MATCH(C9,'Primary_snapshot'!$A$2:$A$72,0))),"SNAPSHOT MISSING"))</x:f>
      </x:c>
      <x:c r="Q9" s="3" t="str">
        <x:f>IF(Setup!$B$6="primary","",IFERROR(IF(INDEX('Primary_snapshot'!$H$2:$H$72,MATCH(C9,'Primary_snapshot'!$A$2:$A$72,0))="","",INDEX('Primary_snapshot'!$H$2:$H$72,MATCH(C9,'Primary_snapshot'!$A$2:$A$72,0))),"SNAPSHOT MISSING"))</x:f>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v>retain</x:v>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substantive_inconsistency</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str">
        <x:f>Setup!$B$2</x:f>
        <x:v>TEST_PRIMARY</x:v>
      </x:c>
      <x:c r="F10" s="6" t="str">
        <x:f>IF(Setup!$B$4="","",Setup!$B$4)</x:f>
      </x:c>
      <x:c r="G10" s="6" t="str">
        <x:f>IFERROR(INDEX('C_jama.2019.0556'!$G$2:$G$10,MATCH("2019::jama.2019.0556::C009",'C_jama.2019.0556'!$A$2:$A$10,0)),"CHECK KEY")</x:f>
        <x:v>PRIMARY READY</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c>
      <x:c r="L10" s="6" t="str">
        <x:f>IF(Setup!$B$6="primary","",IFERROR(IF(INDEX('Primary_snapshot'!$C$2:$C$72,MATCH(C10,'Primary_snapshot'!$A$2:$A$72,0))="","",INDEX('Primary_snapshot'!$C$2:$C$72,MATCH(C10,'Primary_snapshot'!$A$2:$A$72,0))),"SNAPSHOT MISSING"))</x:f>
      </x:c>
      <x:c r="M10" s="6" t="str">
        <x:f>IF(Setup!$B$6="primary","",IFERROR(IF(INDEX('Primary_snapshot'!$D$2:$D$72,MATCH(C10,'Primary_snapshot'!$A$2:$A$72,0))="","",INDEX('Primary_snapshot'!$D$2:$D$72,MATCH(C10,'Primary_snapshot'!$A$2:$A$72,0))),"SNAPSHOT MISSING"))</x:f>
      </x:c>
      <x:c r="N10" s="6" t="str">
        <x:f>IF(Setup!$B$6="primary","",IFERROR(IF(INDEX('Primary_snapshot'!$E$2:$E$72,MATCH(C10,'Primary_snapshot'!$A$2:$A$72,0))="","",INDEX('Primary_snapshot'!$E$2:$E$72,MATCH(C10,'Primary_snapshot'!$A$2:$A$72,0))),"SNAPSHOT MISSING"))</x:f>
      </x:c>
      <x:c r="O10" s="6" t="str">
        <x:f>IF(Setup!$B$6="primary","",IFERROR(IF(INDEX('Primary_snapshot'!$F$2:$F$72,MATCH(C10,'Primary_snapshot'!$A$2:$A$72,0))="","",INDEX('Primary_snapshot'!$F$2:$F$72,MATCH(C10,'Primary_snapshot'!$A$2:$A$72,0))),"SNAPSHOT MISSING"))</x:f>
      </x:c>
      <x:c r="P10" s="6" t="str">
        <x:f>IF(Setup!$B$6="primary","",IFERROR(IF(INDEX('Primary_snapshot'!$G$2:$G$72,MATCH(C10,'Primary_snapshot'!$A$2:$A$72,0))="","",INDEX('Primary_snapshot'!$G$2:$G$72,MATCH(C10,'Primary_snapshot'!$A$2:$A$72,0))),"SNAPSHOT MISSING"))</x:f>
      </x:c>
      <x:c r="Q10" s="6" t="str">
        <x:f>IF(Setup!$B$6="primary","",IFERROR(IF(INDEX('Primary_snapshot'!$H$2:$H$72,MATCH(C10,'Primary_snapshot'!$A$2:$A$72,0))="","",INDEX('Primary_snapshot'!$H$2:$H$72,MATCH(C10,'Primary_snapshot'!$A$2:$A$72,0))),"SNAPSHOT MISSING"))</x:f>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v>retain</x:v>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substantive_inconsistency</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str">
        <x:f>Setup!$B$2</x:f>
        <x:v>TEST_PRIMARY</x:v>
      </x:c>
      <x:c r="F11" s="3" t="str">
        <x:f>IF(Setup!$B$4="","",Setup!$B$4)</x:f>
      </x:c>
      <x:c r="G11" s="3" t="str">
        <x:f>IFERROR(INDEX('C_jama.2019.10517'!$G$2:$G$4,MATCH("2019::jama.2019.10517::C001",'C_jama.2019.10517'!$A$2:$A$4,0)),"CHECK KEY")</x:f>
        <x:v>PRIMARY READY</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c>
      <x:c r="L11" s="3" t="str">
        <x:f>IF(Setup!$B$6="primary","",IFERROR(IF(INDEX('Primary_snapshot'!$C$2:$C$72,MATCH(C11,'Primary_snapshot'!$A$2:$A$72,0))="","",INDEX('Primary_snapshot'!$C$2:$C$72,MATCH(C11,'Primary_snapshot'!$A$2:$A$72,0))),"SNAPSHOT MISSING"))</x:f>
      </x:c>
      <x:c r="M11" s="3" t="str">
        <x:f>IF(Setup!$B$6="primary","",IFERROR(IF(INDEX('Primary_snapshot'!$D$2:$D$72,MATCH(C11,'Primary_snapshot'!$A$2:$A$72,0))="","",INDEX('Primary_snapshot'!$D$2:$D$72,MATCH(C11,'Primary_snapshot'!$A$2:$A$72,0))),"SNAPSHOT MISSING"))</x:f>
      </x:c>
      <x:c r="N11" s="3" t="str">
        <x:f>IF(Setup!$B$6="primary","",IFERROR(IF(INDEX('Primary_snapshot'!$E$2:$E$72,MATCH(C11,'Primary_snapshot'!$A$2:$A$72,0))="","",INDEX('Primary_snapshot'!$E$2:$E$72,MATCH(C11,'Primary_snapshot'!$A$2:$A$72,0))),"SNAPSHOT MISSING"))</x:f>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c>
      <x:c r="Q11" s="3" t="str">
        <x:f>IF(Setup!$B$6="primary","",IFERROR(IF(INDEX('Primary_snapshot'!$H$2:$H$72,MATCH(C11,'Primary_snapshot'!$A$2:$A$72,0))="","",INDEX('Primary_snapshot'!$H$2:$H$72,MATCH(C11,'Primary_snapshot'!$A$2:$A$72,0))),"SNAPSHOT MISSING"))</x:f>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v>retain</x:v>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confirmed_issue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substantive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str">
        <x:f>Setup!$B$2</x:f>
        <x:v>TEST_PRIMARY</x:v>
      </x:c>
      <x:c r="F12" s="6" t="str">
        <x:f>IF(Setup!$B$4="","",Setup!$B$4)</x:f>
      </x:c>
      <x:c r="G12" s="6" t="str">
        <x:f>IFERROR(INDEX('C_jama.2019.10517'!$G$2:$G$4,MATCH("2019::jama.2019.10517::C002",'C_jama.2019.10517'!$A$2:$A$4,0)),"CHECK KEY")</x:f>
        <x:v>PRIMARY READY</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c>
      <x:c r="L12" s="6" t="str">
        <x:f>IF(Setup!$B$6="primary","",IFERROR(IF(INDEX('Primary_snapshot'!$C$2:$C$72,MATCH(C12,'Primary_snapshot'!$A$2:$A$72,0))="","",INDEX('Primary_snapshot'!$C$2:$C$72,MATCH(C12,'Primary_snapshot'!$A$2:$A$72,0))),"SNAPSHOT MISSING"))</x:f>
      </x:c>
      <x:c r="M12" s="6" t="str">
        <x:f>IF(Setup!$B$6="primary","",IFERROR(IF(INDEX('Primary_snapshot'!$D$2:$D$72,MATCH(C12,'Primary_snapshot'!$A$2:$A$72,0))="","",INDEX('Primary_snapshot'!$D$2:$D$72,MATCH(C12,'Primary_snapshot'!$A$2:$A$72,0))),"SNAPSHOT MISSING"))</x:f>
      </x:c>
      <x:c r="N12" s="6" t="str">
        <x:f>IF(Setup!$B$6="primary","",IFERROR(IF(INDEX('Primary_snapshot'!$E$2:$E$72,MATCH(C12,'Primary_snapshot'!$A$2:$A$72,0))="","",INDEX('Primary_snapshot'!$E$2:$E$72,MATCH(C12,'Primary_snapshot'!$A$2:$A$72,0))),"SNAPSHOT MISSING"))</x:f>
      </x:c>
      <x:c r="O12" s="6" t="str">
        <x:f>IF(Setup!$B$6="primary","",IFERROR(IF(INDEX('Primary_snapshot'!$F$2:$F$72,MATCH(C12,'Primary_snapshot'!$A$2:$A$72,0))="","",INDEX('Primary_snapshot'!$F$2:$F$72,MATCH(C12,'Primary_snapshot'!$A$2:$A$72,0))),"SNAPSHOT MISSING"))</x:f>
      </x:c>
      <x:c r="P12" s="6" t="str">
        <x:f>IF(Setup!$B$6="primary","",IFERROR(IF(INDEX('Primary_snapshot'!$G$2:$G$72,MATCH(C12,'Primary_snapshot'!$A$2:$A$72,0))="","",INDEX('Primary_snapshot'!$G$2:$G$72,MATCH(C12,'Primary_snapshot'!$A$2:$A$72,0))),"SNAPSHOT MISSING"))</x:f>
      </x:c>
      <x:c r="Q12" s="6" t="str">
        <x:f>IF(Setup!$B$6="primary","",IFERROR(IF(INDEX('Primary_snapshot'!$H$2:$H$72,MATCH(C12,'Primary_snapshot'!$A$2:$A$72,0))="","",INDEX('Primary_snapshot'!$H$2:$H$72,MATCH(C12,'Primary_snapshot'!$A$2:$A$72,0))),"SNAPSHOT MISSING"))</x:f>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v>retain</x:v>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substantive_inconsistency</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str">
        <x:f>Setup!$B$2</x:f>
        <x:v>TEST_PRIMARY</x:v>
      </x:c>
      <x:c r="F13" s="3" t="str">
        <x:f>IF(Setup!$B$4="","",Setup!$B$4)</x:f>
      </x:c>
      <x:c r="G13" s="3" t="str">
        <x:f>IFERROR(INDEX('C_jama.2019.10517'!$G$2:$G$4,MATCH("2019::jama.2019.10517::C003",'C_jama.2019.10517'!$A$2:$A$4,0)),"CHECK KEY")</x:f>
        <x:v>PRIMARY READY</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c>
      <x:c r="L13" s="3" t="str">
        <x:f>IF(Setup!$B$6="primary","",IFERROR(IF(INDEX('Primary_snapshot'!$C$2:$C$72,MATCH(C13,'Primary_snapshot'!$A$2:$A$72,0))="","",INDEX('Primary_snapshot'!$C$2:$C$72,MATCH(C13,'Primary_snapshot'!$A$2:$A$72,0))),"SNAPSHOT MISSING"))</x:f>
      </x:c>
      <x:c r="M13" s="3" t="str">
        <x:f>IF(Setup!$B$6="primary","",IFERROR(IF(INDEX('Primary_snapshot'!$D$2:$D$72,MATCH(C13,'Primary_snapshot'!$A$2:$A$72,0))="","",INDEX('Primary_snapshot'!$D$2:$D$72,MATCH(C13,'Primary_snapshot'!$A$2:$A$72,0))),"SNAPSHOT MISSING"))</x:f>
      </x:c>
      <x:c r="N13" s="3" t="str">
        <x:f>IF(Setup!$B$6="primary","",IFERROR(IF(INDEX('Primary_snapshot'!$E$2:$E$72,MATCH(C13,'Primary_snapshot'!$A$2:$A$72,0))="","",INDEX('Primary_snapshot'!$E$2:$E$72,MATCH(C13,'Primary_snapshot'!$A$2:$A$72,0))),"SNAPSHOT MISSING"))</x:f>
      </x:c>
      <x:c r="O13" s="3" t="str">
        <x:f>IF(Setup!$B$6="primary","",IFERROR(IF(INDEX('Primary_snapshot'!$F$2:$F$72,MATCH(C13,'Primary_snapshot'!$A$2:$A$72,0))="","",INDEX('Primary_snapshot'!$F$2:$F$72,MATCH(C13,'Primary_snapshot'!$A$2:$A$72,0))),"SNAPSHOT MISSING"))</x:f>
      </x:c>
      <x:c r="P13" s="3" t="str">
        <x:f>IF(Setup!$B$6="primary","",IFERROR(IF(INDEX('Primary_snapshot'!$G$2:$G$72,MATCH(C13,'Primary_snapshot'!$A$2:$A$72,0))="","",INDEX('Primary_snapshot'!$G$2:$G$72,MATCH(C13,'Primary_snapshot'!$A$2:$A$72,0))),"SNAPSHOT MISSING"))</x:f>
      </x:c>
      <x:c r="Q13" s="3" t="str">
        <x:f>IF(Setup!$B$6="primary","",IFERROR(IF(INDEX('Primary_snapshot'!$H$2:$H$72,MATCH(C13,'Primary_snapshot'!$A$2:$A$72,0))="","",INDEX('Primary_snapshot'!$H$2:$H$72,MATCH(C13,'Primary_snapshot'!$A$2:$A$72,0))),"SNAPSHOT MISSING"))</x:f>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v>retain</x:v>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substantive_inconsistency</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str">
        <x:f>Setup!$B$2</x:f>
        <x:v>TEST_PRIMARY</x:v>
      </x:c>
      <x:c r="F14" s="6" t="str">
        <x:f>IF(Setup!$B$4="","",Setup!$B$4)</x:f>
      </x:c>
      <x:c r="G14" s="6" t="str">
        <x:f>IFERROR(INDEX('C_jama.2019.12618'!$G$2:$G$9,MATCH("2019::jama.2019.12618::C001",'C_jama.2019.12618'!$A$2:$A$9,0)),"CHECK KEY")</x:f>
        <x:v>PRIMARY READY</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c>
      <x:c r="L14" s="6" t="str">
        <x:f>IF(Setup!$B$6="primary","",IFERROR(IF(INDEX('Primary_snapshot'!$C$2:$C$72,MATCH(C14,'Primary_snapshot'!$A$2:$A$72,0))="","",INDEX('Primary_snapshot'!$C$2:$C$72,MATCH(C14,'Primary_snapshot'!$A$2:$A$72,0))),"SNAPSHOT MISSING"))</x:f>
      </x:c>
      <x:c r="M14" s="6" t="str">
        <x:f>IF(Setup!$B$6="primary","",IFERROR(IF(INDEX('Primary_snapshot'!$D$2:$D$72,MATCH(C14,'Primary_snapshot'!$A$2:$A$72,0))="","",INDEX('Primary_snapshot'!$D$2:$D$72,MATCH(C14,'Primary_snapshot'!$A$2:$A$72,0))),"SNAPSHOT MISSING"))</x:f>
      </x:c>
      <x:c r="N14" s="6" t="str">
        <x:f>IF(Setup!$B$6="primary","",IFERROR(IF(INDEX('Primary_snapshot'!$E$2:$E$72,MATCH(C14,'Primary_snapshot'!$A$2:$A$72,0))="","",INDEX('Primary_snapshot'!$E$2:$E$72,MATCH(C14,'Primary_snapshot'!$A$2:$A$72,0))),"SNAPSHOT MISSING"))</x:f>
      </x:c>
      <x:c r="O14" s="6" t="str">
        <x:f>IF(Setup!$B$6="primary","",IFERROR(IF(INDEX('Primary_snapshot'!$F$2:$F$72,MATCH(C14,'Primary_snapshot'!$A$2:$A$72,0))="","",INDEX('Primary_snapshot'!$F$2:$F$72,MATCH(C14,'Primary_snapshot'!$A$2:$A$72,0))),"SNAPSHOT MISSING"))</x:f>
      </x:c>
      <x:c r="P14" s="6" t="str">
        <x:f>IF(Setup!$B$6="primary","",IFERROR(IF(INDEX('Primary_snapshot'!$G$2:$G$72,MATCH(C14,'Primary_snapshot'!$A$2:$A$72,0))="","",INDEX('Primary_snapshot'!$G$2:$G$72,MATCH(C14,'Primary_snapshot'!$A$2:$A$72,0))),"SNAPSHOT MISSING"))</x:f>
      </x:c>
      <x:c r="Q14" s="6" t="str">
        <x:f>IF(Setup!$B$6="primary","",IFERROR(IF(INDEX('Primary_snapshot'!$H$2:$H$72,MATCH(C14,'Primary_snapshot'!$A$2:$A$72,0))="","",INDEX('Primary_snapshot'!$H$2:$H$72,MATCH(C14,'Primary_snapshot'!$A$2:$A$72,0))),"SNAPSHOT MISSING"))</x:f>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v>retain</x:v>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substantive_inconsistency</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str">
        <x:f>Setup!$B$2</x:f>
        <x:v>TEST_PRIMARY</x:v>
      </x:c>
      <x:c r="F15" s="3" t="str">
        <x:f>IF(Setup!$B$4="","",Setup!$B$4)</x:f>
      </x:c>
      <x:c r="G15" s="3" t="str">
        <x:f>IFERROR(INDEX('C_jama.2019.12618'!$G$2:$G$9,MATCH("2019::jama.2019.12618::C002",'C_jama.2019.12618'!$A$2:$A$9,0)),"CHECK KEY")</x:f>
        <x:v>PRIMARY READY</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c>
      <x:c r="L15" s="3" t="str">
        <x:f>IF(Setup!$B$6="primary","",IFERROR(IF(INDEX('Primary_snapshot'!$C$2:$C$72,MATCH(C15,'Primary_snapshot'!$A$2:$A$72,0))="","",INDEX('Primary_snapshot'!$C$2:$C$72,MATCH(C15,'Primary_snapshot'!$A$2:$A$72,0))),"SNAPSHOT MISSING"))</x:f>
      </x:c>
      <x:c r="M15" s="3" t="str">
        <x:f>IF(Setup!$B$6="primary","",IFERROR(IF(INDEX('Primary_snapshot'!$D$2:$D$72,MATCH(C15,'Primary_snapshot'!$A$2:$A$72,0))="","",INDEX('Primary_snapshot'!$D$2:$D$72,MATCH(C15,'Primary_snapshot'!$A$2:$A$72,0))),"SNAPSHOT MISSING"))</x:f>
      </x:c>
      <x:c r="N15" s="3" t="str">
        <x:f>IF(Setup!$B$6="primary","",IFERROR(IF(INDEX('Primary_snapshot'!$E$2:$E$72,MATCH(C15,'Primary_snapshot'!$A$2:$A$72,0))="","",INDEX('Primary_snapshot'!$E$2:$E$72,MATCH(C15,'Primary_snapshot'!$A$2:$A$72,0))),"SNAPSHOT MISSING"))</x:f>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c>
      <x:c r="Q15" s="3" t="str">
        <x:f>IF(Setup!$B$6="primary","",IFERROR(IF(INDEX('Primary_snapshot'!$H$2:$H$72,MATCH(C15,'Primary_snapshot'!$A$2:$A$72,0))="","",INDEX('Primary_snapshot'!$H$2:$H$72,MATCH(C15,'Primary_snapshot'!$A$2:$A$72,0))),"SNAPSHOT MISSING"))</x:f>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v>retain</x:v>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confirmed_issue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substantive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str">
        <x:f>Setup!$B$2</x:f>
        <x:v>TEST_PRIMARY</x:v>
      </x:c>
      <x:c r="F16" s="6" t="str">
        <x:f>IF(Setup!$B$4="","",Setup!$B$4)</x:f>
      </x:c>
      <x:c r="G16" s="6" t="str">
        <x:f>IFERROR(INDEX('C_jama.2019.12618'!$G$2:$G$9,MATCH("2019::jama.2019.12618::C003",'C_jama.2019.12618'!$A$2:$A$9,0)),"CHECK KEY")</x:f>
        <x:v>PRIMARY READY</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c>
      <x:c r="L16" s="6" t="str">
        <x:f>IF(Setup!$B$6="primary","",IFERROR(IF(INDEX('Primary_snapshot'!$C$2:$C$72,MATCH(C16,'Primary_snapshot'!$A$2:$A$72,0))="","",INDEX('Primary_snapshot'!$C$2:$C$72,MATCH(C16,'Primary_snapshot'!$A$2:$A$72,0))),"SNAPSHOT MISSING"))</x:f>
      </x:c>
      <x:c r="M16" s="6" t="str">
        <x:f>IF(Setup!$B$6="primary","",IFERROR(IF(INDEX('Primary_snapshot'!$D$2:$D$72,MATCH(C16,'Primary_snapshot'!$A$2:$A$72,0))="","",INDEX('Primary_snapshot'!$D$2:$D$72,MATCH(C16,'Primary_snapshot'!$A$2:$A$72,0))),"SNAPSHOT MISSING"))</x:f>
      </x:c>
      <x:c r="N16" s="6" t="str">
        <x:f>IF(Setup!$B$6="primary","",IFERROR(IF(INDEX('Primary_snapshot'!$E$2:$E$72,MATCH(C16,'Primary_snapshot'!$A$2:$A$72,0))="","",INDEX('Primary_snapshot'!$E$2:$E$72,MATCH(C16,'Primary_snapshot'!$A$2:$A$72,0))),"SNAPSHOT MISSING"))</x:f>
      </x:c>
      <x:c r="O16" s="6" t="str">
        <x:f>IF(Setup!$B$6="primary","",IFERROR(IF(INDEX('Primary_snapshot'!$F$2:$F$72,MATCH(C16,'Primary_snapshot'!$A$2:$A$72,0))="","",INDEX('Primary_snapshot'!$F$2:$F$72,MATCH(C16,'Primary_snapshot'!$A$2:$A$72,0))),"SNAPSHOT MISSING"))</x:f>
      </x:c>
      <x:c r="P16" s="6" t="str">
        <x:f>IF(Setup!$B$6="primary","",IFERROR(IF(INDEX('Primary_snapshot'!$G$2:$G$72,MATCH(C16,'Primary_snapshot'!$A$2:$A$72,0))="","",INDEX('Primary_snapshot'!$G$2:$G$72,MATCH(C16,'Primary_snapshot'!$A$2:$A$72,0))),"SNAPSHOT MISSING"))</x:f>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v>retain</x:v>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str">
        <x:f>Setup!$B$2</x:f>
        <x:v>TEST_PRIMARY</x:v>
      </x:c>
      <x:c r="F17" s="3" t="str">
        <x:f>IF(Setup!$B$4="","",Setup!$B$4)</x:f>
      </x:c>
      <x:c r="G17" s="3" t="str">
        <x:f>IFERROR(INDEX('C_jama.2019.12618'!$G$2:$G$9,MATCH("2019::jama.2019.12618::C004",'C_jama.2019.12618'!$A$2:$A$9,0)),"CHECK KEY")</x:f>
        <x:v>PRIMARY READY</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c>
      <x:c r="L17" s="3" t="str">
        <x:f>IF(Setup!$B$6="primary","",IFERROR(IF(INDEX('Primary_snapshot'!$C$2:$C$72,MATCH(C17,'Primary_snapshot'!$A$2:$A$72,0))="","",INDEX('Primary_snapshot'!$C$2:$C$72,MATCH(C17,'Primary_snapshot'!$A$2:$A$72,0))),"SNAPSHOT MISSING"))</x:f>
      </x:c>
      <x:c r="M17" s="3" t="str">
        <x:f>IF(Setup!$B$6="primary","",IFERROR(IF(INDEX('Primary_snapshot'!$D$2:$D$72,MATCH(C17,'Primary_snapshot'!$A$2:$A$72,0))="","",INDEX('Primary_snapshot'!$D$2:$D$72,MATCH(C17,'Primary_snapshot'!$A$2:$A$72,0))),"SNAPSHOT MISSING"))</x:f>
      </x:c>
      <x:c r="N17" s="3" t="str">
        <x:f>IF(Setup!$B$6="primary","",IFERROR(IF(INDEX('Primary_snapshot'!$E$2:$E$72,MATCH(C17,'Primary_snapshot'!$A$2:$A$72,0))="","",INDEX('Primary_snapshot'!$E$2:$E$72,MATCH(C17,'Primary_snapshot'!$A$2:$A$72,0))),"SNAPSHOT MISSING"))</x:f>
      </x:c>
      <x:c r="O17" s="3" t="str">
        <x:f>IF(Setup!$B$6="primary","",IFERROR(IF(INDEX('Primary_snapshot'!$F$2:$F$72,MATCH(C17,'Primary_snapshot'!$A$2:$A$72,0))="","",INDEX('Primary_snapshot'!$F$2:$F$72,MATCH(C17,'Primary_snapshot'!$A$2:$A$72,0))),"SNAPSHOT MISSING"))</x:f>
      </x:c>
      <x:c r="P17" s="3" t="str">
        <x:f>IF(Setup!$B$6="primary","",IFERROR(IF(INDEX('Primary_snapshot'!$G$2:$G$72,MATCH(C17,'Primary_snapshot'!$A$2:$A$72,0))="","",INDEX('Primary_snapshot'!$G$2:$G$72,MATCH(C17,'Primary_snapshot'!$A$2:$A$72,0))),"SNAPSHOT MISSING"))</x:f>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v>retain</x:v>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str">
        <x:f>Setup!$B$2</x:f>
        <x:v>TEST_PRIMARY</x:v>
      </x:c>
      <x:c r="F18" s="6" t="str">
        <x:f>IF(Setup!$B$4="","",Setup!$B$4)</x:f>
      </x:c>
      <x:c r="G18" s="6" t="str">
        <x:f>IFERROR(INDEX('C_jama.2019.12618'!$G$2:$G$9,MATCH("2019::jama.2019.12618::C005",'C_jama.2019.12618'!$A$2:$A$9,0)),"CHECK KEY")</x:f>
        <x:v>PRIMARY READY</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c>
      <x:c r="L18" s="6" t="str">
        <x:f>IF(Setup!$B$6="primary","",IFERROR(IF(INDEX('Primary_snapshot'!$C$2:$C$72,MATCH(C18,'Primary_snapshot'!$A$2:$A$72,0))="","",INDEX('Primary_snapshot'!$C$2:$C$72,MATCH(C18,'Primary_snapshot'!$A$2:$A$72,0))),"SNAPSHOT MISSING"))</x:f>
      </x:c>
      <x:c r="M18" s="6" t="str">
        <x:f>IF(Setup!$B$6="primary","",IFERROR(IF(INDEX('Primary_snapshot'!$D$2:$D$72,MATCH(C18,'Primary_snapshot'!$A$2:$A$72,0))="","",INDEX('Primary_snapshot'!$D$2:$D$72,MATCH(C18,'Primary_snapshot'!$A$2:$A$72,0))),"SNAPSHOT MISSING"))</x:f>
      </x:c>
      <x:c r="N18" s="6" t="str">
        <x:f>IF(Setup!$B$6="primary","",IFERROR(IF(INDEX('Primary_snapshot'!$E$2:$E$72,MATCH(C18,'Primary_snapshot'!$A$2:$A$72,0))="","",INDEX('Primary_snapshot'!$E$2:$E$72,MATCH(C18,'Primary_snapshot'!$A$2:$A$72,0))),"SNAPSHOT MISSING"))</x:f>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c>
      <x:c r="Q18" s="6" t="str">
        <x:f>IF(Setup!$B$6="primary","",IFERROR(IF(INDEX('Primary_snapshot'!$H$2:$H$72,MATCH(C18,'Primary_snapshot'!$A$2:$A$72,0))="","",INDEX('Primary_snapshot'!$H$2:$H$72,MATCH(C18,'Primary_snapshot'!$A$2:$A$72,0))),"SNAPSHOT MISSING"))</x:f>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v>retain</x:v>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confirmed_issue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substantive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str">
        <x:f>Setup!$B$2</x:f>
        <x:v>TEST_PRIMARY</x:v>
      </x:c>
      <x:c r="F19" s="3" t="str">
        <x:f>IF(Setup!$B$4="","",Setup!$B$4)</x:f>
      </x:c>
      <x:c r="G19" s="3" t="str">
        <x:f>IFERROR(INDEX('C_jama.2019.12618'!$G$2:$G$9,MATCH("2019::jama.2019.12618::C006",'C_jama.2019.12618'!$A$2:$A$9,0)),"CHECK KEY")</x:f>
        <x:v>PRIMARY READY</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c>
      <x:c r="L19" s="3" t="str">
        <x:f>IF(Setup!$B$6="primary","",IFERROR(IF(INDEX('Primary_snapshot'!$C$2:$C$72,MATCH(C19,'Primary_snapshot'!$A$2:$A$72,0))="","",INDEX('Primary_snapshot'!$C$2:$C$72,MATCH(C19,'Primary_snapshot'!$A$2:$A$72,0))),"SNAPSHOT MISSING"))</x:f>
      </x:c>
      <x:c r="M19" s="3" t="str">
        <x:f>IF(Setup!$B$6="primary","",IFERROR(IF(INDEX('Primary_snapshot'!$D$2:$D$72,MATCH(C19,'Primary_snapshot'!$A$2:$A$72,0))="","",INDEX('Primary_snapshot'!$D$2:$D$72,MATCH(C19,'Primary_snapshot'!$A$2:$A$72,0))),"SNAPSHOT MISSING"))</x:f>
      </x:c>
      <x:c r="N19" s="3" t="str">
        <x:f>IF(Setup!$B$6="primary","",IFERROR(IF(INDEX('Primary_snapshot'!$E$2:$E$72,MATCH(C19,'Primary_snapshot'!$A$2:$A$72,0))="","",INDEX('Primary_snapshot'!$E$2:$E$72,MATCH(C19,'Primary_snapshot'!$A$2:$A$72,0))),"SNAPSHOT MISSING"))</x:f>
      </x:c>
      <x:c r="O19" s="3" t="str">
        <x:f>IF(Setup!$B$6="primary","",IFERROR(IF(INDEX('Primary_snapshot'!$F$2:$F$72,MATCH(C19,'Primary_snapshot'!$A$2:$A$72,0))="","",INDEX('Primary_snapshot'!$F$2:$F$72,MATCH(C19,'Primary_snapshot'!$A$2:$A$72,0))),"SNAPSHOT MISSING"))</x:f>
      </x:c>
      <x:c r="P19" s="3" t="str">
        <x:f>IF(Setup!$B$6="primary","",IFERROR(IF(INDEX('Primary_snapshot'!$G$2:$G$72,MATCH(C19,'Primary_snapshot'!$A$2:$A$72,0))="","",INDEX('Primary_snapshot'!$G$2:$G$72,MATCH(C19,'Primary_snapshot'!$A$2:$A$72,0))),"SNAPSHOT MISSING"))</x:f>
      </x:c>
      <x:c r="Q19" s="3" t="str">
        <x:f>IF(Setup!$B$6="primary","",IFERROR(IF(INDEX('Primary_snapshot'!$H$2:$H$72,MATCH(C19,'Primary_snapshot'!$A$2:$A$72,0))="","",INDEX('Primary_snapshot'!$H$2:$H$72,MATCH(C19,'Primary_snapshot'!$A$2:$A$72,0))),"SNAPSHOT MISSING"))</x:f>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v>retain</x:v>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substantive_inconsistency</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str">
        <x:f>Setup!$B$2</x:f>
        <x:v>TEST_PRIMARY</x:v>
      </x:c>
      <x:c r="F20" s="6" t="str">
        <x:f>IF(Setup!$B$4="","",Setup!$B$4)</x:f>
      </x:c>
      <x:c r="G20" s="6" t="str">
        <x:f>IFERROR(INDEX('C_jama.2019.12618'!$G$2:$G$9,MATCH("2019::jama.2019.12618::C007",'C_jama.2019.12618'!$A$2:$A$9,0)),"CHECK KEY")</x:f>
        <x:v>PRIMARY READY</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c>
      <x:c r="L20" s="6" t="str">
        <x:f>IF(Setup!$B$6="primary","",IFERROR(IF(INDEX('Primary_snapshot'!$C$2:$C$72,MATCH(C20,'Primary_snapshot'!$A$2:$A$72,0))="","",INDEX('Primary_snapshot'!$C$2:$C$72,MATCH(C20,'Primary_snapshot'!$A$2:$A$72,0))),"SNAPSHOT MISSING"))</x:f>
      </x:c>
      <x:c r="M20" s="6" t="str">
        <x:f>IF(Setup!$B$6="primary","",IFERROR(IF(INDEX('Primary_snapshot'!$D$2:$D$72,MATCH(C20,'Primary_snapshot'!$A$2:$A$72,0))="","",INDEX('Primary_snapshot'!$D$2:$D$72,MATCH(C20,'Primary_snapshot'!$A$2:$A$72,0))),"SNAPSHOT MISSING"))</x:f>
      </x:c>
      <x:c r="N20" s="6" t="str">
        <x:f>IF(Setup!$B$6="primary","",IFERROR(IF(INDEX('Primary_snapshot'!$E$2:$E$72,MATCH(C20,'Primary_snapshot'!$A$2:$A$72,0))="","",INDEX('Primary_snapshot'!$E$2:$E$72,MATCH(C20,'Primary_snapshot'!$A$2:$A$72,0))),"SNAPSHOT MISSING"))</x:f>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c>
      <x:c r="Q20" s="6" t="str">
        <x:f>IF(Setup!$B$6="primary","",IFERROR(IF(INDEX('Primary_snapshot'!$H$2:$H$72,MATCH(C20,'Primary_snapshot'!$A$2:$A$72,0))="","",INDEX('Primary_snapshot'!$H$2:$H$72,MATCH(C20,'Primary_snapshot'!$A$2:$A$72,0))),"SNAPSHOT MISSING"))</x:f>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v>retain</x:v>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confirmed_issue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substantive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str">
        <x:f>Setup!$B$2</x:f>
        <x:v>TEST_PRIMARY</x:v>
      </x:c>
      <x:c r="F21" s="3" t="str">
        <x:f>IF(Setup!$B$4="","",Setup!$B$4)</x:f>
      </x:c>
      <x:c r="G21" s="3" t="str">
        <x:f>IFERROR(INDEX('C_jama.2019.12618'!$G$2:$G$9,MATCH("2019::jama.2019.12618::C008",'C_jama.2019.12618'!$A$2:$A$9,0)),"CHECK KEY")</x:f>
        <x:v>PRIMARY READY</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c>
      <x:c r="L21" s="3" t="str">
        <x:f>IF(Setup!$B$6="primary","",IFERROR(IF(INDEX('Primary_snapshot'!$C$2:$C$72,MATCH(C21,'Primary_snapshot'!$A$2:$A$72,0))="","",INDEX('Primary_snapshot'!$C$2:$C$72,MATCH(C21,'Primary_snapshot'!$A$2:$A$72,0))),"SNAPSHOT MISSING"))</x:f>
      </x:c>
      <x:c r="M21" s="3" t="str">
        <x:f>IF(Setup!$B$6="primary","",IFERROR(IF(INDEX('Primary_snapshot'!$D$2:$D$72,MATCH(C21,'Primary_snapshot'!$A$2:$A$72,0))="","",INDEX('Primary_snapshot'!$D$2:$D$72,MATCH(C21,'Primary_snapshot'!$A$2:$A$72,0))),"SNAPSHOT MISSING"))</x:f>
      </x:c>
      <x:c r="N21" s="3" t="str">
        <x:f>IF(Setup!$B$6="primary","",IFERROR(IF(INDEX('Primary_snapshot'!$E$2:$E$72,MATCH(C21,'Primary_snapshot'!$A$2:$A$72,0))="","",INDEX('Primary_snapshot'!$E$2:$E$72,MATCH(C21,'Primary_snapshot'!$A$2:$A$72,0))),"SNAPSHOT MISSING"))</x:f>
      </x:c>
      <x:c r="O21" s="3" t="str">
        <x:f>IF(Setup!$B$6="primary","",IFERROR(IF(INDEX('Primary_snapshot'!$F$2:$F$72,MATCH(C21,'Primary_snapshot'!$A$2:$A$72,0))="","",INDEX('Primary_snapshot'!$F$2:$F$72,MATCH(C21,'Primary_snapshot'!$A$2:$A$72,0))),"SNAPSHOT MISSING"))</x:f>
      </x:c>
      <x:c r="P21" s="3" t="str">
        <x:f>IF(Setup!$B$6="primary","",IFERROR(IF(INDEX('Primary_snapshot'!$G$2:$G$72,MATCH(C21,'Primary_snapshot'!$A$2:$A$72,0))="","",INDEX('Primary_snapshot'!$G$2:$G$72,MATCH(C21,'Primary_snapshot'!$A$2:$A$72,0))),"SNAPSHOT MISSING"))</x:f>
      </x:c>
      <x:c r="Q21" s="3" t="str">
        <x:f>IF(Setup!$B$6="primary","",IFERROR(IF(INDEX('Primary_snapshot'!$H$2:$H$72,MATCH(C21,'Primary_snapshot'!$A$2:$A$72,0))="","",INDEX('Primary_snapshot'!$H$2:$H$72,MATCH(C21,'Primary_snapshot'!$A$2:$A$72,0))),"SNAPSHOT MISSING"))</x:f>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v>retain</x:v>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substantive_inconsistency</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str">
        <x:f>Setup!$B$2</x:f>
        <x:v>TEST_PRIMARY</x:v>
      </x:c>
      <x:c r="F22" s="6" t="str">
        <x:f>IF(Setup!$B$4="","",Setup!$B$4)</x:f>
      </x:c>
      <x:c r="G22" s="6" t="str">
        <x:f>IFERROR(INDEX('C_jama.2019.14231'!$G$2:$G$12,MATCH("2019::jama.2019.14231::C001",'C_jama.2019.14231'!$A$2:$A$12,0)),"CHECK KEY")</x:f>
        <x:v>PRIMARY READY</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c>
      <x:c r="L22" s="6" t="str">
        <x:f>IF(Setup!$B$6="primary","",IFERROR(IF(INDEX('Primary_snapshot'!$C$2:$C$72,MATCH(C22,'Primary_snapshot'!$A$2:$A$72,0))="","",INDEX('Primary_snapshot'!$C$2:$C$72,MATCH(C22,'Primary_snapshot'!$A$2:$A$72,0))),"SNAPSHOT MISSING"))</x:f>
      </x:c>
      <x:c r="M22" s="6" t="str">
        <x:f>IF(Setup!$B$6="primary","",IFERROR(IF(INDEX('Primary_snapshot'!$D$2:$D$72,MATCH(C22,'Primary_snapshot'!$A$2:$A$72,0))="","",INDEX('Primary_snapshot'!$D$2:$D$72,MATCH(C22,'Primary_snapshot'!$A$2:$A$72,0))),"SNAPSHOT MISSING"))</x:f>
      </x:c>
      <x:c r="N22" s="6" t="str">
        <x:f>IF(Setup!$B$6="primary","",IFERROR(IF(INDEX('Primary_snapshot'!$E$2:$E$72,MATCH(C22,'Primary_snapshot'!$A$2:$A$72,0))="","",INDEX('Primary_snapshot'!$E$2:$E$72,MATCH(C22,'Primary_snapshot'!$A$2:$A$72,0))),"SNAPSHOT MISSING"))</x:f>
      </x:c>
      <x:c r="O22" s="6" t="str">
        <x:f>IF(Setup!$B$6="primary","",IFERROR(IF(INDEX('Primary_snapshot'!$F$2:$F$72,MATCH(C22,'Primary_snapshot'!$A$2:$A$72,0))="","",INDEX('Primary_snapshot'!$F$2:$F$72,MATCH(C22,'Primary_snapshot'!$A$2:$A$72,0))),"SNAPSHOT MISSING"))</x:f>
      </x:c>
      <x:c r="P22" s="6" t="str">
        <x:f>IF(Setup!$B$6="primary","",IFERROR(IF(INDEX('Primary_snapshot'!$G$2:$G$72,MATCH(C22,'Primary_snapshot'!$A$2:$A$72,0))="","",INDEX('Primary_snapshot'!$G$2:$G$72,MATCH(C22,'Primary_snapshot'!$A$2:$A$72,0))),"SNAPSHOT MISSING"))</x:f>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v>retain</x:v>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str">
        <x:f>Setup!$B$2</x:f>
        <x:v>TEST_PRIMARY</x:v>
      </x:c>
      <x:c r="F23" s="3" t="str">
        <x:f>IF(Setup!$B$4="","",Setup!$B$4)</x:f>
      </x:c>
      <x:c r="G23" s="3" t="str">
        <x:f>IFERROR(INDEX('C_jama.2019.14231'!$G$2:$G$12,MATCH("2019::jama.2019.14231::C002",'C_jama.2019.14231'!$A$2:$A$12,0)),"CHECK KEY")</x:f>
        <x:v>PRIMARY READY</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c>
      <x:c r="L23" s="3" t="str">
        <x:f>IF(Setup!$B$6="primary","",IFERROR(IF(INDEX('Primary_snapshot'!$C$2:$C$72,MATCH(C23,'Primary_snapshot'!$A$2:$A$72,0))="","",INDEX('Primary_snapshot'!$C$2:$C$72,MATCH(C23,'Primary_snapshot'!$A$2:$A$72,0))),"SNAPSHOT MISSING"))</x:f>
      </x:c>
      <x:c r="M23" s="3" t="str">
        <x:f>IF(Setup!$B$6="primary","",IFERROR(IF(INDEX('Primary_snapshot'!$D$2:$D$72,MATCH(C23,'Primary_snapshot'!$A$2:$A$72,0))="","",INDEX('Primary_snapshot'!$D$2:$D$72,MATCH(C23,'Primary_snapshot'!$A$2:$A$72,0))),"SNAPSHOT MISSING"))</x:f>
      </x:c>
      <x:c r="N23" s="3" t="str">
        <x:f>IF(Setup!$B$6="primary","",IFERROR(IF(INDEX('Primary_snapshot'!$E$2:$E$72,MATCH(C23,'Primary_snapshot'!$A$2:$A$72,0))="","",INDEX('Primary_snapshot'!$E$2:$E$72,MATCH(C23,'Primary_snapshot'!$A$2:$A$72,0))),"SNAPSHOT MISSING"))</x:f>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c>
      <x:c r="Q23" s="3" t="str">
        <x:f>IF(Setup!$B$6="primary","",IFERROR(IF(INDEX('Primary_snapshot'!$H$2:$H$72,MATCH(C23,'Primary_snapshot'!$A$2:$A$72,0))="","",INDEX('Primary_snapshot'!$H$2:$H$72,MATCH(C23,'Primary_snapshot'!$A$2:$A$72,0))),"SNAPSHOT MISSING"))</x:f>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v>retain</x:v>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confirmed_issue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substantive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str">
        <x:f>Setup!$B$2</x:f>
        <x:v>TEST_PRIMARY</x:v>
      </x:c>
      <x:c r="F24" s="6" t="str">
        <x:f>IF(Setup!$B$4="","",Setup!$B$4)</x:f>
      </x:c>
      <x:c r="G24" s="6" t="str">
        <x:f>IFERROR(INDEX('C_jama.2019.14231'!$G$2:$G$12,MATCH("2019::jama.2019.14231::C003",'C_jama.2019.14231'!$A$2:$A$12,0)),"CHECK KEY")</x:f>
        <x:v>PRIMARY READY</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c>
      <x:c r="L24" s="6" t="str">
        <x:f>IF(Setup!$B$6="primary","",IFERROR(IF(INDEX('Primary_snapshot'!$C$2:$C$72,MATCH(C24,'Primary_snapshot'!$A$2:$A$72,0))="","",INDEX('Primary_snapshot'!$C$2:$C$72,MATCH(C24,'Primary_snapshot'!$A$2:$A$72,0))),"SNAPSHOT MISSING"))</x:f>
      </x:c>
      <x:c r="M24" s="6" t="str">
        <x:f>IF(Setup!$B$6="primary","",IFERROR(IF(INDEX('Primary_snapshot'!$D$2:$D$72,MATCH(C24,'Primary_snapshot'!$A$2:$A$72,0))="","",INDEX('Primary_snapshot'!$D$2:$D$72,MATCH(C24,'Primary_snapshot'!$A$2:$A$72,0))),"SNAPSHOT MISSING"))</x:f>
      </x:c>
      <x:c r="N24" s="6" t="str">
        <x:f>IF(Setup!$B$6="primary","",IFERROR(IF(INDEX('Primary_snapshot'!$E$2:$E$72,MATCH(C24,'Primary_snapshot'!$A$2:$A$72,0))="","",INDEX('Primary_snapshot'!$E$2:$E$72,MATCH(C24,'Primary_snapshot'!$A$2:$A$72,0))),"SNAPSHOT MISSING"))</x:f>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c>
      <x:c r="Q24" s="6" t="str">
        <x:f>IF(Setup!$B$6="primary","",IFERROR(IF(INDEX('Primary_snapshot'!$H$2:$H$72,MATCH(C24,'Primary_snapshot'!$A$2:$A$72,0))="","",INDEX('Primary_snapshot'!$H$2:$H$72,MATCH(C24,'Primary_snapshot'!$A$2:$A$72,0))),"SNAPSHOT MISSING"))</x:f>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v>retain</x:v>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confirmed_issue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substantive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str">
        <x:f>Setup!$B$2</x:f>
        <x:v>TEST_PRIMARY</x:v>
      </x:c>
      <x:c r="F25" s="3" t="str">
        <x:f>IF(Setup!$B$4="","",Setup!$B$4)</x:f>
      </x:c>
      <x:c r="G25" s="3" t="str">
        <x:f>IFERROR(INDEX('C_jama.2019.14231'!$G$2:$G$12,MATCH("2019::jama.2019.14231::C004",'C_jama.2019.14231'!$A$2:$A$12,0)),"CHECK KEY")</x:f>
        <x:v>PRIMARY READY</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c>
      <x:c r="L25" s="3" t="str">
        <x:f>IF(Setup!$B$6="primary","",IFERROR(IF(INDEX('Primary_snapshot'!$C$2:$C$72,MATCH(C25,'Primary_snapshot'!$A$2:$A$72,0))="","",INDEX('Primary_snapshot'!$C$2:$C$72,MATCH(C25,'Primary_snapshot'!$A$2:$A$72,0))),"SNAPSHOT MISSING"))</x:f>
      </x:c>
      <x:c r="M25" s="3" t="str">
        <x:f>IF(Setup!$B$6="primary","",IFERROR(IF(INDEX('Primary_snapshot'!$D$2:$D$72,MATCH(C25,'Primary_snapshot'!$A$2:$A$72,0))="","",INDEX('Primary_snapshot'!$D$2:$D$72,MATCH(C25,'Primary_snapshot'!$A$2:$A$72,0))),"SNAPSHOT MISSING"))</x:f>
      </x:c>
      <x:c r="N25" s="3" t="str">
        <x:f>IF(Setup!$B$6="primary","",IFERROR(IF(INDEX('Primary_snapshot'!$E$2:$E$72,MATCH(C25,'Primary_snapshot'!$A$2:$A$72,0))="","",INDEX('Primary_snapshot'!$E$2:$E$72,MATCH(C25,'Primary_snapshot'!$A$2:$A$72,0))),"SNAPSHOT MISSING"))</x:f>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c>
      <x:c r="Q25" s="3" t="str">
        <x:f>IF(Setup!$B$6="primary","",IFERROR(IF(INDEX('Primary_snapshot'!$H$2:$H$72,MATCH(C25,'Primary_snapshot'!$A$2:$A$72,0))="","",INDEX('Primary_snapshot'!$H$2:$H$72,MATCH(C25,'Primary_snapshot'!$A$2:$A$72,0))),"SNAPSHOT MISSING"))</x:f>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v>retain</x:v>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confirmed_issue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substantive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str">
        <x:f>Setup!$B$2</x:f>
        <x:v>TEST_PRIMARY</x:v>
      </x:c>
      <x:c r="F26" s="6" t="str">
        <x:f>IF(Setup!$B$4="","",Setup!$B$4)</x:f>
      </x:c>
      <x:c r="G26" s="6" t="str">
        <x:f>IFERROR(INDEX('C_jama.2019.14231'!$G$2:$G$12,MATCH("2019::jama.2019.14231::C005",'C_jama.2019.14231'!$A$2:$A$12,0)),"CHECK KEY")</x:f>
        <x:v>PRIMARY READY</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c>
      <x:c r="L26" s="6" t="str">
        <x:f>IF(Setup!$B$6="primary","",IFERROR(IF(INDEX('Primary_snapshot'!$C$2:$C$72,MATCH(C26,'Primary_snapshot'!$A$2:$A$72,0))="","",INDEX('Primary_snapshot'!$C$2:$C$72,MATCH(C26,'Primary_snapshot'!$A$2:$A$72,0))),"SNAPSHOT MISSING"))</x:f>
      </x:c>
      <x:c r="M26" s="6" t="str">
        <x:f>IF(Setup!$B$6="primary","",IFERROR(IF(INDEX('Primary_snapshot'!$D$2:$D$72,MATCH(C26,'Primary_snapshot'!$A$2:$A$72,0))="","",INDEX('Primary_snapshot'!$D$2:$D$72,MATCH(C26,'Primary_snapshot'!$A$2:$A$72,0))),"SNAPSHOT MISSING"))</x:f>
      </x:c>
      <x:c r="N26" s="6" t="str">
        <x:f>IF(Setup!$B$6="primary","",IFERROR(IF(INDEX('Primary_snapshot'!$E$2:$E$72,MATCH(C26,'Primary_snapshot'!$A$2:$A$72,0))="","",INDEX('Primary_snapshot'!$E$2:$E$72,MATCH(C26,'Primary_snapshot'!$A$2:$A$72,0))),"SNAPSHOT MISSING"))</x:f>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c>
      <x:c r="Q26" s="6" t="str">
        <x:f>IF(Setup!$B$6="primary","",IFERROR(IF(INDEX('Primary_snapshot'!$H$2:$H$72,MATCH(C26,'Primary_snapshot'!$A$2:$A$72,0))="","",INDEX('Primary_snapshot'!$H$2:$H$72,MATCH(C26,'Primary_snapshot'!$A$2:$A$72,0))),"SNAPSHOT MISSING"))</x:f>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v>retain</x:v>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confirmed_issue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substantive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str">
        <x:f>Setup!$B$2</x:f>
        <x:v>TEST_PRIMARY</x:v>
      </x:c>
      <x:c r="F27" s="3" t="str">
        <x:f>IF(Setup!$B$4="","",Setup!$B$4)</x:f>
      </x:c>
      <x:c r="G27" s="3" t="str">
        <x:f>IFERROR(INDEX('C_jama.2019.14231'!$G$2:$G$12,MATCH("2019::jama.2019.14231::C006",'C_jama.2019.14231'!$A$2:$A$12,0)),"CHECK KEY")</x:f>
        <x:v>PRIMARY READY</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c>
      <x:c r="L27" s="3" t="str">
        <x:f>IF(Setup!$B$6="primary","",IFERROR(IF(INDEX('Primary_snapshot'!$C$2:$C$72,MATCH(C27,'Primary_snapshot'!$A$2:$A$72,0))="","",INDEX('Primary_snapshot'!$C$2:$C$72,MATCH(C27,'Primary_snapshot'!$A$2:$A$72,0))),"SNAPSHOT MISSING"))</x:f>
      </x:c>
      <x:c r="M27" s="3" t="str">
        <x:f>IF(Setup!$B$6="primary","",IFERROR(IF(INDEX('Primary_snapshot'!$D$2:$D$72,MATCH(C27,'Primary_snapshot'!$A$2:$A$72,0))="","",INDEX('Primary_snapshot'!$D$2:$D$72,MATCH(C27,'Primary_snapshot'!$A$2:$A$72,0))),"SNAPSHOT MISSING"))</x:f>
      </x:c>
      <x:c r="N27" s="3" t="str">
        <x:f>IF(Setup!$B$6="primary","",IFERROR(IF(INDEX('Primary_snapshot'!$E$2:$E$72,MATCH(C27,'Primary_snapshot'!$A$2:$A$72,0))="","",INDEX('Primary_snapshot'!$E$2:$E$72,MATCH(C27,'Primary_snapshot'!$A$2:$A$72,0))),"SNAPSHOT MISSING"))</x:f>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c>
      <x:c r="Q27" s="3" t="str">
        <x:f>IF(Setup!$B$6="primary","",IFERROR(IF(INDEX('Primary_snapshot'!$H$2:$H$72,MATCH(C27,'Primary_snapshot'!$A$2:$A$72,0))="","",INDEX('Primary_snapshot'!$H$2:$H$72,MATCH(C27,'Primary_snapshot'!$A$2:$A$72,0))),"SNAPSHOT MISSING"))</x:f>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v>retain</x:v>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confirmed_issue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substantive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str">
        <x:f>Setup!$B$2</x:f>
        <x:v>TEST_PRIMARY</x:v>
      </x:c>
      <x:c r="F28" s="6" t="str">
        <x:f>IF(Setup!$B$4="","",Setup!$B$4)</x:f>
      </x:c>
      <x:c r="G28" s="6" t="str">
        <x:f>IFERROR(INDEX('C_jama.2019.14231'!$G$2:$G$12,MATCH("2019::jama.2019.14231::C007",'C_jama.2019.14231'!$A$2:$A$12,0)),"CHECK KEY")</x:f>
        <x:v>PRIMARY READY</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c>
      <x:c r="L28" s="6" t="str">
        <x:f>IF(Setup!$B$6="primary","",IFERROR(IF(INDEX('Primary_snapshot'!$C$2:$C$72,MATCH(C28,'Primary_snapshot'!$A$2:$A$72,0))="","",INDEX('Primary_snapshot'!$C$2:$C$72,MATCH(C28,'Primary_snapshot'!$A$2:$A$72,0))),"SNAPSHOT MISSING"))</x:f>
      </x:c>
      <x:c r="M28" s="6" t="str">
        <x:f>IF(Setup!$B$6="primary","",IFERROR(IF(INDEX('Primary_snapshot'!$D$2:$D$72,MATCH(C28,'Primary_snapshot'!$A$2:$A$72,0))="","",INDEX('Primary_snapshot'!$D$2:$D$72,MATCH(C28,'Primary_snapshot'!$A$2:$A$72,0))),"SNAPSHOT MISSING"))</x:f>
      </x:c>
      <x:c r="N28" s="6" t="str">
        <x:f>IF(Setup!$B$6="primary","",IFERROR(IF(INDEX('Primary_snapshot'!$E$2:$E$72,MATCH(C28,'Primary_snapshot'!$A$2:$A$72,0))="","",INDEX('Primary_snapshot'!$E$2:$E$72,MATCH(C28,'Primary_snapshot'!$A$2:$A$72,0))),"SNAPSHOT MISSING"))</x:f>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c>
      <x:c r="Q28" s="6" t="str">
        <x:f>IF(Setup!$B$6="primary","",IFERROR(IF(INDEX('Primary_snapshot'!$H$2:$H$72,MATCH(C28,'Primary_snapshot'!$A$2:$A$72,0))="","",INDEX('Primary_snapshot'!$H$2:$H$72,MATCH(C28,'Primary_snapshot'!$A$2:$A$72,0))),"SNAPSHOT MISSING"))</x:f>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v>retain</x:v>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confirmed_issue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substantive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str">
        <x:f>Setup!$B$2</x:f>
        <x:v>TEST_PRIMARY</x:v>
      </x:c>
      <x:c r="F29" s="3" t="str">
        <x:f>IF(Setup!$B$4="","",Setup!$B$4)</x:f>
      </x:c>
      <x:c r="G29" s="3" t="str">
        <x:f>IFERROR(INDEX('C_jama.2019.14231'!$G$2:$G$12,MATCH("2019::jama.2019.14231::C008",'C_jama.2019.14231'!$A$2:$A$12,0)),"CHECK KEY")</x:f>
        <x:v>PRIMARY READY</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c>
      <x:c r="L29" s="3" t="str">
        <x:f>IF(Setup!$B$6="primary","",IFERROR(IF(INDEX('Primary_snapshot'!$C$2:$C$72,MATCH(C29,'Primary_snapshot'!$A$2:$A$72,0))="","",INDEX('Primary_snapshot'!$C$2:$C$72,MATCH(C29,'Primary_snapshot'!$A$2:$A$72,0))),"SNAPSHOT MISSING"))</x:f>
      </x:c>
      <x:c r="M29" s="3" t="str">
        <x:f>IF(Setup!$B$6="primary","",IFERROR(IF(INDEX('Primary_snapshot'!$D$2:$D$72,MATCH(C29,'Primary_snapshot'!$A$2:$A$72,0))="","",INDEX('Primary_snapshot'!$D$2:$D$72,MATCH(C29,'Primary_snapshot'!$A$2:$A$72,0))),"SNAPSHOT MISSING"))</x:f>
      </x:c>
      <x:c r="N29" s="3" t="str">
        <x:f>IF(Setup!$B$6="primary","",IFERROR(IF(INDEX('Primary_snapshot'!$E$2:$E$72,MATCH(C29,'Primary_snapshot'!$A$2:$A$72,0))="","",INDEX('Primary_snapshot'!$E$2:$E$72,MATCH(C29,'Primary_snapshot'!$A$2:$A$72,0))),"SNAPSHOT MISSING"))</x:f>
      </x:c>
      <x:c r="O29" s="3" t="str">
        <x:f>IF(Setup!$B$6="primary","",IFERROR(IF(INDEX('Primary_snapshot'!$F$2:$F$72,MATCH(C29,'Primary_snapshot'!$A$2:$A$72,0))="","",INDEX('Primary_snapshot'!$F$2:$F$72,MATCH(C29,'Primary_snapshot'!$A$2:$A$72,0))),"SNAPSHOT MISSING"))</x:f>
      </x:c>
      <x:c r="P29" s="3" t="str">
        <x:f>IF(Setup!$B$6="primary","",IFERROR(IF(INDEX('Primary_snapshot'!$G$2:$G$72,MATCH(C29,'Primary_snapshot'!$A$2:$A$72,0))="","",INDEX('Primary_snapshot'!$G$2:$G$72,MATCH(C29,'Primary_snapshot'!$A$2:$A$72,0))),"SNAPSHOT MISSING"))</x:f>
      </x:c>
      <x:c r="Q29" s="3" t="str">
        <x:f>IF(Setup!$B$6="primary","",IFERROR(IF(INDEX('Primary_snapshot'!$H$2:$H$72,MATCH(C29,'Primary_snapshot'!$A$2:$A$72,0))="","",INDEX('Primary_snapshot'!$H$2:$H$72,MATCH(C29,'Primary_snapshot'!$A$2:$A$72,0))),"SNAPSHOT MISSING"))</x:f>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v>retain</x:v>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substantive_inconsistency</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str">
        <x:f>Setup!$B$2</x:f>
        <x:v>TEST_PRIMARY</x:v>
      </x:c>
      <x:c r="F30" s="6" t="str">
        <x:f>IF(Setup!$B$4="","",Setup!$B$4)</x:f>
      </x:c>
      <x:c r="G30" s="6" t="str">
        <x:f>IFERROR(INDEX('C_jama.2019.14231'!$G$2:$G$12,MATCH("2019::jama.2019.14231::C009",'C_jama.2019.14231'!$A$2:$A$12,0)),"CHECK KEY")</x:f>
        <x:v>PRIMARY READY</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c>
      <x:c r="L30" s="6" t="str">
        <x:f>IF(Setup!$B$6="primary","",IFERROR(IF(INDEX('Primary_snapshot'!$C$2:$C$72,MATCH(C30,'Primary_snapshot'!$A$2:$A$72,0))="","",INDEX('Primary_snapshot'!$C$2:$C$72,MATCH(C30,'Primary_snapshot'!$A$2:$A$72,0))),"SNAPSHOT MISSING"))</x:f>
      </x:c>
      <x:c r="M30" s="6" t="str">
        <x:f>IF(Setup!$B$6="primary","",IFERROR(IF(INDEX('Primary_snapshot'!$D$2:$D$72,MATCH(C30,'Primary_snapshot'!$A$2:$A$72,0))="","",INDEX('Primary_snapshot'!$D$2:$D$72,MATCH(C30,'Primary_snapshot'!$A$2:$A$72,0))),"SNAPSHOT MISSING"))</x:f>
      </x:c>
      <x:c r="N30" s="6" t="str">
        <x:f>IF(Setup!$B$6="primary","",IFERROR(IF(INDEX('Primary_snapshot'!$E$2:$E$72,MATCH(C30,'Primary_snapshot'!$A$2:$A$72,0))="","",INDEX('Primary_snapshot'!$E$2:$E$72,MATCH(C30,'Primary_snapshot'!$A$2:$A$72,0))),"SNAPSHOT MISSING"))</x:f>
      </x:c>
      <x:c r="O30" s="6" t="str">
        <x:f>IF(Setup!$B$6="primary","",IFERROR(IF(INDEX('Primary_snapshot'!$F$2:$F$72,MATCH(C30,'Primary_snapshot'!$A$2:$A$72,0))="","",INDEX('Primary_snapshot'!$F$2:$F$72,MATCH(C30,'Primary_snapshot'!$A$2:$A$72,0))),"SNAPSHOT MISSING"))</x:f>
      </x:c>
      <x:c r="P30" s="6" t="str">
        <x:f>IF(Setup!$B$6="primary","",IFERROR(IF(INDEX('Primary_snapshot'!$G$2:$G$72,MATCH(C30,'Primary_snapshot'!$A$2:$A$72,0))="","",INDEX('Primary_snapshot'!$G$2:$G$72,MATCH(C30,'Primary_snapshot'!$A$2:$A$72,0))),"SNAPSHOT MISSING"))</x:f>
      </x:c>
      <x:c r="Q30" s="6" t="str">
        <x:f>IF(Setup!$B$6="primary","",IFERROR(IF(INDEX('Primary_snapshot'!$H$2:$H$72,MATCH(C30,'Primary_snapshot'!$A$2:$A$72,0))="","",INDEX('Primary_snapshot'!$H$2:$H$72,MATCH(C30,'Primary_snapshot'!$A$2:$A$72,0))),"SNAPSHOT MISSING"))</x:f>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v>retain</x:v>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substantive_inconsistency</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str">
        <x:f>Setup!$B$2</x:f>
        <x:v>TEST_PRIMARY</x:v>
      </x:c>
      <x:c r="F31" s="3" t="str">
        <x:f>IF(Setup!$B$4="","",Setup!$B$4)</x:f>
      </x:c>
      <x:c r="G31" s="3" t="str">
        <x:f>IFERROR(INDEX('C_jama.2019.14231'!$G$2:$G$12,MATCH("2019::jama.2019.14231::C010",'C_jama.2019.14231'!$A$2:$A$12,0)),"CHECK KEY")</x:f>
        <x:v>PRIMARY READY</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c>
      <x:c r="L31" s="3" t="str">
        <x:f>IF(Setup!$B$6="primary","",IFERROR(IF(INDEX('Primary_snapshot'!$C$2:$C$72,MATCH(C31,'Primary_snapshot'!$A$2:$A$72,0))="","",INDEX('Primary_snapshot'!$C$2:$C$72,MATCH(C31,'Primary_snapshot'!$A$2:$A$72,0))),"SNAPSHOT MISSING"))</x:f>
      </x:c>
      <x:c r="M31" s="3" t="str">
        <x:f>IF(Setup!$B$6="primary","",IFERROR(IF(INDEX('Primary_snapshot'!$D$2:$D$72,MATCH(C31,'Primary_snapshot'!$A$2:$A$72,0))="","",INDEX('Primary_snapshot'!$D$2:$D$72,MATCH(C31,'Primary_snapshot'!$A$2:$A$72,0))),"SNAPSHOT MISSING"))</x:f>
      </x:c>
      <x:c r="N31" s="3" t="str">
        <x:f>IF(Setup!$B$6="primary","",IFERROR(IF(INDEX('Primary_snapshot'!$E$2:$E$72,MATCH(C31,'Primary_snapshot'!$A$2:$A$72,0))="","",INDEX('Primary_snapshot'!$E$2:$E$72,MATCH(C31,'Primary_snapshot'!$A$2:$A$72,0))),"SNAPSHOT MISSING"))</x:f>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c>
      <x:c r="Q31" s="3" t="str">
        <x:f>IF(Setup!$B$6="primary","",IFERROR(IF(INDEX('Primary_snapshot'!$H$2:$H$72,MATCH(C31,'Primary_snapshot'!$A$2:$A$72,0))="","",INDEX('Primary_snapshot'!$H$2:$H$72,MATCH(C31,'Primary_snapshot'!$A$2:$A$72,0))),"SNAPSHOT MISSING"))</x:f>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v>retain</x:v>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confirmed_issue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substantive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str">
        <x:f>Setup!$B$2</x:f>
        <x:v>TEST_PRIMARY</x:v>
      </x:c>
      <x:c r="F32" s="6" t="str">
        <x:f>IF(Setup!$B$4="","",Setup!$B$4)</x:f>
      </x:c>
      <x:c r="G32" s="6" t="str">
        <x:f>IFERROR(INDEX('C_jama.2019.14231'!$G$2:$G$12,MATCH("2019::jama.2019.14231::C011",'C_jama.2019.14231'!$A$2:$A$12,0)),"CHECK KEY")</x:f>
        <x:v>PRIMARY READY</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c>
      <x:c r="L32" s="6" t="str">
        <x:f>IF(Setup!$B$6="primary","",IFERROR(IF(INDEX('Primary_snapshot'!$C$2:$C$72,MATCH(C32,'Primary_snapshot'!$A$2:$A$72,0))="","",INDEX('Primary_snapshot'!$C$2:$C$72,MATCH(C32,'Primary_snapshot'!$A$2:$A$72,0))),"SNAPSHOT MISSING"))</x:f>
      </x:c>
      <x:c r="M32" s="6" t="str">
        <x:f>IF(Setup!$B$6="primary","",IFERROR(IF(INDEX('Primary_snapshot'!$D$2:$D$72,MATCH(C32,'Primary_snapshot'!$A$2:$A$72,0))="","",INDEX('Primary_snapshot'!$D$2:$D$72,MATCH(C32,'Primary_snapshot'!$A$2:$A$72,0))),"SNAPSHOT MISSING"))</x:f>
      </x:c>
      <x:c r="N32" s="6" t="str">
        <x:f>IF(Setup!$B$6="primary","",IFERROR(IF(INDEX('Primary_snapshot'!$E$2:$E$72,MATCH(C32,'Primary_snapshot'!$A$2:$A$72,0))="","",INDEX('Primary_snapshot'!$E$2:$E$72,MATCH(C32,'Primary_snapshot'!$A$2:$A$72,0))),"SNAPSHOT MISSING"))</x:f>
      </x:c>
      <x:c r="O32" s="6" t="str">
        <x:f>IF(Setup!$B$6="primary","",IFERROR(IF(INDEX('Primary_snapshot'!$F$2:$F$72,MATCH(C32,'Primary_snapshot'!$A$2:$A$72,0))="","",INDEX('Primary_snapshot'!$F$2:$F$72,MATCH(C32,'Primary_snapshot'!$A$2:$A$72,0))),"SNAPSHOT MISSING"))</x:f>
      </x:c>
      <x:c r="P32" s="6" t="str">
        <x:f>IF(Setup!$B$6="primary","",IFERROR(IF(INDEX('Primary_snapshot'!$G$2:$G$72,MATCH(C32,'Primary_snapshot'!$A$2:$A$72,0))="","",INDEX('Primary_snapshot'!$G$2:$G$72,MATCH(C32,'Primary_snapshot'!$A$2:$A$72,0))),"SNAPSHOT MISSING"))</x:f>
      </x:c>
      <x:c r="Q32" s="6" t="str">
        <x:f>IF(Setup!$B$6="primary","",IFERROR(IF(INDEX('Primary_snapshot'!$H$2:$H$72,MATCH(C32,'Primary_snapshot'!$A$2:$A$72,0))="","",INDEX('Primary_snapshot'!$H$2:$H$72,MATCH(C32,'Primary_snapshot'!$A$2:$A$72,0))),"SNAPSHOT MISSING"))</x:f>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v>retain</x:v>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substantive_inconsistency</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str">
        <x:f>Setup!$B$2</x:f>
        <x:v>TEST_PRIMARY</x:v>
      </x:c>
      <x:c r="F33" s="3" t="str">
        <x:f>IF(Setup!$B$4="","",Setup!$B$4)</x:f>
      </x:c>
      <x:c r="G33" s="3" t="str">
        <x:f>IFERROR(INDEX('C_jama.2019.14630'!$G$2:$G$10,MATCH("2019::jama.2019.14630::C001",'C_jama.2019.14630'!$A$2:$A$10,0)),"CHECK KEY")</x:f>
        <x:v>PRIMARY READY</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c>
      <x:c r="L33" s="3" t="str">
        <x:f>IF(Setup!$B$6="primary","",IFERROR(IF(INDEX('Primary_snapshot'!$C$2:$C$72,MATCH(C33,'Primary_snapshot'!$A$2:$A$72,0))="","",INDEX('Primary_snapshot'!$C$2:$C$72,MATCH(C33,'Primary_snapshot'!$A$2:$A$72,0))),"SNAPSHOT MISSING"))</x:f>
      </x:c>
      <x:c r="M33" s="3" t="str">
        <x:f>IF(Setup!$B$6="primary","",IFERROR(IF(INDEX('Primary_snapshot'!$D$2:$D$72,MATCH(C33,'Primary_snapshot'!$A$2:$A$72,0))="","",INDEX('Primary_snapshot'!$D$2:$D$72,MATCH(C33,'Primary_snapshot'!$A$2:$A$72,0))),"SNAPSHOT MISSING"))</x:f>
      </x:c>
      <x:c r="N33" s="3" t="str">
        <x:f>IF(Setup!$B$6="primary","",IFERROR(IF(INDEX('Primary_snapshot'!$E$2:$E$72,MATCH(C33,'Primary_snapshot'!$A$2:$A$72,0))="","",INDEX('Primary_snapshot'!$E$2:$E$72,MATCH(C33,'Primary_snapshot'!$A$2:$A$72,0))),"SNAPSHOT MISSING"))</x:f>
      </x:c>
      <x:c r="O33" s="3" t="str">
        <x:f>IF(Setup!$B$6="primary","",IFERROR(IF(INDEX('Primary_snapshot'!$F$2:$F$72,MATCH(C33,'Primary_snapshot'!$A$2:$A$72,0))="","",INDEX('Primary_snapshot'!$F$2:$F$72,MATCH(C33,'Primary_snapshot'!$A$2:$A$72,0))),"SNAPSHOT MISSING"))</x:f>
      </x:c>
      <x:c r="P33" s="3" t="str">
        <x:f>IF(Setup!$B$6="primary","",IFERROR(IF(INDEX('Primary_snapshot'!$G$2:$G$72,MATCH(C33,'Primary_snapshot'!$A$2:$A$72,0))="","",INDEX('Primary_snapshot'!$G$2:$G$72,MATCH(C33,'Primary_snapshot'!$A$2:$A$72,0))),"SNAPSHOT MISSING"))</x:f>
      </x:c>
      <x:c r="Q33" s="3" t="str">
        <x:f>IF(Setup!$B$6="primary","",IFERROR(IF(INDEX('Primary_snapshot'!$H$2:$H$72,MATCH(C33,'Primary_snapshot'!$A$2:$A$72,0))="","",INDEX('Primary_snapshot'!$H$2:$H$72,MATCH(C33,'Primary_snapshot'!$A$2:$A$72,0))),"SNAPSHOT MISSING"))</x:f>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v>retain</x:v>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substantive_inconsistency</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str">
        <x:f>Setup!$B$2</x:f>
        <x:v>TEST_PRIMARY</x:v>
      </x:c>
      <x:c r="F34" s="6" t="str">
        <x:f>IF(Setup!$B$4="","",Setup!$B$4)</x:f>
      </x:c>
      <x:c r="G34" s="6" t="str">
        <x:f>IFERROR(INDEX('C_jama.2019.14630'!$G$2:$G$10,MATCH("2019::jama.2019.14630::C002",'C_jama.2019.14630'!$A$2:$A$10,0)),"CHECK KEY")</x:f>
        <x:v>PRIMARY READY</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c>
      <x:c r="L34" s="6" t="str">
        <x:f>IF(Setup!$B$6="primary","",IFERROR(IF(INDEX('Primary_snapshot'!$C$2:$C$72,MATCH(C34,'Primary_snapshot'!$A$2:$A$72,0))="","",INDEX('Primary_snapshot'!$C$2:$C$72,MATCH(C34,'Primary_snapshot'!$A$2:$A$72,0))),"SNAPSHOT MISSING"))</x:f>
      </x:c>
      <x:c r="M34" s="6" t="str">
        <x:f>IF(Setup!$B$6="primary","",IFERROR(IF(INDEX('Primary_snapshot'!$D$2:$D$72,MATCH(C34,'Primary_snapshot'!$A$2:$A$72,0))="","",INDEX('Primary_snapshot'!$D$2:$D$72,MATCH(C34,'Primary_snapshot'!$A$2:$A$72,0))),"SNAPSHOT MISSING"))</x:f>
      </x:c>
      <x:c r="N34" s="6" t="str">
        <x:f>IF(Setup!$B$6="primary","",IFERROR(IF(INDEX('Primary_snapshot'!$E$2:$E$72,MATCH(C34,'Primary_snapshot'!$A$2:$A$72,0))="","",INDEX('Primary_snapshot'!$E$2:$E$72,MATCH(C34,'Primary_snapshot'!$A$2:$A$72,0))),"SNAPSHOT MISSING"))</x:f>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c>
      <x:c r="Q34" s="6" t="str">
        <x:f>IF(Setup!$B$6="primary","",IFERROR(IF(INDEX('Primary_snapshot'!$H$2:$H$72,MATCH(C34,'Primary_snapshot'!$A$2:$A$72,0))="","",INDEX('Primary_snapshot'!$H$2:$H$72,MATCH(C34,'Primary_snapshot'!$A$2:$A$72,0))),"SNAPSHOT MISSING"))</x:f>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v>retain</x:v>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confirmed_issue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substantive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str">
        <x:f>Setup!$B$2</x:f>
        <x:v>TEST_PRIMARY</x:v>
      </x:c>
      <x:c r="F35" s="3" t="str">
        <x:f>IF(Setup!$B$4="","",Setup!$B$4)</x:f>
      </x:c>
      <x:c r="G35" s="3" t="str">
        <x:f>IFERROR(INDEX('C_jama.2019.14630'!$G$2:$G$10,MATCH("2019::jama.2019.14630::C003",'C_jama.2019.14630'!$A$2:$A$10,0)),"CHECK KEY")</x:f>
        <x:v>PRIMARY READY</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c>
      <x:c r="L35" s="3" t="str">
        <x:f>IF(Setup!$B$6="primary","",IFERROR(IF(INDEX('Primary_snapshot'!$C$2:$C$72,MATCH(C35,'Primary_snapshot'!$A$2:$A$72,0))="","",INDEX('Primary_snapshot'!$C$2:$C$72,MATCH(C35,'Primary_snapshot'!$A$2:$A$72,0))),"SNAPSHOT MISSING"))</x:f>
      </x:c>
      <x:c r="M35" s="3" t="str">
        <x:f>IF(Setup!$B$6="primary","",IFERROR(IF(INDEX('Primary_snapshot'!$D$2:$D$72,MATCH(C35,'Primary_snapshot'!$A$2:$A$72,0))="","",INDEX('Primary_snapshot'!$D$2:$D$72,MATCH(C35,'Primary_snapshot'!$A$2:$A$72,0))),"SNAPSHOT MISSING"))</x:f>
      </x:c>
      <x:c r="N35" s="3" t="str">
        <x:f>IF(Setup!$B$6="primary","",IFERROR(IF(INDEX('Primary_snapshot'!$E$2:$E$72,MATCH(C35,'Primary_snapshot'!$A$2:$A$72,0))="","",INDEX('Primary_snapshot'!$E$2:$E$72,MATCH(C35,'Primary_snapshot'!$A$2:$A$72,0))),"SNAPSHOT MISSING"))</x:f>
      </x:c>
      <x:c r="O35" s="3" t="str">
        <x:f>IF(Setup!$B$6="primary","",IFERROR(IF(INDEX('Primary_snapshot'!$F$2:$F$72,MATCH(C35,'Primary_snapshot'!$A$2:$A$72,0))="","",INDEX('Primary_snapshot'!$F$2:$F$72,MATCH(C35,'Primary_snapshot'!$A$2:$A$72,0))),"SNAPSHOT MISSING"))</x:f>
      </x:c>
      <x:c r="P35" s="3" t="str">
        <x:f>IF(Setup!$B$6="primary","",IFERROR(IF(INDEX('Primary_snapshot'!$G$2:$G$72,MATCH(C35,'Primary_snapshot'!$A$2:$A$72,0))="","",INDEX('Primary_snapshot'!$G$2:$G$72,MATCH(C35,'Primary_snapshot'!$A$2:$A$72,0))),"SNAPSHOT MISSING"))</x:f>
      </x:c>
      <x:c r="Q35" s="3" t="str">
        <x:f>IF(Setup!$B$6="primary","",IFERROR(IF(INDEX('Primary_snapshot'!$H$2:$H$72,MATCH(C35,'Primary_snapshot'!$A$2:$A$72,0))="","",INDEX('Primary_snapshot'!$H$2:$H$72,MATCH(C35,'Primary_snapshot'!$A$2:$A$72,0))),"SNAPSHOT MISSING"))</x:f>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v>retain</x:v>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substantive_inconsistency</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str">
        <x:f>Setup!$B$2</x:f>
        <x:v>TEST_PRIMARY</x:v>
      </x:c>
      <x:c r="F36" s="6" t="str">
        <x:f>IF(Setup!$B$4="","",Setup!$B$4)</x:f>
      </x:c>
      <x:c r="G36" s="6" t="str">
        <x:f>IFERROR(INDEX('C_jama.2019.14630'!$G$2:$G$10,MATCH("2019::jama.2019.14630::C004",'C_jama.2019.14630'!$A$2:$A$10,0)),"CHECK KEY")</x:f>
        <x:v>PRIMARY READY</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c>
      <x:c r="L36" s="6" t="str">
        <x:f>IF(Setup!$B$6="primary","",IFERROR(IF(INDEX('Primary_snapshot'!$C$2:$C$72,MATCH(C36,'Primary_snapshot'!$A$2:$A$72,0))="","",INDEX('Primary_snapshot'!$C$2:$C$72,MATCH(C36,'Primary_snapshot'!$A$2:$A$72,0))),"SNAPSHOT MISSING"))</x:f>
      </x:c>
      <x:c r="M36" s="6" t="str">
        <x:f>IF(Setup!$B$6="primary","",IFERROR(IF(INDEX('Primary_snapshot'!$D$2:$D$72,MATCH(C36,'Primary_snapshot'!$A$2:$A$72,0))="","",INDEX('Primary_snapshot'!$D$2:$D$72,MATCH(C36,'Primary_snapshot'!$A$2:$A$72,0))),"SNAPSHOT MISSING"))</x:f>
      </x:c>
      <x:c r="N36" s="6" t="str">
        <x:f>IF(Setup!$B$6="primary","",IFERROR(IF(INDEX('Primary_snapshot'!$E$2:$E$72,MATCH(C36,'Primary_snapshot'!$A$2:$A$72,0))="","",INDEX('Primary_snapshot'!$E$2:$E$72,MATCH(C36,'Primary_snapshot'!$A$2:$A$72,0))),"SNAPSHOT MISSING"))</x:f>
      </x:c>
      <x:c r="O36" s="6" t="str">
        <x:f>IF(Setup!$B$6="primary","",IFERROR(IF(INDEX('Primary_snapshot'!$F$2:$F$72,MATCH(C36,'Primary_snapshot'!$A$2:$A$72,0))="","",INDEX('Primary_snapshot'!$F$2:$F$72,MATCH(C36,'Primary_snapshot'!$A$2:$A$72,0))),"SNAPSHOT MISSING"))</x:f>
      </x:c>
      <x:c r="P36" s="6" t="str">
        <x:f>IF(Setup!$B$6="primary","",IFERROR(IF(INDEX('Primary_snapshot'!$G$2:$G$72,MATCH(C36,'Primary_snapshot'!$A$2:$A$72,0))="","",INDEX('Primary_snapshot'!$G$2:$G$72,MATCH(C36,'Primary_snapshot'!$A$2:$A$72,0))),"SNAPSHOT MISSING"))</x:f>
      </x:c>
      <x:c r="Q36" s="6" t="str">
        <x:f>IF(Setup!$B$6="primary","",IFERROR(IF(INDEX('Primary_snapshot'!$H$2:$H$72,MATCH(C36,'Primary_snapshot'!$A$2:$A$72,0))="","",INDEX('Primary_snapshot'!$H$2:$H$72,MATCH(C36,'Primary_snapshot'!$A$2:$A$72,0))),"SNAPSHOT MISSING"))</x:f>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v>retain</x:v>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substantive_inconsistency</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str">
        <x:f>Setup!$B$2</x:f>
        <x:v>TEST_PRIMARY</x:v>
      </x:c>
      <x:c r="F37" s="3" t="str">
        <x:f>IF(Setup!$B$4="","",Setup!$B$4)</x:f>
      </x:c>
      <x:c r="G37" s="3" t="str">
        <x:f>IFERROR(INDEX('C_jama.2019.14630'!$G$2:$G$10,MATCH("2019::jama.2019.14630::C005",'C_jama.2019.14630'!$A$2:$A$10,0)),"CHECK KEY")</x:f>
        <x:v>PRIMARY READY</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c>
      <x:c r="L37" s="3" t="str">
        <x:f>IF(Setup!$B$6="primary","",IFERROR(IF(INDEX('Primary_snapshot'!$C$2:$C$72,MATCH(C37,'Primary_snapshot'!$A$2:$A$72,0))="","",INDEX('Primary_snapshot'!$C$2:$C$72,MATCH(C37,'Primary_snapshot'!$A$2:$A$72,0))),"SNAPSHOT MISSING"))</x:f>
      </x:c>
      <x:c r="M37" s="3" t="str">
        <x:f>IF(Setup!$B$6="primary","",IFERROR(IF(INDEX('Primary_snapshot'!$D$2:$D$72,MATCH(C37,'Primary_snapshot'!$A$2:$A$72,0))="","",INDEX('Primary_snapshot'!$D$2:$D$72,MATCH(C37,'Primary_snapshot'!$A$2:$A$72,0))),"SNAPSHOT MISSING"))</x:f>
      </x:c>
      <x:c r="N37" s="3" t="str">
        <x:f>IF(Setup!$B$6="primary","",IFERROR(IF(INDEX('Primary_snapshot'!$E$2:$E$72,MATCH(C37,'Primary_snapshot'!$A$2:$A$72,0))="","",INDEX('Primary_snapshot'!$E$2:$E$72,MATCH(C37,'Primary_snapshot'!$A$2:$A$72,0))),"SNAPSHOT MISSING"))</x:f>
      </x:c>
      <x:c r="O37" s="3" t="str">
        <x:f>IF(Setup!$B$6="primary","",IFERROR(IF(INDEX('Primary_snapshot'!$F$2:$F$72,MATCH(C37,'Primary_snapshot'!$A$2:$A$72,0))="","",INDEX('Primary_snapshot'!$F$2:$F$72,MATCH(C37,'Primary_snapshot'!$A$2:$A$72,0))),"SNAPSHOT MISSING"))</x:f>
      </x:c>
      <x:c r="P37" s="3" t="str">
        <x:f>IF(Setup!$B$6="primary","",IFERROR(IF(INDEX('Primary_snapshot'!$G$2:$G$72,MATCH(C37,'Primary_snapshot'!$A$2:$A$72,0))="","",INDEX('Primary_snapshot'!$G$2:$G$72,MATCH(C37,'Primary_snapshot'!$A$2:$A$72,0))),"SNAPSHOT MISSING"))</x:f>
      </x:c>
      <x:c r="Q37" s="3" t="str">
        <x:f>IF(Setup!$B$6="primary","",IFERROR(IF(INDEX('Primary_snapshot'!$H$2:$H$72,MATCH(C37,'Primary_snapshot'!$A$2:$A$72,0))="","",INDEX('Primary_snapshot'!$H$2:$H$72,MATCH(C37,'Primary_snapshot'!$A$2:$A$72,0))),"SNAPSHOT MISSING"))</x:f>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v>retain</x:v>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substantive_inconsistency</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str">
        <x:f>Setup!$B$2</x:f>
        <x:v>TEST_PRIMARY</x:v>
      </x:c>
      <x:c r="F38" s="6" t="str">
        <x:f>IF(Setup!$B$4="","",Setup!$B$4)</x:f>
      </x:c>
      <x:c r="G38" s="6" t="str">
        <x:f>IFERROR(INDEX('C_jama.2019.14630'!$G$2:$G$10,MATCH("2019::jama.2019.14630::C006",'C_jama.2019.14630'!$A$2:$A$10,0)),"CHECK KEY")</x:f>
        <x:v>PRIMARY READY</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c>
      <x:c r="L38" s="6" t="str">
        <x:f>IF(Setup!$B$6="primary","",IFERROR(IF(INDEX('Primary_snapshot'!$C$2:$C$72,MATCH(C38,'Primary_snapshot'!$A$2:$A$72,0))="","",INDEX('Primary_snapshot'!$C$2:$C$72,MATCH(C38,'Primary_snapshot'!$A$2:$A$72,0))),"SNAPSHOT MISSING"))</x:f>
      </x:c>
      <x:c r="M38" s="6" t="str">
        <x:f>IF(Setup!$B$6="primary","",IFERROR(IF(INDEX('Primary_snapshot'!$D$2:$D$72,MATCH(C38,'Primary_snapshot'!$A$2:$A$72,0))="","",INDEX('Primary_snapshot'!$D$2:$D$72,MATCH(C38,'Primary_snapshot'!$A$2:$A$72,0))),"SNAPSHOT MISSING"))</x:f>
      </x:c>
      <x:c r="N38" s="6" t="str">
        <x:f>IF(Setup!$B$6="primary","",IFERROR(IF(INDEX('Primary_snapshot'!$E$2:$E$72,MATCH(C38,'Primary_snapshot'!$A$2:$A$72,0))="","",INDEX('Primary_snapshot'!$E$2:$E$72,MATCH(C38,'Primary_snapshot'!$A$2:$A$72,0))),"SNAPSHOT MISSING"))</x:f>
      </x:c>
      <x:c r="O38" s="6" t="str">
        <x:f>IF(Setup!$B$6="primary","",IFERROR(IF(INDEX('Primary_snapshot'!$F$2:$F$72,MATCH(C38,'Primary_snapshot'!$A$2:$A$72,0))="","",INDEX('Primary_snapshot'!$F$2:$F$72,MATCH(C38,'Primary_snapshot'!$A$2:$A$72,0))),"SNAPSHOT MISSING"))</x:f>
      </x:c>
      <x:c r="P38" s="6" t="str">
        <x:f>IF(Setup!$B$6="primary","",IFERROR(IF(INDEX('Primary_snapshot'!$G$2:$G$72,MATCH(C38,'Primary_snapshot'!$A$2:$A$72,0))="","",INDEX('Primary_snapshot'!$G$2:$G$72,MATCH(C38,'Primary_snapshot'!$A$2:$A$72,0))),"SNAPSHOT MISSING"))</x:f>
      </x:c>
      <x:c r="Q38" s="6" t="str">
        <x:f>IF(Setup!$B$6="primary","",IFERROR(IF(INDEX('Primary_snapshot'!$H$2:$H$72,MATCH(C38,'Primary_snapshot'!$A$2:$A$72,0))="","",INDEX('Primary_snapshot'!$H$2:$H$72,MATCH(C38,'Primary_snapshot'!$A$2:$A$72,0))),"SNAPSHOT MISSING"))</x:f>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v>retain</x:v>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substantive_inconsistency</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str">
        <x:f>Setup!$B$2</x:f>
        <x:v>TEST_PRIMARY</x:v>
      </x:c>
      <x:c r="F39" s="3" t="str">
        <x:f>IF(Setup!$B$4="","",Setup!$B$4)</x:f>
      </x:c>
      <x:c r="G39" s="3" t="str">
        <x:f>IFERROR(INDEX('C_jama.2019.14630'!$G$2:$G$10,MATCH("2019::jama.2019.14630::C007",'C_jama.2019.14630'!$A$2:$A$10,0)),"CHECK KEY")</x:f>
        <x:v>PRIMARY READY</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c>
      <x:c r="L39" s="3" t="str">
        <x:f>IF(Setup!$B$6="primary","",IFERROR(IF(INDEX('Primary_snapshot'!$C$2:$C$72,MATCH(C39,'Primary_snapshot'!$A$2:$A$72,0))="","",INDEX('Primary_snapshot'!$C$2:$C$72,MATCH(C39,'Primary_snapshot'!$A$2:$A$72,0))),"SNAPSHOT MISSING"))</x:f>
      </x:c>
      <x:c r="M39" s="3" t="str">
        <x:f>IF(Setup!$B$6="primary","",IFERROR(IF(INDEX('Primary_snapshot'!$D$2:$D$72,MATCH(C39,'Primary_snapshot'!$A$2:$A$72,0))="","",INDEX('Primary_snapshot'!$D$2:$D$72,MATCH(C39,'Primary_snapshot'!$A$2:$A$72,0))),"SNAPSHOT MISSING"))</x:f>
      </x:c>
      <x:c r="N39" s="3" t="str">
        <x:f>IF(Setup!$B$6="primary","",IFERROR(IF(INDEX('Primary_snapshot'!$E$2:$E$72,MATCH(C39,'Primary_snapshot'!$A$2:$A$72,0))="","",INDEX('Primary_snapshot'!$E$2:$E$72,MATCH(C39,'Primary_snapshot'!$A$2:$A$72,0))),"SNAPSHOT MISSING"))</x:f>
      </x:c>
      <x:c r="O39" s="3" t="str">
        <x:f>IF(Setup!$B$6="primary","",IFERROR(IF(INDEX('Primary_snapshot'!$F$2:$F$72,MATCH(C39,'Primary_snapshot'!$A$2:$A$72,0))="","",INDEX('Primary_snapshot'!$F$2:$F$72,MATCH(C39,'Primary_snapshot'!$A$2:$A$72,0))),"SNAPSHOT MISSING"))</x:f>
      </x:c>
      <x:c r="P39" s="3" t="str">
        <x:f>IF(Setup!$B$6="primary","",IFERROR(IF(INDEX('Primary_snapshot'!$G$2:$G$72,MATCH(C39,'Primary_snapshot'!$A$2:$A$72,0))="","",INDEX('Primary_snapshot'!$G$2:$G$72,MATCH(C39,'Primary_snapshot'!$A$2:$A$72,0))),"SNAPSHOT MISSING"))</x:f>
      </x:c>
      <x:c r="Q39" s="3" t="str">
        <x:f>IF(Setup!$B$6="primary","",IFERROR(IF(INDEX('Primary_snapshot'!$H$2:$H$72,MATCH(C39,'Primary_snapshot'!$A$2:$A$72,0))="","",INDEX('Primary_snapshot'!$H$2:$H$72,MATCH(C39,'Primary_snapshot'!$A$2:$A$72,0))),"SNAPSHOT MISSING"))</x:f>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v>retain</x:v>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substantive_inconsistency</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str">
        <x:f>Setup!$B$2</x:f>
        <x:v>TEST_PRIMARY</x:v>
      </x:c>
      <x:c r="F40" s="6" t="str">
        <x:f>IF(Setup!$B$4="","",Setup!$B$4)</x:f>
      </x:c>
      <x:c r="G40" s="6" t="str">
        <x:f>IFERROR(INDEX('C_jama.2019.14630'!$G$2:$G$10,MATCH("2019::jama.2019.14630::C008",'C_jama.2019.14630'!$A$2:$A$10,0)),"CHECK KEY")</x:f>
        <x:v>PRIMARY READY</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c>
      <x:c r="L40" s="6" t="str">
        <x:f>IF(Setup!$B$6="primary","",IFERROR(IF(INDEX('Primary_snapshot'!$C$2:$C$72,MATCH(C40,'Primary_snapshot'!$A$2:$A$72,0))="","",INDEX('Primary_snapshot'!$C$2:$C$72,MATCH(C40,'Primary_snapshot'!$A$2:$A$72,0))),"SNAPSHOT MISSING"))</x:f>
      </x:c>
      <x:c r="M40" s="6" t="str">
        <x:f>IF(Setup!$B$6="primary","",IFERROR(IF(INDEX('Primary_snapshot'!$D$2:$D$72,MATCH(C40,'Primary_snapshot'!$A$2:$A$72,0))="","",INDEX('Primary_snapshot'!$D$2:$D$72,MATCH(C40,'Primary_snapshot'!$A$2:$A$72,0))),"SNAPSHOT MISSING"))</x:f>
      </x:c>
      <x:c r="N40" s="6" t="str">
        <x:f>IF(Setup!$B$6="primary","",IFERROR(IF(INDEX('Primary_snapshot'!$E$2:$E$72,MATCH(C40,'Primary_snapshot'!$A$2:$A$72,0))="","",INDEX('Primary_snapshot'!$E$2:$E$72,MATCH(C40,'Primary_snapshot'!$A$2:$A$72,0))),"SNAPSHOT MISSING"))</x:f>
      </x:c>
      <x:c r="O40" s="6" t="str">
        <x:f>IF(Setup!$B$6="primary","",IFERROR(IF(INDEX('Primary_snapshot'!$F$2:$F$72,MATCH(C40,'Primary_snapshot'!$A$2:$A$72,0))="","",INDEX('Primary_snapshot'!$F$2:$F$72,MATCH(C40,'Primary_snapshot'!$A$2:$A$72,0))),"SNAPSHOT MISSING"))</x:f>
      </x:c>
      <x:c r="P40" s="6" t="str">
        <x:f>IF(Setup!$B$6="primary","",IFERROR(IF(INDEX('Primary_snapshot'!$G$2:$G$72,MATCH(C40,'Primary_snapshot'!$A$2:$A$72,0))="","",INDEX('Primary_snapshot'!$G$2:$G$72,MATCH(C40,'Primary_snapshot'!$A$2:$A$72,0))),"SNAPSHOT MISSING"))</x:f>
      </x:c>
      <x:c r="Q40" s="6" t="str">
        <x:f>IF(Setup!$B$6="primary","",IFERROR(IF(INDEX('Primary_snapshot'!$H$2:$H$72,MATCH(C40,'Primary_snapshot'!$A$2:$A$72,0))="","",INDEX('Primary_snapshot'!$H$2:$H$72,MATCH(C40,'Primary_snapshot'!$A$2:$A$72,0))),"SNAPSHOT MISSING"))</x:f>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v>retain</x:v>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substantive_inconsistency</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str">
        <x:f>Setup!$B$2</x:f>
        <x:v>TEST_PRIMARY</x:v>
      </x:c>
      <x:c r="F41" s="3" t="str">
        <x:f>IF(Setup!$B$4="","",Setup!$B$4)</x:f>
      </x:c>
      <x:c r="G41" s="3" t="str">
        <x:f>IFERROR(INDEX('C_jama.2019.14630'!$G$2:$G$10,MATCH("2019::jama.2019.14630::C009",'C_jama.2019.14630'!$A$2:$A$10,0)),"CHECK KEY")</x:f>
        <x:v>PRIMARY READY</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c>
      <x:c r="L41" s="3" t="str">
        <x:f>IF(Setup!$B$6="primary","",IFERROR(IF(INDEX('Primary_snapshot'!$C$2:$C$72,MATCH(C41,'Primary_snapshot'!$A$2:$A$72,0))="","",INDEX('Primary_snapshot'!$C$2:$C$72,MATCH(C41,'Primary_snapshot'!$A$2:$A$72,0))),"SNAPSHOT MISSING"))</x:f>
      </x:c>
      <x:c r="M41" s="3" t="str">
        <x:f>IF(Setup!$B$6="primary","",IFERROR(IF(INDEX('Primary_snapshot'!$D$2:$D$72,MATCH(C41,'Primary_snapshot'!$A$2:$A$72,0))="","",INDEX('Primary_snapshot'!$D$2:$D$72,MATCH(C41,'Primary_snapshot'!$A$2:$A$72,0))),"SNAPSHOT MISSING"))</x:f>
      </x:c>
      <x:c r="N41" s="3" t="str">
        <x:f>IF(Setup!$B$6="primary","",IFERROR(IF(INDEX('Primary_snapshot'!$E$2:$E$72,MATCH(C41,'Primary_snapshot'!$A$2:$A$72,0))="","",INDEX('Primary_snapshot'!$E$2:$E$72,MATCH(C41,'Primary_snapshot'!$A$2:$A$72,0))),"SNAPSHOT MISSING"))</x:f>
      </x:c>
      <x:c r="O41" s="3" t="str">
        <x:f>IF(Setup!$B$6="primary","",IFERROR(IF(INDEX('Primary_snapshot'!$F$2:$F$72,MATCH(C41,'Primary_snapshot'!$A$2:$A$72,0))="","",INDEX('Primary_snapshot'!$F$2:$F$72,MATCH(C41,'Primary_snapshot'!$A$2:$A$72,0))),"SNAPSHOT MISSING"))</x:f>
      </x:c>
      <x:c r="P41" s="3" t="str">
        <x:f>IF(Setup!$B$6="primary","",IFERROR(IF(INDEX('Primary_snapshot'!$G$2:$G$72,MATCH(C41,'Primary_snapshot'!$A$2:$A$72,0))="","",INDEX('Primary_snapshot'!$G$2:$G$72,MATCH(C41,'Primary_snapshot'!$A$2:$A$72,0))),"SNAPSHOT MISSING"))</x:f>
      </x:c>
      <x:c r="Q41" s="3" t="str">
        <x:f>IF(Setup!$B$6="primary","",IFERROR(IF(INDEX('Primary_snapshot'!$H$2:$H$72,MATCH(C41,'Primary_snapshot'!$A$2:$A$72,0))="","",INDEX('Primary_snapshot'!$H$2:$H$72,MATCH(C41,'Primary_snapshot'!$A$2:$A$72,0))),"SNAPSHOT MISSING"))</x:f>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v>retain</x:v>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substantive_inconsistency</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str">
        <x:f>Setup!$B$2</x:f>
        <x:v>TEST_PRIMARY</x:v>
      </x:c>
      <x:c r="F42" s="6" t="str">
        <x:f>IF(Setup!$B$4="","",Setup!$B$4)</x:f>
      </x:c>
      <x:c r="G42" s="6" t="str">
        <x:f>IFERROR(INDEX('C_jama.2019.14901'!$G$2:$G$7,MATCH("2019::jama.2019.14901::C001",'C_jama.2019.14901'!$A$2:$A$7,0)),"CHECK KEY")</x:f>
        <x:v>PRIMARY READY</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c>
      <x:c r="L42" s="6" t="str">
        <x:f>IF(Setup!$B$6="primary","",IFERROR(IF(INDEX('Primary_snapshot'!$C$2:$C$72,MATCH(C42,'Primary_snapshot'!$A$2:$A$72,0))="","",INDEX('Primary_snapshot'!$C$2:$C$72,MATCH(C42,'Primary_snapshot'!$A$2:$A$72,0))),"SNAPSHOT MISSING"))</x:f>
      </x:c>
      <x:c r="M42" s="6" t="str">
        <x:f>IF(Setup!$B$6="primary","",IFERROR(IF(INDEX('Primary_snapshot'!$D$2:$D$72,MATCH(C42,'Primary_snapshot'!$A$2:$A$72,0))="","",INDEX('Primary_snapshot'!$D$2:$D$72,MATCH(C42,'Primary_snapshot'!$A$2:$A$72,0))),"SNAPSHOT MISSING"))</x:f>
      </x:c>
      <x:c r="N42" s="6" t="str">
        <x:f>IF(Setup!$B$6="primary","",IFERROR(IF(INDEX('Primary_snapshot'!$E$2:$E$72,MATCH(C42,'Primary_snapshot'!$A$2:$A$72,0))="","",INDEX('Primary_snapshot'!$E$2:$E$72,MATCH(C42,'Primary_snapshot'!$A$2:$A$72,0))),"SNAPSHOT MISSING"))</x:f>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c>
      <x:c r="Q42" s="6" t="str">
        <x:f>IF(Setup!$B$6="primary","",IFERROR(IF(INDEX('Primary_snapshot'!$H$2:$H$72,MATCH(C42,'Primary_snapshot'!$A$2:$A$72,0))="","",INDEX('Primary_snapshot'!$H$2:$H$72,MATCH(C42,'Primary_snapshot'!$A$2:$A$72,0))),"SNAPSHOT MISSING"))</x:f>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v>retain</x:v>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confirmed_issue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substantive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str">
        <x:f>Setup!$B$2</x:f>
        <x:v>TEST_PRIMARY</x:v>
      </x:c>
      <x:c r="F43" s="3" t="str">
        <x:f>IF(Setup!$B$4="","",Setup!$B$4)</x:f>
      </x:c>
      <x:c r="G43" s="3" t="str">
        <x:f>IFERROR(INDEX('C_jama.2019.14901'!$G$2:$G$7,MATCH("2019::jama.2019.14901::C002",'C_jama.2019.14901'!$A$2:$A$7,0)),"CHECK KEY")</x:f>
        <x:v>PRIMARY READY</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c>
      <x:c r="L43" s="3" t="str">
        <x:f>IF(Setup!$B$6="primary","",IFERROR(IF(INDEX('Primary_snapshot'!$C$2:$C$72,MATCH(C43,'Primary_snapshot'!$A$2:$A$72,0))="","",INDEX('Primary_snapshot'!$C$2:$C$72,MATCH(C43,'Primary_snapshot'!$A$2:$A$72,0))),"SNAPSHOT MISSING"))</x:f>
      </x:c>
      <x:c r="M43" s="3" t="str">
        <x:f>IF(Setup!$B$6="primary","",IFERROR(IF(INDEX('Primary_snapshot'!$D$2:$D$72,MATCH(C43,'Primary_snapshot'!$A$2:$A$72,0))="","",INDEX('Primary_snapshot'!$D$2:$D$72,MATCH(C43,'Primary_snapshot'!$A$2:$A$72,0))),"SNAPSHOT MISSING"))</x:f>
      </x:c>
      <x:c r="N43" s="3" t="str">
        <x:f>IF(Setup!$B$6="primary","",IFERROR(IF(INDEX('Primary_snapshot'!$E$2:$E$72,MATCH(C43,'Primary_snapshot'!$A$2:$A$72,0))="","",INDEX('Primary_snapshot'!$E$2:$E$72,MATCH(C43,'Primary_snapshot'!$A$2:$A$72,0))),"SNAPSHOT MISSING"))</x:f>
      </x:c>
      <x:c r="O43" s="3" t="str">
        <x:f>IF(Setup!$B$6="primary","",IFERROR(IF(INDEX('Primary_snapshot'!$F$2:$F$72,MATCH(C43,'Primary_snapshot'!$A$2:$A$72,0))="","",INDEX('Primary_snapshot'!$F$2:$F$72,MATCH(C43,'Primary_snapshot'!$A$2:$A$72,0))),"SNAPSHOT MISSING"))</x:f>
      </x:c>
      <x:c r="P43" s="3" t="str">
        <x:f>IF(Setup!$B$6="primary","",IFERROR(IF(INDEX('Primary_snapshot'!$G$2:$G$72,MATCH(C43,'Primary_snapshot'!$A$2:$A$72,0))="","",INDEX('Primary_snapshot'!$G$2:$G$72,MATCH(C43,'Primary_snapshot'!$A$2:$A$72,0))),"SNAPSHOT MISSING"))</x:f>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v>retain</x:v>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str">
        <x:f>Setup!$B$2</x:f>
        <x:v>TEST_PRIMARY</x:v>
      </x:c>
      <x:c r="F44" s="6" t="str">
        <x:f>IF(Setup!$B$4="","",Setup!$B$4)</x:f>
      </x:c>
      <x:c r="G44" s="6" t="str">
        <x:f>IFERROR(INDEX('C_jama.2019.14901'!$G$2:$G$7,MATCH("2019::jama.2019.14901::C003",'C_jama.2019.14901'!$A$2:$A$7,0)),"CHECK KEY")</x:f>
        <x:v>PRIMARY READY</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c>
      <x:c r="L44" s="6" t="str">
        <x:f>IF(Setup!$B$6="primary","",IFERROR(IF(INDEX('Primary_snapshot'!$C$2:$C$72,MATCH(C44,'Primary_snapshot'!$A$2:$A$72,0))="","",INDEX('Primary_snapshot'!$C$2:$C$72,MATCH(C44,'Primary_snapshot'!$A$2:$A$72,0))),"SNAPSHOT MISSING"))</x:f>
      </x:c>
      <x:c r="M44" s="6" t="str">
        <x:f>IF(Setup!$B$6="primary","",IFERROR(IF(INDEX('Primary_snapshot'!$D$2:$D$72,MATCH(C44,'Primary_snapshot'!$A$2:$A$72,0))="","",INDEX('Primary_snapshot'!$D$2:$D$72,MATCH(C44,'Primary_snapshot'!$A$2:$A$72,0))),"SNAPSHOT MISSING"))</x:f>
      </x:c>
      <x:c r="N44" s="6" t="str">
        <x:f>IF(Setup!$B$6="primary","",IFERROR(IF(INDEX('Primary_snapshot'!$E$2:$E$72,MATCH(C44,'Primary_snapshot'!$A$2:$A$72,0))="","",INDEX('Primary_snapshot'!$E$2:$E$72,MATCH(C44,'Primary_snapshot'!$A$2:$A$72,0))),"SNAPSHOT MISSING"))</x:f>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c>
      <x:c r="Q44" s="6" t="str">
        <x:f>IF(Setup!$B$6="primary","",IFERROR(IF(INDEX('Primary_snapshot'!$H$2:$H$72,MATCH(C44,'Primary_snapshot'!$A$2:$A$72,0))="","",INDEX('Primary_snapshot'!$H$2:$H$72,MATCH(C44,'Primary_snapshot'!$A$2:$A$72,0))),"SNAPSHOT MISSING"))</x:f>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v>retain</x:v>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confirmed_issue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substantive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str">
        <x:f>Setup!$B$2</x:f>
        <x:v>TEST_PRIMARY</x:v>
      </x:c>
      <x:c r="F45" s="3" t="str">
        <x:f>IF(Setup!$B$4="","",Setup!$B$4)</x:f>
      </x:c>
      <x:c r="G45" s="3" t="str">
        <x:f>IFERROR(INDEX('C_jama.2019.14901'!$G$2:$G$7,MATCH("2019::jama.2019.14901::C004",'C_jama.2019.14901'!$A$2:$A$7,0)),"CHECK KEY")</x:f>
        <x:v>PRIMARY READY</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c>
      <x:c r="L45" s="3" t="str">
        <x:f>IF(Setup!$B$6="primary","",IFERROR(IF(INDEX('Primary_snapshot'!$C$2:$C$72,MATCH(C45,'Primary_snapshot'!$A$2:$A$72,0))="","",INDEX('Primary_snapshot'!$C$2:$C$72,MATCH(C45,'Primary_snapshot'!$A$2:$A$72,0))),"SNAPSHOT MISSING"))</x:f>
      </x:c>
      <x:c r="M45" s="3" t="str">
        <x:f>IF(Setup!$B$6="primary","",IFERROR(IF(INDEX('Primary_snapshot'!$D$2:$D$72,MATCH(C45,'Primary_snapshot'!$A$2:$A$72,0))="","",INDEX('Primary_snapshot'!$D$2:$D$72,MATCH(C45,'Primary_snapshot'!$A$2:$A$72,0))),"SNAPSHOT MISSING"))</x:f>
      </x:c>
      <x:c r="N45" s="3" t="str">
        <x:f>IF(Setup!$B$6="primary","",IFERROR(IF(INDEX('Primary_snapshot'!$E$2:$E$72,MATCH(C45,'Primary_snapshot'!$A$2:$A$72,0))="","",INDEX('Primary_snapshot'!$E$2:$E$72,MATCH(C45,'Primary_snapshot'!$A$2:$A$72,0))),"SNAPSHOT MISSING"))</x:f>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c>
      <x:c r="Q45" s="3" t="str">
        <x:f>IF(Setup!$B$6="primary","",IFERROR(IF(INDEX('Primary_snapshot'!$H$2:$H$72,MATCH(C45,'Primary_snapshot'!$A$2:$A$72,0))="","",INDEX('Primary_snapshot'!$H$2:$H$72,MATCH(C45,'Primary_snapshot'!$A$2:$A$72,0))),"SNAPSHOT MISSING"))</x:f>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v>retain</x:v>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confirmed_issue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substantive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str">
        <x:f>Setup!$B$2</x:f>
        <x:v>TEST_PRIMARY</x:v>
      </x:c>
      <x:c r="F46" s="6" t="str">
        <x:f>IF(Setup!$B$4="","",Setup!$B$4)</x:f>
      </x:c>
      <x:c r="G46" s="6" t="str">
        <x:f>IFERROR(INDEX('C_jama.2019.14901'!$G$2:$G$7,MATCH("2019::jama.2019.14901::C005",'C_jama.2019.14901'!$A$2:$A$7,0)),"CHECK KEY")</x:f>
        <x:v>PRIMARY READY</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c>
      <x:c r="L46" s="6" t="str">
        <x:f>IF(Setup!$B$6="primary","",IFERROR(IF(INDEX('Primary_snapshot'!$C$2:$C$72,MATCH(C46,'Primary_snapshot'!$A$2:$A$72,0))="","",INDEX('Primary_snapshot'!$C$2:$C$72,MATCH(C46,'Primary_snapshot'!$A$2:$A$72,0))),"SNAPSHOT MISSING"))</x:f>
      </x:c>
      <x:c r="M46" s="6" t="str">
        <x:f>IF(Setup!$B$6="primary","",IFERROR(IF(INDEX('Primary_snapshot'!$D$2:$D$72,MATCH(C46,'Primary_snapshot'!$A$2:$A$72,0))="","",INDEX('Primary_snapshot'!$D$2:$D$72,MATCH(C46,'Primary_snapshot'!$A$2:$A$72,0))),"SNAPSHOT MISSING"))</x:f>
      </x:c>
      <x:c r="N46" s="6" t="str">
        <x:f>IF(Setup!$B$6="primary","",IFERROR(IF(INDEX('Primary_snapshot'!$E$2:$E$72,MATCH(C46,'Primary_snapshot'!$A$2:$A$72,0))="","",INDEX('Primary_snapshot'!$E$2:$E$72,MATCH(C46,'Primary_snapshot'!$A$2:$A$72,0))),"SNAPSHOT MISSING"))</x:f>
      </x:c>
      <x:c r="O46" s="6" t="str">
        <x:f>IF(Setup!$B$6="primary","",IFERROR(IF(INDEX('Primary_snapshot'!$F$2:$F$72,MATCH(C46,'Primary_snapshot'!$A$2:$A$72,0))="","",INDEX('Primary_snapshot'!$F$2:$F$72,MATCH(C46,'Primary_snapshot'!$A$2:$A$72,0))),"SNAPSHOT MISSING"))</x:f>
      </x:c>
      <x:c r="P46" s="6" t="str">
        <x:f>IF(Setup!$B$6="primary","",IFERROR(IF(INDEX('Primary_snapshot'!$G$2:$G$72,MATCH(C46,'Primary_snapshot'!$A$2:$A$72,0))="","",INDEX('Primary_snapshot'!$G$2:$G$72,MATCH(C46,'Primary_snapshot'!$A$2:$A$72,0))),"SNAPSHOT MISSING"))</x:f>
      </x:c>
      <x:c r="Q46" s="6" t="str">
        <x:f>IF(Setup!$B$6="primary","",IFERROR(IF(INDEX('Primary_snapshot'!$H$2:$H$72,MATCH(C46,'Primary_snapshot'!$A$2:$A$72,0))="","",INDEX('Primary_snapshot'!$H$2:$H$72,MATCH(C46,'Primary_snapshot'!$A$2:$A$72,0))),"SNAPSHOT MISSING"))</x:f>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v>retain</x:v>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substantive_inconsistency</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str">
        <x:f>Setup!$B$2</x:f>
        <x:v>TEST_PRIMARY</x:v>
      </x:c>
      <x:c r="F47" s="3" t="str">
        <x:f>IF(Setup!$B$4="","",Setup!$B$4)</x:f>
      </x:c>
      <x:c r="G47" s="3" t="str">
        <x:f>IFERROR(INDEX('C_jama.2019.14901'!$G$2:$G$7,MATCH("2019::jama.2019.14901::C006",'C_jama.2019.14901'!$A$2:$A$7,0)),"CHECK KEY")</x:f>
        <x:v>PRIMARY READY</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c>
      <x:c r="L47" s="3" t="str">
        <x:f>IF(Setup!$B$6="primary","",IFERROR(IF(INDEX('Primary_snapshot'!$C$2:$C$72,MATCH(C47,'Primary_snapshot'!$A$2:$A$72,0))="","",INDEX('Primary_snapshot'!$C$2:$C$72,MATCH(C47,'Primary_snapshot'!$A$2:$A$72,0))),"SNAPSHOT MISSING"))</x:f>
      </x:c>
      <x:c r="M47" s="3" t="str">
        <x:f>IF(Setup!$B$6="primary","",IFERROR(IF(INDEX('Primary_snapshot'!$D$2:$D$72,MATCH(C47,'Primary_snapshot'!$A$2:$A$72,0))="","",INDEX('Primary_snapshot'!$D$2:$D$72,MATCH(C47,'Primary_snapshot'!$A$2:$A$72,0))),"SNAPSHOT MISSING"))</x:f>
      </x:c>
      <x:c r="N47" s="3" t="str">
        <x:f>IF(Setup!$B$6="primary","",IFERROR(IF(INDEX('Primary_snapshot'!$E$2:$E$72,MATCH(C47,'Primary_snapshot'!$A$2:$A$72,0))="","",INDEX('Primary_snapshot'!$E$2:$E$72,MATCH(C47,'Primary_snapshot'!$A$2:$A$72,0))),"SNAPSHOT MISSING"))</x:f>
      </x:c>
      <x:c r="O47" s="3" t="str">
        <x:f>IF(Setup!$B$6="primary","",IFERROR(IF(INDEX('Primary_snapshot'!$F$2:$F$72,MATCH(C47,'Primary_snapshot'!$A$2:$A$72,0))="","",INDEX('Primary_snapshot'!$F$2:$F$72,MATCH(C47,'Primary_snapshot'!$A$2:$A$72,0))),"SNAPSHOT MISSING"))</x:f>
      </x:c>
      <x:c r="P47" s="3" t="str">
        <x:f>IF(Setup!$B$6="primary","",IFERROR(IF(INDEX('Primary_snapshot'!$G$2:$G$72,MATCH(C47,'Primary_snapshot'!$A$2:$A$72,0))="","",INDEX('Primary_snapshot'!$G$2:$G$72,MATCH(C47,'Primary_snapshot'!$A$2:$A$72,0))),"SNAPSHOT MISSING"))</x:f>
      </x:c>
      <x:c r="Q47" s="3" t="str">
        <x:f>IF(Setup!$B$6="primary","",IFERROR(IF(INDEX('Primary_snapshot'!$H$2:$H$72,MATCH(C47,'Primary_snapshot'!$A$2:$A$72,0))="","",INDEX('Primary_snapshot'!$H$2:$H$72,MATCH(C47,'Primary_snapshot'!$A$2:$A$72,0))),"SNAPSHOT MISSING"))</x:f>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v>retain</x:v>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substantive_inconsistency</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str">
        <x:f>Setup!$B$2</x:f>
        <x:v>TEST_PRIMARY</x:v>
      </x:c>
      <x:c r="F48" s="6" t="str">
        <x:f>IF(Setup!$B$4="","",Setup!$B$4)</x:f>
      </x:c>
      <x:c r="G48" s="6" t="str">
        <x:f>IFERROR(INDEX('C_jama.2019.17380'!$G$2:$G$8,MATCH("2019::jama.2019.17380::C001",'C_jama.2019.17380'!$A$2:$A$8,0)),"CHECK KEY")</x:f>
        <x:v>PRIMARY READY</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c>
      <x:c r="L48" s="6" t="str">
        <x:f>IF(Setup!$B$6="primary","",IFERROR(IF(INDEX('Primary_snapshot'!$C$2:$C$72,MATCH(C48,'Primary_snapshot'!$A$2:$A$72,0))="","",INDEX('Primary_snapshot'!$C$2:$C$72,MATCH(C48,'Primary_snapshot'!$A$2:$A$72,0))),"SNAPSHOT MISSING"))</x:f>
      </x:c>
      <x:c r="M48" s="6" t="str">
        <x:f>IF(Setup!$B$6="primary","",IFERROR(IF(INDEX('Primary_snapshot'!$D$2:$D$72,MATCH(C48,'Primary_snapshot'!$A$2:$A$72,0))="","",INDEX('Primary_snapshot'!$D$2:$D$72,MATCH(C48,'Primary_snapshot'!$A$2:$A$72,0))),"SNAPSHOT MISSING"))</x:f>
      </x:c>
      <x:c r="N48" s="6" t="str">
        <x:f>IF(Setup!$B$6="primary","",IFERROR(IF(INDEX('Primary_snapshot'!$E$2:$E$72,MATCH(C48,'Primary_snapshot'!$A$2:$A$72,0))="","",INDEX('Primary_snapshot'!$E$2:$E$72,MATCH(C48,'Primary_snapshot'!$A$2:$A$72,0))),"SNAPSHOT MISSING"))</x:f>
      </x:c>
      <x:c r="O48" s="6" t="str">
        <x:f>IF(Setup!$B$6="primary","",IFERROR(IF(INDEX('Primary_snapshot'!$F$2:$F$72,MATCH(C48,'Primary_snapshot'!$A$2:$A$72,0))="","",INDEX('Primary_snapshot'!$F$2:$F$72,MATCH(C48,'Primary_snapshot'!$A$2:$A$72,0))),"SNAPSHOT MISSING"))</x:f>
      </x:c>
      <x:c r="P48" s="6" t="str">
        <x:f>IF(Setup!$B$6="primary","",IFERROR(IF(INDEX('Primary_snapshot'!$G$2:$G$72,MATCH(C48,'Primary_snapshot'!$A$2:$A$72,0))="","",INDEX('Primary_snapshot'!$G$2:$G$72,MATCH(C48,'Primary_snapshot'!$A$2:$A$72,0))),"SNAPSHOT MISSING"))</x:f>
      </x:c>
      <x:c r="Q48" s="6" t="str">
        <x:f>IF(Setup!$B$6="primary","",IFERROR(IF(INDEX('Primary_snapshot'!$H$2:$H$72,MATCH(C48,'Primary_snapshot'!$A$2:$A$72,0))="","",INDEX('Primary_snapshot'!$H$2:$H$72,MATCH(C48,'Primary_snapshot'!$A$2:$A$72,0))),"SNAPSHOT MISSING"))</x:f>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v>retain</x:v>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substantive_inconsistency</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str">
        <x:f>Setup!$B$2</x:f>
        <x:v>TEST_PRIMARY</x:v>
      </x:c>
      <x:c r="F49" s="3" t="str">
        <x:f>IF(Setup!$B$4="","",Setup!$B$4)</x:f>
      </x:c>
      <x:c r="G49" s="3" t="str">
        <x:f>IFERROR(INDEX('C_jama.2019.17380'!$G$2:$G$8,MATCH("2019::jama.2019.17380::C002",'C_jama.2019.17380'!$A$2:$A$8,0)),"CHECK KEY")</x:f>
        <x:v>PRIMARY READY</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c>
      <x:c r="L49" s="3" t="str">
        <x:f>IF(Setup!$B$6="primary","",IFERROR(IF(INDEX('Primary_snapshot'!$C$2:$C$72,MATCH(C49,'Primary_snapshot'!$A$2:$A$72,0))="","",INDEX('Primary_snapshot'!$C$2:$C$72,MATCH(C49,'Primary_snapshot'!$A$2:$A$72,0))),"SNAPSHOT MISSING"))</x:f>
      </x:c>
      <x:c r="M49" s="3" t="str">
        <x:f>IF(Setup!$B$6="primary","",IFERROR(IF(INDEX('Primary_snapshot'!$D$2:$D$72,MATCH(C49,'Primary_snapshot'!$A$2:$A$72,0))="","",INDEX('Primary_snapshot'!$D$2:$D$72,MATCH(C49,'Primary_snapshot'!$A$2:$A$72,0))),"SNAPSHOT MISSING"))</x:f>
      </x:c>
      <x:c r="N49" s="3" t="str">
        <x:f>IF(Setup!$B$6="primary","",IFERROR(IF(INDEX('Primary_snapshot'!$E$2:$E$72,MATCH(C49,'Primary_snapshot'!$A$2:$A$72,0))="","",INDEX('Primary_snapshot'!$E$2:$E$72,MATCH(C49,'Primary_snapshot'!$A$2:$A$72,0))),"SNAPSHOT MISSING"))</x:f>
      </x:c>
      <x:c r="O49" s="3" t="str">
        <x:f>IF(Setup!$B$6="primary","",IFERROR(IF(INDEX('Primary_snapshot'!$F$2:$F$72,MATCH(C49,'Primary_snapshot'!$A$2:$A$72,0))="","",INDEX('Primary_snapshot'!$F$2:$F$72,MATCH(C49,'Primary_snapshot'!$A$2:$A$72,0))),"SNAPSHOT MISSING"))</x:f>
      </x:c>
      <x:c r="P49" s="3" t="str">
        <x:f>IF(Setup!$B$6="primary","",IFERROR(IF(INDEX('Primary_snapshot'!$G$2:$G$72,MATCH(C49,'Primary_snapshot'!$A$2:$A$72,0))="","",INDEX('Primary_snapshot'!$G$2:$G$72,MATCH(C49,'Primary_snapshot'!$A$2:$A$72,0))),"SNAPSHOT MISSING"))</x:f>
      </x:c>
      <x:c r="Q49" s="3" t="str">
        <x:f>IF(Setup!$B$6="primary","",IFERROR(IF(INDEX('Primary_snapshot'!$H$2:$H$72,MATCH(C49,'Primary_snapshot'!$A$2:$A$72,0))="","",INDEX('Primary_snapshot'!$H$2:$H$72,MATCH(C49,'Primary_snapshot'!$A$2:$A$72,0))),"SNAPSHOT MISSING"))</x:f>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v>retain</x:v>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substantive_inconsistency</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str">
        <x:f>Setup!$B$2</x:f>
        <x:v>TEST_PRIMARY</x:v>
      </x:c>
      <x:c r="F50" s="6" t="str">
        <x:f>IF(Setup!$B$4="","",Setup!$B$4)</x:f>
      </x:c>
      <x:c r="G50" s="6" t="str">
        <x:f>IFERROR(INDEX('C_jama.2019.17380'!$G$2:$G$8,MATCH("2019::jama.2019.17380::C003",'C_jama.2019.17380'!$A$2:$A$8,0)),"CHECK KEY")</x:f>
        <x:v>PRIMARY READY</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c>
      <x:c r="L50" s="6" t="str">
        <x:f>IF(Setup!$B$6="primary","",IFERROR(IF(INDEX('Primary_snapshot'!$C$2:$C$72,MATCH(C50,'Primary_snapshot'!$A$2:$A$72,0))="","",INDEX('Primary_snapshot'!$C$2:$C$72,MATCH(C50,'Primary_snapshot'!$A$2:$A$72,0))),"SNAPSHOT MISSING"))</x:f>
      </x:c>
      <x:c r="M50" s="6" t="str">
        <x:f>IF(Setup!$B$6="primary","",IFERROR(IF(INDEX('Primary_snapshot'!$D$2:$D$72,MATCH(C50,'Primary_snapshot'!$A$2:$A$72,0))="","",INDEX('Primary_snapshot'!$D$2:$D$72,MATCH(C50,'Primary_snapshot'!$A$2:$A$72,0))),"SNAPSHOT MISSING"))</x:f>
      </x:c>
      <x:c r="N50" s="6" t="str">
        <x:f>IF(Setup!$B$6="primary","",IFERROR(IF(INDEX('Primary_snapshot'!$E$2:$E$72,MATCH(C50,'Primary_snapshot'!$A$2:$A$72,0))="","",INDEX('Primary_snapshot'!$E$2:$E$72,MATCH(C50,'Primary_snapshot'!$A$2:$A$72,0))),"SNAPSHOT MISSING"))</x:f>
      </x:c>
      <x:c r="O50" s="6" t="str">
        <x:f>IF(Setup!$B$6="primary","",IFERROR(IF(INDEX('Primary_snapshot'!$F$2:$F$72,MATCH(C50,'Primary_snapshot'!$A$2:$A$72,0))="","",INDEX('Primary_snapshot'!$F$2:$F$72,MATCH(C50,'Primary_snapshot'!$A$2:$A$72,0))),"SNAPSHOT MISSING"))</x:f>
      </x:c>
      <x:c r="P50" s="6" t="str">
        <x:f>IF(Setup!$B$6="primary","",IFERROR(IF(INDEX('Primary_snapshot'!$G$2:$G$72,MATCH(C50,'Primary_snapshot'!$A$2:$A$72,0))="","",INDEX('Primary_snapshot'!$G$2:$G$72,MATCH(C50,'Primary_snapshot'!$A$2:$A$72,0))),"SNAPSHOT MISSING"))</x:f>
      </x:c>
      <x:c r="Q50" s="6" t="str">
        <x:f>IF(Setup!$B$6="primary","",IFERROR(IF(INDEX('Primary_snapshot'!$H$2:$H$72,MATCH(C50,'Primary_snapshot'!$A$2:$A$72,0))="","",INDEX('Primary_snapshot'!$H$2:$H$72,MATCH(C50,'Primary_snapshot'!$A$2:$A$72,0))),"SNAPSHOT MISSING"))</x:f>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v>retain</x:v>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substantive_inconsistency</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str">
        <x:f>Setup!$B$2</x:f>
        <x:v>TEST_PRIMARY</x:v>
      </x:c>
      <x:c r="F51" s="3" t="str">
        <x:f>IF(Setup!$B$4="","",Setup!$B$4)</x:f>
      </x:c>
      <x:c r="G51" s="3" t="str">
        <x:f>IFERROR(INDEX('C_jama.2019.17380'!$G$2:$G$8,MATCH("2019::jama.2019.17380::C004",'C_jama.2019.17380'!$A$2:$A$8,0)),"CHECK KEY")</x:f>
        <x:v>PRIMARY READY</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c>
      <x:c r="L51" s="3" t="str">
        <x:f>IF(Setup!$B$6="primary","",IFERROR(IF(INDEX('Primary_snapshot'!$C$2:$C$72,MATCH(C51,'Primary_snapshot'!$A$2:$A$72,0))="","",INDEX('Primary_snapshot'!$C$2:$C$72,MATCH(C51,'Primary_snapshot'!$A$2:$A$72,0))),"SNAPSHOT MISSING"))</x:f>
      </x:c>
      <x:c r="M51" s="3" t="str">
        <x:f>IF(Setup!$B$6="primary","",IFERROR(IF(INDEX('Primary_snapshot'!$D$2:$D$72,MATCH(C51,'Primary_snapshot'!$A$2:$A$72,0))="","",INDEX('Primary_snapshot'!$D$2:$D$72,MATCH(C51,'Primary_snapshot'!$A$2:$A$72,0))),"SNAPSHOT MISSING"))</x:f>
      </x:c>
      <x:c r="N51" s="3" t="str">
        <x:f>IF(Setup!$B$6="primary","",IFERROR(IF(INDEX('Primary_snapshot'!$E$2:$E$72,MATCH(C51,'Primary_snapshot'!$A$2:$A$72,0))="","",INDEX('Primary_snapshot'!$E$2:$E$72,MATCH(C51,'Primary_snapshot'!$A$2:$A$72,0))),"SNAPSHOT MISSING"))</x:f>
      </x:c>
      <x:c r="O51" s="3" t="str">
        <x:f>IF(Setup!$B$6="primary","",IFERROR(IF(INDEX('Primary_snapshot'!$F$2:$F$72,MATCH(C51,'Primary_snapshot'!$A$2:$A$72,0))="","",INDEX('Primary_snapshot'!$F$2:$F$72,MATCH(C51,'Primary_snapshot'!$A$2:$A$72,0))),"SNAPSHOT MISSING"))</x:f>
      </x:c>
      <x:c r="P51" s="3" t="str">
        <x:f>IF(Setup!$B$6="primary","",IFERROR(IF(INDEX('Primary_snapshot'!$G$2:$G$72,MATCH(C51,'Primary_snapshot'!$A$2:$A$72,0))="","",INDEX('Primary_snapshot'!$G$2:$G$72,MATCH(C51,'Primary_snapshot'!$A$2:$A$72,0))),"SNAPSHOT MISSING"))</x:f>
      </x:c>
      <x:c r="Q51" s="3" t="str">
        <x:f>IF(Setup!$B$6="primary","",IFERROR(IF(INDEX('Primary_snapshot'!$H$2:$H$72,MATCH(C51,'Primary_snapshot'!$A$2:$A$72,0))="","",INDEX('Primary_snapshot'!$H$2:$H$72,MATCH(C51,'Primary_snapshot'!$A$2:$A$72,0))),"SNAPSHOT MISSING"))</x:f>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v>retain</x:v>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substantive_inconsistency</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str">
        <x:f>Setup!$B$2</x:f>
        <x:v>TEST_PRIMARY</x:v>
      </x:c>
      <x:c r="F52" s="6" t="str">
        <x:f>IF(Setup!$B$4="","",Setup!$B$4)</x:f>
      </x:c>
      <x:c r="G52" s="6" t="str">
        <x:f>IFERROR(INDEX('C_jama.2019.17380'!$G$2:$G$8,MATCH("2019::jama.2019.17380::C005",'C_jama.2019.17380'!$A$2:$A$8,0)),"CHECK KEY")</x:f>
        <x:v>PRIMARY READY</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c>
      <x:c r="L52" s="6" t="str">
        <x:f>IF(Setup!$B$6="primary","",IFERROR(IF(INDEX('Primary_snapshot'!$C$2:$C$72,MATCH(C52,'Primary_snapshot'!$A$2:$A$72,0))="","",INDEX('Primary_snapshot'!$C$2:$C$72,MATCH(C52,'Primary_snapshot'!$A$2:$A$72,0))),"SNAPSHOT MISSING"))</x:f>
      </x:c>
      <x:c r="M52" s="6" t="str">
        <x:f>IF(Setup!$B$6="primary","",IFERROR(IF(INDEX('Primary_snapshot'!$D$2:$D$72,MATCH(C52,'Primary_snapshot'!$A$2:$A$72,0))="","",INDEX('Primary_snapshot'!$D$2:$D$72,MATCH(C52,'Primary_snapshot'!$A$2:$A$72,0))),"SNAPSHOT MISSING"))</x:f>
      </x:c>
      <x:c r="N52" s="6" t="str">
        <x:f>IF(Setup!$B$6="primary","",IFERROR(IF(INDEX('Primary_snapshot'!$E$2:$E$72,MATCH(C52,'Primary_snapshot'!$A$2:$A$72,0))="","",INDEX('Primary_snapshot'!$E$2:$E$72,MATCH(C52,'Primary_snapshot'!$A$2:$A$72,0))),"SNAPSHOT MISSING"))</x:f>
      </x:c>
      <x:c r="O52" s="6" t="str">
        <x:f>IF(Setup!$B$6="primary","",IFERROR(IF(INDEX('Primary_snapshot'!$F$2:$F$72,MATCH(C52,'Primary_snapshot'!$A$2:$A$72,0))="","",INDEX('Primary_snapshot'!$F$2:$F$72,MATCH(C52,'Primary_snapshot'!$A$2:$A$72,0))),"SNAPSHOT MISSING"))</x:f>
      </x:c>
      <x:c r="P52" s="6" t="str">
        <x:f>IF(Setup!$B$6="primary","",IFERROR(IF(INDEX('Primary_snapshot'!$G$2:$G$72,MATCH(C52,'Primary_snapshot'!$A$2:$A$72,0))="","",INDEX('Primary_snapshot'!$G$2:$G$72,MATCH(C52,'Primary_snapshot'!$A$2:$A$72,0))),"SNAPSHOT MISSING"))</x:f>
      </x:c>
      <x:c r="Q52" s="6" t="str">
        <x:f>IF(Setup!$B$6="primary","",IFERROR(IF(INDEX('Primary_snapshot'!$H$2:$H$72,MATCH(C52,'Primary_snapshot'!$A$2:$A$72,0))="","",INDEX('Primary_snapshot'!$H$2:$H$72,MATCH(C52,'Primary_snapshot'!$A$2:$A$72,0))),"SNAPSHOT MISSING"))</x:f>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v>retain</x:v>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substantive_inconsistency</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str">
        <x:f>Setup!$B$2</x:f>
        <x:v>TEST_PRIMARY</x:v>
      </x:c>
      <x:c r="F53" s="3" t="str">
        <x:f>IF(Setup!$B$4="","",Setup!$B$4)</x:f>
      </x:c>
      <x:c r="G53" s="3" t="str">
        <x:f>IFERROR(INDEX('C_jama.2019.17380'!$G$2:$G$8,MATCH("2019::jama.2019.17380::C006",'C_jama.2019.17380'!$A$2:$A$8,0)),"CHECK KEY")</x:f>
        <x:v>PRIMARY READY</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c>
      <x:c r="L53" s="3" t="str">
        <x:f>IF(Setup!$B$6="primary","",IFERROR(IF(INDEX('Primary_snapshot'!$C$2:$C$72,MATCH(C53,'Primary_snapshot'!$A$2:$A$72,0))="","",INDEX('Primary_snapshot'!$C$2:$C$72,MATCH(C53,'Primary_snapshot'!$A$2:$A$72,0))),"SNAPSHOT MISSING"))</x:f>
      </x:c>
      <x:c r="M53" s="3" t="str">
        <x:f>IF(Setup!$B$6="primary","",IFERROR(IF(INDEX('Primary_snapshot'!$D$2:$D$72,MATCH(C53,'Primary_snapshot'!$A$2:$A$72,0))="","",INDEX('Primary_snapshot'!$D$2:$D$72,MATCH(C53,'Primary_snapshot'!$A$2:$A$72,0))),"SNAPSHOT MISSING"))</x:f>
      </x:c>
      <x:c r="N53" s="3" t="str">
        <x:f>IF(Setup!$B$6="primary","",IFERROR(IF(INDEX('Primary_snapshot'!$E$2:$E$72,MATCH(C53,'Primary_snapshot'!$A$2:$A$72,0))="","",INDEX('Primary_snapshot'!$E$2:$E$72,MATCH(C53,'Primary_snapshot'!$A$2:$A$72,0))),"SNAPSHOT MISSING"))</x:f>
      </x:c>
      <x:c r="O53" s="3" t="str">
        <x:f>IF(Setup!$B$6="primary","",IFERROR(IF(INDEX('Primary_snapshot'!$F$2:$F$72,MATCH(C53,'Primary_snapshot'!$A$2:$A$72,0))="","",INDEX('Primary_snapshot'!$F$2:$F$72,MATCH(C53,'Primary_snapshot'!$A$2:$A$72,0))),"SNAPSHOT MISSING"))</x:f>
      </x:c>
      <x:c r="P53" s="3" t="str">
        <x:f>IF(Setup!$B$6="primary","",IFERROR(IF(INDEX('Primary_snapshot'!$G$2:$G$72,MATCH(C53,'Primary_snapshot'!$A$2:$A$72,0))="","",INDEX('Primary_snapshot'!$G$2:$G$72,MATCH(C53,'Primary_snapshot'!$A$2:$A$72,0))),"SNAPSHOT MISSING"))</x:f>
      </x:c>
      <x:c r="Q53" s="3" t="str">
        <x:f>IF(Setup!$B$6="primary","",IFERROR(IF(INDEX('Primary_snapshot'!$H$2:$H$72,MATCH(C53,'Primary_snapshot'!$A$2:$A$72,0))="","",INDEX('Primary_snapshot'!$H$2:$H$72,MATCH(C53,'Primary_snapshot'!$A$2:$A$72,0))),"SNAPSHOT MISSING"))</x:f>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v>retain</x:v>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substantive_inconsistency</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str">
        <x:f>Setup!$B$2</x:f>
        <x:v>TEST_PRIMARY</x:v>
      </x:c>
      <x:c r="F54" s="6" t="str">
        <x:f>IF(Setup!$B$4="","",Setup!$B$4)</x:f>
      </x:c>
      <x:c r="G54" s="6" t="str">
        <x:f>IFERROR(INDEX('C_jama.2019.17380'!$G$2:$G$8,MATCH("2019::jama.2019.17380::C007",'C_jama.2019.17380'!$A$2:$A$8,0)),"CHECK KEY")</x:f>
        <x:v>PRIMARY READY</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c>
      <x:c r="L54" s="6" t="str">
        <x:f>IF(Setup!$B$6="primary","",IFERROR(IF(INDEX('Primary_snapshot'!$C$2:$C$72,MATCH(C54,'Primary_snapshot'!$A$2:$A$72,0))="","",INDEX('Primary_snapshot'!$C$2:$C$72,MATCH(C54,'Primary_snapshot'!$A$2:$A$72,0))),"SNAPSHOT MISSING"))</x:f>
      </x:c>
      <x:c r="M54" s="6" t="str">
        <x:f>IF(Setup!$B$6="primary","",IFERROR(IF(INDEX('Primary_snapshot'!$D$2:$D$72,MATCH(C54,'Primary_snapshot'!$A$2:$A$72,0))="","",INDEX('Primary_snapshot'!$D$2:$D$72,MATCH(C54,'Primary_snapshot'!$A$2:$A$72,0))),"SNAPSHOT MISSING"))</x:f>
      </x:c>
      <x:c r="N54" s="6" t="str">
        <x:f>IF(Setup!$B$6="primary","",IFERROR(IF(INDEX('Primary_snapshot'!$E$2:$E$72,MATCH(C54,'Primary_snapshot'!$A$2:$A$72,0))="","",INDEX('Primary_snapshot'!$E$2:$E$72,MATCH(C54,'Primary_snapshot'!$A$2:$A$72,0))),"SNAPSHOT MISSING"))</x:f>
      </x:c>
      <x:c r="O54" s="6" t="str">
        <x:f>IF(Setup!$B$6="primary","",IFERROR(IF(INDEX('Primary_snapshot'!$F$2:$F$72,MATCH(C54,'Primary_snapshot'!$A$2:$A$72,0))="","",INDEX('Primary_snapshot'!$F$2:$F$72,MATCH(C54,'Primary_snapshot'!$A$2:$A$72,0))),"SNAPSHOT MISSING"))</x:f>
      </x:c>
      <x:c r="P54" s="6" t="str">
        <x:f>IF(Setup!$B$6="primary","",IFERROR(IF(INDEX('Primary_snapshot'!$G$2:$G$72,MATCH(C54,'Primary_snapshot'!$A$2:$A$72,0))="","",INDEX('Primary_snapshot'!$G$2:$G$72,MATCH(C54,'Primary_snapshot'!$A$2:$A$72,0))),"SNAPSHOT MISSING"))</x:f>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v>retain</x:v>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str">
        <x:f>Setup!$B$2</x:f>
        <x:v>TEST_PRIMARY</x:v>
      </x:c>
      <x:c r="F55" s="3" t="str">
        <x:f>IF(Setup!$B$4="","",Setup!$B$4)</x:f>
      </x:c>
      <x:c r="G55" s="3" t="str">
        <x:f>IFERROR(INDEX('C_jama.2019.2210'!$G$2:$G$10,MATCH("2019::jama.2019.2210::C001",'C_jama.2019.2210'!$A$2:$A$10,0)),"CHECK KEY")</x:f>
        <x:v>PRIMARY READY</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c>
      <x:c r="L55" s="3" t="str">
        <x:f>IF(Setup!$B$6="primary","",IFERROR(IF(INDEX('Primary_snapshot'!$C$2:$C$72,MATCH(C55,'Primary_snapshot'!$A$2:$A$72,0))="","",INDEX('Primary_snapshot'!$C$2:$C$72,MATCH(C55,'Primary_snapshot'!$A$2:$A$72,0))),"SNAPSHOT MISSING"))</x:f>
      </x:c>
      <x:c r="M55" s="3" t="str">
        <x:f>IF(Setup!$B$6="primary","",IFERROR(IF(INDEX('Primary_snapshot'!$D$2:$D$72,MATCH(C55,'Primary_snapshot'!$A$2:$A$72,0))="","",INDEX('Primary_snapshot'!$D$2:$D$72,MATCH(C55,'Primary_snapshot'!$A$2:$A$72,0))),"SNAPSHOT MISSING"))</x:f>
      </x:c>
      <x:c r="N55" s="3" t="str">
        <x:f>IF(Setup!$B$6="primary","",IFERROR(IF(INDEX('Primary_snapshot'!$E$2:$E$72,MATCH(C55,'Primary_snapshot'!$A$2:$A$72,0))="","",INDEX('Primary_snapshot'!$E$2:$E$72,MATCH(C55,'Primary_snapshot'!$A$2:$A$72,0))),"SNAPSHOT MISSING"))</x:f>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c>
      <x:c r="Q55" s="3" t="str">
        <x:f>IF(Setup!$B$6="primary","",IFERROR(IF(INDEX('Primary_snapshot'!$H$2:$H$72,MATCH(C55,'Primary_snapshot'!$A$2:$A$72,0))="","",INDEX('Primary_snapshot'!$H$2:$H$72,MATCH(C55,'Primary_snapshot'!$A$2:$A$72,0))),"SNAPSHOT MISSING"))</x:f>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v>retain</x:v>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confirmed_issue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substantive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str">
        <x:f>Setup!$B$2</x:f>
        <x:v>TEST_PRIMARY</x:v>
      </x:c>
      <x:c r="F56" s="6" t="str">
        <x:f>IF(Setup!$B$4="","",Setup!$B$4)</x:f>
      </x:c>
      <x:c r="G56" s="6" t="str">
        <x:f>IFERROR(INDEX('C_jama.2019.2210'!$G$2:$G$10,MATCH("2019::jama.2019.2210::C002",'C_jama.2019.2210'!$A$2:$A$10,0)),"CHECK KEY")</x:f>
        <x:v>PRIMARY READY</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c>
      <x:c r="L56" s="6" t="str">
        <x:f>IF(Setup!$B$6="primary","",IFERROR(IF(INDEX('Primary_snapshot'!$C$2:$C$72,MATCH(C56,'Primary_snapshot'!$A$2:$A$72,0))="","",INDEX('Primary_snapshot'!$C$2:$C$72,MATCH(C56,'Primary_snapshot'!$A$2:$A$72,0))),"SNAPSHOT MISSING"))</x:f>
      </x:c>
      <x:c r="M56" s="6" t="str">
        <x:f>IF(Setup!$B$6="primary","",IFERROR(IF(INDEX('Primary_snapshot'!$D$2:$D$72,MATCH(C56,'Primary_snapshot'!$A$2:$A$72,0))="","",INDEX('Primary_snapshot'!$D$2:$D$72,MATCH(C56,'Primary_snapshot'!$A$2:$A$72,0))),"SNAPSHOT MISSING"))</x:f>
      </x:c>
      <x:c r="N56" s="6" t="str">
        <x:f>IF(Setup!$B$6="primary","",IFERROR(IF(INDEX('Primary_snapshot'!$E$2:$E$72,MATCH(C56,'Primary_snapshot'!$A$2:$A$72,0))="","",INDEX('Primary_snapshot'!$E$2:$E$72,MATCH(C56,'Primary_snapshot'!$A$2:$A$72,0))),"SNAPSHOT MISSING"))</x:f>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c>
      <x:c r="Q56" s="6" t="str">
        <x:f>IF(Setup!$B$6="primary","",IFERROR(IF(INDEX('Primary_snapshot'!$H$2:$H$72,MATCH(C56,'Primary_snapshot'!$A$2:$A$72,0))="","",INDEX('Primary_snapshot'!$H$2:$H$72,MATCH(C56,'Primary_snapshot'!$A$2:$A$72,0))),"SNAPSHOT MISSING"))</x:f>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v>retain</x:v>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confirmed_issue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substantive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str">
        <x:f>Setup!$B$2</x:f>
        <x:v>TEST_PRIMARY</x:v>
      </x:c>
      <x:c r="F57" s="3" t="str">
        <x:f>IF(Setup!$B$4="","",Setup!$B$4)</x:f>
      </x:c>
      <x:c r="G57" s="3" t="str">
        <x:f>IFERROR(INDEX('C_jama.2019.2210'!$G$2:$G$10,MATCH("2019::jama.2019.2210::C003",'C_jama.2019.2210'!$A$2:$A$10,0)),"CHECK KEY")</x:f>
        <x:v>PRIMARY READY</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c>
      <x:c r="L57" s="3" t="str">
        <x:f>IF(Setup!$B$6="primary","",IFERROR(IF(INDEX('Primary_snapshot'!$C$2:$C$72,MATCH(C57,'Primary_snapshot'!$A$2:$A$72,0))="","",INDEX('Primary_snapshot'!$C$2:$C$72,MATCH(C57,'Primary_snapshot'!$A$2:$A$72,0))),"SNAPSHOT MISSING"))</x:f>
      </x:c>
      <x:c r="M57" s="3" t="str">
        <x:f>IF(Setup!$B$6="primary","",IFERROR(IF(INDEX('Primary_snapshot'!$D$2:$D$72,MATCH(C57,'Primary_snapshot'!$A$2:$A$72,0))="","",INDEX('Primary_snapshot'!$D$2:$D$72,MATCH(C57,'Primary_snapshot'!$A$2:$A$72,0))),"SNAPSHOT MISSING"))</x:f>
      </x:c>
      <x:c r="N57" s="3" t="str">
        <x:f>IF(Setup!$B$6="primary","",IFERROR(IF(INDEX('Primary_snapshot'!$E$2:$E$72,MATCH(C57,'Primary_snapshot'!$A$2:$A$72,0))="","",INDEX('Primary_snapshot'!$E$2:$E$72,MATCH(C57,'Primary_snapshot'!$A$2:$A$72,0))),"SNAPSHOT MISSING"))</x:f>
      </x:c>
      <x:c r="O57" s="3" t="str">
        <x:f>IF(Setup!$B$6="primary","",IFERROR(IF(INDEX('Primary_snapshot'!$F$2:$F$72,MATCH(C57,'Primary_snapshot'!$A$2:$A$72,0))="","",INDEX('Primary_snapshot'!$F$2:$F$72,MATCH(C57,'Primary_snapshot'!$A$2:$A$72,0))),"SNAPSHOT MISSING"))</x:f>
      </x:c>
      <x:c r="P57" s="3" t="str">
        <x:f>IF(Setup!$B$6="primary","",IFERROR(IF(INDEX('Primary_snapshot'!$G$2:$G$72,MATCH(C57,'Primary_snapshot'!$A$2:$A$72,0))="","",INDEX('Primary_snapshot'!$G$2:$G$72,MATCH(C57,'Primary_snapshot'!$A$2:$A$72,0))),"SNAPSHOT MISSING"))</x:f>
      </x:c>
      <x:c r="Q57" s="3" t="str">
        <x:f>IF(Setup!$B$6="primary","",IFERROR(IF(INDEX('Primary_snapshot'!$H$2:$H$72,MATCH(C57,'Primary_snapshot'!$A$2:$A$72,0))="","",INDEX('Primary_snapshot'!$H$2:$H$72,MATCH(C57,'Primary_snapshot'!$A$2:$A$72,0))),"SNAPSHOT MISSING"))</x:f>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v>retain</x:v>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substantive_inconsistency</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str">
        <x:f>Setup!$B$2</x:f>
        <x:v>TEST_PRIMARY</x:v>
      </x:c>
      <x:c r="F58" s="6" t="str">
        <x:f>IF(Setup!$B$4="","",Setup!$B$4)</x:f>
      </x:c>
      <x:c r="G58" s="6" t="str">
        <x:f>IFERROR(INDEX('C_jama.2019.2210'!$G$2:$G$10,MATCH("2019::jama.2019.2210::C004",'C_jama.2019.2210'!$A$2:$A$10,0)),"CHECK KEY")</x:f>
        <x:v>PRIMARY READY</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c>
      <x:c r="L58" s="6" t="str">
        <x:f>IF(Setup!$B$6="primary","",IFERROR(IF(INDEX('Primary_snapshot'!$C$2:$C$72,MATCH(C58,'Primary_snapshot'!$A$2:$A$72,0))="","",INDEX('Primary_snapshot'!$C$2:$C$72,MATCH(C58,'Primary_snapshot'!$A$2:$A$72,0))),"SNAPSHOT MISSING"))</x:f>
      </x:c>
      <x:c r="M58" s="6" t="str">
        <x:f>IF(Setup!$B$6="primary","",IFERROR(IF(INDEX('Primary_snapshot'!$D$2:$D$72,MATCH(C58,'Primary_snapshot'!$A$2:$A$72,0))="","",INDEX('Primary_snapshot'!$D$2:$D$72,MATCH(C58,'Primary_snapshot'!$A$2:$A$72,0))),"SNAPSHOT MISSING"))</x:f>
      </x:c>
      <x:c r="N58" s="6" t="str">
        <x:f>IF(Setup!$B$6="primary","",IFERROR(IF(INDEX('Primary_snapshot'!$E$2:$E$72,MATCH(C58,'Primary_snapshot'!$A$2:$A$72,0))="","",INDEX('Primary_snapshot'!$E$2:$E$72,MATCH(C58,'Primary_snapshot'!$A$2:$A$72,0))),"SNAPSHOT MISSING"))</x:f>
      </x:c>
      <x:c r="O58" s="6" t="str">
        <x:f>IF(Setup!$B$6="primary","",IFERROR(IF(INDEX('Primary_snapshot'!$F$2:$F$72,MATCH(C58,'Primary_snapshot'!$A$2:$A$72,0))="","",INDEX('Primary_snapshot'!$F$2:$F$72,MATCH(C58,'Primary_snapshot'!$A$2:$A$72,0))),"SNAPSHOT MISSING"))</x:f>
      </x:c>
      <x:c r="P58" s="6" t="str">
        <x:f>IF(Setup!$B$6="primary","",IFERROR(IF(INDEX('Primary_snapshot'!$G$2:$G$72,MATCH(C58,'Primary_snapshot'!$A$2:$A$72,0))="","",INDEX('Primary_snapshot'!$G$2:$G$72,MATCH(C58,'Primary_snapshot'!$A$2:$A$72,0))),"SNAPSHOT MISSING"))</x:f>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v>retain</x:v>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str">
        <x:f>Setup!$B$2</x:f>
        <x:v>TEST_PRIMARY</x:v>
      </x:c>
      <x:c r="F59" s="3" t="str">
        <x:f>IF(Setup!$B$4="","",Setup!$B$4)</x:f>
      </x:c>
      <x:c r="G59" s="3" t="str">
        <x:f>IFERROR(INDEX('C_jama.2019.2210'!$G$2:$G$10,MATCH("2019::jama.2019.2210::C005",'C_jama.2019.2210'!$A$2:$A$10,0)),"CHECK KEY")</x:f>
        <x:v>PRIMARY READY</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c>
      <x:c r="L59" s="3" t="str">
        <x:f>IF(Setup!$B$6="primary","",IFERROR(IF(INDEX('Primary_snapshot'!$C$2:$C$72,MATCH(C59,'Primary_snapshot'!$A$2:$A$72,0))="","",INDEX('Primary_snapshot'!$C$2:$C$72,MATCH(C59,'Primary_snapshot'!$A$2:$A$72,0))),"SNAPSHOT MISSING"))</x:f>
      </x:c>
      <x:c r="M59" s="3" t="str">
        <x:f>IF(Setup!$B$6="primary","",IFERROR(IF(INDEX('Primary_snapshot'!$D$2:$D$72,MATCH(C59,'Primary_snapshot'!$A$2:$A$72,0))="","",INDEX('Primary_snapshot'!$D$2:$D$72,MATCH(C59,'Primary_snapshot'!$A$2:$A$72,0))),"SNAPSHOT MISSING"))</x:f>
      </x:c>
      <x:c r="N59" s="3" t="str">
        <x:f>IF(Setup!$B$6="primary","",IFERROR(IF(INDEX('Primary_snapshot'!$E$2:$E$72,MATCH(C59,'Primary_snapshot'!$A$2:$A$72,0))="","",INDEX('Primary_snapshot'!$E$2:$E$72,MATCH(C59,'Primary_snapshot'!$A$2:$A$72,0))),"SNAPSHOT MISSING"))</x:f>
      </x:c>
      <x:c r="O59" s="3" t="str">
        <x:f>IF(Setup!$B$6="primary","",IFERROR(IF(INDEX('Primary_snapshot'!$F$2:$F$72,MATCH(C59,'Primary_snapshot'!$A$2:$A$72,0))="","",INDEX('Primary_snapshot'!$F$2:$F$72,MATCH(C59,'Primary_snapshot'!$A$2:$A$72,0))),"SNAPSHOT MISSING"))</x:f>
      </x:c>
      <x:c r="P59" s="3" t="str">
        <x:f>IF(Setup!$B$6="primary","",IFERROR(IF(INDEX('Primary_snapshot'!$G$2:$G$72,MATCH(C59,'Primary_snapshot'!$A$2:$A$72,0))="","",INDEX('Primary_snapshot'!$G$2:$G$72,MATCH(C59,'Primary_snapshot'!$A$2:$A$72,0))),"SNAPSHOT MISSING"))</x:f>
      </x:c>
      <x:c r="Q59" s="3" t="str">
        <x:f>IF(Setup!$B$6="primary","",IFERROR(IF(INDEX('Primary_snapshot'!$H$2:$H$72,MATCH(C59,'Primary_snapshot'!$A$2:$A$72,0))="","",INDEX('Primary_snapshot'!$H$2:$H$72,MATCH(C59,'Primary_snapshot'!$A$2:$A$72,0))),"SNAPSHOT MISSING"))</x:f>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v>retain</x:v>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substantive_inconsistency</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str">
        <x:f>Setup!$B$2</x:f>
        <x:v>TEST_PRIMARY</x:v>
      </x:c>
      <x:c r="F60" s="6" t="str">
        <x:f>IF(Setup!$B$4="","",Setup!$B$4)</x:f>
      </x:c>
      <x:c r="G60" s="6" t="str">
        <x:f>IFERROR(INDEX('C_jama.2019.2210'!$G$2:$G$10,MATCH("2019::jama.2019.2210::C006",'C_jama.2019.2210'!$A$2:$A$10,0)),"CHECK KEY")</x:f>
        <x:v>PRIMARY READY</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c>
      <x:c r="L60" s="6" t="str">
        <x:f>IF(Setup!$B$6="primary","",IFERROR(IF(INDEX('Primary_snapshot'!$C$2:$C$72,MATCH(C60,'Primary_snapshot'!$A$2:$A$72,0))="","",INDEX('Primary_snapshot'!$C$2:$C$72,MATCH(C60,'Primary_snapshot'!$A$2:$A$72,0))),"SNAPSHOT MISSING"))</x:f>
      </x:c>
      <x:c r="M60" s="6" t="str">
        <x:f>IF(Setup!$B$6="primary","",IFERROR(IF(INDEX('Primary_snapshot'!$D$2:$D$72,MATCH(C60,'Primary_snapshot'!$A$2:$A$72,0))="","",INDEX('Primary_snapshot'!$D$2:$D$72,MATCH(C60,'Primary_snapshot'!$A$2:$A$72,0))),"SNAPSHOT MISSING"))</x:f>
      </x:c>
      <x:c r="N60" s="6" t="str">
        <x:f>IF(Setup!$B$6="primary","",IFERROR(IF(INDEX('Primary_snapshot'!$E$2:$E$72,MATCH(C60,'Primary_snapshot'!$A$2:$A$72,0))="","",INDEX('Primary_snapshot'!$E$2:$E$72,MATCH(C60,'Primary_snapshot'!$A$2:$A$72,0))),"SNAPSHOT MISSING"))</x:f>
      </x:c>
      <x:c r="O60" s="6" t="str">
        <x:f>IF(Setup!$B$6="primary","",IFERROR(IF(INDEX('Primary_snapshot'!$F$2:$F$72,MATCH(C60,'Primary_snapshot'!$A$2:$A$72,0))="","",INDEX('Primary_snapshot'!$F$2:$F$72,MATCH(C60,'Primary_snapshot'!$A$2:$A$72,0))),"SNAPSHOT MISSING"))</x:f>
      </x:c>
      <x:c r="P60" s="6" t="str">
        <x:f>IF(Setup!$B$6="primary","",IFERROR(IF(INDEX('Primary_snapshot'!$G$2:$G$72,MATCH(C60,'Primary_snapshot'!$A$2:$A$72,0))="","",INDEX('Primary_snapshot'!$G$2:$G$72,MATCH(C60,'Primary_snapshot'!$A$2:$A$72,0))),"SNAPSHOT MISSING"))</x:f>
      </x:c>
      <x:c r="Q60" s="6" t="str">
        <x:f>IF(Setup!$B$6="primary","",IFERROR(IF(INDEX('Primary_snapshot'!$H$2:$H$72,MATCH(C60,'Primary_snapshot'!$A$2:$A$72,0))="","",INDEX('Primary_snapshot'!$H$2:$H$72,MATCH(C60,'Primary_snapshot'!$A$2:$A$72,0))),"SNAPSHOT MISSING"))</x:f>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v>retain</x:v>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substantive_inconsistency</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str">
        <x:f>Setup!$B$2</x:f>
        <x:v>TEST_PRIMARY</x:v>
      </x:c>
      <x:c r="F61" s="3" t="str">
        <x:f>IF(Setup!$B$4="","",Setup!$B$4)</x:f>
      </x:c>
      <x:c r="G61" s="3" t="str">
        <x:f>IFERROR(INDEX('C_jama.2019.2210'!$G$2:$G$10,MATCH("2019::jama.2019.2210::C007",'C_jama.2019.2210'!$A$2:$A$10,0)),"CHECK KEY")</x:f>
        <x:v>PRIMARY READY</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c>
      <x:c r="L61" s="3" t="str">
        <x:f>IF(Setup!$B$6="primary","",IFERROR(IF(INDEX('Primary_snapshot'!$C$2:$C$72,MATCH(C61,'Primary_snapshot'!$A$2:$A$72,0))="","",INDEX('Primary_snapshot'!$C$2:$C$72,MATCH(C61,'Primary_snapshot'!$A$2:$A$72,0))),"SNAPSHOT MISSING"))</x:f>
      </x:c>
      <x:c r="M61" s="3" t="str">
        <x:f>IF(Setup!$B$6="primary","",IFERROR(IF(INDEX('Primary_snapshot'!$D$2:$D$72,MATCH(C61,'Primary_snapshot'!$A$2:$A$72,0))="","",INDEX('Primary_snapshot'!$D$2:$D$72,MATCH(C61,'Primary_snapshot'!$A$2:$A$72,0))),"SNAPSHOT MISSING"))</x:f>
      </x:c>
      <x:c r="N61" s="3" t="str">
        <x:f>IF(Setup!$B$6="primary","",IFERROR(IF(INDEX('Primary_snapshot'!$E$2:$E$72,MATCH(C61,'Primary_snapshot'!$A$2:$A$72,0))="","",INDEX('Primary_snapshot'!$E$2:$E$72,MATCH(C61,'Primary_snapshot'!$A$2:$A$72,0))),"SNAPSHOT MISSING"))</x:f>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c>
      <x:c r="Q61" s="3" t="str">
        <x:f>IF(Setup!$B$6="primary","",IFERROR(IF(INDEX('Primary_snapshot'!$H$2:$H$72,MATCH(C61,'Primary_snapshot'!$A$2:$A$72,0))="","",INDEX('Primary_snapshot'!$H$2:$H$72,MATCH(C61,'Primary_snapshot'!$A$2:$A$72,0))),"SNAPSHOT MISSING"))</x:f>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v>retain</x:v>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confirmed_issue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substantive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str">
        <x:f>Setup!$B$2</x:f>
        <x:v>TEST_PRIMARY</x:v>
      </x:c>
      <x:c r="F62" s="6" t="str">
        <x:f>IF(Setup!$B$4="","",Setup!$B$4)</x:f>
      </x:c>
      <x:c r="G62" s="6" t="str">
        <x:f>IFERROR(INDEX('C_jama.2019.2210'!$G$2:$G$10,MATCH("2019::jama.2019.2210::C008",'C_jama.2019.2210'!$A$2:$A$10,0)),"CHECK KEY")</x:f>
        <x:v>PRIMARY READY</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c>
      <x:c r="L62" s="6" t="str">
        <x:f>IF(Setup!$B$6="primary","",IFERROR(IF(INDEX('Primary_snapshot'!$C$2:$C$72,MATCH(C62,'Primary_snapshot'!$A$2:$A$72,0))="","",INDEX('Primary_snapshot'!$C$2:$C$72,MATCH(C62,'Primary_snapshot'!$A$2:$A$72,0))),"SNAPSHOT MISSING"))</x:f>
      </x:c>
      <x:c r="M62" s="6" t="str">
        <x:f>IF(Setup!$B$6="primary","",IFERROR(IF(INDEX('Primary_snapshot'!$D$2:$D$72,MATCH(C62,'Primary_snapshot'!$A$2:$A$72,0))="","",INDEX('Primary_snapshot'!$D$2:$D$72,MATCH(C62,'Primary_snapshot'!$A$2:$A$72,0))),"SNAPSHOT MISSING"))</x:f>
      </x:c>
      <x:c r="N62" s="6" t="str">
        <x:f>IF(Setup!$B$6="primary","",IFERROR(IF(INDEX('Primary_snapshot'!$E$2:$E$72,MATCH(C62,'Primary_snapshot'!$A$2:$A$72,0))="","",INDEX('Primary_snapshot'!$E$2:$E$72,MATCH(C62,'Primary_snapshot'!$A$2:$A$72,0))),"SNAPSHOT MISSING"))</x:f>
      </x:c>
      <x:c r="O62" s="6" t="str">
        <x:f>IF(Setup!$B$6="primary","",IFERROR(IF(INDEX('Primary_snapshot'!$F$2:$F$72,MATCH(C62,'Primary_snapshot'!$A$2:$A$72,0))="","",INDEX('Primary_snapshot'!$F$2:$F$72,MATCH(C62,'Primary_snapshot'!$A$2:$A$72,0))),"SNAPSHOT MISSING"))</x:f>
      </x:c>
      <x:c r="P62" s="6" t="str">
        <x:f>IF(Setup!$B$6="primary","",IFERROR(IF(INDEX('Primary_snapshot'!$G$2:$G$72,MATCH(C62,'Primary_snapshot'!$A$2:$A$72,0))="","",INDEX('Primary_snapshot'!$G$2:$G$72,MATCH(C62,'Primary_snapshot'!$A$2:$A$72,0))),"SNAPSHOT MISSING"))</x:f>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v>retain</x:v>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str">
        <x:f>Setup!$B$2</x:f>
        <x:v>TEST_PRIMARY</x:v>
      </x:c>
      <x:c r="F63" s="3" t="str">
        <x:f>IF(Setup!$B$4="","",Setup!$B$4)</x:f>
      </x:c>
      <x:c r="G63" s="3" t="str">
        <x:f>IFERROR(INDEX('C_jama.2019.2210'!$G$2:$G$10,MATCH("2019::jama.2019.2210::C009",'C_jama.2019.2210'!$A$2:$A$10,0)),"CHECK KEY")</x:f>
        <x:v>PRIMARY READY</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c>
      <x:c r="L63" s="3" t="str">
        <x:f>IF(Setup!$B$6="primary","",IFERROR(IF(INDEX('Primary_snapshot'!$C$2:$C$72,MATCH(C63,'Primary_snapshot'!$A$2:$A$72,0))="","",INDEX('Primary_snapshot'!$C$2:$C$72,MATCH(C63,'Primary_snapshot'!$A$2:$A$72,0))),"SNAPSHOT MISSING"))</x:f>
      </x:c>
      <x:c r="M63" s="3" t="str">
        <x:f>IF(Setup!$B$6="primary","",IFERROR(IF(INDEX('Primary_snapshot'!$D$2:$D$72,MATCH(C63,'Primary_snapshot'!$A$2:$A$72,0))="","",INDEX('Primary_snapshot'!$D$2:$D$72,MATCH(C63,'Primary_snapshot'!$A$2:$A$72,0))),"SNAPSHOT MISSING"))</x:f>
      </x:c>
      <x:c r="N63" s="3" t="str">
        <x:f>IF(Setup!$B$6="primary","",IFERROR(IF(INDEX('Primary_snapshot'!$E$2:$E$72,MATCH(C63,'Primary_snapshot'!$A$2:$A$72,0))="","",INDEX('Primary_snapshot'!$E$2:$E$72,MATCH(C63,'Primary_snapshot'!$A$2:$A$72,0))),"SNAPSHOT MISSING"))</x:f>
      </x:c>
      <x:c r="O63" s="3" t="str">
        <x:f>IF(Setup!$B$6="primary","",IFERROR(IF(INDEX('Primary_snapshot'!$F$2:$F$72,MATCH(C63,'Primary_snapshot'!$A$2:$A$72,0))="","",INDEX('Primary_snapshot'!$F$2:$F$72,MATCH(C63,'Primary_snapshot'!$A$2:$A$72,0))),"SNAPSHOT MISSING"))</x:f>
      </x:c>
      <x:c r="P63" s="3" t="str">
        <x:f>IF(Setup!$B$6="primary","",IFERROR(IF(INDEX('Primary_snapshot'!$G$2:$G$72,MATCH(C63,'Primary_snapshot'!$A$2:$A$72,0))="","",INDEX('Primary_snapshot'!$G$2:$G$72,MATCH(C63,'Primary_snapshot'!$A$2:$A$72,0))),"SNAPSHOT MISSING"))</x:f>
      </x:c>
      <x:c r="Q63" s="3" t="str">
        <x:f>IF(Setup!$B$6="primary","",IFERROR(IF(INDEX('Primary_snapshot'!$H$2:$H$72,MATCH(C63,'Primary_snapshot'!$A$2:$A$72,0))="","",INDEX('Primary_snapshot'!$H$2:$H$72,MATCH(C63,'Primary_snapshot'!$A$2:$A$72,0))),"SNAPSHOT MISSING"))</x:f>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v>retain</x:v>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substantive_inconsistency</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str">
        <x:f>Setup!$B$2</x:f>
        <x:v>TEST_PRIMARY</x:v>
      </x:c>
      <x:c r="F64" s="6" t="str">
        <x:f>IF(Setup!$B$4="","",Setup!$B$4)</x:f>
      </x:c>
      <x:c r="G64" s="6" t="str">
        <x:f>IFERROR(INDEX('C_jama.2019.4755'!$G$2:$G$6,MATCH("2019::jama.2019.4755::C001",'C_jama.2019.4755'!$A$2:$A$6,0)),"CHECK KEY")</x:f>
        <x:v>PRIMARY READY</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c>
      <x:c r="L64" s="6" t="str">
        <x:f>IF(Setup!$B$6="primary","",IFERROR(IF(INDEX('Primary_snapshot'!$C$2:$C$72,MATCH(C64,'Primary_snapshot'!$A$2:$A$72,0))="","",INDEX('Primary_snapshot'!$C$2:$C$72,MATCH(C64,'Primary_snapshot'!$A$2:$A$72,0))),"SNAPSHOT MISSING"))</x:f>
      </x:c>
      <x:c r="M64" s="6" t="str">
        <x:f>IF(Setup!$B$6="primary","",IFERROR(IF(INDEX('Primary_snapshot'!$D$2:$D$72,MATCH(C64,'Primary_snapshot'!$A$2:$A$72,0))="","",INDEX('Primary_snapshot'!$D$2:$D$72,MATCH(C64,'Primary_snapshot'!$A$2:$A$72,0))),"SNAPSHOT MISSING"))</x:f>
      </x:c>
      <x:c r="N64" s="6" t="str">
        <x:f>IF(Setup!$B$6="primary","",IFERROR(IF(INDEX('Primary_snapshot'!$E$2:$E$72,MATCH(C64,'Primary_snapshot'!$A$2:$A$72,0))="","",INDEX('Primary_snapshot'!$E$2:$E$72,MATCH(C64,'Primary_snapshot'!$A$2:$A$72,0))),"SNAPSHOT MISSING"))</x:f>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c>
      <x:c r="Q64" s="6" t="str">
        <x:f>IF(Setup!$B$6="primary","",IFERROR(IF(INDEX('Primary_snapshot'!$H$2:$H$72,MATCH(C64,'Primary_snapshot'!$A$2:$A$72,0))="","",INDEX('Primary_snapshot'!$H$2:$H$72,MATCH(C64,'Primary_snapshot'!$A$2:$A$72,0))),"SNAPSHOT MISSING"))</x:f>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v>retain</x:v>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confirmed_issue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substantive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str">
        <x:f>Setup!$B$2</x:f>
        <x:v>TEST_PRIMARY</x:v>
      </x:c>
      <x:c r="F65" s="3" t="str">
        <x:f>IF(Setup!$B$4="","",Setup!$B$4)</x:f>
      </x:c>
      <x:c r="G65" s="3" t="str">
        <x:f>IFERROR(INDEX('C_jama.2019.4755'!$G$2:$G$6,MATCH("2019::jama.2019.4755::C002",'C_jama.2019.4755'!$A$2:$A$6,0)),"CHECK KEY")</x:f>
        <x:v>PRIMARY READY</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c>
      <x:c r="L65" s="3" t="str">
        <x:f>IF(Setup!$B$6="primary","",IFERROR(IF(INDEX('Primary_snapshot'!$C$2:$C$72,MATCH(C65,'Primary_snapshot'!$A$2:$A$72,0))="","",INDEX('Primary_snapshot'!$C$2:$C$72,MATCH(C65,'Primary_snapshot'!$A$2:$A$72,0))),"SNAPSHOT MISSING"))</x:f>
      </x:c>
      <x:c r="M65" s="3" t="str">
        <x:f>IF(Setup!$B$6="primary","",IFERROR(IF(INDEX('Primary_snapshot'!$D$2:$D$72,MATCH(C65,'Primary_snapshot'!$A$2:$A$72,0))="","",INDEX('Primary_snapshot'!$D$2:$D$72,MATCH(C65,'Primary_snapshot'!$A$2:$A$72,0))),"SNAPSHOT MISSING"))</x:f>
      </x:c>
      <x:c r="N65" s="3" t="str">
        <x:f>IF(Setup!$B$6="primary","",IFERROR(IF(INDEX('Primary_snapshot'!$E$2:$E$72,MATCH(C65,'Primary_snapshot'!$A$2:$A$72,0))="","",INDEX('Primary_snapshot'!$E$2:$E$72,MATCH(C65,'Primary_snapshot'!$A$2:$A$72,0))),"SNAPSHOT MISSING"))</x:f>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c>
      <x:c r="Q65" s="3" t="str">
        <x:f>IF(Setup!$B$6="primary","",IFERROR(IF(INDEX('Primary_snapshot'!$H$2:$H$72,MATCH(C65,'Primary_snapshot'!$A$2:$A$72,0))="","",INDEX('Primary_snapshot'!$H$2:$H$72,MATCH(C65,'Primary_snapshot'!$A$2:$A$72,0))),"SNAPSHOT MISSING"))</x:f>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v>retain</x:v>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confirmed_issue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substantive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str">
        <x:f>Setup!$B$2</x:f>
        <x:v>TEST_PRIMARY</x:v>
      </x:c>
      <x:c r="F66" s="6" t="str">
        <x:f>IF(Setup!$B$4="","",Setup!$B$4)</x:f>
      </x:c>
      <x:c r="G66" s="6" t="str">
        <x:f>IFERROR(INDEX('C_jama.2019.4755'!$G$2:$G$6,MATCH("2019::jama.2019.4755::C003",'C_jama.2019.4755'!$A$2:$A$6,0)),"CHECK KEY")</x:f>
        <x:v>PRIMARY READY</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c>
      <x:c r="L66" s="6" t="str">
        <x:f>IF(Setup!$B$6="primary","",IFERROR(IF(INDEX('Primary_snapshot'!$C$2:$C$72,MATCH(C66,'Primary_snapshot'!$A$2:$A$72,0))="","",INDEX('Primary_snapshot'!$C$2:$C$72,MATCH(C66,'Primary_snapshot'!$A$2:$A$72,0))),"SNAPSHOT MISSING"))</x:f>
      </x:c>
      <x:c r="M66" s="6" t="str">
        <x:f>IF(Setup!$B$6="primary","",IFERROR(IF(INDEX('Primary_snapshot'!$D$2:$D$72,MATCH(C66,'Primary_snapshot'!$A$2:$A$72,0))="","",INDEX('Primary_snapshot'!$D$2:$D$72,MATCH(C66,'Primary_snapshot'!$A$2:$A$72,0))),"SNAPSHOT MISSING"))</x:f>
      </x:c>
      <x:c r="N66" s="6" t="str">
        <x:f>IF(Setup!$B$6="primary","",IFERROR(IF(INDEX('Primary_snapshot'!$E$2:$E$72,MATCH(C66,'Primary_snapshot'!$A$2:$A$72,0))="","",INDEX('Primary_snapshot'!$E$2:$E$72,MATCH(C66,'Primary_snapshot'!$A$2:$A$72,0))),"SNAPSHOT MISSING"))</x:f>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c>
      <x:c r="Q66" s="6" t="str">
        <x:f>IF(Setup!$B$6="primary","",IFERROR(IF(INDEX('Primary_snapshot'!$H$2:$H$72,MATCH(C66,'Primary_snapshot'!$A$2:$A$72,0))="","",INDEX('Primary_snapshot'!$H$2:$H$72,MATCH(C66,'Primary_snapshot'!$A$2:$A$72,0))),"SNAPSHOT MISSING"))</x:f>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v>retain</x:v>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confirmed_issue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substantive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str">
        <x:f>Setup!$B$2</x:f>
        <x:v>TEST_PRIMARY</x:v>
      </x:c>
      <x:c r="F67" s="3" t="str">
        <x:f>IF(Setup!$B$4="","",Setup!$B$4)</x:f>
      </x:c>
      <x:c r="G67" s="3" t="str">
        <x:f>IFERROR(INDEX('C_jama.2019.4755'!$G$2:$G$6,MATCH("2019::jama.2019.4755::C004",'C_jama.2019.4755'!$A$2:$A$6,0)),"CHECK KEY")</x:f>
        <x:v>PRIMARY READY</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c>
      <x:c r="L67" s="3" t="str">
        <x:f>IF(Setup!$B$6="primary","",IFERROR(IF(INDEX('Primary_snapshot'!$C$2:$C$72,MATCH(C67,'Primary_snapshot'!$A$2:$A$72,0))="","",INDEX('Primary_snapshot'!$C$2:$C$72,MATCH(C67,'Primary_snapshot'!$A$2:$A$72,0))),"SNAPSHOT MISSING"))</x:f>
      </x:c>
      <x:c r="M67" s="3" t="str">
        <x:f>IF(Setup!$B$6="primary","",IFERROR(IF(INDEX('Primary_snapshot'!$D$2:$D$72,MATCH(C67,'Primary_snapshot'!$A$2:$A$72,0))="","",INDEX('Primary_snapshot'!$D$2:$D$72,MATCH(C67,'Primary_snapshot'!$A$2:$A$72,0))),"SNAPSHOT MISSING"))</x:f>
      </x:c>
      <x:c r="N67" s="3" t="str">
        <x:f>IF(Setup!$B$6="primary","",IFERROR(IF(INDEX('Primary_snapshot'!$E$2:$E$72,MATCH(C67,'Primary_snapshot'!$A$2:$A$72,0))="","",INDEX('Primary_snapshot'!$E$2:$E$72,MATCH(C67,'Primary_snapshot'!$A$2:$A$72,0))),"SNAPSHOT MISSING"))</x:f>
      </x:c>
      <x:c r="O67" s="3" t="str">
        <x:f>IF(Setup!$B$6="primary","",IFERROR(IF(INDEX('Primary_snapshot'!$F$2:$F$72,MATCH(C67,'Primary_snapshot'!$A$2:$A$72,0))="","",INDEX('Primary_snapshot'!$F$2:$F$72,MATCH(C67,'Primary_snapshot'!$A$2:$A$72,0))),"SNAPSHOT MISSING"))</x:f>
      </x:c>
      <x:c r="P67" s="3" t="str">
        <x:f>IF(Setup!$B$6="primary","",IFERROR(IF(INDEX('Primary_snapshot'!$G$2:$G$72,MATCH(C67,'Primary_snapshot'!$A$2:$A$72,0))="","",INDEX('Primary_snapshot'!$G$2:$G$72,MATCH(C67,'Primary_snapshot'!$A$2:$A$72,0))),"SNAPSHOT MISSING"))</x:f>
      </x:c>
      <x:c r="Q67" s="3" t="str">
        <x:f>IF(Setup!$B$6="primary","",IFERROR(IF(INDEX('Primary_snapshot'!$H$2:$H$72,MATCH(C67,'Primary_snapshot'!$A$2:$A$72,0))="","",INDEX('Primary_snapshot'!$H$2:$H$72,MATCH(C67,'Primary_snapshot'!$A$2:$A$72,0))),"SNAPSHOT MISSING"))</x:f>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v>retain</x:v>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substantive_inconsistency</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str">
        <x:f>Setup!$B$2</x:f>
        <x:v>TEST_PRIMARY</x:v>
      </x:c>
      <x:c r="F68" s="6" t="str">
        <x:f>IF(Setup!$B$4="","",Setup!$B$4)</x:f>
      </x:c>
      <x:c r="G68" s="6" t="str">
        <x:f>IFERROR(INDEX('C_jama.2019.4755'!$G$2:$G$6,MATCH("2019::jama.2019.4755::C005",'C_jama.2019.4755'!$A$2:$A$6,0)),"CHECK KEY")</x:f>
        <x:v>PRIMARY READY</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c>
      <x:c r="L68" s="6" t="str">
        <x:f>IF(Setup!$B$6="primary","",IFERROR(IF(INDEX('Primary_snapshot'!$C$2:$C$72,MATCH(C68,'Primary_snapshot'!$A$2:$A$72,0))="","",INDEX('Primary_snapshot'!$C$2:$C$72,MATCH(C68,'Primary_snapshot'!$A$2:$A$72,0))),"SNAPSHOT MISSING"))</x:f>
      </x:c>
      <x:c r="M68" s="6" t="str">
        <x:f>IF(Setup!$B$6="primary","",IFERROR(IF(INDEX('Primary_snapshot'!$D$2:$D$72,MATCH(C68,'Primary_snapshot'!$A$2:$A$72,0))="","",INDEX('Primary_snapshot'!$D$2:$D$72,MATCH(C68,'Primary_snapshot'!$A$2:$A$72,0))),"SNAPSHOT MISSING"))</x:f>
      </x:c>
      <x:c r="N68" s="6" t="str">
        <x:f>IF(Setup!$B$6="primary","",IFERROR(IF(INDEX('Primary_snapshot'!$E$2:$E$72,MATCH(C68,'Primary_snapshot'!$A$2:$A$72,0))="","",INDEX('Primary_snapshot'!$E$2:$E$72,MATCH(C68,'Primary_snapshot'!$A$2:$A$72,0))),"SNAPSHOT MISSING"))</x:f>
      </x:c>
      <x:c r="O68" s="6" t="str">
        <x:f>IF(Setup!$B$6="primary","",IFERROR(IF(INDEX('Primary_snapshot'!$F$2:$F$72,MATCH(C68,'Primary_snapshot'!$A$2:$A$72,0))="","",INDEX('Primary_snapshot'!$F$2:$F$72,MATCH(C68,'Primary_snapshot'!$A$2:$A$72,0))),"SNAPSHOT MISSING"))</x:f>
      </x:c>
      <x:c r="P68" s="6" t="str">
        <x:f>IF(Setup!$B$6="primary","",IFERROR(IF(INDEX('Primary_snapshot'!$G$2:$G$72,MATCH(C68,'Primary_snapshot'!$A$2:$A$72,0))="","",INDEX('Primary_snapshot'!$G$2:$G$72,MATCH(C68,'Primary_snapshot'!$A$2:$A$72,0))),"SNAPSHOT MISSING"))</x:f>
      </x:c>
      <x:c r="Q68" s="6" t="str">
        <x:f>IF(Setup!$B$6="primary","",IFERROR(IF(INDEX('Primary_snapshot'!$H$2:$H$72,MATCH(C68,'Primary_snapshot'!$A$2:$A$72,0))="","",INDEX('Primary_snapshot'!$H$2:$H$72,MATCH(C68,'Primary_snapshot'!$A$2:$A$72,0))),"SNAPSHOT MISSING"))</x:f>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v>retain</x:v>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substantive_inconsistency</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str">
        <x:f>Setup!$B$2</x:f>
        <x:v>TEST_PRIMARY</x:v>
      </x:c>
      <x:c r="F69" s="3" t="str">
        <x:f>IF(Setup!$B$4="","",Setup!$B$4)</x:f>
      </x:c>
      <x:c r="G69" s="3" t="str">
        <x:f>IFERROR(INDEX('C_jama.2019.7505'!$G$2:$G$5,MATCH("2019::jama.2019.7505::C001",'C_jama.2019.7505'!$A$2:$A$5,0)),"CHECK KEY")</x:f>
        <x:v>PRIMARY READY</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c>
      <x:c r="L69" s="3" t="str">
        <x:f>IF(Setup!$B$6="primary","",IFERROR(IF(INDEX('Primary_snapshot'!$C$2:$C$72,MATCH(C69,'Primary_snapshot'!$A$2:$A$72,0))="","",INDEX('Primary_snapshot'!$C$2:$C$72,MATCH(C69,'Primary_snapshot'!$A$2:$A$72,0))),"SNAPSHOT MISSING"))</x:f>
      </x:c>
      <x:c r="M69" s="3" t="str">
        <x:f>IF(Setup!$B$6="primary","",IFERROR(IF(INDEX('Primary_snapshot'!$D$2:$D$72,MATCH(C69,'Primary_snapshot'!$A$2:$A$72,0))="","",INDEX('Primary_snapshot'!$D$2:$D$72,MATCH(C69,'Primary_snapshot'!$A$2:$A$72,0))),"SNAPSHOT MISSING"))</x:f>
      </x:c>
      <x:c r="N69" s="3" t="str">
        <x:f>IF(Setup!$B$6="primary","",IFERROR(IF(INDEX('Primary_snapshot'!$E$2:$E$72,MATCH(C69,'Primary_snapshot'!$A$2:$A$72,0))="","",INDEX('Primary_snapshot'!$E$2:$E$72,MATCH(C69,'Primary_snapshot'!$A$2:$A$72,0))),"SNAPSHOT MISSING"))</x:f>
      </x:c>
      <x:c r="O69" s="3" t="str">
        <x:f>IF(Setup!$B$6="primary","",IFERROR(IF(INDEX('Primary_snapshot'!$F$2:$F$72,MATCH(C69,'Primary_snapshot'!$A$2:$A$72,0))="","",INDEX('Primary_snapshot'!$F$2:$F$72,MATCH(C69,'Primary_snapshot'!$A$2:$A$72,0))),"SNAPSHOT MISSING"))</x:f>
      </x:c>
      <x:c r="P69" s="3" t="str">
        <x:f>IF(Setup!$B$6="primary","",IFERROR(IF(INDEX('Primary_snapshot'!$G$2:$G$72,MATCH(C69,'Primary_snapshot'!$A$2:$A$72,0))="","",INDEX('Primary_snapshot'!$G$2:$G$72,MATCH(C69,'Primary_snapshot'!$A$2:$A$72,0))),"SNAPSHOT MISSING"))</x:f>
      </x:c>
      <x:c r="Q69" s="3" t="str">
        <x:f>IF(Setup!$B$6="primary","",IFERROR(IF(INDEX('Primary_snapshot'!$H$2:$H$72,MATCH(C69,'Primary_snapshot'!$A$2:$A$72,0))="","",INDEX('Primary_snapshot'!$H$2:$H$72,MATCH(C69,'Primary_snapshot'!$A$2:$A$72,0))),"SNAPSHOT MISSING"))</x:f>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v>retain</x:v>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substantive_inconsistency</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str">
        <x:f>Setup!$B$2</x:f>
        <x:v>TEST_PRIMARY</x:v>
      </x:c>
      <x:c r="F70" s="6" t="str">
        <x:f>IF(Setup!$B$4="","",Setup!$B$4)</x:f>
      </x:c>
      <x:c r="G70" s="6" t="str">
        <x:f>IFERROR(INDEX('C_jama.2019.7505'!$G$2:$G$5,MATCH("2019::jama.2019.7505::C002",'C_jama.2019.7505'!$A$2:$A$5,0)),"CHECK KEY")</x:f>
        <x:v>PRIMARY READY</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c>
      <x:c r="L70" s="6" t="str">
        <x:f>IF(Setup!$B$6="primary","",IFERROR(IF(INDEX('Primary_snapshot'!$C$2:$C$72,MATCH(C70,'Primary_snapshot'!$A$2:$A$72,0))="","",INDEX('Primary_snapshot'!$C$2:$C$72,MATCH(C70,'Primary_snapshot'!$A$2:$A$72,0))),"SNAPSHOT MISSING"))</x:f>
      </x:c>
      <x:c r="M70" s="6" t="str">
        <x:f>IF(Setup!$B$6="primary","",IFERROR(IF(INDEX('Primary_snapshot'!$D$2:$D$72,MATCH(C70,'Primary_snapshot'!$A$2:$A$72,0))="","",INDEX('Primary_snapshot'!$D$2:$D$72,MATCH(C70,'Primary_snapshot'!$A$2:$A$72,0))),"SNAPSHOT MISSING"))</x:f>
      </x:c>
      <x:c r="N70" s="6" t="str">
        <x:f>IF(Setup!$B$6="primary","",IFERROR(IF(INDEX('Primary_snapshot'!$E$2:$E$72,MATCH(C70,'Primary_snapshot'!$A$2:$A$72,0))="","",INDEX('Primary_snapshot'!$E$2:$E$72,MATCH(C70,'Primary_snapshot'!$A$2:$A$72,0))),"SNAPSHOT MISSING"))</x:f>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c>
      <x:c r="Q70" s="6" t="str">
        <x:f>IF(Setup!$B$6="primary","",IFERROR(IF(INDEX('Primary_snapshot'!$H$2:$H$72,MATCH(C70,'Primary_snapshot'!$A$2:$A$72,0))="","",INDEX('Primary_snapshot'!$H$2:$H$72,MATCH(C70,'Primary_snapshot'!$A$2:$A$72,0))),"SNAPSHOT MISSING"))</x:f>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v>retain</x:v>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confirmed_issue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substantive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str">
        <x:f>Setup!$B$2</x:f>
        <x:v>TEST_PRIMARY</x:v>
      </x:c>
      <x:c r="F71" s="3" t="str">
        <x:f>IF(Setup!$B$4="","",Setup!$B$4)</x:f>
      </x:c>
      <x:c r="G71" s="3" t="str">
        <x:f>IFERROR(INDEX('C_jama.2019.7505'!$G$2:$G$5,MATCH("2019::jama.2019.7505::C003",'C_jama.2019.7505'!$A$2:$A$5,0)),"CHECK KEY")</x:f>
        <x:v>PRIMARY READY</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c>
      <x:c r="L71" s="3" t="str">
        <x:f>IF(Setup!$B$6="primary","",IFERROR(IF(INDEX('Primary_snapshot'!$C$2:$C$72,MATCH(C71,'Primary_snapshot'!$A$2:$A$72,0))="","",INDEX('Primary_snapshot'!$C$2:$C$72,MATCH(C71,'Primary_snapshot'!$A$2:$A$72,0))),"SNAPSHOT MISSING"))</x:f>
      </x:c>
      <x:c r="M71" s="3" t="str">
        <x:f>IF(Setup!$B$6="primary","",IFERROR(IF(INDEX('Primary_snapshot'!$D$2:$D$72,MATCH(C71,'Primary_snapshot'!$A$2:$A$72,0))="","",INDEX('Primary_snapshot'!$D$2:$D$72,MATCH(C71,'Primary_snapshot'!$A$2:$A$72,0))),"SNAPSHOT MISSING"))</x:f>
      </x:c>
      <x:c r="N71" s="3" t="str">
        <x:f>IF(Setup!$B$6="primary","",IFERROR(IF(INDEX('Primary_snapshot'!$E$2:$E$72,MATCH(C71,'Primary_snapshot'!$A$2:$A$72,0))="","",INDEX('Primary_snapshot'!$E$2:$E$72,MATCH(C71,'Primary_snapshot'!$A$2:$A$72,0))),"SNAPSHOT MISSING"))</x:f>
      </x:c>
      <x:c r="O71" s="3" t="str">
        <x:f>IF(Setup!$B$6="primary","",IFERROR(IF(INDEX('Primary_snapshot'!$F$2:$F$72,MATCH(C71,'Primary_snapshot'!$A$2:$A$72,0))="","",INDEX('Primary_snapshot'!$F$2:$F$72,MATCH(C71,'Primary_snapshot'!$A$2:$A$72,0))),"SNAPSHOT MISSING"))</x:f>
      </x:c>
      <x:c r="P71" s="3" t="str">
        <x:f>IF(Setup!$B$6="primary","",IFERROR(IF(INDEX('Primary_snapshot'!$G$2:$G$72,MATCH(C71,'Primary_snapshot'!$A$2:$A$72,0))="","",INDEX('Primary_snapshot'!$G$2:$G$72,MATCH(C71,'Primary_snapshot'!$A$2:$A$72,0))),"SNAPSHOT MISSING"))</x:f>
      </x:c>
      <x:c r="Q71" s="3" t="str">
        <x:f>IF(Setup!$B$6="primary","",IFERROR(IF(INDEX('Primary_snapshot'!$H$2:$H$72,MATCH(C71,'Primary_snapshot'!$A$2:$A$72,0))="","",INDEX('Primary_snapshot'!$H$2:$H$72,MATCH(C71,'Primary_snapshot'!$A$2:$A$72,0))),"SNAPSHOT MISSING"))</x:f>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v>retain</x:v>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substantive_inconsistency</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str">
        <x:f>Setup!$B$2</x:f>
        <x:v>TEST_PRIMARY</x:v>
      </x:c>
      <x:c r="F72" s="6" t="str">
        <x:f>IF(Setup!$B$4="","",Setup!$B$4)</x:f>
      </x:c>
      <x:c r="G72" s="6" t="str">
        <x:f>IFERROR(INDEX('C_jama.2019.7505'!$G$2:$G$5,MATCH("2019::jama.2019.7505::C004",'C_jama.2019.7505'!$A$2:$A$5,0)),"CHECK KEY")</x:f>
        <x:v>PRIMARY READY</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c>
      <x:c r="L72" s="6" t="str">
        <x:f>IF(Setup!$B$6="primary","",IFERROR(IF(INDEX('Primary_snapshot'!$C$2:$C$72,MATCH(C72,'Primary_snapshot'!$A$2:$A$72,0))="","",INDEX('Primary_snapshot'!$C$2:$C$72,MATCH(C72,'Primary_snapshot'!$A$2:$A$72,0))),"SNAPSHOT MISSING"))</x:f>
      </x:c>
      <x:c r="M72" s="6" t="str">
        <x:f>IF(Setup!$B$6="primary","",IFERROR(IF(INDEX('Primary_snapshot'!$D$2:$D$72,MATCH(C72,'Primary_snapshot'!$A$2:$A$72,0))="","",INDEX('Primary_snapshot'!$D$2:$D$72,MATCH(C72,'Primary_snapshot'!$A$2:$A$72,0))),"SNAPSHOT MISSING"))</x:f>
      </x:c>
      <x:c r="N72" s="6" t="str">
        <x:f>IF(Setup!$B$6="primary","",IFERROR(IF(INDEX('Primary_snapshot'!$E$2:$E$72,MATCH(C72,'Primary_snapshot'!$A$2:$A$72,0))="","",INDEX('Primary_snapshot'!$E$2:$E$72,MATCH(C72,'Primary_snapshot'!$A$2:$A$72,0))),"SNAPSHOT MISSING"))</x:f>
      </x:c>
      <x:c r="O72" s="6" t="str">
        <x:f>IF(Setup!$B$6="primary","",IFERROR(IF(INDEX('Primary_snapshot'!$F$2:$F$72,MATCH(C72,'Primary_snapshot'!$A$2:$A$72,0))="","",INDEX('Primary_snapshot'!$F$2:$F$72,MATCH(C72,'Primary_snapshot'!$A$2:$A$72,0))),"SNAPSHOT MISSING"))</x:f>
      </x:c>
      <x:c r="P72" s="6" t="str">
        <x:f>IF(Setup!$B$6="primary","",IFERROR(IF(INDEX('Primary_snapshot'!$G$2:$G$72,MATCH(C72,'Primary_snapshot'!$A$2:$A$72,0))="","",INDEX('Primary_snapshot'!$G$2:$G$72,MATCH(C72,'Primary_snapshot'!$A$2:$A$72,0))),"SNAPSHOT MISSING"))</x:f>
      </x:c>
      <x:c r="Q72" s="6" t="str">
        <x:f>IF(Setup!$B$6="primary","",IFERROR(IF(INDEX('Primary_snapshot'!$H$2:$H$72,MATCH(C72,'Primary_snapshot'!$A$2:$A$72,0))="","",INDEX('Primary_snapshot'!$H$2:$H$72,MATCH(C72,'Primary_snapshot'!$A$2:$A$72,0))),"SNAPSHOT MISSING"))</x:f>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v>retain</x:v>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substantive_inconsistency</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ce374ff37e534255"/>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PRIMARY READY</x:v>
      </x:c>
      <x:c r="H2" s="6" t="str">
        <x:f>IF(INDEX('Decisions'!$S$2:$S$72,MATCH(C2,'Decisions'!$C$2:$C$72,0))="","",INDEX('Decisions'!$S$2:$S$72,MATCH(C2,'Decisions'!$C$2:$C$72,0)))</x:f>
        <x:v>retain</x:v>
      </x:c>
      <x:c r="I2" s="6" t="str">
        <x:f>IF(INDEX('Decisions'!$Y$2:$Y$72,MATCH(C2,'Decisions'!$C$2:$C$72,0))="","",INDEX('Decisions'!$Y$2:$Y$72,MATCH(C2,'Decisions'!$C$2:$C$72,0)))</x:f>
        <x:v>not_applicable</x:v>
      </x:c>
      <x:c r="J2" s="6" t="str">
        <x:f>IF(INDEX('Decisions'!$X$2:$X$72,MATCH(C2,'Decisions'!$C$2:$C$72,0))="","",INDEX('Decisions'!$X$2:$X$72,MATCH(C2,'Decisions'!$C$2:$C$72,0)))</x:f>
        <x:v>substantive_inconsistency</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PRIMARY READY</x:v>
      </x:c>
      <x:c r="H3" s="3" t="str">
        <x:f>IF(INDEX('Decisions'!$S$2:$S$72,MATCH(C3,'Decisions'!$C$2:$C$72,0))="","",INDEX('Decisions'!$S$2:$S$72,MATCH(C3,'Decisions'!$C$2:$C$72,0)))</x:f>
        <x:v>retain</x:v>
      </x:c>
      <x:c r="I3" s="3" t="str">
        <x:f>IF(INDEX('Decisions'!$Y$2:$Y$72,MATCH(C3,'Decisions'!$C$2:$C$72,0))="","",INDEX('Decisions'!$Y$2:$Y$72,MATCH(C3,'Decisions'!$C$2:$C$72,0)))</x:f>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PRIMARY READY</x:v>
      </x:c>
      <x:c r="H4" s="6" t="str">
        <x:f>IF(INDEX('Decisions'!$S$2:$S$72,MATCH(C4,'Decisions'!$C$2:$C$72,0))="","",INDEX('Decisions'!$S$2:$S$72,MATCH(C4,'Decisions'!$C$2:$C$72,0)))</x:f>
        <x:v>retain</x:v>
      </x:c>
      <x:c r="I4" s="6" t="str">
        <x:f>IF(INDEX('Decisions'!$Y$2:$Y$72,MATCH(C4,'Decisions'!$C$2:$C$72,0))="","",INDEX('Decisions'!$Y$2:$Y$72,MATCH(C4,'Decisions'!$C$2:$C$72,0)))</x:f>
        <x:v>not_applicable</x:v>
      </x:c>
      <x:c r="J4" s="6" t="str">
        <x:f>IF(INDEX('Decisions'!$X$2:$X$72,MATCH(C4,'Decisions'!$C$2:$C$72,0))="","",INDEX('Decisions'!$X$2:$X$72,MATCH(C4,'Decisions'!$C$2:$C$72,0)))</x:f>
        <x:v>substantive_inconsistency</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PRIMARY READY</x:v>
      </x:c>
      <x:c r="H5" s="3" t="str">
        <x:f>IF(INDEX('Decisions'!$S$2:$S$72,MATCH(C5,'Decisions'!$C$2:$C$72,0))="","",INDEX('Decisions'!$S$2:$S$72,MATCH(C5,'Decisions'!$C$2:$C$72,0)))</x:f>
        <x:v>retain</x:v>
      </x:c>
      <x:c r="I5" s="3" t="str">
        <x:f>IF(INDEX('Decisions'!$Y$2:$Y$72,MATCH(C5,'Decisions'!$C$2:$C$72,0))="","",INDEX('Decisions'!$Y$2:$Y$72,MATCH(C5,'Decisions'!$C$2:$C$72,0)))</x:f>
        <x:v>not_applicable</x:v>
      </x:c>
      <x:c r="J5" s="3" t="str">
        <x:f>IF(INDEX('Decisions'!$X$2:$X$72,MATCH(C5,'Decisions'!$C$2:$C$72,0))="","",INDEX('Decisions'!$X$2:$X$72,MATCH(C5,'Decisions'!$C$2:$C$72,0)))</x:f>
        <x:v>substantive_inconsistency</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PRIMARY READY</x:v>
      </x:c>
      <x:c r="H6" s="6" t="str">
        <x:f>IF(INDEX('Decisions'!$S$2:$S$72,MATCH(C6,'Decisions'!$C$2:$C$72,0))="","",INDEX('Decisions'!$S$2:$S$72,MATCH(C6,'Decisions'!$C$2:$C$72,0)))</x:f>
        <x:v>retain</x:v>
      </x:c>
      <x:c r="I6" s="6" t="str">
        <x:f>IF(INDEX('Decisions'!$Y$2:$Y$72,MATCH(C6,'Decisions'!$C$2:$C$72,0))="","",INDEX('Decisions'!$Y$2:$Y$72,MATCH(C6,'Decisions'!$C$2:$C$72,0)))</x:f>
        <x:v>not_applicable</x:v>
      </x:c>
      <x:c r="J6" s="6" t="str">
        <x:f>IF(INDEX('Decisions'!$X$2:$X$72,MATCH(C6,'Decisions'!$C$2:$C$72,0))="","",INDEX('Decisions'!$X$2:$X$72,MATCH(C6,'Decisions'!$C$2:$C$72,0)))</x:f>
        <x:v>substantive_inconsistency</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PRIMARY READY</x:v>
      </x:c>
      <x:c r="H7" s="3" t="str">
        <x:f>IF(INDEX('Decisions'!$S$2:$S$72,MATCH(C7,'Decisions'!$C$2:$C$72,0))="","",INDEX('Decisions'!$S$2:$S$72,MATCH(C7,'Decisions'!$C$2:$C$72,0)))</x:f>
        <x:v>retain</x:v>
      </x:c>
      <x:c r="I7" s="3" t="str">
        <x:f>IF(INDEX('Decisions'!$Y$2:$Y$72,MATCH(C7,'Decisions'!$C$2:$C$72,0))="","",INDEX('Decisions'!$Y$2:$Y$72,MATCH(C7,'Decisions'!$C$2:$C$72,0)))</x:f>
        <x:v>not_applicable</x:v>
      </x:c>
      <x:c r="J7" s="3" t="str">
        <x:f>IF(INDEX('Decisions'!$X$2:$X$72,MATCH(C7,'Decisions'!$C$2:$C$72,0))="","",INDEX('Decisions'!$X$2:$X$72,MATCH(C7,'Decisions'!$C$2:$C$72,0)))</x:f>
        <x:v>substantive_inconsistency</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PRIMARY READY</x:v>
      </x:c>
      <x:c r="H8" s="6" t="str">
        <x:f>IF(INDEX('Decisions'!$S$2:$S$72,MATCH(C8,'Decisions'!$C$2:$C$72,0))="","",INDEX('Decisions'!$S$2:$S$72,MATCH(C8,'Decisions'!$C$2:$C$72,0)))</x:f>
        <x:v>retain</x:v>
      </x:c>
      <x:c r="I8" s="6" t="str">
        <x:f>IF(INDEX('Decisions'!$Y$2:$Y$72,MATCH(C8,'Decisions'!$C$2:$C$72,0))="","",INDEX('Decisions'!$Y$2:$Y$72,MATCH(C8,'Decisions'!$C$2:$C$72,0)))</x:f>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PRIMARY READY</x:v>
      </x:c>
      <x:c r="H9" s="3" t="str">
        <x:f>IF(INDEX('Decisions'!$S$2:$S$72,MATCH(C9,'Decisions'!$C$2:$C$72,0))="","",INDEX('Decisions'!$S$2:$S$72,MATCH(C9,'Decisions'!$C$2:$C$72,0)))</x:f>
        <x:v>retain</x:v>
      </x:c>
      <x:c r="I9" s="3" t="str">
        <x:f>IF(INDEX('Decisions'!$Y$2:$Y$72,MATCH(C9,'Decisions'!$C$2:$C$72,0))="","",INDEX('Decisions'!$Y$2:$Y$72,MATCH(C9,'Decisions'!$C$2:$C$72,0)))</x:f>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PRIMARY READY</x:v>
      </x:c>
      <x:c r="H10" s="6" t="str">
        <x:f>IF(INDEX('Decisions'!$S$2:$S$72,MATCH(C10,'Decisions'!$C$2:$C$72,0))="","",INDEX('Decisions'!$S$2:$S$72,MATCH(C10,'Decisions'!$C$2:$C$72,0)))</x:f>
        <x:v>retain</x:v>
      </x:c>
      <x:c r="I10" s="6" t="str">
        <x:f>IF(INDEX('Decisions'!$Y$2:$Y$72,MATCH(C10,'Decisions'!$C$2:$C$72,0))="","",INDEX('Decisions'!$Y$2:$Y$72,MATCH(C10,'Decisions'!$C$2:$C$72,0)))</x:f>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PRIMARY READY</x:v>
      </x:c>
      <x:c r="H11" s="3" t="str">
        <x:f>IF(INDEX('Decisions'!$S$2:$S$72,MATCH(C11,'Decisions'!$C$2:$C$72,0))="","",INDEX('Decisions'!$S$2:$S$72,MATCH(C11,'Decisions'!$C$2:$C$72,0)))</x:f>
        <x:v>retain</x:v>
      </x:c>
      <x:c r="I11" s="3" t="str">
        <x:f>IF(INDEX('Decisions'!$Y$2:$Y$72,MATCH(C11,'Decisions'!$C$2:$C$72,0))="","",INDEX('Decisions'!$Y$2:$Y$72,MATCH(C11,'Decisions'!$C$2:$C$72,0)))</x:f>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PRIMARY READY</x:v>
      </x:c>
      <x:c r="H12" s="6" t="str">
        <x:f>IF(INDEX('Decisions'!$S$2:$S$72,MATCH(C12,'Decisions'!$C$2:$C$72,0))="","",INDEX('Decisions'!$S$2:$S$72,MATCH(C12,'Decisions'!$C$2:$C$72,0)))</x:f>
        <x:v>retain</x:v>
      </x:c>
      <x:c r="I12" s="6" t="str">
        <x:f>IF(INDEX('Decisions'!$Y$2:$Y$72,MATCH(C12,'Decisions'!$C$2:$C$72,0))="","",INDEX('Decisions'!$Y$2:$Y$72,MATCH(C12,'Decisions'!$C$2:$C$72,0)))</x:f>
        <x:v>not_applicable</x:v>
      </x:c>
      <x:c r="J12" s="6" t="str">
        <x:f>IF(INDEX('Decisions'!$X$2:$X$72,MATCH(C12,'Decisions'!$C$2:$C$72,0))="","",INDEX('Decisions'!$X$2:$X$72,MATCH(C12,'Decisions'!$C$2:$C$72,0)))</x:f>
        <x:v>substantive_inconsistency</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PRIMARY READY</x:v>
      </x:c>
      <x:c r="H13" s="3" t="str">
        <x:f>IF(INDEX('Decisions'!$S$2:$S$72,MATCH(C13,'Decisions'!$C$2:$C$72,0))="","",INDEX('Decisions'!$S$2:$S$72,MATCH(C13,'Decisions'!$C$2:$C$72,0)))</x:f>
        <x:v>retain</x:v>
      </x:c>
      <x:c r="I13" s="3" t="str">
        <x:f>IF(INDEX('Decisions'!$Y$2:$Y$72,MATCH(C13,'Decisions'!$C$2:$C$72,0))="","",INDEX('Decisions'!$Y$2:$Y$72,MATCH(C13,'Decisions'!$C$2:$C$72,0)))</x:f>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PRIMARY READY</x:v>
      </x:c>
      <x:c r="H14" s="6" t="str">
        <x:f>IF(INDEX('Decisions'!$S$2:$S$72,MATCH(C14,'Decisions'!$C$2:$C$72,0))="","",INDEX('Decisions'!$S$2:$S$72,MATCH(C14,'Decisions'!$C$2:$C$72,0)))</x:f>
        <x:v>retain</x:v>
      </x:c>
      <x:c r="I14" s="6" t="str">
        <x:f>IF(INDEX('Decisions'!$Y$2:$Y$72,MATCH(C14,'Decisions'!$C$2:$C$72,0))="","",INDEX('Decisions'!$Y$2:$Y$72,MATCH(C14,'Decisions'!$C$2:$C$72,0)))</x:f>
        <x:v>not_applicable</x:v>
      </x:c>
      <x:c r="J14" s="6" t="str">
        <x:f>IF(INDEX('Decisions'!$X$2:$X$72,MATCH(C14,'Decisions'!$C$2:$C$72,0))="","",INDEX('Decisions'!$X$2:$X$72,MATCH(C14,'Decisions'!$C$2:$C$72,0)))</x:f>
        <x:v>substantive_inconsistency</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PRIMARY READY</x:v>
      </x:c>
      <x:c r="H15" s="3" t="str">
        <x:f>IF(INDEX('Decisions'!$S$2:$S$72,MATCH(C15,'Decisions'!$C$2:$C$72,0))="","",INDEX('Decisions'!$S$2:$S$72,MATCH(C15,'Decisions'!$C$2:$C$72,0)))</x:f>
        <x:v>retain</x:v>
      </x:c>
      <x:c r="I15" s="3" t="str">
        <x:f>IF(INDEX('Decisions'!$Y$2:$Y$72,MATCH(C15,'Decisions'!$C$2:$C$72,0))="","",INDEX('Decisions'!$Y$2:$Y$72,MATCH(C15,'Decisions'!$C$2:$C$72,0)))</x:f>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PRIMARY READY</x:v>
      </x:c>
      <x:c r="H16" s="6" t="str">
        <x:f>IF(INDEX('Decisions'!$S$2:$S$72,MATCH(C16,'Decisions'!$C$2:$C$72,0))="","",INDEX('Decisions'!$S$2:$S$72,MATCH(C16,'Decisions'!$C$2:$C$72,0)))</x:f>
        <x:v>retain</x:v>
      </x:c>
      <x:c r="I16" s="6" t="str">
        <x:f>IF(INDEX('Decisions'!$Y$2:$Y$72,MATCH(C16,'Decisions'!$C$2:$C$72,0))="","",INDEX('Decisions'!$Y$2:$Y$72,MATCH(C16,'Decisions'!$C$2:$C$72,0)))</x:f>
        <x:v>not_applicable</x:v>
      </x:c>
      <x:c r="J16" s="6" t="str">
        <x:f>IF(INDEX('Decisions'!$X$2:$X$72,MATCH(C16,'Decisions'!$C$2:$C$72,0))="","",INDEX('Decisions'!$X$2:$X$72,MATCH(C16,'Decisions'!$C$2:$C$72,0)))</x:f>
        <x:v>substantive_inconsistency</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PRIMARY READY</x:v>
      </x:c>
      <x:c r="H17" s="3" t="str">
        <x:f>IF(INDEX('Decisions'!$S$2:$S$72,MATCH(C17,'Decisions'!$C$2:$C$72,0))="","",INDEX('Decisions'!$S$2:$S$72,MATCH(C17,'Decisions'!$C$2:$C$72,0)))</x:f>
        <x:v>retain</x:v>
      </x:c>
      <x:c r="I17" s="3" t="str">
        <x:f>IF(INDEX('Decisions'!$Y$2:$Y$72,MATCH(C17,'Decisions'!$C$2:$C$72,0))="","",INDEX('Decisions'!$Y$2:$Y$72,MATCH(C17,'Decisions'!$C$2:$C$72,0)))</x:f>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PRIMARY READY</x:v>
      </x:c>
      <x:c r="H18" s="6" t="str">
        <x:f>IF(INDEX('Decisions'!$S$2:$S$72,MATCH(C18,'Decisions'!$C$2:$C$72,0))="","",INDEX('Decisions'!$S$2:$S$72,MATCH(C18,'Decisions'!$C$2:$C$72,0)))</x:f>
        <x:v>retain</x:v>
      </x:c>
      <x:c r="I18" s="6" t="str">
        <x:f>IF(INDEX('Decisions'!$Y$2:$Y$72,MATCH(C18,'Decisions'!$C$2:$C$72,0))="","",INDEX('Decisions'!$Y$2:$Y$72,MATCH(C18,'Decisions'!$C$2:$C$72,0)))</x:f>
        <x:v>not_applicable</x:v>
      </x:c>
      <x:c r="J18" s="6" t="str">
        <x:f>IF(INDEX('Decisions'!$X$2:$X$72,MATCH(C18,'Decisions'!$C$2:$C$72,0))="","",INDEX('Decisions'!$X$2:$X$72,MATCH(C18,'Decisions'!$C$2:$C$72,0)))</x:f>
        <x:v>substantive_inconsistency</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PRIMARY READY</x:v>
      </x:c>
      <x:c r="H19" s="3" t="str">
        <x:f>IF(INDEX('Decisions'!$S$2:$S$72,MATCH(C19,'Decisions'!$C$2:$C$72,0))="","",INDEX('Decisions'!$S$2:$S$72,MATCH(C19,'Decisions'!$C$2:$C$72,0)))</x:f>
        <x:v>retain</x:v>
      </x:c>
      <x:c r="I19" s="3" t="str">
        <x:f>IF(INDEX('Decisions'!$Y$2:$Y$72,MATCH(C19,'Decisions'!$C$2:$C$72,0))="","",INDEX('Decisions'!$Y$2:$Y$72,MATCH(C19,'Decisions'!$C$2:$C$72,0)))</x:f>
        <x:v>not_applicable</x:v>
      </x:c>
      <x:c r="J19" s="3" t="str">
        <x:f>IF(INDEX('Decisions'!$X$2:$X$72,MATCH(C19,'Decisions'!$C$2:$C$72,0))="","",INDEX('Decisions'!$X$2:$X$72,MATCH(C19,'Decisions'!$C$2:$C$72,0)))</x:f>
        <x:v>substantive_inconsistency</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98657a67646d4b74"/>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234b2b2d25754c5d"/>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