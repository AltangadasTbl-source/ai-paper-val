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cb20ff367f4c2d" /></Relationships>
</file>

<file path=xl/workbook.xml><?xml version="1.0" encoding="utf-8"?>
<x:workbook xmlns:x="http://schemas.openxmlformats.org/spreadsheetml/2006/main">
  <x:sheets>
    <x:sheet xmlns:r="http://schemas.openxmlformats.org/officeDocument/2006/relationships" name="Start" sheetId="1" r:id="R39080eef909646af"/>
    <x:sheet xmlns:r="http://schemas.openxmlformats.org/officeDocument/2006/relationships" name="Setup" sheetId="2" r:id="R1e16678a06ad4603"/>
    <x:sheet xmlns:r="http://schemas.openxmlformats.org/officeDocument/2006/relationships" name="Checks" sheetId="3" r:id="Rda669b0754a34412"/>
    <x:sheet xmlns:r="http://schemas.openxmlformats.org/officeDocument/2006/relationships" name="Papers" sheetId="4" r:id="R3fa60bba9aeb442c"/>
    <x:sheet xmlns:r="http://schemas.openxmlformats.org/officeDocument/2006/relationships" name="C_jama.2024.0318" sheetId="5" r:id="R024fb15970ab4a33"/>
    <x:sheet xmlns:r="http://schemas.openxmlformats.org/officeDocument/2006/relationships" name="C_jama.2024.0572" sheetId="6" r:id="Rbef67c4a99ea4e39"/>
    <x:sheet xmlns:r="http://schemas.openxmlformats.org/officeDocument/2006/relationships" name="C_jama.2024.11057" sheetId="7" r:id="R012e27fd1f664c1a"/>
    <x:sheet xmlns:r="http://schemas.openxmlformats.org/officeDocument/2006/relationships" name="C_jama.2024.12829" sheetId="8" r:id="Racefc8ad3cbb4744"/>
    <x:sheet xmlns:r="http://schemas.openxmlformats.org/officeDocument/2006/relationships" name="C_jama.2024.19585" sheetId="9" r:id="R5f27cef133684817"/>
    <x:sheet xmlns:r="http://schemas.openxmlformats.org/officeDocument/2006/relationships" name="C_jama.2024.2302" sheetId="10" r:id="Rb52cc04931b44df8"/>
    <x:sheet xmlns:r="http://schemas.openxmlformats.org/officeDocument/2006/relationships" name="C_jama.2024.23898" sheetId="11" r:id="R35dbe947e6f14d14"/>
    <x:sheet xmlns:r="http://schemas.openxmlformats.org/officeDocument/2006/relationships" name="C_jama.2024.25786" sheetId="12" r:id="Rbb109e941c0641e3"/>
    <x:sheet xmlns:r="http://schemas.openxmlformats.org/officeDocument/2006/relationships" name="C_jama.2024.4183" sheetId="13" r:id="Rf6c7a006997a41d2"/>
    <x:sheet xmlns:r="http://schemas.openxmlformats.org/officeDocument/2006/relationships" name="C_jama.2024.6063" sheetId="14" r:id="R73eeb20a733b4816"/>
    <x:sheet xmlns:r="http://schemas.openxmlformats.org/officeDocument/2006/relationships" name="Primary_snapshot" sheetId="15" r:id="Rbe2763ec81134575"/>
    <x:sheet xmlns:r="http://schemas.openxmlformats.org/officeDocument/2006/relationships" name="Decisions" sheetId="16" r:id="Rb95ba10c53224394"/>
    <x:sheet xmlns:r="http://schemas.openxmlformats.org/officeDocument/2006/relationships" name="Paper_counts" sheetId="17" r:id="R710b1be650e54664"/>
    <x:sheet xmlns:r="http://schemas.openxmlformats.org/officeDocument/2006/relationships" name="Protocol_plan_table" sheetId="18" r:id="R85ea14c6080c4a45"/>
    <x:sheet xmlns:r="http://schemas.openxmlformats.org/officeDocument/2006/relationships" name="Candidates" sheetId="19" r:id="Recd5a7a2f3574f56"/>
    <x:sheet xmlns:r="http://schemas.openxmlformats.org/officeDocument/2006/relationships" name="Evidence" sheetId="20" r:id="R20e40f8084984b75"/>
    <x:sheet xmlns:r="http://schemas.openxmlformats.org/officeDocument/2006/relationships" name="Links" sheetId="21" r:id="R7bd6ee22cca44340"/>
    <x:sheet xmlns:r="http://schemas.openxmlformats.org/officeDocument/2006/relationships" name="Relations" sheetId="22" r:id="Rc65cfd142591423b"/>
    <x:sheet xmlns:r="http://schemas.openxmlformats.org/officeDocument/2006/relationships" name="Codebook" sheetId="23" r:id="Rf5cc969e63a04cfe"/>
    <x:sheet xmlns:r="http://schemas.openxmlformats.org/officeDocument/2006/relationships" name="Manifest" sheetId="24" r:id="R0642d33801824598"/>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d195b5e13544af" /><Relationship Type="http://schemas.openxmlformats.org/officeDocument/2006/relationships/theme" Target="/xl/theme/theme1.xml" Id="R9a67643f0c8f41b4" /><Relationship Type="http://schemas.microsoft.com/office/2022/11/relationships/FeaturePropertyBag" Target="/xl/featurePropertyBag/featurePropertyBag.xml" Id="Raa2d733ff86e427b" /><Relationship Type="http://schemas.openxmlformats.org/officeDocument/2006/relationships/sharedStrings" Target="/xl/sharedStrings.xml" Id="R2e24034b0b304bac" /><Relationship Type="http://schemas.openxmlformats.org/officeDocument/2006/relationships/worksheet" Target="/xl/worksheets/sheet1.xml" Id="R39080eef909646af" /><Relationship Type="http://schemas.openxmlformats.org/officeDocument/2006/relationships/worksheet" Target="/xl/worksheets/sheet2.xml" Id="R1e16678a06ad4603" /><Relationship Type="http://schemas.openxmlformats.org/officeDocument/2006/relationships/worksheet" Target="/xl/worksheets/sheet3.xml" Id="Rda669b0754a34412" /><Relationship Type="http://schemas.openxmlformats.org/officeDocument/2006/relationships/worksheet" Target="/xl/worksheets/sheet4.xml" Id="R3fa60bba9aeb442c" /><Relationship Type="http://schemas.openxmlformats.org/officeDocument/2006/relationships/worksheet" Target="/xl/worksheets/sheet5.xml" Id="R024fb15970ab4a33" /><Relationship Type="http://schemas.openxmlformats.org/officeDocument/2006/relationships/worksheet" Target="/xl/worksheets/sheet6.xml" Id="Rbef67c4a99ea4e39" /><Relationship Type="http://schemas.openxmlformats.org/officeDocument/2006/relationships/worksheet" Target="/xl/worksheets/sheet7.xml" Id="R012e27fd1f664c1a" /><Relationship Type="http://schemas.openxmlformats.org/officeDocument/2006/relationships/worksheet" Target="/xl/worksheets/sheet8.xml" Id="Racefc8ad3cbb4744" /><Relationship Type="http://schemas.openxmlformats.org/officeDocument/2006/relationships/worksheet" Target="/xl/worksheets/sheet9.xml" Id="R5f27cef133684817" /><Relationship Type="http://schemas.openxmlformats.org/officeDocument/2006/relationships/worksheet" Target="/xl/worksheets/sheet10.xml" Id="Rb52cc04931b44df8" /><Relationship Type="http://schemas.openxmlformats.org/officeDocument/2006/relationships/worksheet" Target="/xl/worksheets/sheet11.xml" Id="R35dbe947e6f14d14" /><Relationship Type="http://schemas.openxmlformats.org/officeDocument/2006/relationships/worksheet" Target="/xl/worksheets/sheet12.xml" Id="Rbb109e941c0641e3" /><Relationship Type="http://schemas.openxmlformats.org/officeDocument/2006/relationships/worksheet" Target="/xl/worksheets/sheet13.xml" Id="Rf6c7a006997a41d2" /><Relationship Type="http://schemas.openxmlformats.org/officeDocument/2006/relationships/worksheet" Target="/xl/worksheets/sheet14.xml" Id="R73eeb20a733b4816" /><Relationship Type="http://schemas.openxmlformats.org/officeDocument/2006/relationships/worksheet" Target="/xl/worksheets/sheet15.xml" Id="Rbe2763ec81134575" /><Relationship Type="http://schemas.openxmlformats.org/officeDocument/2006/relationships/worksheet" Target="/xl/worksheets/sheet16.xml" Id="Rb95ba10c53224394" /><Relationship Type="http://schemas.openxmlformats.org/officeDocument/2006/relationships/worksheet" Target="/xl/worksheets/sheet17.xml" Id="R710b1be650e54664" /><Relationship Type="http://schemas.openxmlformats.org/officeDocument/2006/relationships/worksheet" Target="/xl/worksheets/sheet18.xml" Id="R85ea14c6080c4a45" /><Relationship Type="http://schemas.openxmlformats.org/officeDocument/2006/relationships/worksheet" Target="/xl/worksheets/sheet19.xml" Id="Recd5a7a2f3574f56" /><Relationship Type="http://schemas.openxmlformats.org/officeDocument/2006/relationships/worksheet" Target="/xl/worksheets/sheet20.xml" Id="R20e40f8084984b75" /><Relationship Type="http://schemas.openxmlformats.org/officeDocument/2006/relationships/worksheet" Target="/xl/worksheets/sheet21.xml" Id="R7bd6ee22cca44340" /><Relationship Type="http://schemas.openxmlformats.org/officeDocument/2006/relationships/worksheet" Target="/xl/worksheets/sheet22.xml" Id="Rc65cfd142591423b" /><Relationship Type="http://schemas.openxmlformats.org/officeDocument/2006/relationships/worksheet" Target="/xl/worksheets/sheet23.xml" Id="Rf5cc969e63a04cfe" /><Relationship Type="http://schemas.openxmlformats.org/officeDocument/2006/relationships/worksheet" Target="/xl/worksheets/sheet24.xml" Id="R0642d338018245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2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9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9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365"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117ebd3a2b1f4d90" /></Relationships>
</file>

<file path=xl/worksheets/_rels/sheet6.xml.rels>&#65279;<?xml version="1.0" encoding="utf-8"?><Relationships xmlns="http://schemas.openxmlformats.org/package/2006/relationships"><Relationship Type="http://schemas.openxmlformats.org/officeDocument/2006/relationships/table" Target="/xl/tables/table2.xml" Id="R7347469b5a2b425d" /></Relationships>
</file>

<file path=xl/worksheets/_rels/sheet7.xml.rels>&#65279;<?xml version="1.0" encoding="utf-8"?><Relationships xmlns="http://schemas.openxmlformats.org/package/2006/relationships"><Relationship Type="http://schemas.openxmlformats.org/officeDocument/2006/relationships/table" Target="/xl/tables/table3.xml" Id="Rcf6c4175c5bd434e" /></Relationships>
</file>

<file path=xl/worksheets/_rels/sheet8.xml.rels>&#65279;<?xml version="1.0" encoding="utf-8"?><Relationships xmlns="http://schemas.openxmlformats.org/package/2006/relationships"><Relationship Type="http://schemas.openxmlformats.org/officeDocument/2006/relationships/table" Target="/xl/tables/table4.xml" Id="R1e40ce6bc87c44e7" /></Relationships>
</file>

<file path=xl/worksheets/_rels/sheet9.xml.rels>&#65279;<?xml version="1.0" encoding="utf-8"?><Relationships xmlns="http://schemas.openxmlformats.org/package/2006/relationships"><Relationship Type="http://schemas.openxmlformats.org/officeDocument/2006/relationships/table" Target="/xl/tables/table5.xml" Id="Rc9f1ea5be5e94c64" /></Relationships>
</file>

<file path=xl/worksheets/_rels/sheet10.xml.rels>&#65279;<?xml version="1.0" encoding="utf-8"?><Relationships xmlns="http://schemas.openxmlformats.org/package/2006/relationships"><Relationship Type="http://schemas.openxmlformats.org/officeDocument/2006/relationships/table" Target="/xl/tables/table6.xml" Id="R258e890740954a87" /></Relationships>
</file>

<file path=xl/worksheets/_rels/sheet11.xml.rels>&#65279;<?xml version="1.0" encoding="utf-8"?><Relationships xmlns="http://schemas.openxmlformats.org/package/2006/relationships"><Relationship Type="http://schemas.openxmlformats.org/officeDocument/2006/relationships/table" Target="/xl/tables/table7.xml" Id="Rfa5de1e2d010485b" /></Relationships>
</file>

<file path=xl/worksheets/_rels/sheet12.xml.rels>&#65279;<?xml version="1.0" encoding="utf-8"?><Relationships xmlns="http://schemas.openxmlformats.org/package/2006/relationships"><Relationship Type="http://schemas.openxmlformats.org/officeDocument/2006/relationships/table" Target="/xl/tables/table8.xml" Id="R665e1b17b2924d28" /></Relationships>
</file>

<file path=xl/worksheets/_rels/sheet13.xml.rels>&#65279;<?xml version="1.0" encoding="utf-8"?><Relationships xmlns="http://schemas.openxmlformats.org/package/2006/relationships"><Relationship Type="http://schemas.openxmlformats.org/officeDocument/2006/relationships/table" Target="/xl/tables/table9.xml" Id="R5df9805c6d4f4bfa" /></Relationships>
</file>

<file path=xl/worksheets/_rels/sheet14.xml.rels>&#65279;<?xml version="1.0" encoding="utf-8"?><Relationships xmlns="http://schemas.openxmlformats.org/package/2006/relationships"><Relationship Type="http://schemas.openxmlformats.org/officeDocument/2006/relationships/table" Target="/xl/tables/table10.xml" Id="R1370382365a84dc1" /></Relationships>
</file>

<file path=xl/worksheets/_rels/sheet16.xml.rels>&#65279;<?xml version="1.0" encoding="utf-8"?><Relationships xmlns="http://schemas.openxmlformats.org/package/2006/relationships"><Relationship Type="http://schemas.openxmlformats.org/officeDocument/2006/relationships/table" Target="/xl/tables/table11.xml" Id="R29fa0fd798734428" /></Relationships>
</file>

<file path=xl/worksheets/_rels/sheet19.xml.rels>&#65279;<?xml version="1.0" encoding="utf-8"?><Relationships xmlns="http://schemas.openxmlformats.org/package/2006/relationships"><Relationship Type="http://schemas.openxmlformats.org/officeDocument/2006/relationships/table" Target="/xl/tables/table12.xml" Id="R37c5b8ea24a041e1" /></Relationships>
</file>

<file path=xl/worksheets/_rels/sheet20.xml.rels>&#65279;<?xml version="1.0" encoding="utf-8"?><Relationships xmlns="http://schemas.openxmlformats.org/package/2006/relationships"><Relationship Type="http://schemas.openxmlformats.org/officeDocument/2006/relationships/table" Target="/xl/tables/table13.xml" Id="R78453bcca8c04965"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v.2.1.5.3 | 2024 | Excel-only review | 91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A1:L92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91</x:v>
      </x:c>
    </x:row>
    <x:row r="4" ht="44" customHeight="1">
      <x:c r="A4" s="6" t="str">
        <x:v>Primary ready rows</x:v>
      </x:c>
      <x:c r="B4" s="6" t="n">
        <x:f>COUNTIF(Decisions!G2:G92,"PRIMARY READY")</x:f>
        <x:v>0</x:v>
      </x:c>
    </x:row>
    <x:row r="5" ht="44" customHeight="1">
      <x:c r="A5" s="3" t="str">
        <x:v>Final ready rows</x:v>
      </x:c>
      <x:c r="B5" s="3" t="n">
        <x:f>COUNTIF(Decisions!G2:G92,"FINAL READY")</x:f>
        <x:v>0</x:v>
      </x:c>
    </x:row>
    <x:row r="6" ht="44" customHeight="1">
      <x:c r="A6" s="6" t="str">
        <x:v>Other / unfinished rows</x:v>
      </x:c>
      <x:c r="B6" s="6" t="n">
        <x:f>B3-B4-B5</x:f>
        <x:v>91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jama.2024.0318</x:v>
      </x:c>
      <x:c r="B2" s="6" t="str">
        <x:v>C_jama.2024.0318</x:v>
      </x:c>
      <x:c r="C2" s="6" t="n">
        <x:v>6</x:v>
      </x:c>
    </x:row>
    <x:row r="3" ht="36" customHeight="1">
      <x:c r="A3" s="3" t="str">
        <x:v>jama.2024.0572</x:v>
      </x:c>
      <x:c r="B3" s="3" t="str">
        <x:v>C_jama.2024.0572</x:v>
      </x:c>
      <x:c r="C3" s="3" t="n">
        <x:v>2</x:v>
      </x:c>
    </x:row>
    <x:row r="4" ht="36" customHeight="1">
      <x:c r="A4" s="6" t="str">
        <x:v>jama.2024.11057</x:v>
      </x:c>
      <x:c r="B4" s="6" t="str">
        <x:v>C_jama.2024.11057</x:v>
      </x:c>
      <x:c r="C4" s="6" t="n">
        <x:v>3</x:v>
      </x:c>
    </x:row>
    <x:row r="5" ht="36" customHeight="1">
      <x:c r="A5" s="3" t="str">
        <x:v>jama.2024.12829</x:v>
      </x:c>
      <x:c r="B5" s="3" t="str">
        <x:v>C_jama.2024.12829</x:v>
      </x:c>
      <x:c r="C5" s="3" t="n">
        <x:v>17</x:v>
      </x:c>
    </x:row>
    <x:row r="6" ht="36" customHeight="1">
      <x:c r="A6" s="6" t="str">
        <x:v>jama.2024.19585</x:v>
      </x:c>
      <x:c r="B6" s="6" t="str">
        <x:v>C_jama.2024.19585</x:v>
      </x:c>
      <x:c r="C6" s="6" t="n">
        <x:v>3</x:v>
      </x:c>
    </x:row>
    <x:row r="7" ht="36" customHeight="1">
      <x:c r="A7" s="3" t="str">
        <x:v>jama.2024.2302</x:v>
      </x:c>
      <x:c r="B7" s="3" t="str">
        <x:v>C_jama.2024.2302</x:v>
      </x:c>
      <x:c r="C7" s="3" t="n">
        <x:v>5</x:v>
      </x:c>
    </x:row>
    <x:row r="8" ht="36" customHeight="1">
      <x:c r="A8" s="6" t="str">
        <x:v>jama.2024.23898</x:v>
      </x:c>
      <x:c r="B8" s="6" t="str">
        <x:v>C_jama.2024.23898</x:v>
      </x:c>
      <x:c r="C8" s="6" t="n">
        <x:v>7</x:v>
      </x:c>
    </x:row>
    <x:row r="9" ht="36" customHeight="1">
      <x:c r="A9" s="3" t="str">
        <x:v>jama.2024.25786</x:v>
      </x:c>
      <x:c r="B9" s="3" t="str">
        <x:v>C_jama.2024.25786</x:v>
      </x:c>
      <x:c r="C9" s="3" t="n">
        <x:v>8</x:v>
      </x:c>
    </x:row>
    <x:row r="10" ht="36" customHeight="1">
      <x:c r="A10" s="6" t="str">
        <x:v>jama.2024.4183</x:v>
      </x:c>
      <x:c r="B10" s="6" t="str">
        <x:v>C_jama.2024.4183</x:v>
      </x:c>
      <x:c r="C10" s="6" t="n">
        <x:v>24</x:v>
      </x:c>
    </x:row>
    <x:row r="11" ht="36" customHeight="1">
      <x:c r="A11" s="3" t="str">
        <x:v>jama.2024.6063</x:v>
      </x:c>
      <x:c r="B11" s="3" t="str">
        <x:v>C_jama.2024.6063</x:v>
      </x:c>
      <x:c r="C11" s="3" t="n">
        <x:v>16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2024::jama.2024.0318::C001</x:v>
      </x:c>
      <x:c r="B2" s="6" t="str">
        <x:v>Figure 1 allocation branches exceed the displayed available cohort by 10 participants</x:v>
      </x:c>
      <x:c r="C2" s="6" t="str">
        <x:v>jama_courcoulas_2024_oi_240004_1721756962.76052.pdf — PDF p. 3, Figure 1 and adjoining Results text.</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2024::jama.2024.0318::C002</x:v>
      </x:c>
      <x:c r="B3" s="3" t="str">
        <x:v>Supplement eTable 2 mixes year-12 headings with year-7 quantitative footnote definitions</x:v>
      </x:c>
      <x:c r="C3" s="3" t="str">
        <x:v>joi240004supp2_prod_1721756962.82552.pdf — PDF p. 15, eTable 2 title, columns, rows, and footnotes a-b; joi240004supp2_prod_1721756962.82552.pdf — PDF p. 16, footnotes c-e; jama_courcoulas_2024_oi_240004_1721756962.76052.pdf — PDF p. 3, Results pointer to eTable 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2024::jama.2024.0318::C003</x:v>
      </x:c>
      <x:c r="B4" s="6" t="str">
        <x:v>Matched 12-year HbA1c result has incompatible printed P values</x:v>
      </x:c>
      <x:c r="C4" s="6" t="str">
        <x:v>jama_courcoulas_2024_oi_240004_1721756962.76052.pdf — PDF p. 1, Abstract Results; jama_courcoulas_2024_oi_240004_1721756962.76052.pdf — PDF p. 3, Results; joi240004supp2_prod_1721756962.82552.pdf — PDF p. 15, eTable 2 HbA1c row.</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2024::jama.2024.0318::C004</x:v>
      </x:c>
      <x:c r="B5" s="3" t="str">
        <x:v>The same year-7 glycemic outcome is labeled as both HbA1c less than or equal to 6.5% and HbA1c below 6.5%</x:v>
      </x:c>
      <x:c r="C5" s="3" t="str">
        <x:v>jama_courcoulas_2024_oi_240004_1721756962.76052.pdf — PDF p. 4, Results narrative; jama_courcoulas_2024_oi_240004_1721756962.76052.pdf — PDF p. 6, Table 2; joi240004supp2_prod_1721756962.82552.pdf — PDF p. 4, binary-analysis context.</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2024::jama.2024.0318::C005</x:v>
      </x:c>
      <x:c r="B6" s="6" t="str">
        <x:v>Abstract percentage for four deaths does not reconcile with displayed group counts and denominators</x:v>
      </x:c>
      <x:c r="C6" s="6" t="str">
        <x:v>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2024::jama.2024.0318::C006</x:v>
      </x:c>
      <x:c r="B7" s="3" t="str">
        <x:v>The same exploratory BMI subgroup boundary is labeled as both 35 or greater and greater than 35</x:v>
      </x:c>
      <x:c r="C7" s="3" t="str">
        <x:v>jama_courcoulas_2024_oi_240004_1721756962.76052.pdf — PDF p. 7, Results narrative; joi240004supp2_prod_1721756962.82552.pdf — PDF p. 13, eFigure 6 title, legends, and explanatory text.</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sheetData>
  <x:conditionalFormatting sqref="G2:G7">
    <x:cfRule type="expression" dxfId="0" priority="1">
      <x:formula>AND(G2&lt;&gt;"PRIMARY READY",G2&lt;&gt;"FINAL READY")</x:formula>
    </x:cfRule>
  </x:conditionalFormatting>
  <x:conditionalFormatting sqref="N2:Q7">
    <x:cfRule type="expression" dxfId="1" priority="2">
      <x:formula>Setup!$B$6="primary"</x:formula>
    </x:cfRule>
  </x:conditionalFormatting>
  <x:conditionalFormatting sqref="H2:H7">
    <x:cfRule type="expression" dxfId="2" priority="3">
      <x:formula>NOT(AND(OR($D2="retain",$D2=""),$E2="statistical_results"))</x:formula>
    </x:cfRule>
  </x:conditionalFormatting>
  <x:conditionalFormatting sqref="I2:I7">
    <x:cfRule type="expression" dxfId="3" priority="4">
      <x:formula>NOT(AND(OR($D2="retain",$D2=""),$E2="statistical_results"))</x:formula>
    </x:cfRule>
  </x:conditionalFormatting>
  <x:conditionalFormatting sqref="J2:J7">
    <x:cfRule type="expression" dxfId="4" priority="5">
      <x:formula>NOT(AND(OR($D2="retain",$D2=""),$E2="statistical_results"))</x:formula>
    </x:cfRule>
  </x:conditionalFormatting>
  <x:conditionalFormatting sqref="K2:K7">
    <x:cfRule type="expression" dxfId="5" priority="6">
      <x:formula>NOT(AND(OR($D2="retain",$D2=""),OR($E2="report_internal_inconsistency",$E2="plan_material")))</x:formula>
    </x:cfRule>
  </x:conditionalFormatting>
  <x:conditionalFormatting sqref="L2:L7">
    <x:cfRule type="expression" dxfId="6"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117ebd3a2b1f4d90"/>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2024::jama.2024.0572::C001</x:v>
      </x:c>
      <x:c r="B2" s="6" t="str">
        <x:v>ITT Figure 2 mRS distributions conflict with ITT eTable 2 threshold counts</x:v>
      </x:c>
      <x:c r="C2" s="6" t="str">
        <x:v>Main article Figure 2 — PDF p. 7; Supplement 5 eTable 2 — PDF p. 38; main Results population statement — PDF p. 4; and Supplement 5 eFigure 3 — PDF p. 8.</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IDs",IF(OR(COUNTIF($A$2:$A$3,A2)&lt;&gt;1,COUNTIF(Decisions!$C$2:$C$92,A2)&lt;&gt;1),"CHECK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2024::jama.2024.0572::C002</x:v>
      </x:c>
      <x:c r="B3" s="3" t="str">
        <x:v>aRR is labeled as an absolute risk reduction but displayed and interpreted as a ratio</x:v>
      </x:c>
      <x:c r="C3" s="3" t="str">
        <x:v>Main narrative — PDF p. 6; Main Table 2 — PDF p. 7; Main Table 3 — PDF p. 9; trial SAP — PDF p. 17; secondary-analysis SAP — PDF p. 4; and Supplement 5 eTable 7 — PDF p. 43.</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IDs",IF(OR(COUNTIF($A$2:$A$3,A3)&lt;&gt;1,COUNTIF(Decisions!$C$2:$C$92,A3)&lt;&gt;1),"CHECK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sheetData>
  <x:conditionalFormatting sqref="G2:G3">
    <x:cfRule type="expression" dxfId="7" priority="1">
      <x:formula>AND(G2&lt;&gt;"PRIMARY READY",G2&lt;&gt;"FINAL READY")</x:formula>
    </x:cfRule>
  </x:conditionalFormatting>
  <x:conditionalFormatting sqref="N2:Q3">
    <x:cfRule type="expression" dxfId="8" priority="2">
      <x:formula>Setup!$B$6="primary"</x:formula>
    </x:cfRule>
  </x:conditionalFormatting>
  <x:conditionalFormatting sqref="H2:H3">
    <x:cfRule type="expression" dxfId="9" priority="3">
      <x:formula>NOT(AND(OR($D2="retain",$D2=""),$E2="statistical_results"))</x:formula>
    </x:cfRule>
  </x:conditionalFormatting>
  <x:conditionalFormatting sqref="I2:I3">
    <x:cfRule type="expression" dxfId="10" priority="4">
      <x:formula>NOT(AND(OR($D2="retain",$D2=""),$E2="statistical_results"))</x:formula>
    </x:cfRule>
  </x:conditionalFormatting>
  <x:conditionalFormatting sqref="J2:J3">
    <x:cfRule type="expression" dxfId="11" priority="5">
      <x:formula>NOT(AND(OR($D2="retain",$D2=""),$E2="statistical_results"))</x:formula>
    </x:cfRule>
  </x:conditionalFormatting>
  <x:conditionalFormatting sqref="K2:K3">
    <x:cfRule type="expression" dxfId="12" priority="6">
      <x:formula>NOT(AND(OR($D2="retain",$D2=""),OR($E2="report_internal_inconsistency",$E2="plan_material")))</x:formula>
    </x:cfRule>
  </x:conditionalFormatting>
  <x:conditionalFormatting sqref="L2:L3">
    <x:cfRule type="expression" dxfId="13" priority="7">
      <x:formula>NOT(AND(OR($D2="retain",$D2=""),$E2="protocol_report"))</x:formula>
    </x:cfRule>
  </x:conditionalFormatting>
  <x:dataValidations count="10">
    <x:dataValidation type="list" sqref="D2:D3">
      <x:formula1>"retain,exclude,discuss"</x:formula1>
    </x:dataValidation>
    <x:dataValidation type="list" sqref="E2:E3">
      <x:formula1>"statistical_results,report_internal_inconsistency,plan_material,protocol_report"</x:formula1>
    </x:dataValidation>
    <x:dataValidation type="list" sqref="F2:F3">
      <x:formula1>"no,primary_done,checker_done"</x:formula1>
    </x:dataValidation>
    <x:dataValidation type="list" sqref="H2:H3">
      <x:formula1>"confirmed_issue,probable_issue,not_issue,indeterminate,not_applicable"</x:formula1>
    </x:dataValidation>
    <x:dataValidation type="list" sqref="I2:I3">
      <x:formula1>"substantive,minor_presentation,indeterminate,not_applicable"</x:formula1>
    </x:dataValidation>
    <x:dataValidation type="list" sqref="J2:J3">
      <x:formula1>"direct,possible,unlikely,unknown,not_applicable"</x:formula1>
    </x:dataValidation>
    <x:dataValidation type="list" sqref="K2:K3">
      <x:formula1>"substantive_inconsistency,minor_presentation,non_inconsistency,indeterminate,not_applicable"</x:formula1>
    </x:dataValidation>
    <x:dataValidation type="list" sqref="L2:L3">
      <x:formula1>"substantive_difference,minor_presentation,version_timing,non_inconsistency,indeterminate,not_applicable"</x:formula1>
    </x:dataValidation>
    <x:dataValidation type="list" sqref="N2:N3">
      <x:formula1>"agree,agree_clarification,disagree,unable"</x:formula1>
    </x:dataValidation>
    <x:dataValidation type="list" sqref="P2:P3">
      <x:formula1>"pending,resolved"</x:formula1>
    </x:dataValidation>
  </x:dataValidations>
  <x:pageMargins left="0.7" right="0.7" top="0.75" bottom="0.75" header="0.3" footer="0.3"/>
  <x:tableParts count="1">
    <x:tablePart xmlns:r="http://schemas.openxmlformats.org/officeDocument/2006/relationships" r:id="R7347469b5a2b425d"/>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2024::jama.2024.11057::C001</x:v>
      </x:c>
      <x:c r="B2" s="6" t="str">
        <x:v>Quit-date pre-message duration conflicts between the main article and both support documents</x:v>
      </x:c>
      <x:c r="C2" s="6" t="str">
        <x:v>jama_graham_2024_oi_240078_1739900423.19074.pdf — PDF p. 3; joi240078supp1_prod_1739900423.22574.pdf — PDF p. 2; joi240078supp2_prod_1739900423.24574.pdf — PDF p. 2.</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2024::jama.2024.11057::C002</x:v>
      </x:c>
      <x:c r="B3" s="3" t="str">
        <x:v>eTable 4 labels motivation and confidence as median (IQR) but prints single parenthetical dispersion values</x:v>
      </x:c>
      <x:c r="C3" s="3" t="str">
        <x:v>joi240078supp2_prod_1739900423.24574.pdf — PDF p. 12, eTable 4; joi240078supp2_prod_1739900423.24574.pdf — PDF p. 13, scale footnote; jama_graham_2024_oi_240078_1739900423.19074.pdf — PDF p. 4, Table 1 comparator.</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2024::jama.2024.11057::C003</x:v>
      </x:c>
      <x:c r="B4" s="6" t="str">
        <x:v>eAppendix C prints IPWR once for a result otherwise defined and labelled as IPRW</x:v>
      </x:c>
      <x:c r="C4" s="6" t="str">
        <x:v>joi240078supp2_prod_1739900423.24574.pdf — PDF p. 5, eAppendix C; joi240078supp2_prod_1739900423.24574.pdf — PDF p. 14, eTable 5; jama_graham_2024_oi_240078_1739900423.19074.pdf — PDF p. 4, Statistical Methods.</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sheetData>
  <x:conditionalFormatting sqref="G2:G4">
    <x:cfRule type="expression" dxfId="14" priority="1">
      <x:formula>AND(G2&lt;&gt;"PRIMARY READY",G2&lt;&gt;"FINAL READY")</x:formula>
    </x:cfRule>
  </x:conditionalFormatting>
  <x:conditionalFormatting sqref="N2:Q4">
    <x:cfRule type="expression" dxfId="15" priority="2">
      <x:formula>Setup!$B$6="primary"</x:formula>
    </x:cfRule>
  </x:conditionalFormatting>
  <x:conditionalFormatting sqref="H2:H4">
    <x:cfRule type="expression" dxfId="16" priority="3">
      <x:formula>NOT(AND(OR($D2="retain",$D2=""),$E2="statistical_results"))</x:formula>
    </x:cfRule>
  </x:conditionalFormatting>
  <x:conditionalFormatting sqref="I2:I4">
    <x:cfRule type="expression" dxfId="17" priority="4">
      <x:formula>NOT(AND(OR($D2="retain",$D2=""),$E2="statistical_results"))</x:formula>
    </x:cfRule>
  </x:conditionalFormatting>
  <x:conditionalFormatting sqref="J2:J4">
    <x:cfRule type="expression" dxfId="18" priority="5">
      <x:formula>NOT(AND(OR($D2="retain",$D2=""),$E2="statistical_results"))</x:formula>
    </x:cfRule>
  </x:conditionalFormatting>
  <x:conditionalFormatting sqref="K2:K4">
    <x:cfRule type="expression" dxfId="19" priority="6">
      <x:formula>NOT(AND(OR($D2="retain",$D2=""),OR($E2="report_internal_inconsistency",$E2="plan_material")))</x:formula>
    </x:cfRule>
  </x:conditionalFormatting>
  <x:conditionalFormatting sqref="L2:L4">
    <x:cfRule type="expression" dxfId="20"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cf6c4175c5bd434e"/>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2024::jama.2024.12829::C001</x:v>
      </x:c>
      <x:c r="B2" s="6" t="str">
        <x:v>Balloon-angioplasty female percentage does not reconcile with count and denominator</x:v>
      </x:c>
      <x:c r="C2" s="6" t="str">
        <x:v>DOC-001 Table 1, PDF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IDs",IF(OR(COUNTIF($A$2:$A$18,A2)&lt;&gt;1,COUNTIF(Decisions!$C$2:$C$92,A2)&lt;&gt;1),"CHECK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2024::jama.2024.12829::C002</x:v>
      </x:c>
      <x:c r="B3" s="3" t="str">
        <x:v>Balloon-angioplasty ischemic-stroke percentage is outside ordinary one-decimal rounding</x:v>
      </x:c>
      <x:c r="C3" s="3" t="str">
        <x:v>DOC-001 Table 1, PDF p. 6; DOC-002 Table S1, PDF p. 14</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IDs",IF(OR(COUNTIF($A$2:$A$18,A3)&lt;&gt;1,COUNTIF(Decisions!$C$2:$C$92,A3)&lt;&gt;1),"CHECK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2024::jama.2024.12829::C003</x:v>
      </x:c>
      <x:c r="B4" s="6" t="str">
        <x:v>Table S4 procedure rows use 241 while the column header states 249</x:v>
      </x:c>
      <x:c r="C4" s="6" t="str">
        <x:v>DOC-002 Table S4, PDF p. 17</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IDs",IF(OR(COUNTIF($A$2:$A$18,A4)&lt;&gt;1,COUNTIF(Decisions!$C$2:$C$92,A4)&lt;&gt;1),"CHECK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2024::jama.2024.12829::C004</x:v>
      </x:c>
      <x:c r="B5" s="3" t="str">
        <x:v>Table S6 BA 9 (3.9) conflicts with its displayed denominator 249</x:v>
      </x:c>
      <x:c r="C5" s="3" t="str">
        <x:v>DOC-002 Table S6, PDF p. 19</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IDs",IF(OR(COUNTIF($A$2:$A$18,A5)&lt;&gt;1,COUNTIF(Decisions!$C$2:$C$92,A5)&lt;&gt;1),"CHECK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2024::jama.2024.12829::C005</x:v>
      </x:c>
      <x:c r="B6" s="6" t="str">
        <x:v>Table S7 group headers conflict with site totals and displayed site percentages</x:v>
      </x:c>
      <x:c r="C6" s="6" t="str">
        <x:v>DOC-002 Table S7, PDF p. 20; DOC-001 Figure 1, PDF p. 5; DOC-002 Table S10, PDF p. 23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IDs",IF(OR(COUNTIF($A$2:$A$18,A6)&lt;&gt;1,COUNTIF(Decisions!$C$2:$C$92,A6)&lt;&gt;1),"CHECK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2024::jama.2024.12829::C006</x:v>
      </x:c>
      <x:c r="B7" s="3" t="str">
        <x:v>Table S8 per-protocol percentages conflict with headers 249/252</x:v>
      </x:c>
      <x:c r="C7" s="3" t="str">
        <x:v>DOC-002 Table S8, PDF p. 21; DOC-001 Figure 1, PDF p. 5; DOC-002 Table S10, PDF p. 23</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IDs",IF(OR(COUNTIF($A$2:$A$18,A7)&lt;&gt;1,COUNTIF(Decisions!$C$2:$C$92,A7)&lt;&gt;1),"CHECK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2024::jama.2024.12829::C007</x:v>
      </x:c>
      <x:c r="B8" s="6" t="str">
        <x:v>Table S9 as-treated percentages conflict with headers 249/252</x:v>
      </x:c>
      <x:c r="C8" s="6" t="str">
        <x:v>DOC-002 Table S9, PDF p. 22; DOC-002 Table S10, PDF p. 23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IDs",IF(OR(COUNTIF($A$2:$A$18,A8)&lt;&gt;1,COUNTIF(Decisions!$C$2:$C$92,A8)&lt;&gt;1),"CHECK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2024::jama.2024.12829::C008</x:v>
      </x:c>
      <x:c r="B9" s="3" t="str">
        <x:v>Baseline stenosis categories include values outside the stated 70%-99% eligibility range</x:v>
      </x:c>
      <x:c r="C9" s="3" t="str">
        <x:v>DOC-001 eligibility, PDF p. 2; DOC-001 Figure 1, PDF p. 5; DOC-001 Table 1, PDF p. 6</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IDs",IF(OR(COUNTIF($A$2:$A$18,A9)&lt;&gt;1,COUNTIF(Decisions!$C$2:$C$92,A9)&lt;&gt;1),"CHECK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2024::jama.2024.12829::C009</x:v>
      </x:c>
      <x:c r="B10" s="6" t="str">
        <x:v>Thirty-day follow-up tolerance is plus or minus 3 days in the supplement but plus or minus 7 days elsewhere</x:v>
      </x:c>
      <x:c r="C10" s="6" t="str">
        <x:v>DOC-002 study-design graphic, PDF p. 6; DOC-001 schedule, PDF p. 3; DOC-003 schedule, PDF p. 15</x:v>
      </x:c>
      <x:c r="D10" s="7" t="str"/>
      <x:c r="E10" s="7" t="str">
        <x:v>protocol_report</x:v>
      </x:c>
      <x:c r="F10" s="7" t="str">
        <x:v>no</x:v>
      </x:c>
      <x:c r="G10" s="6" t="str">
        <x:f>IFERROR(IF(NOT(OR(Setup!$B$6="primary",Setup!$B$6="checker")),"CHECK STAGE",IF(OR(LEN(TRIM(Setup!$B$2))=0,Setup!$B$2&lt;&gt;TRIM(Setup!$B$2),AND(Setup!$B$6="checker",OR(LEN(TRIM(Setup!$B$4))=0,Setup!$B$4&lt;&gt;TRIM(Setup!$B$4),LOWER(TRIM(Setup!$B$4))=LOWER(TRIM(Setup!$B$2))))),"CHECK REVIEWER IDs",IF(OR(COUNTIF($A$2:$A$18,A10)&lt;&gt;1,COUNTIF(Decisions!$C$2:$C$92,A10)&lt;&gt;1),"CHECK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v>not_applicable</x:v>
      </x:c>
      <x:c r="L10" s="13" t="str">
        <x:f>IF(AND(OR(D10="retain",D10=""),E10="protocol_report"),"","not_applicable")</x:f>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2024::jama.2024.12829::C010</x:v>
      </x:c>
      <x:c r="B11" s="3" t="str">
        <x:v>Protocol V2.0 gives 21-day and 14-day lower bounds for the same stroke criterion</x:v>
      </x:c>
      <x:c r="C11" s="3" t="str">
        <x:v>DOC-003 synopsis, PDF p. 7; DOC-003 body eligibility, PDF p. 21</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IDs",IF(OR(COUNTIF($A$2:$A$18,A11)&lt;&gt;1,COUNTIF(Decisions!$C$2:$C$92,A11)&lt;&gt;1),"CHECK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2024::jama.2024.12829::C011</x:v>
      </x:c>
      <x:c r="B12" s="6" t="str">
        <x:v>BA 3-month aspirin percentage does not reconcile with count and displayed arm denominator</x:v>
      </x:c>
      <x:c r="C12" s="6" t="str">
        <x:v>DOC-002 Table S3, PDF p. 16</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IDs",IF(OR(COUNTIF($A$2:$A$18,A12)&lt;&gt;1,COUNTIF(Decisions!$C$2:$C$92,A12)&lt;&gt;1),"CHECK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2024::jama.2024.12829::C012</x:v>
      </x:c>
      <x:c r="B13" s="3" t="str">
        <x:v>Figure S1 repeats “2nd meeting” for three chronologically distinct meetings</x:v>
      </x:c>
      <x:c r="C13" s="3" t="str">
        <x:v>DOC-002 Figure S1, PDF p. 10</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IDs",IF(OR(COUNTIF($A$2:$A$18,A13)&lt;&gt;1,COUNTIF(Decisions!$C$2:$C$92,A13)&lt;&gt;1),"CHECK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2024::jama.2024.12829::C013</x:v>
      </x:c>
      <x:c r="B14" s="6" t="str">
        <x:v>Recurring-visit sentence ambiguously repeats visit numbers 9 and 11</x:v>
      </x:c>
      <x:c r="C14" s="6" t="str">
        <x:v>DOC-003 Protocol V2.0 paragraph, PDF p. 35; DOC-003 Protocol V2.3 paragraph, PDF p. 96; DOC-003 schedule, PDF p. 15</x:v>
      </x:c>
      <x:c r="D14" s="7" t="str"/>
      <x:c r="E14" s="7" t="str">
        <x:v>plan_material</x:v>
      </x:c>
      <x:c r="F14" s="7" t="str">
        <x:v>no</x:v>
      </x:c>
      <x:c r="G14" s="6" t="str">
        <x:f>IFERROR(IF(NOT(OR(Setup!$B$6="primary",Setup!$B$6="checker")),"CHECK STAGE",IF(OR(LEN(TRIM(Setup!$B$2))=0,Setup!$B$2&lt;&gt;TRIM(Setup!$B$2),AND(Setup!$B$6="checker",OR(LEN(TRIM(Setup!$B$4))=0,Setup!$B$4&lt;&gt;TRIM(Setup!$B$4),LOWER(TRIM(Setup!$B$4))=LOWER(TRIM(Setup!$B$2))))),"CHECK REVIEWER IDs",IF(OR(COUNTIF($A$2:$A$18,A14)&lt;&gt;1,COUNTIF(Decisions!$C$2:$C$92,A14)&lt;&gt;1),"CHECK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2024::jama.2024.12829::C014</x:v>
      </x:c>
      <x:c r="B15" s="3" t="str">
        <x:v>Table S9 BA 8 (3.3) does not round from either supplied ATS or displayed denominator</x:v>
      </x:c>
      <x:c r="C15" s="3" t="str">
        <x:v>DOC-002 Table S9, PDF p. 22; DOC-002 Table S10, PDF p. 23</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IDs",IF(OR(COUNTIF($A$2:$A$18,A15)&lt;&gt;1,COUNTIF(Decisions!$C$2:$C$92,A15)&lt;&gt;1),"CHECK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2024::jama.2024.12829::C015</x:v>
      </x:c>
      <x:c r="B16" s="6" t="str">
        <x:v>Narrative assigns all 11 pre-analysis exclusions to consent withdrawal while Figure 1 assigns only 10</x:v>
      </x:c>
      <x:c r="C16" s="6" t="str">
        <x:v>DOC-001 narrative, PDF p. 4; DOC-001 Figure 1, PDF p. 5</x:v>
      </x:c>
      <x:c r="D16" s="7" t="str"/>
      <x:c r="E16" s="7" t="str">
        <x:v>report_internal_inconsistency</x:v>
      </x:c>
      <x:c r="F16" s="7" t="str">
        <x:v>no</x:v>
      </x:c>
      <x:c r="G16" s="6" t="str">
        <x:f>IFERROR(IF(NOT(OR(Setup!$B$6="primary",Setup!$B$6="checker")),"CHECK STAGE",IF(OR(LEN(TRIM(Setup!$B$2))=0,Setup!$B$2&lt;&gt;TRIM(Setup!$B$2),AND(Setup!$B$6="checker",OR(LEN(TRIM(Setup!$B$4))=0,Setup!$B$4&lt;&gt;TRIM(Setup!$B$4),LOWER(TRIM(Setup!$B$4))=LOWER(TRIM(Setup!$B$2))))),"CHECK REVIEWER IDs",IF(OR(COUNTIF($A$2:$A$18,A16)&lt;&gt;1,COUNTIF(Decisions!$C$2:$C$92,A16)&lt;&gt;1),"CHECK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v>not_applicable</x:v>
      </x:c>
      <x:c r="I16" s="7" t="str">
        <x:f>IF(AND(OR(D16="retain",D16=""),E16="statistical_results"),"","not_applicable")</x:f>
        <x:v>not_applicable</x:v>
      </x:c>
      <x:c r="J16" s="13" t="str">
        <x:f>IF(AND(OR(D16="retain",D16=""),E16="statistical_results"),"","not_applicable")</x:f>
        <x:v>not_applicable</x:v>
      </x:c>
      <x:c r="K16" s="7" t="str">
        <x:f>IF(AND(OR(D16="retain",D16=""),OR(E16="report_internal_inconsistency",E16="plan_material")),"","not_applicable")</x:f>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2024::jama.2024.12829::C016</x:v>
      </x:c>
      <x:c r="B17" s="3" t="str">
        <x:v>Table S6 BA event count 9 conflicts with the matched primary-analysis count 11</x:v>
      </x:c>
      <x:c r="C17" s="3" t="str">
        <x:v>DOC-001 primary narrative, PDF p. 5; DOC-001 Table 2, PDF p. 8; DOC-002 Table S6, PDF p. 19</x:v>
      </x:c>
      <x:c r="D17" s="7" t="str"/>
      <x:c r="E17" s="7" t="str">
        <x:v>report_internal_inconsistency</x:v>
      </x:c>
      <x:c r="F17" s="7" t="str">
        <x:v>no</x:v>
      </x:c>
      <x:c r="G17" s="3" t="str">
        <x:f>IFERROR(IF(NOT(OR(Setup!$B$6="primary",Setup!$B$6="checker")),"CHECK STAGE",IF(OR(LEN(TRIM(Setup!$B$2))=0,Setup!$B$2&lt;&gt;TRIM(Setup!$B$2),AND(Setup!$B$6="checker",OR(LEN(TRIM(Setup!$B$4))=0,Setup!$B$4&lt;&gt;TRIM(Setup!$B$4),LOWER(TRIM(Setup!$B$4))=LOWER(TRIM(Setup!$B$2))))),"CHECK REVIEWER IDs",IF(OR(COUNTIF($A$2:$A$18,A17)&lt;&gt;1,COUNTIF(Decisions!$C$2:$C$92,A17)&lt;&gt;1),"CHECK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v>not_applicable</x:v>
      </x:c>
      <x:c r="I17" s="7" t="str">
        <x:f>IF(AND(OR(D17="retain",D17=""),E17="statistical_results"),"","not_applicable")</x:f>
        <x:v>not_applicable</x:v>
      </x:c>
      <x:c r="J17" s="13" t="str">
        <x:f>IF(AND(OR(D17="retain",D17=""),E17="statistical_results"),"","not_applicable")</x:f>
        <x:v>not_applicable</x:v>
      </x:c>
      <x:c r="K17" s="7" t="str">
        <x:f>IF(AND(OR(D17="retain",D17=""),OR(E17="report_internal_inconsistency",E17="plan_material")),"","not_applicable")</x:f>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row r="18" ht="92" customHeight="1">
      <x:c r="A18" s="6" t="str">
        <x:v>2024::jama.2024.12829::C017</x:v>
      </x:c>
      <x:c r="B18" s="6" t="str">
        <x:v>One-year incidence-difference point estimate lies outside its confidence interval</x:v>
      </x:c>
      <x:c r="C18" s="6" t="str">
        <x:v>DOC-001 Table 2, PDF p. 8</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IDs",IF(OR(COUNTIF($A$2:$A$18,A18)&lt;&gt;1,COUNTIF(Decisions!$C$2:$C$92,A18)&lt;&gt;1),"CHECK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$92,A18)&lt;&gt;1,INDEX('Primary_snapshot'!$J$2:$J$92,MATCH(A18,'Primary_snapshot'!$A$2:$A$92,0))&lt;&gt;"primary_done",INDEX('Primary_snapshot'!$K$2:$K$92,MATCH(A18,'Primary_snapshot'!$A$2:$A$92,0))&lt;&gt;Setup!$B$2,INDEX('Primary_snapshot'!$B$2:$B$92,MATCH(A18,'Primary_snapshot'!$A$2:$A$92,0))="NOT FROZEN",INDEX('Primary_snapshot'!$C$2:$C$92,MATCH(A18,'Primary_snapshot'!$A$2:$A$92,0))="NOT FROZEN",INDEX('Primary_snapshot'!$D$2:$D$92,MATCH(A18,'Primary_snapshot'!$A$2:$A$92,0))="NOT FROZEN",INDEX('Primary_snapshot'!$E$2:$E$92,MATCH(A18,'Primary_snapshot'!$A$2:$A$92,0))="NOT FROZEN",INDEX('Primary_snapshot'!$F$2:$F$92,MATCH(A18,'Primary_snapshot'!$A$2:$A$92,0))="NOT FROZEN",INDEX('Primary_snapshot'!$G$2:$G$92,MATCH(A18,'Primary_snapshot'!$A$2:$A$92,0))="NOT FROZEN",INDEX('Primary_snapshot'!$H$2:$H$92,MATCH(A18,'Primary_snapshot'!$A$2:$A$92,0))="NOT FROZEN",INDEX('Primary_snapshot'!$I$2:$I$92,MATCH(A18,'Primary_snapshot'!$A$2:$A$92,0))="NOT FROZEN",INDEX('Primary_snapshot'!$J$2:$J$92,MATCH(A18,'Primary_snapshot'!$A$2:$A$92,0))="NOT FROZEN",INDEX('Primary_snapshot'!$K$2:$K$92,MATCH(A18,'Primary_snapshot'!$A$2:$A$92,0))="NOT FROZEN",INDEX('Primary_snapshot'!$L$2:$L$92,MATCH(A18,'Primary_snapshot'!$A$2:$A$92,0))="NOT FROZEN"),"FREEZE SNAPSHOT",IF(NOT(OR(N18="agree",N18="agree_clarification",N18="disagree",N18="unable")),"CHECKER RESULT NEEDED",IF(AND(N18&lt;&gt;"agree",LEN(TRIM(O18))=0),"COMMENT NEEDED",IF(AND(N18="agree",NOT(AND(IF(D18="","",D18)=IF(INDEX('Primary_snapshot'!$B$2:$B$92,MATCH(A18,'Primary_snapshot'!$A$2:$A$92,0))="","",INDEX('Primary_snapshot'!$B$2:$B$92,MATCH(A18,'Primary_snapshot'!$A$2:$A$92,0))),IF(E18="","",E18)=IF(INDEX('Primary_snapshot'!$C$2:$C$92,MATCH(A18,'Primary_snapshot'!$A$2:$A$92,0))="","",INDEX('Primary_snapshot'!$C$2:$C$92,MATCH(A18,'Primary_snapshot'!$A$2:$A$92,0))),IF(AND(D18="retain",E18="statistical_results"),IF(H18="","",H18),"not_applicable")=IF(INDEX('Primary_snapshot'!$D$2:$D$92,MATCH(A18,'Primary_snapshot'!$A$2:$A$92,0))="","",INDEX('Primary_snapshot'!$D$2:$D$92,MATCH(A18,'Primary_snapshot'!$A$2:$A$92,0))),IF(AND(D18="retain",E18="statistical_results"),IF(I18="","",I18),"not_applicable")=IF(INDEX('Primary_snapshot'!$E$2:$E$92,MATCH(A18,'Primary_snapshot'!$A$2:$A$92,0))="","",INDEX('Primary_snapshot'!$E$2:$E$92,MATCH(A18,'Primary_snapshot'!$A$2:$A$92,0))),IF(AND(D18="retain",E18="statistical_results"),IF(J18="","",J18),"not_applicable")=IF(INDEX('Primary_snapshot'!$F$2:$F$92,MATCH(A18,'Primary_snapshot'!$A$2:$A$92,0))="","",INDEX('Primary_snapshot'!$F$2:$F$92,MATCH(A18,'Primary_snapshot'!$A$2:$A$92,0))),IF(AND(D18="retain",OR(E18="report_internal_inconsistency",E18="plan_material")),IF(K18="","",K18),"not_applicable")=IF(INDEX('Primary_snapshot'!$G$2:$G$92,MATCH(A18,'Primary_snapshot'!$A$2:$A$92,0))="","",INDEX('Primary_snapshot'!$G$2:$G$92,MATCH(A18,'Primary_snapshot'!$A$2:$A$92,0))),IF(AND(D18="retain",E18="protocol_report"),IF(L18="","",L18),"not_applicable")=IF(INDEX('Primary_snapshot'!$H$2:$H$92,MATCH(A18,'Primary_snapshot'!$A$2:$A$92,0))="","",INDEX('Primary_snapshot'!$H$2:$H$92,MATCH(A18,'Primary_snapshot'!$A$2:$A$92,0))),IF(R18="","",R18)=IF(INDEX('Primary_snapshot'!$I$2:$I$92,MATCH(A18,'Primary_snapshot'!$A$2:$A$92,0))="","",INDEX('Primary_snapshot'!$I$2:$I$92,MATCH(A18,'Primary_snapshot'!$A$2:$A$92,0)))))),"AGREE BUT CHANGED",IF(AND(P18&lt;&gt;"",NOT(OR(P18="pending",P18="resolved"))),"CHECK RESOLUTION",IF(OR(AND(OR(D18="discuss",INDEX('Primary_snapshot'!$B$2:$B$92,MATCH(A18,'Primary_snapshot'!$A$2:$A$92,0))="discuss",N18="disagree",N18="unable"),P18&lt;&gt;"resolved"),D18="discuss"),"DISCUSS",IF(AND(P18="resolved",LEN(TRIM(Q18))=0),"RESOLUTION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IF(Setup!$B$6="primary","",IFERROR(IF(INDEX('Primary_snapshot'!$L$2:$L$92,MATCH(A18,'Primary_snapshot'!$A$2:$A$92,0))="","",INDEX('Primary_snapshot'!$L$2:$L$92,MATCH(A18,'Primary_snapshot'!$A$2:$A$92,0))),"SNAPSHOT MISSING"))</x:f>
      </x:c>
      <x:c r="N18" s="7" t="str"/>
      <x:c r="O18" s="7" t="str"/>
      <x:c r="P18" s="7" t="str"/>
      <x:c r="Q18" s="7" t="str"/>
      <x:c r="R18" s="13" t="str"/>
    </x:row>
  </x:sheetData>
  <x:conditionalFormatting sqref="G2:G18">
    <x:cfRule type="expression" dxfId="21" priority="1">
      <x:formula>AND(G2&lt;&gt;"PRIMARY READY",G2&lt;&gt;"FINAL READY")</x:formula>
    </x:cfRule>
  </x:conditionalFormatting>
  <x:conditionalFormatting sqref="N2:Q18">
    <x:cfRule type="expression" dxfId="22" priority="2">
      <x:formula>Setup!$B$6="primary"</x:formula>
    </x:cfRule>
  </x:conditionalFormatting>
  <x:conditionalFormatting sqref="H2:H18">
    <x:cfRule type="expression" dxfId="23" priority="3">
      <x:formula>NOT(AND(OR($D2="retain",$D2=""),$E2="statistical_results"))</x:formula>
    </x:cfRule>
  </x:conditionalFormatting>
  <x:conditionalFormatting sqref="I2:I18">
    <x:cfRule type="expression" dxfId="24" priority="4">
      <x:formula>NOT(AND(OR($D2="retain",$D2=""),$E2="statistical_results"))</x:formula>
    </x:cfRule>
  </x:conditionalFormatting>
  <x:conditionalFormatting sqref="J2:J18">
    <x:cfRule type="expression" dxfId="25" priority="5">
      <x:formula>NOT(AND(OR($D2="retain",$D2=""),$E2="statistical_results"))</x:formula>
    </x:cfRule>
  </x:conditionalFormatting>
  <x:conditionalFormatting sqref="K2:K18">
    <x:cfRule type="expression" dxfId="26" priority="6">
      <x:formula>NOT(AND(OR($D2="retain",$D2=""),OR($E2="report_internal_inconsistency",$E2="plan_material")))</x:formula>
    </x:cfRule>
  </x:conditionalFormatting>
  <x:conditionalFormatting sqref="L2:L18">
    <x:cfRule type="expression" dxfId="27" priority="7">
      <x:formula>NOT(AND(OR($D2="retain",$D2=""),$E2="protocol_report"))</x:formula>
    </x:cfRule>
  </x:conditionalFormatting>
  <x:dataValidations count="10">
    <x:dataValidation type="list" sqref="D2:D18">
      <x:formula1>"retain,exclude,discuss"</x:formula1>
    </x:dataValidation>
    <x:dataValidation type="list" sqref="E2:E18">
      <x:formula1>"statistical_results,report_internal_inconsistency,plan_material,protocol_report"</x:formula1>
    </x:dataValidation>
    <x:dataValidation type="list" sqref="F2:F18">
      <x:formula1>"no,primary_done,checker_done"</x:formula1>
    </x:dataValidation>
    <x:dataValidation type="list" sqref="H2:H18">
      <x:formula1>"confirmed_issue,probable_issue,not_issue,indeterminate,not_applicable"</x:formula1>
    </x:dataValidation>
    <x:dataValidation type="list" sqref="I2:I18">
      <x:formula1>"substantive,minor_presentation,indeterminate,not_applicable"</x:formula1>
    </x:dataValidation>
    <x:dataValidation type="list" sqref="J2:J18">
      <x:formula1>"direct,possible,unlikely,unknown,not_applicable"</x:formula1>
    </x:dataValidation>
    <x:dataValidation type="list" sqref="K2:K18">
      <x:formula1>"substantive_inconsistency,minor_presentation,non_inconsistency,indeterminate,not_applicable"</x:formula1>
    </x:dataValidation>
    <x:dataValidation type="list" sqref="L2:L18">
      <x:formula1>"substantive_difference,minor_presentation,version_timing,non_inconsistency,indeterminate,not_applicable"</x:formula1>
    </x:dataValidation>
    <x:dataValidation type="list" sqref="N2:N18">
      <x:formula1>"agree,agree_clarification,disagree,unable"</x:formula1>
    </x:dataValidation>
    <x:dataValidation type="list" sqref="P2:P18">
      <x:formula1>"pending,resolved"</x:formula1>
    </x:dataValidation>
  </x:dataValidations>
  <x:pageMargins left="0.7" right="0.7" top="0.75" bottom="0.75" header="0.3" footer="0.3"/>
  <x:tableParts count="1">
    <x:tablePart xmlns:r="http://schemas.openxmlformats.org/officeDocument/2006/relationships" r:id="R1e40ce6bc87c44e7"/>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2024::jama.2024.19585::C001</x:v>
      </x:c>
      <x:c r="B2" s="6" t="str">
        <x:v>Usual-care exclusion hierarchy requires source-layout confirmation</x:v>
      </x:c>
      <x:c r="C2" s="6" t="str">
        <x:v>jama_dupuis_2024_oi_240111_1733431204.38761.pdf — Figure 1, PDF p. 5, usual-care branch.</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2024::jama.2024.19585::C002</x:v>
      </x:c>
      <x:c r="B3" s="3" t="str">
        <x:v>Main-text rejected-statement percentage conflicts with the supplement counts</x:v>
      </x:c>
      <x:c r="C3" s="3" t="str">
        <x:v>jama_dupuis_2024_oi_240111_1733431204.38761.pdf — narrative, PDF p. 2 and joi240111supp2_prod_1733431204.76024.pdf — eTable 3, PDF p. 6.</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2024::jama.2024.19585::C003</x:v>
      </x:c>
      <x:c r="B4" s="6" t="str">
        <x:v>eTable 10 labels logistic-regression odds ratios as differences</x:v>
      </x:c>
      <x:c r="C4" s="6" t="str">
        <x:v>joi240111supp2_prod_1733431204.76024.pdf — eTable 10 start, PDF p. 13; joi240111supp2_prod_1733431204.76024.pdf — eTable 10 continued values, PDF p. 14; joi240111supp2_prod_1733431204.76024.pdf — eTable 10 footnote, PDF p. 15; and joi240111supp2_prod_1733431204.76024.pdf — eMethods, PDF p. 22.</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sheetData>
  <x:conditionalFormatting sqref="G2:G4">
    <x:cfRule type="expression" dxfId="28" priority="1">
      <x:formula>AND(G2&lt;&gt;"PRIMARY READY",G2&lt;&gt;"FINAL READY")</x:formula>
    </x:cfRule>
  </x:conditionalFormatting>
  <x:conditionalFormatting sqref="N2:Q4">
    <x:cfRule type="expression" dxfId="29" priority="2">
      <x:formula>Setup!$B$6="primary"</x:formula>
    </x:cfRule>
  </x:conditionalFormatting>
  <x:conditionalFormatting sqref="H2:H4">
    <x:cfRule type="expression" dxfId="30" priority="3">
      <x:formula>NOT(AND(OR($D2="retain",$D2=""),$E2="statistical_results"))</x:formula>
    </x:cfRule>
  </x:conditionalFormatting>
  <x:conditionalFormatting sqref="I2:I4">
    <x:cfRule type="expression" dxfId="31" priority="4">
      <x:formula>NOT(AND(OR($D2="retain",$D2=""),$E2="statistical_results"))</x:formula>
    </x:cfRule>
  </x:conditionalFormatting>
  <x:conditionalFormatting sqref="J2:J4">
    <x:cfRule type="expression" dxfId="32" priority="5">
      <x:formula>NOT(AND(OR($D2="retain",$D2=""),$E2="statistical_results"))</x:formula>
    </x:cfRule>
  </x:conditionalFormatting>
  <x:conditionalFormatting sqref="K2:K4">
    <x:cfRule type="expression" dxfId="33" priority="6">
      <x:formula>NOT(AND(OR($D2="retain",$D2=""),OR($E2="report_internal_inconsistency",$E2="plan_material")))</x:formula>
    </x:cfRule>
  </x:conditionalFormatting>
  <x:conditionalFormatting sqref="L2:L4">
    <x:cfRule type="expression" dxfId="34"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c9f1ea5be5e94c64"/>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2024::jama.2024.2302::C001</x:v>
      </x:c>
      <x:c r="B2" s="6" t="str">
        <x:v>Primary SAE endpoint threshold label</x:v>
      </x:c>
      <x:c r="C2" s="6" t="str">
        <x:v>main article — PDF p. 6, Table 2; results supplement — PDF p. 5, eTable 2; protocol — PDF p. 2; SAP — PDF p. 4.</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IDs",IF(OR(COUNTIF($A$2:$A$6,A2)&lt;&gt;1,COUNTIF(Decisions!$C$2:$C$92,A2)&lt;&gt;1),"CHECK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2024::jama.2024.2302::C002</x:v>
      </x:c>
      <x:c r="B3" s="3" t="str">
        <x:v>Planned hospital-day medians</x:v>
      </x:c>
      <x:c r="C3" s="3" t="str">
        <x:v>protocol — PDF p. 3; protocol — PDF p. 12; SAP — PDF p. 3.</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IDs",IF(OR(COUNTIF($A$2:$A$6,A3)&lt;&gt;1,COUNTIF(Decisions!$C$2:$C$92,A3)&lt;&gt;1),"CHECK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2024::jama.2024.2302::C003</x:v>
      </x:c>
      <x:c r="B4" s="6" t="str">
        <x:v>Bayesian intervention priors</x:v>
      </x:c>
      <x:c r="C4" s="6" t="str">
        <x:v>main article — PDF p. 4; SAP — PDF p. 8.</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IDs",IF(OR(COUNTIF($A$2:$A$6,A4)&lt;&gt;1,COUNTIF(Decisions!$C$2:$C$92,A4)&lt;&gt;1),"CHECK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2024::jama.2024.2302::C004</x:v>
      </x:c>
      <x:c r="B5" s="3" t="str">
        <x:v>Gestational-age boundary</x:v>
      </x:c>
      <x:c r="C5" s="3" t="str">
        <x:v>main article — PDF p. 8, Figure 3; SAP — PDF p. 3; SAP — PDF p. 8; SAP — PDF p. 9.</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IDs",IF(OR(COUNTIF($A$2:$A$6,A5)&lt;&gt;1,COUNTIF(Decisions!$C$2:$C$92,A5)&lt;&gt;1),"CHECK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2024::jama.2024.2302::C005</x:v>
      </x:c>
      <x:c r="B6" s="6" t="str">
        <x:v>Primary-outcome time origin</x:v>
      </x:c>
      <x:c r="C6" s="6" t="str">
        <x:v>protocol — PDF p. 3; protocol — PDF p. 11; SAP — PDF p. 7; main article — PDF p. 3. Main article — PDF p. 6 footnote g is secondary-outcome context only, as it attaches to the hospital-stay row.</x:v>
      </x:c>
      <x:c r="D6" s="7" t="str"/>
      <x:c r="E6" s="7" t="str">
        <x:v>protocol_report</x:v>
      </x:c>
      <x:c r="F6" s="7" t="str">
        <x:v>no</x:v>
      </x:c>
      <x:c r="G6" s="6" t="str">
        <x:f>IFERROR(IF(NOT(OR(Setup!$B$6="primary",Setup!$B$6="checker")),"CHECK STAGE",IF(OR(LEN(TRIM(Setup!$B$2))=0,Setup!$B$2&lt;&gt;TRIM(Setup!$B$2),AND(Setup!$B$6="checker",OR(LEN(TRIM(Setup!$B$4))=0,Setup!$B$4&lt;&gt;TRIM(Setup!$B$4),LOWER(TRIM(Setup!$B$4))=LOWER(TRIM(Setup!$B$2))))),"CHECK REVIEWER IDs",IF(OR(COUNTIF($A$2:$A$6,A6)&lt;&gt;1,COUNTIF(Decisions!$C$2:$C$92,A6)&lt;&gt;1),"CHECK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v>not_applicable</x:v>
      </x:c>
      <x:c r="L6" s="13" t="str">
        <x:f>IF(AND(OR(D6="retain",D6=""),E6="protocol_report"),"","not_applicable")</x:f>
      </x:c>
      <x:c r="M6" s="6" t="str">
        <x:f>IF(Setup!$B$6="primary","",IFERROR(IF(INDEX('Primary_snapshot'!$L$2:$L$92,MATCH(A6,'Primary_snapshot'!$A$2:$A$92,0))="","",INDEX('Primary_snapshot'!$L$2:$L$92,MATCH(A6,'Primary_snapshot'!$A$2:$A$92,0))),"SNAPSHOT MISSING"))</x:f>
      </x:c>
      <x:c r="N6" s="7" t="str"/>
      <x:c r="O6" s="7" t="str"/>
      <x:c r="P6" s="7" t="str"/>
      <x:c r="Q6" s="7" t="str"/>
      <x:c r="R6" s="13" t="str"/>
    </x:row>
  </x:sheetData>
  <x:conditionalFormatting sqref="G2:G6">
    <x:cfRule type="expression" dxfId="35" priority="1">
      <x:formula>AND(G2&lt;&gt;"PRIMARY READY",G2&lt;&gt;"FINAL READY")</x:formula>
    </x:cfRule>
  </x:conditionalFormatting>
  <x:conditionalFormatting sqref="N2:Q6">
    <x:cfRule type="expression" dxfId="36" priority="2">
      <x:formula>Setup!$B$6="primary"</x:formula>
    </x:cfRule>
  </x:conditionalFormatting>
  <x:conditionalFormatting sqref="H2:H6">
    <x:cfRule type="expression" dxfId="37" priority="3">
      <x:formula>NOT(AND(OR($D2="retain",$D2=""),$E2="statistical_results"))</x:formula>
    </x:cfRule>
  </x:conditionalFormatting>
  <x:conditionalFormatting sqref="I2:I6">
    <x:cfRule type="expression" dxfId="38" priority="4">
      <x:formula>NOT(AND(OR($D2="retain",$D2=""),$E2="statistical_results"))</x:formula>
    </x:cfRule>
  </x:conditionalFormatting>
  <x:conditionalFormatting sqref="J2:J6">
    <x:cfRule type="expression" dxfId="39" priority="5">
      <x:formula>NOT(AND(OR($D2="retain",$D2=""),$E2="statistical_results"))</x:formula>
    </x:cfRule>
  </x:conditionalFormatting>
  <x:conditionalFormatting sqref="K2:K6">
    <x:cfRule type="expression" dxfId="40" priority="6">
      <x:formula>NOT(AND(OR($D2="retain",$D2=""),OR($E2="report_internal_inconsistency",$E2="plan_material")))</x:formula>
    </x:cfRule>
  </x:conditionalFormatting>
  <x:conditionalFormatting sqref="L2:L6">
    <x:cfRule type="expression" dxfId="41"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258e890740954a87"/>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2024::jama.2024.23898::C001</x:v>
      </x:c>
      <x:c r="B2" s="6" t="str">
        <x:v>Primary-outcome 72-hour clock origin is not stated consistently</x:v>
      </x:c>
      <x:c r="C2" s="6" t="str">
        <x:v>main article — PDF p. 1; main article — PDF p. 5; main article — PDF p. 6; SAP — PDF p. 9.</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2024::jama.2024.23898::C002</x:v>
      </x:c>
      <x:c r="B3" s="3" t="str">
        <x:v>Postoperative opioid-consumption window is 24 hours versus 72 hours</x:v>
      </x:c>
      <x:c r="C3" s="3" t="str">
        <x:v>main article — PDF p. 4; main article — PDF p. 6; protocol — PDF p. 17; SAP — PDF p. 11.</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2024::jama.2024.23898::C003</x:v>
      </x:c>
      <x:c r="B4" s="6" t="str">
        <x:v>Unplanned-readmission window is 90 days versus 30 days</x:v>
      </x:c>
      <x:c r="C4" s="6" t="str">
        <x:v>main article — PDF p. 4; main article — PDF p. 8; protocol — PDF p. 18; SAP — PDF p. 10; SAP — PDF p. 27.</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2024::jama.2024.23898::C004</x:v>
      </x:c>
      <x:c r="B5" s="3" t="str">
        <x:v>ERAS subgroup cut points differ from the protocol bands</x:v>
      </x:c>
      <x:c r="C5" s="3" t="str">
        <x:v>protocol — PDF p. 17; protocol — PDF p. 18; SAP — PDF p. 15; results supplement — PDF p. 2.</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2024::jama.2024.23898::C005</x:v>
      </x:c>
      <x:c r="B6" s="6" t="str">
        <x:v>The eFigure assigns both 99% and 95% labels to the same intervals</x:v>
      </x:c>
      <x:c r="C6" s="6" t="str">
        <x:v>results supplement — PDF p. 2; SAP — PDF p. 15.</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2024::jama.2024.23898::C006</x:v>
      </x:c>
      <x:c r="B7" s="3" t="str">
        <x:v>Day-5 EQ-5D inference conflicts with blanket no-difference prose</x:v>
      </x:c>
      <x:c r="C7" s="3" t="str">
        <x:v>main article — PDF p. 5; main article — PDF p. 6; SAP — PDF p. 13; SAP — PDF p. 14.</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2024::jama.2024.23898::C007</x:v>
      </x:c>
      <x:c r="B8" s="6" t="str">
        <x:v>ERAS subgroup is labeled as two levels versus three levels</x:v>
      </x:c>
      <x:c r="C8" s="6" t="str">
        <x:v>main article — PDF p. 5; SAP — PDF p. 15; results supplement — PDF p. 2.</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IF(Setup!$B$6="primary","",IFERROR(IF(INDEX('Primary_snapshot'!$L$2:$L$92,MATCH(A8,'Primary_snapshot'!$A$2:$A$92,0))="","",INDEX('Primary_snapshot'!$L$2:$L$92,MATCH(A8,'Primary_snapshot'!$A$2:$A$92,0))),"SNAPSHOT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fa5de1e2d010485b"/>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2024::jama.2024.25786::C001</x:v>
      </x:c>
      <x:c r="B2" s="6" t="str">
        <x:v>Liberal walk-in transport percentage does not reconcile with 4/743</x:v>
      </x:c>
      <x:c r="C2" s="6" t="str">
        <x:v>Supplement 2, eTable 2, PDF p. 15, liberal oxygen group, walk-in transport row.</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2024::jama.2024.25786::C002</x:v>
      </x:c>
      <x:c r="B3" s="3" t="str">
        <x:v>Liberal vascular-surgery percentage is nonzero with a printed zero numerator</x:v>
      </x:c>
      <x:c r="C3" s="3" t="str">
        <x:v>Supplement 2, eTable 2, PDF p. 15, liberal oxygen group, vascular surgery row.</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2024::jama.2024.25786::C003</x:v>
      </x:c>
      <x:c r="B4" s="6" t="str">
        <x:v>Matched all-patient adjusted confidence-interval upper limit differs between eTables 4 and 7</x:v>
      </x:c>
      <x:c r="C4" s="6" t="str">
        <x:v>Supplement 2, eTable 4, PDF p. 17, further-adjusted primary outcome; Supplement 2, eTable 7, PDF p. 20, all-patient adjusted odds ratio; relevant methods Main article, PDF p. 5.</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2024::jama.2024.25786::C004</x:v>
      </x:c>
      <x:c r="B5" s="3" t="str">
        <x:v>AIS less-than-3 subgroup percentage conflicts with its count and matched Figure 4</x:v>
      </x:c>
      <x:c r="C5" s="3" t="str">
        <x:v>Main article, Figure 4, PDF p. 8, AIS score less than 3; Supplement 2, eTable 7, PDF p. 20, AIS less than 3.</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2024::jama.2024.25786::C005</x:v>
      </x:c>
      <x:c r="B6" s="6" t="str">
        <x:v>Known-lung-disease subgroup percentage conflicts with its count and matched Figure 4</x:v>
      </x:c>
      <x:c r="C6" s="6" t="str">
        <x:v>Main article, Figure 4, PDF p. 8, known lung disease, yes; Supplement 2, eTable 7, PDF p. 20, known lung disease, yes.</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2024::jama.2024.25786::C006</x:v>
      </x:c>
      <x:c r="B7" s="3" t="str">
        <x:v>Postrandomization-exclusion total and group counts do not reconcile across eTable 10 and Figure 1</x:v>
      </x:c>
      <x:c r="C7" s="3" t="str">
        <x:v>Supplement 2, eTable 10, PDF p. 24, exclusion after randomization; Main article, Figure 1, PDF p. 3, excluded after randomization.</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2024::jama.2024.25786::C007</x:v>
      </x:c>
      <x:c r="B8" s="6" t="str">
        <x:v>Secondary-exclusion cells pair within-group denominators with cross-group partition percentages</x:v>
      </x:c>
      <x:c r="C8" s="6" t="str">
        <x:v>Supplement 2, eTable 10, PDF p. 24, secondary exclusion; count comparator Main article, Figure 1, PDF p. 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2024::jama.2024.25786::C008</x:v>
      </x:c>
      <x:c r="B9" s="3" t="str">
        <x:v>Missing-as-event primary count uses a doubled numerator/denominator separator</x:v>
      </x:c>
      <x:c r="C9" s="3" t="str">
        <x:v>Supplement 2, eTable 11, PDF p. 25, primary outcome with missing counted as event.</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sheetData>
  <x:conditionalFormatting sqref="G2:G9">
    <x:cfRule type="expression" dxfId="49" priority="1">
      <x:formula>AND(G2&lt;&gt;"PRIMARY READY",G2&lt;&gt;"FINAL READY")</x:formula>
    </x:cfRule>
  </x:conditionalFormatting>
  <x:conditionalFormatting sqref="N2:Q9">
    <x:cfRule type="expression" dxfId="50" priority="2">
      <x:formula>Setup!$B$6="primary"</x:formula>
    </x:cfRule>
  </x:conditionalFormatting>
  <x:conditionalFormatting sqref="H2:H9">
    <x:cfRule type="expression" dxfId="51" priority="3">
      <x:formula>NOT(AND(OR($D2="retain",$D2=""),$E2="statistical_results"))</x:formula>
    </x:cfRule>
  </x:conditionalFormatting>
  <x:conditionalFormatting sqref="I2:I9">
    <x:cfRule type="expression" dxfId="52" priority="4">
      <x:formula>NOT(AND(OR($D2="retain",$D2=""),$E2="statistical_results"))</x:formula>
    </x:cfRule>
  </x:conditionalFormatting>
  <x:conditionalFormatting sqref="J2:J9">
    <x:cfRule type="expression" dxfId="53" priority="5">
      <x:formula>NOT(AND(OR($D2="retain",$D2=""),$E2="statistical_results"))</x:formula>
    </x:cfRule>
  </x:conditionalFormatting>
  <x:conditionalFormatting sqref="K2:K9">
    <x:cfRule type="expression" dxfId="54" priority="6">
      <x:formula>NOT(AND(OR($D2="retain",$D2=""),OR($E2="report_internal_inconsistency",$E2="plan_material")))</x:formula>
    </x:cfRule>
  </x:conditionalFormatting>
  <x:conditionalFormatting sqref="L2:L9">
    <x:cfRule type="expression" dxfId="55"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65e1b17b2924d28"/>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2024::jama.2024.4183::C001</x:v>
      </x:c>
      <x:c r="B2" s="6" t="str">
        <x:v>Abstract phase-2 allocation percentages mix incompatible denominators</x:v>
      </x:c>
      <x:c r="C2" s="6" t="str">
        <x:v>Main article p. 1; Main article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IDs",IF(OR(COUNTIF($A$2:$A$25,A2)&lt;&gt;1,COUNTIF(Decisions!$C$2:$C$92,A2)&lt;&gt;1),"CHECK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2024::jama.2024.4183::C002</x:v>
      </x:c>
      <x:c r="B3" s="3" t="str">
        <x:v>Main baseline sex counts exceed both printed arm denominators</x:v>
      </x:c>
      <x:c r="C3" s="3" t="str">
        <x:v>Main article p. 5, baseline Table.</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IDs",IF(OR(COUNTIF($A$2:$A$25,A3)&lt;&gt;1,COUNTIF(Decisions!$C$2:$C$92,A3)&lt;&gt;1),"CHECK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2024::jama.2024.4183::C003</x:v>
      </x:c>
      <x:c r="B4" s="6" t="str">
        <x:v>Displayed randomization total does not equal its two initial branches</x:v>
      </x:c>
      <x:c r="C4" s="6" t="str">
        <x:v>Main article p. 4; Main article p. 6.</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IDs",IF(OR(COUNTIF($A$2:$A$25,A4)&lt;&gt;1,COUNTIF(Decisions!$C$2:$C$92,A4)&lt;&gt;1),"CHECK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2024::jama.2024.4183::C004</x:v>
      </x:c>
      <x:c r="B5" s="3" t="str">
        <x:v>Results reverses attendance status for continuation assignments</x:v>
      </x:c>
      <x:c r="C5" s="3" t="str">
        <x:v>Main article p. 1; Main article p. 4; Main article p. 6.</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IDs",IF(OR(COUNTIF($A$2:$A$25,A5)&lt;&gt;1,COUNTIF(Decisions!$C$2:$C$92,A5)&lt;&gt;1),"CHECK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2024::jama.2024.4183::C005</x:v>
      </x:c>
      <x:c r="B6" s="6" t="str">
        <x:v>CNRT dose-increase primary CrI differs between abstract and matched results</x:v>
      </x:c>
      <x:c r="C6" s="6" t="str">
        <x:v>Main article p. 1; Main article p. 5; Supplement 2 p. 21.</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IDs",IF(OR(COUNTIF($A$2:$A$25,A6)&lt;&gt;1,COUNTIF(Decisions!$C$2:$C$92,A6)&lt;&gt;1),"CHECK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2024::jama.2024.4183::C006</x:v>
      </x:c>
      <x:c r="B7" s="3" t="str">
        <x:v>CNRT switch primary CrI differs across abstract, Results, and eTable</x:v>
      </x:c>
      <x:c r="C7" s="3" t="str">
        <x:v>Main article p. 1; Main article p. 5; Supplement 2 p. 21.</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IDs",IF(OR(COUNTIF($A$2:$A$25,A7)&lt;&gt;1,COUNTIF(Decisions!$C$2:$C$92,A7)&lt;&gt;1),"CHECK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2024::jama.2024.4183::C007</x:v>
      </x:c>
      <x:c r="B8" s="6" t="str">
        <x:v>Varenicline-to-CNRT switch contrast has inconsistent sign and reference</x:v>
      </x:c>
      <x:c r="C8" s="6" t="str">
        <x:v>Main article p. 1; Main article p. 5; Main article p. 7; Supplement 2 p. 21.</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IDs",IF(OR(COUNTIF($A$2:$A$25,A8)&lt;&gt;1,COUNTIF(Decisions!$C$2:$C$92,A8)&lt;&gt;1),"CHECK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2024::jama.2024.4183::C008</x:v>
      </x:c>
      <x:c r="B9" s="3" t="str">
        <x:v>Increased-varenicline primary CrI upper endpoint differs</x:v>
      </x:c>
      <x:c r="C9" s="3" t="str">
        <x:v>Main article p. 1; Main article p. 5; Supplement 2 p. 21.</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IDs",IF(OR(COUNTIF($A$2:$A$25,A9)&lt;&gt;1,COUNTIF(Decisions!$C$2:$C$92,A9)&lt;&gt;1),"CHECK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2024::jama.2024.4183::C009</x:v>
      </x:c>
      <x:c r="B10" s="6" t="str">
        <x:v>Phase-1 abstainer primary CrI lower endpoint differs</x:v>
      </x:c>
      <x:c r="C10" s="6" t="str">
        <x:v>Main article p. 7; Supplement 2 p. 21.</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IDs",IF(OR(COUNTIF($A$2:$A$25,A10)&lt;&gt;1,COUNTIF(Decisions!$C$2:$C$92,A10)&lt;&gt;1),"CHECK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2024::jama.2024.4183::C010</x:v>
      </x:c>
      <x:c r="B11" s="3" t="str">
        <x:v>Protocol beta parameters do not reproduce the paired varenicline response probability</x:v>
      </x:c>
      <x:c r="C11" s="3" t="str">
        <x:v>Protocol p. 32, Figure 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IDs",IF(OR(COUNTIF($A$2:$A$25,A11)&lt;&gt;1,COUNTIF(Decisions!$C$2:$C$92,A11)&lt;&gt;1),"CHECK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2024::jama.2024.4183::C011</x:v>
      </x:c>
      <x:c r="B12" s="6" t="str">
        <x:v>Protocol Aim-1 power increases at a stricter nested threshold</x:v>
      </x:c>
      <x:c r="C12" s="6" t="str">
        <x:v>Protocol p. 34, Table 3.</x:v>
      </x:c>
      <x:c r="D12" s="7" t="str"/>
      <x:c r="E12" s="7" t="str">
        <x:v>plan_material</x:v>
      </x:c>
      <x:c r="F12" s="7" t="str">
        <x:v>no</x:v>
      </x:c>
      <x:c r="G12" s="6" t="str">
        <x:f>IFERROR(IF(NOT(OR(Setup!$B$6="primary",Setup!$B$6="checker")),"CHECK STAGE",IF(OR(LEN(TRIM(Setup!$B$2))=0,Setup!$B$2&lt;&gt;TRIM(Setup!$B$2),AND(Setup!$B$6="checker",OR(LEN(TRIM(Setup!$B$4))=0,Setup!$B$4&lt;&gt;TRIM(Setup!$B$4),LOWER(TRIM(Setup!$B$4))=LOWER(TRIM(Setup!$B$2))))),"CHECK REVIEWER IDs",IF(OR(COUNTIF($A$2:$A$25,A12)&lt;&gt;1,COUNTIF(Decisions!$C$2:$C$92,A12)&lt;&gt;1),"CHECK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2024::jama.2024.4183::C012</x:v>
      </x:c>
      <x:c r="B13" s="3" t="str">
        <x:v>Protocol Table 3 duplicates an Aim-2 comparator label</x:v>
      </x:c>
      <x:c r="C13" s="3" t="str">
        <x:v>Protocol p. 29; Protocol p. 33; Protocol p. 34.</x:v>
      </x:c>
      <x:c r="D13" s="7" t="str"/>
      <x:c r="E13" s="7" t="str">
        <x:v>plan_material</x:v>
      </x:c>
      <x:c r="F13" s="7" t="str">
        <x:v>no</x:v>
      </x:c>
      <x:c r="G13" s="3" t="str">
        <x:f>IFERROR(IF(NOT(OR(Setup!$B$6="primary",Setup!$B$6="checker")),"CHECK STAGE",IF(OR(LEN(TRIM(Setup!$B$2))=0,Setup!$B$2&lt;&gt;TRIM(Setup!$B$2),AND(Setup!$B$6="checker",OR(LEN(TRIM(Setup!$B$4))=0,Setup!$B$4&lt;&gt;TRIM(Setup!$B$4),LOWER(TRIM(Setup!$B$4))=LOWER(TRIM(Setup!$B$2))))),"CHECK REVIEWER IDs",IF(OR(COUNTIF($A$2:$A$25,A13)&lt;&gt;1,COUNTIF(Decisions!$C$2:$C$92,A13)&lt;&gt;1),"CHECK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2024::jama.2024.4183::C013</x:v>
      </x:c>
      <x:c r="B14" s="6" t="str">
        <x:v>ETable 3 reverses count and percentage in one n (%) cell</x:v>
      </x:c>
      <x:c r="C14" s="6" t="str">
        <x:v>Supplement 2 p. 19, ETable 3.</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IDs",IF(OR(COUNTIF($A$2:$A$25,A14)&lt;&gt;1,COUNTIF(Decisions!$C$2:$C$92,A14)&lt;&gt;1),"CHECK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2024::jama.2024.4183::C014</x:v>
      </x:c>
      <x:c r="B15" s="3" t="str">
        <x:v>EOT+30 CNRT-switch cell estimate and CrI do not reconcile with matched figure as printed</x:v>
      </x:c>
      <x:c r="C15" s="3" t="str">
        <x:v>Supplement 2 p. 10; Supplement 2 p. 15.</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IDs",IF(OR(COUNTIF($A$2:$A$25,A15)&lt;&gt;1,COUNTIF(Decisions!$C$2:$C$92,A15)&lt;&gt;1),"CHECK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2024::jama.2024.4183::C015</x:v>
      </x:c>
      <x:c r="B16" s="6" t="str">
        <x:v>EOT+30 increased-CNRT cell CrI upper endpoint does not reconcile with matched figure as printed</x:v>
      </x:c>
      <x:c r="C16" s="6" t="str">
        <x:v>Supplement 2 p. 10; Supplement 2 p. 15.</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IDs",IF(OR(COUNTIF($A$2:$A$25,A16)&lt;&gt;1,COUNTIF(Decisions!$C$2:$C$92,A16)&lt;&gt;1),"CHECK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2024::jama.2024.4183::C016</x:v>
      </x:c>
      <x:c r="B17" s="3" t="str">
        <x:v>EOT+30 CNRT-switch ARD CrI upper endpoint does not reconcile with matched table as printed</x:v>
      </x:c>
      <x:c r="C17" s="3" t="str">
        <x:v>Supplement 2 p. 10; Supplement 2 p. 33.</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IDs",IF(OR(COUNTIF($A$2:$A$25,A17)&lt;&gt;1,COUNTIF(Decisions!$C$2:$C$92,A17)&lt;&gt;1),"CHECK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row r="18" ht="92" customHeight="1">
      <x:c r="A18" s="6" t="str">
        <x:v>2024::jama.2024.4183::C017</x:v>
      </x:c>
      <x:c r="B18" s="6" t="str">
        <x:v>EOT+30 increased-varenicline narrative has repeated intervals that do not reconcile as printed</x:v>
      </x:c>
      <x:c r="C18" s="6" t="str">
        <x:v>Supplement 2 p. 10; Supplement 2 p. 11; Supplement 2 p. 15; Supplement 2 p. 33; Supplement 2 p. 34.</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IDs",IF(OR(COUNTIF($A$2:$A$25,A18)&lt;&gt;1,COUNTIF(Decisions!$C$2:$C$92,A18)&lt;&gt;1),"CHECK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$92,A18)&lt;&gt;1,INDEX('Primary_snapshot'!$J$2:$J$92,MATCH(A18,'Primary_snapshot'!$A$2:$A$92,0))&lt;&gt;"primary_done",INDEX('Primary_snapshot'!$K$2:$K$92,MATCH(A18,'Primary_snapshot'!$A$2:$A$92,0))&lt;&gt;Setup!$B$2,INDEX('Primary_snapshot'!$B$2:$B$92,MATCH(A18,'Primary_snapshot'!$A$2:$A$92,0))="NOT FROZEN",INDEX('Primary_snapshot'!$C$2:$C$92,MATCH(A18,'Primary_snapshot'!$A$2:$A$92,0))="NOT FROZEN",INDEX('Primary_snapshot'!$D$2:$D$92,MATCH(A18,'Primary_snapshot'!$A$2:$A$92,0))="NOT FROZEN",INDEX('Primary_snapshot'!$E$2:$E$92,MATCH(A18,'Primary_snapshot'!$A$2:$A$92,0))="NOT FROZEN",INDEX('Primary_snapshot'!$F$2:$F$92,MATCH(A18,'Primary_snapshot'!$A$2:$A$92,0))="NOT FROZEN",INDEX('Primary_snapshot'!$G$2:$G$92,MATCH(A18,'Primary_snapshot'!$A$2:$A$92,0))="NOT FROZEN",INDEX('Primary_snapshot'!$H$2:$H$92,MATCH(A18,'Primary_snapshot'!$A$2:$A$92,0))="NOT FROZEN",INDEX('Primary_snapshot'!$I$2:$I$92,MATCH(A18,'Primary_snapshot'!$A$2:$A$92,0))="NOT FROZEN",INDEX('Primary_snapshot'!$J$2:$J$92,MATCH(A18,'Primary_snapshot'!$A$2:$A$92,0))="NOT FROZEN",INDEX('Primary_snapshot'!$K$2:$K$92,MATCH(A18,'Primary_snapshot'!$A$2:$A$92,0))="NOT FROZEN",INDEX('Primary_snapshot'!$L$2:$L$92,MATCH(A18,'Primary_snapshot'!$A$2:$A$92,0))="NOT FROZEN"),"FREEZE SNAPSHOT",IF(NOT(OR(N18="agree",N18="agree_clarification",N18="disagree",N18="unable")),"CHECKER RESULT NEEDED",IF(AND(N18&lt;&gt;"agree",LEN(TRIM(O18))=0),"COMMENT NEEDED",IF(AND(N18="agree",NOT(AND(IF(D18="","",D18)=IF(INDEX('Primary_snapshot'!$B$2:$B$92,MATCH(A18,'Primary_snapshot'!$A$2:$A$92,0))="","",INDEX('Primary_snapshot'!$B$2:$B$92,MATCH(A18,'Primary_snapshot'!$A$2:$A$92,0))),IF(E18="","",E18)=IF(INDEX('Primary_snapshot'!$C$2:$C$92,MATCH(A18,'Primary_snapshot'!$A$2:$A$92,0))="","",INDEX('Primary_snapshot'!$C$2:$C$92,MATCH(A18,'Primary_snapshot'!$A$2:$A$92,0))),IF(AND(D18="retain",E18="statistical_results"),IF(H18="","",H18),"not_applicable")=IF(INDEX('Primary_snapshot'!$D$2:$D$92,MATCH(A18,'Primary_snapshot'!$A$2:$A$92,0))="","",INDEX('Primary_snapshot'!$D$2:$D$92,MATCH(A18,'Primary_snapshot'!$A$2:$A$92,0))),IF(AND(D18="retain",E18="statistical_results"),IF(I18="","",I18),"not_applicable")=IF(INDEX('Primary_snapshot'!$E$2:$E$92,MATCH(A18,'Primary_snapshot'!$A$2:$A$92,0))="","",INDEX('Primary_snapshot'!$E$2:$E$92,MATCH(A18,'Primary_snapshot'!$A$2:$A$92,0))),IF(AND(D18="retain",E18="statistical_results"),IF(J18="","",J18),"not_applicable")=IF(INDEX('Primary_snapshot'!$F$2:$F$92,MATCH(A18,'Primary_snapshot'!$A$2:$A$92,0))="","",INDEX('Primary_snapshot'!$F$2:$F$92,MATCH(A18,'Primary_snapshot'!$A$2:$A$92,0))),IF(AND(D18="retain",OR(E18="report_internal_inconsistency",E18="plan_material")),IF(K18="","",K18),"not_applicable")=IF(INDEX('Primary_snapshot'!$G$2:$G$92,MATCH(A18,'Primary_snapshot'!$A$2:$A$92,0))="","",INDEX('Primary_snapshot'!$G$2:$G$92,MATCH(A18,'Primary_snapshot'!$A$2:$A$92,0))),IF(AND(D18="retain",E18="protocol_report"),IF(L18="","",L18),"not_applicable")=IF(INDEX('Primary_snapshot'!$H$2:$H$92,MATCH(A18,'Primary_snapshot'!$A$2:$A$92,0))="","",INDEX('Primary_snapshot'!$H$2:$H$92,MATCH(A18,'Primary_snapshot'!$A$2:$A$92,0))),IF(R18="","",R18)=IF(INDEX('Primary_snapshot'!$I$2:$I$92,MATCH(A18,'Primary_snapshot'!$A$2:$A$92,0))="","",INDEX('Primary_snapshot'!$I$2:$I$92,MATCH(A18,'Primary_snapshot'!$A$2:$A$92,0)))))),"AGREE BUT CHANGED",IF(AND(P18&lt;&gt;"",NOT(OR(P18="pending",P18="resolved"))),"CHECK RESOLUTION",IF(OR(AND(OR(D18="discuss",INDEX('Primary_snapshot'!$B$2:$B$92,MATCH(A18,'Primary_snapshot'!$A$2:$A$92,0))="discuss",N18="disagree",N18="unable"),P18&lt;&gt;"resolved"),D18="discuss"),"DISCUSS",IF(AND(P18="resolved",LEN(TRIM(Q18))=0),"RESOLUTION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IF(Setup!$B$6="primary","",IFERROR(IF(INDEX('Primary_snapshot'!$L$2:$L$92,MATCH(A18,'Primary_snapshot'!$A$2:$A$92,0))="","",INDEX('Primary_snapshot'!$L$2:$L$92,MATCH(A18,'Primary_snapshot'!$A$2:$A$92,0))),"SNAPSHOT MISSING"))</x:f>
      </x:c>
      <x:c r="N18" s="7" t="str"/>
      <x:c r="O18" s="7" t="str"/>
      <x:c r="P18" s="7" t="str"/>
      <x:c r="Q18" s="7" t="str"/>
      <x:c r="R18" s="13" t="str"/>
    </x:row>
    <x:row r="19" ht="92" customHeight="1">
      <x:c r="A19" s="3" t="str">
        <x:v>2024::jama.2024.4183::C018</x:v>
      </x:c>
      <x:c r="B19" s="3" t="str">
        <x:v>EOT+30 abstainer ARD is 1.1% in narrative but 11% in eTable</x:v>
      </x:c>
      <x:c r="C19" s="3" t="str">
        <x:v>Supplement 2 p. 11; Supplement 2 p. 15; Supplement 2 p. 35.</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IDs",IF(OR(COUNTIF($A$2:$A$25,A19)&lt;&gt;1,COUNTIF(Decisions!$C$2:$C$92,A19)&lt;&gt;1),"CHECK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$92,A19)&lt;&gt;1,INDEX('Primary_snapshot'!$J$2:$J$92,MATCH(A19,'Primary_snapshot'!$A$2:$A$92,0))&lt;&gt;"primary_done",INDEX('Primary_snapshot'!$K$2:$K$92,MATCH(A19,'Primary_snapshot'!$A$2:$A$92,0))&lt;&gt;Setup!$B$2,INDEX('Primary_snapshot'!$B$2:$B$92,MATCH(A19,'Primary_snapshot'!$A$2:$A$92,0))="NOT FROZEN",INDEX('Primary_snapshot'!$C$2:$C$92,MATCH(A19,'Primary_snapshot'!$A$2:$A$92,0))="NOT FROZEN",INDEX('Primary_snapshot'!$D$2:$D$92,MATCH(A19,'Primary_snapshot'!$A$2:$A$92,0))="NOT FROZEN",INDEX('Primary_snapshot'!$E$2:$E$92,MATCH(A19,'Primary_snapshot'!$A$2:$A$92,0))="NOT FROZEN",INDEX('Primary_snapshot'!$F$2:$F$92,MATCH(A19,'Primary_snapshot'!$A$2:$A$92,0))="NOT FROZEN",INDEX('Primary_snapshot'!$G$2:$G$92,MATCH(A19,'Primary_snapshot'!$A$2:$A$92,0))="NOT FROZEN",INDEX('Primary_snapshot'!$H$2:$H$92,MATCH(A19,'Primary_snapshot'!$A$2:$A$92,0))="NOT FROZEN",INDEX('Primary_snapshot'!$I$2:$I$92,MATCH(A19,'Primary_snapshot'!$A$2:$A$92,0))="NOT FROZEN",INDEX('Primary_snapshot'!$J$2:$J$92,MATCH(A19,'Primary_snapshot'!$A$2:$A$92,0))="NOT FROZEN",INDEX('Primary_snapshot'!$K$2:$K$92,MATCH(A19,'Primary_snapshot'!$A$2:$A$92,0))="NOT FROZEN",INDEX('Primary_snapshot'!$L$2:$L$92,MATCH(A19,'Primary_snapshot'!$A$2:$A$92,0))="NOT FROZEN"),"FREEZE SNAPSHOT",IF(NOT(OR(N19="agree",N19="agree_clarification",N19="disagree",N19="unable")),"CHECKER RESULT NEEDED",IF(AND(N19&lt;&gt;"agree",LEN(TRIM(O19))=0),"COMMENT NEEDED",IF(AND(N19="agree",NOT(AND(IF(D19="","",D19)=IF(INDEX('Primary_snapshot'!$B$2:$B$92,MATCH(A19,'Primary_snapshot'!$A$2:$A$92,0))="","",INDEX('Primary_snapshot'!$B$2:$B$92,MATCH(A19,'Primary_snapshot'!$A$2:$A$92,0))),IF(E19="","",E19)=IF(INDEX('Primary_snapshot'!$C$2:$C$92,MATCH(A19,'Primary_snapshot'!$A$2:$A$92,0))="","",INDEX('Primary_snapshot'!$C$2:$C$92,MATCH(A19,'Primary_snapshot'!$A$2:$A$92,0))),IF(AND(D19="retain",E19="statistical_results"),IF(H19="","",H19),"not_applicable")=IF(INDEX('Primary_snapshot'!$D$2:$D$92,MATCH(A19,'Primary_snapshot'!$A$2:$A$92,0))="","",INDEX('Primary_snapshot'!$D$2:$D$92,MATCH(A19,'Primary_snapshot'!$A$2:$A$92,0))),IF(AND(D19="retain",E19="statistical_results"),IF(I19="","",I19),"not_applicable")=IF(INDEX('Primary_snapshot'!$E$2:$E$92,MATCH(A19,'Primary_snapshot'!$A$2:$A$92,0))="","",INDEX('Primary_snapshot'!$E$2:$E$92,MATCH(A19,'Primary_snapshot'!$A$2:$A$92,0))),IF(AND(D19="retain",E19="statistical_results"),IF(J19="","",J19),"not_applicable")=IF(INDEX('Primary_snapshot'!$F$2:$F$92,MATCH(A19,'Primary_snapshot'!$A$2:$A$92,0))="","",INDEX('Primary_snapshot'!$F$2:$F$92,MATCH(A19,'Primary_snapshot'!$A$2:$A$92,0))),IF(AND(D19="retain",OR(E19="report_internal_inconsistency",E19="plan_material")),IF(K19="","",K19),"not_applicable")=IF(INDEX('Primary_snapshot'!$G$2:$G$92,MATCH(A19,'Primary_snapshot'!$A$2:$A$92,0))="","",INDEX('Primary_snapshot'!$G$2:$G$92,MATCH(A19,'Primary_snapshot'!$A$2:$A$92,0))),IF(AND(D19="retain",E19="protocol_report"),IF(L19="","",L19),"not_applicable")=IF(INDEX('Primary_snapshot'!$H$2:$H$92,MATCH(A19,'Primary_snapshot'!$A$2:$A$92,0))="","",INDEX('Primary_snapshot'!$H$2:$H$92,MATCH(A19,'Primary_snapshot'!$A$2:$A$92,0))),IF(R19="","",R19)=IF(INDEX('Primary_snapshot'!$I$2:$I$92,MATCH(A19,'Primary_snapshot'!$A$2:$A$92,0))="","",INDEX('Primary_snapshot'!$I$2:$I$92,MATCH(A19,'Primary_snapshot'!$A$2:$A$92,0)))))),"AGREE BUT CHANGED",IF(AND(P19&lt;&gt;"",NOT(OR(P19="pending",P19="resolved"))),"CHECK RESOLUTION",IF(OR(AND(OR(D19="discuss",INDEX('Primary_snapshot'!$B$2:$B$92,MATCH(A19,'Primary_snapshot'!$A$2:$A$92,0))="discuss",N19="disagree",N19="unable"),P19&lt;&gt;"resolved"),D19="discuss"),"DISCUSS",IF(AND(P19="resolved",LEN(TRIM(Q19))=0),"RESOLUTION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IF(Setup!$B$6="primary","",IFERROR(IF(INDEX('Primary_snapshot'!$L$2:$L$92,MATCH(A19,'Primary_snapshot'!$A$2:$A$92,0))="","",INDEX('Primary_snapshot'!$L$2:$L$92,MATCH(A19,'Primary_snapshot'!$A$2:$A$92,0))),"SNAPSHOT MISSING"))</x:f>
      </x:c>
      <x:c r="N19" s="7" t="str"/>
      <x:c r="O19" s="7" t="str"/>
      <x:c r="P19" s="7" t="str"/>
      <x:c r="Q19" s="7" t="str"/>
      <x:c r="R19" s="13" t="str"/>
    </x:row>
    <x:row r="20" ht="92" customHeight="1">
      <x:c r="A20" s="6" t="str">
        <x:v>2024::jama.2024.4183::C019</x:v>
      </x:c>
      <x:c r="B20" s="6" t="str">
        <x:v>Six-month CNRT-switch cross-reference does not directly identify the matched table</x:v>
      </x:c>
      <x:c r="C20" s="6" t="str">
        <x:v>Supplement 2 p. 11; Supplement 2 p. 31; Supplement 2 p. 33.</x:v>
      </x:c>
      <x:c r="D20" s="7" t="str"/>
      <x:c r="E20" s="7" t="str">
        <x:v>report_internal_inconsistency</x:v>
      </x:c>
      <x:c r="F20" s="7" t="str">
        <x:v>no</x:v>
      </x:c>
      <x:c r="G20" s="6" t="str">
        <x:f>IFERROR(IF(NOT(OR(Setup!$B$6="primary",Setup!$B$6="checker")),"CHECK STAGE",IF(OR(LEN(TRIM(Setup!$B$2))=0,Setup!$B$2&lt;&gt;TRIM(Setup!$B$2),AND(Setup!$B$6="checker",OR(LEN(TRIM(Setup!$B$4))=0,Setup!$B$4&lt;&gt;TRIM(Setup!$B$4),LOWER(TRIM(Setup!$B$4))=LOWER(TRIM(Setup!$B$2))))),"CHECK REVIEWER IDs",IF(OR(COUNTIF($A$2:$A$25,A20)&lt;&gt;1,COUNTIF(Decisions!$C$2:$C$92,A20)&lt;&gt;1),"CHECK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$92,A20)&lt;&gt;1,INDEX('Primary_snapshot'!$J$2:$J$92,MATCH(A20,'Primary_snapshot'!$A$2:$A$92,0))&lt;&gt;"primary_done",INDEX('Primary_snapshot'!$K$2:$K$92,MATCH(A20,'Primary_snapshot'!$A$2:$A$92,0))&lt;&gt;Setup!$B$2,INDEX('Primary_snapshot'!$B$2:$B$92,MATCH(A20,'Primary_snapshot'!$A$2:$A$92,0))="NOT FROZEN",INDEX('Primary_snapshot'!$C$2:$C$92,MATCH(A20,'Primary_snapshot'!$A$2:$A$92,0))="NOT FROZEN",INDEX('Primary_snapshot'!$D$2:$D$92,MATCH(A20,'Primary_snapshot'!$A$2:$A$92,0))="NOT FROZEN",INDEX('Primary_snapshot'!$E$2:$E$92,MATCH(A20,'Primary_snapshot'!$A$2:$A$92,0))="NOT FROZEN",INDEX('Primary_snapshot'!$F$2:$F$92,MATCH(A20,'Primary_snapshot'!$A$2:$A$92,0))="NOT FROZEN",INDEX('Primary_snapshot'!$G$2:$G$92,MATCH(A20,'Primary_snapshot'!$A$2:$A$92,0))="NOT FROZEN",INDEX('Primary_snapshot'!$H$2:$H$92,MATCH(A20,'Primary_snapshot'!$A$2:$A$92,0))="NOT FROZEN",INDEX('Primary_snapshot'!$I$2:$I$92,MATCH(A20,'Primary_snapshot'!$A$2:$A$92,0))="NOT FROZEN",INDEX('Primary_snapshot'!$J$2:$J$92,MATCH(A20,'Primary_snapshot'!$A$2:$A$92,0))="NOT FROZEN",INDEX('Primary_snapshot'!$K$2:$K$92,MATCH(A20,'Primary_snapshot'!$A$2:$A$92,0))="NOT FROZEN",INDEX('Primary_snapshot'!$L$2:$L$92,MATCH(A20,'Primary_snapshot'!$A$2:$A$92,0))="NOT FROZEN"),"FREEZE SNAPSHOT",IF(NOT(OR(N20="agree",N20="agree_clarification",N20="disagree",N20="unable")),"CHECKER RESULT NEEDED",IF(AND(N20&lt;&gt;"agree",LEN(TRIM(O20))=0),"COMMENT NEEDED",IF(AND(N20="agree",NOT(AND(IF(D20="","",D20)=IF(INDEX('Primary_snapshot'!$B$2:$B$92,MATCH(A20,'Primary_snapshot'!$A$2:$A$92,0))="","",INDEX('Primary_snapshot'!$B$2:$B$92,MATCH(A20,'Primary_snapshot'!$A$2:$A$92,0))),IF(E20="","",E20)=IF(INDEX('Primary_snapshot'!$C$2:$C$92,MATCH(A20,'Primary_snapshot'!$A$2:$A$92,0))="","",INDEX('Primary_snapshot'!$C$2:$C$92,MATCH(A20,'Primary_snapshot'!$A$2:$A$92,0))),IF(AND(D20="retain",E20="statistical_results"),IF(H20="","",H20),"not_applicable")=IF(INDEX('Primary_snapshot'!$D$2:$D$92,MATCH(A20,'Primary_snapshot'!$A$2:$A$92,0))="","",INDEX('Primary_snapshot'!$D$2:$D$92,MATCH(A20,'Primary_snapshot'!$A$2:$A$92,0))),IF(AND(D20="retain",E20="statistical_results"),IF(I20="","",I20),"not_applicable")=IF(INDEX('Primary_snapshot'!$E$2:$E$92,MATCH(A20,'Primary_snapshot'!$A$2:$A$92,0))="","",INDEX('Primary_snapshot'!$E$2:$E$92,MATCH(A20,'Primary_snapshot'!$A$2:$A$92,0))),IF(AND(D20="retain",E20="statistical_results"),IF(J20="","",J20),"not_applicable")=IF(INDEX('Primary_snapshot'!$F$2:$F$92,MATCH(A20,'Primary_snapshot'!$A$2:$A$92,0))="","",INDEX('Primary_snapshot'!$F$2:$F$92,MATCH(A20,'Primary_snapshot'!$A$2:$A$92,0))),IF(AND(D20="retain",OR(E20="report_internal_inconsistency",E20="plan_material")),IF(K20="","",K20),"not_applicable")=IF(INDEX('Primary_snapshot'!$G$2:$G$92,MATCH(A20,'Primary_snapshot'!$A$2:$A$92,0))="","",INDEX('Primary_snapshot'!$G$2:$G$92,MATCH(A20,'Primary_snapshot'!$A$2:$A$92,0))),IF(AND(D20="retain",E20="protocol_report"),IF(L20="","",L20),"not_applicable")=IF(INDEX('Primary_snapshot'!$H$2:$H$92,MATCH(A20,'Primary_snapshot'!$A$2:$A$92,0))="","",INDEX('Primary_snapshot'!$H$2:$H$92,MATCH(A20,'Primary_snapshot'!$A$2:$A$92,0))),IF(R20="","",R20)=IF(INDEX('Primary_snapshot'!$I$2:$I$92,MATCH(A20,'Primary_snapshot'!$A$2:$A$92,0))="","",INDEX('Primary_snapshot'!$I$2:$I$92,MATCH(A20,'Primary_snapshot'!$A$2:$A$92,0)))))),"AGREE BUT CHANGED",IF(AND(P20&lt;&gt;"",NOT(OR(P20="pending",P20="resolved"))),"CHECK RESOLUTION",IF(OR(AND(OR(D20="discuss",INDEX('Primary_snapshot'!$B$2:$B$92,MATCH(A20,'Primary_snapshot'!$A$2:$A$92,0))="discuss",N20="disagree",N20="unable"),P20&lt;&gt;"resolved"),D20="discuss"),"DISCUSS",IF(AND(P20="resolved",LEN(TRIM(Q20))=0),"RESOLUTION NOTE NEEDED",IF(F20&lt;&gt;"checker_done","CHECKER DRAFT","FINAL READY")))))))))))))),"CHECK KEY / SNAPSHOT")</x:f>
        <x:v>CHECK REVIEWER IDs</x:v>
      </x:c>
      <x:c r="H20" s="7" t="str">
        <x:f>IF(AND(OR(D20="retain",D20=""),E20="statistical_results"),"","not_applicable")</x:f>
        <x:v>not_applicable</x:v>
      </x:c>
      <x:c r="I20" s="7" t="str">
        <x:f>IF(AND(OR(D20="retain",D20=""),E20="statistical_results"),"","not_applicable")</x:f>
        <x:v>not_applicable</x:v>
      </x:c>
      <x:c r="J20" s="13" t="str">
        <x:f>IF(AND(OR(D20="retain",D20=""),E20="statistical_results"),"","not_applicable")</x:f>
        <x:v>not_applicable</x:v>
      </x:c>
      <x:c r="K20" s="7" t="str">
        <x:f>IF(AND(OR(D20="retain",D20=""),OR(E20="report_internal_inconsistency",E20="plan_material")),"","not_applicable")</x:f>
      </x:c>
      <x:c r="L20" s="13" t="str">
        <x:f>IF(AND(OR(D20="retain",D20=""),E20="protocol_report"),"","not_applicable")</x:f>
        <x:v>not_applicable</x:v>
      </x:c>
      <x:c r="M20" s="6" t="str">
        <x:f>IF(Setup!$B$6="primary","",IFERROR(IF(INDEX('Primary_snapshot'!$L$2:$L$92,MATCH(A20,'Primary_snapshot'!$A$2:$A$92,0))="","",INDEX('Primary_snapshot'!$L$2:$L$92,MATCH(A20,'Primary_snapshot'!$A$2:$A$92,0))),"SNAPSHOT MISSING"))</x:f>
      </x:c>
      <x:c r="N20" s="7" t="str"/>
      <x:c r="O20" s="7" t="str"/>
      <x:c r="P20" s="7" t="str"/>
      <x:c r="Q20" s="7" t="str"/>
      <x:c r="R20" s="13" t="str"/>
    </x:row>
    <x:row r="21" ht="92" customHeight="1">
      <x:c r="A21" s="3" t="str">
        <x:v>2024::jama.2024.4183::C020</x:v>
      </x:c>
      <x:c r="B21" s="3" t="str">
        <x:v>Six-month abstainer narrative interval and direction do not reconcile with matched sources</x:v>
      </x:c>
      <x:c r="C21" s="3" t="str">
        <x:v>Supplement 2 p. 12; Supplement 2 p. 16; Supplement 2 p. 35.</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IDs",IF(OR(COUNTIF($A$2:$A$25,A21)&lt;&gt;1,COUNTIF(Decisions!$C$2:$C$92,A21)&lt;&gt;1),"CHECK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$92,A21)&lt;&gt;1,INDEX('Primary_snapshot'!$J$2:$J$92,MATCH(A21,'Primary_snapshot'!$A$2:$A$92,0))&lt;&gt;"primary_done",INDEX('Primary_snapshot'!$K$2:$K$92,MATCH(A21,'Primary_snapshot'!$A$2:$A$92,0))&lt;&gt;Setup!$B$2,INDEX('Primary_snapshot'!$B$2:$B$92,MATCH(A21,'Primary_snapshot'!$A$2:$A$92,0))="NOT FROZEN",INDEX('Primary_snapshot'!$C$2:$C$92,MATCH(A21,'Primary_snapshot'!$A$2:$A$92,0))="NOT FROZEN",INDEX('Primary_snapshot'!$D$2:$D$92,MATCH(A21,'Primary_snapshot'!$A$2:$A$92,0))="NOT FROZEN",INDEX('Primary_snapshot'!$E$2:$E$92,MATCH(A21,'Primary_snapshot'!$A$2:$A$92,0))="NOT FROZEN",INDEX('Primary_snapshot'!$F$2:$F$92,MATCH(A21,'Primary_snapshot'!$A$2:$A$92,0))="NOT FROZEN",INDEX('Primary_snapshot'!$G$2:$G$92,MATCH(A21,'Primary_snapshot'!$A$2:$A$92,0))="NOT FROZEN",INDEX('Primary_snapshot'!$H$2:$H$92,MATCH(A21,'Primary_snapshot'!$A$2:$A$92,0))="NOT FROZEN",INDEX('Primary_snapshot'!$I$2:$I$92,MATCH(A21,'Primary_snapshot'!$A$2:$A$92,0))="NOT FROZEN",INDEX('Primary_snapshot'!$J$2:$J$92,MATCH(A21,'Primary_snapshot'!$A$2:$A$92,0))="NOT FROZEN",INDEX('Primary_snapshot'!$K$2:$K$92,MATCH(A21,'Primary_snapshot'!$A$2:$A$92,0))="NOT FROZEN",INDEX('Primary_snapshot'!$L$2:$L$92,MATCH(A21,'Primary_snapshot'!$A$2:$A$92,0))="NOT FROZEN"),"FREEZE SNAPSHOT",IF(NOT(OR(N21="agree",N21="agree_clarification",N21="disagree",N21="unable")),"CHECKER RESULT NEEDED",IF(AND(N21&lt;&gt;"agree",LEN(TRIM(O21))=0),"COMMENT NEEDED",IF(AND(N21="agree",NOT(AND(IF(D21="","",D21)=IF(INDEX('Primary_snapshot'!$B$2:$B$92,MATCH(A21,'Primary_snapshot'!$A$2:$A$92,0))="","",INDEX('Primary_snapshot'!$B$2:$B$92,MATCH(A21,'Primary_snapshot'!$A$2:$A$92,0))),IF(E21="","",E21)=IF(INDEX('Primary_snapshot'!$C$2:$C$92,MATCH(A21,'Primary_snapshot'!$A$2:$A$92,0))="","",INDEX('Primary_snapshot'!$C$2:$C$92,MATCH(A21,'Primary_snapshot'!$A$2:$A$92,0))),IF(AND(D21="retain",E21="statistical_results"),IF(H21="","",H21),"not_applicable")=IF(INDEX('Primary_snapshot'!$D$2:$D$92,MATCH(A21,'Primary_snapshot'!$A$2:$A$92,0))="","",INDEX('Primary_snapshot'!$D$2:$D$92,MATCH(A21,'Primary_snapshot'!$A$2:$A$92,0))),IF(AND(D21="retain",E21="statistical_results"),IF(I21="","",I21),"not_applicable")=IF(INDEX('Primary_snapshot'!$E$2:$E$92,MATCH(A21,'Primary_snapshot'!$A$2:$A$92,0))="","",INDEX('Primary_snapshot'!$E$2:$E$92,MATCH(A21,'Primary_snapshot'!$A$2:$A$92,0))),IF(AND(D21="retain",E21="statistical_results"),IF(J21="","",J21),"not_applicable")=IF(INDEX('Primary_snapshot'!$F$2:$F$92,MATCH(A21,'Primary_snapshot'!$A$2:$A$92,0))="","",INDEX('Primary_snapshot'!$F$2:$F$92,MATCH(A21,'Primary_snapshot'!$A$2:$A$92,0))),IF(AND(D21="retain",OR(E21="report_internal_inconsistency",E21="plan_material")),IF(K21="","",K21),"not_applicable")=IF(INDEX('Primary_snapshot'!$G$2:$G$92,MATCH(A21,'Primary_snapshot'!$A$2:$A$92,0))="","",INDEX('Primary_snapshot'!$G$2:$G$92,MATCH(A21,'Primary_snapshot'!$A$2:$A$92,0))),IF(AND(D21="retain",E21="protocol_report"),IF(L21="","",L21),"not_applicable")=IF(INDEX('Primary_snapshot'!$H$2:$H$92,MATCH(A21,'Primary_snapshot'!$A$2:$A$92,0))="","",INDEX('Primary_snapshot'!$H$2:$H$92,MATCH(A21,'Primary_snapshot'!$A$2:$A$92,0))),IF(R21="","",R21)=IF(INDEX('Primary_snapshot'!$I$2:$I$92,MATCH(A21,'Primary_snapshot'!$A$2:$A$92,0))="","",INDEX('Primary_snapshot'!$I$2:$I$92,MATCH(A21,'Primary_snapshot'!$A$2:$A$92,0)))))),"AGREE BUT CHANGED",IF(AND(P21&lt;&gt;"",NOT(OR(P21="pending",P21="resolved"))),"CHECK RESOLUTION",IF(OR(AND(OR(D21="discuss",INDEX('Primary_snapshot'!$B$2:$B$92,MATCH(A21,'Primary_snapshot'!$A$2:$A$92,0))="discuss",N21="disagree",N21="unable"),P21&lt;&gt;"resolved"),D21="discuss"),"DISCUSS",IF(AND(P21="resolved",LEN(TRIM(Q21))=0),"RESOLUTION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IF(Setup!$B$6="primary","",IFERROR(IF(INDEX('Primary_snapshot'!$L$2:$L$92,MATCH(A21,'Primary_snapshot'!$A$2:$A$92,0))="","",INDEX('Primary_snapshot'!$L$2:$L$92,MATCH(A21,'Primary_snapshot'!$A$2:$A$92,0))),"SNAPSHOT MISSING"))</x:f>
      </x:c>
      <x:c r="N21" s="7" t="str"/>
      <x:c r="O21" s="7" t="str"/>
      <x:c r="P21" s="7" t="str"/>
      <x:c r="Q21" s="7" t="str"/>
      <x:c r="R21" s="13" t="str"/>
    </x:row>
    <x:row r="22" ht="92" customHeight="1">
      <x:c r="A22" s="6" t="str">
        <x:v>2024::jama.2024.4183::C021</x:v>
      </x:c>
      <x:c r="B22" s="6" t="str">
        <x:v>Phase-1-abstainer summary cross-reference does not directly identify the matched table</x:v>
      </x:c>
      <x:c r="C22" s="6" t="str">
        <x:v>Supplement 2 p. 10; Supplement 2 p. 34; Supplement 2 p. 35.</x:v>
      </x:c>
      <x:c r="D22" s="7" t="str"/>
      <x:c r="E22" s="7" t="str">
        <x:v>report_internal_inconsistency</x:v>
      </x:c>
      <x:c r="F22" s="7" t="str">
        <x:v>no</x:v>
      </x:c>
      <x:c r="G22" s="6" t="str">
        <x:f>IFERROR(IF(NOT(OR(Setup!$B$6="primary",Setup!$B$6="checker")),"CHECK STAGE",IF(OR(LEN(TRIM(Setup!$B$2))=0,Setup!$B$2&lt;&gt;TRIM(Setup!$B$2),AND(Setup!$B$6="checker",OR(LEN(TRIM(Setup!$B$4))=0,Setup!$B$4&lt;&gt;TRIM(Setup!$B$4),LOWER(TRIM(Setup!$B$4))=LOWER(TRIM(Setup!$B$2))))),"CHECK REVIEWER IDs",IF(OR(COUNTIF($A$2:$A$25,A22)&lt;&gt;1,COUNTIF(Decisions!$C$2:$C$92,A22)&lt;&gt;1),"CHECK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$92,A22)&lt;&gt;1,INDEX('Primary_snapshot'!$J$2:$J$92,MATCH(A22,'Primary_snapshot'!$A$2:$A$92,0))&lt;&gt;"primary_done",INDEX('Primary_snapshot'!$K$2:$K$92,MATCH(A22,'Primary_snapshot'!$A$2:$A$92,0))&lt;&gt;Setup!$B$2,INDEX('Primary_snapshot'!$B$2:$B$92,MATCH(A22,'Primary_snapshot'!$A$2:$A$92,0))="NOT FROZEN",INDEX('Primary_snapshot'!$C$2:$C$92,MATCH(A22,'Primary_snapshot'!$A$2:$A$92,0))="NOT FROZEN",INDEX('Primary_snapshot'!$D$2:$D$92,MATCH(A22,'Primary_snapshot'!$A$2:$A$92,0))="NOT FROZEN",INDEX('Primary_snapshot'!$E$2:$E$92,MATCH(A22,'Primary_snapshot'!$A$2:$A$92,0))="NOT FROZEN",INDEX('Primary_snapshot'!$F$2:$F$92,MATCH(A22,'Primary_snapshot'!$A$2:$A$92,0))="NOT FROZEN",INDEX('Primary_snapshot'!$G$2:$G$92,MATCH(A22,'Primary_snapshot'!$A$2:$A$92,0))="NOT FROZEN",INDEX('Primary_snapshot'!$H$2:$H$92,MATCH(A22,'Primary_snapshot'!$A$2:$A$92,0))="NOT FROZEN",INDEX('Primary_snapshot'!$I$2:$I$92,MATCH(A22,'Primary_snapshot'!$A$2:$A$92,0))="NOT FROZEN",INDEX('Primary_snapshot'!$J$2:$J$92,MATCH(A22,'Primary_snapshot'!$A$2:$A$92,0))="NOT FROZEN",INDEX('Primary_snapshot'!$K$2:$K$92,MATCH(A22,'Primary_snapshot'!$A$2:$A$92,0))="NOT FROZEN",INDEX('Primary_snapshot'!$L$2:$L$92,MATCH(A22,'Primary_snapshot'!$A$2:$A$92,0))="NOT FROZEN"),"FREEZE SNAPSHOT",IF(NOT(OR(N22="agree",N22="agree_clarification",N22="disagree",N22="unable")),"CHECKER RESULT NEEDED",IF(AND(N22&lt;&gt;"agree",LEN(TRIM(O22))=0),"COMMENT NEEDED",IF(AND(N22="agree",NOT(AND(IF(D22="","",D22)=IF(INDEX('Primary_snapshot'!$B$2:$B$92,MATCH(A22,'Primary_snapshot'!$A$2:$A$92,0))="","",INDEX('Primary_snapshot'!$B$2:$B$92,MATCH(A22,'Primary_snapshot'!$A$2:$A$92,0))),IF(E22="","",E22)=IF(INDEX('Primary_snapshot'!$C$2:$C$92,MATCH(A22,'Primary_snapshot'!$A$2:$A$92,0))="","",INDEX('Primary_snapshot'!$C$2:$C$92,MATCH(A22,'Primary_snapshot'!$A$2:$A$92,0))),IF(AND(D22="retain",E22="statistical_results"),IF(H22="","",H22),"not_applicable")=IF(INDEX('Primary_snapshot'!$D$2:$D$92,MATCH(A22,'Primary_snapshot'!$A$2:$A$92,0))="","",INDEX('Primary_snapshot'!$D$2:$D$92,MATCH(A22,'Primary_snapshot'!$A$2:$A$92,0))),IF(AND(D22="retain",E22="statistical_results"),IF(I22="","",I22),"not_applicable")=IF(INDEX('Primary_snapshot'!$E$2:$E$92,MATCH(A22,'Primary_snapshot'!$A$2:$A$92,0))="","",INDEX('Primary_snapshot'!$E$2:$E$92,MATCH(A22,'Primary_snapshot'!$A$2:$A$92,0))),IF(AND(D22="retain",E22="statistical_results"),IF(J22="","",J22),"not_applicable")=IF(INDEX('Primary_snapshot'!$F$2:$F$92,MATCH(A22,'Primary_snapshot'!$A$2:$A$92,0))="","",INDEX('Primary_snapshot'!$F$2:$F$92,MATCH(A22,'Primary_snapshot'!$A$2:$A$92,0))),IF(AND(D22="retain",OR(E22="report_internal_inconsistency",E22="plan_material")),IF(K22="","",K22),"not_applicable")=IF(INDEX('Primary_snapshot'!$G$2:$G$92,MATCH(A22,'Primary_snapshot'!$A$2:$A$92,0))="","",INDEX('Primary_snapshot'!$G$2:$G$92,MATCH(A22,'Primary_snapshot'!$A$2:$A$92,0))),IF(AND(D22="retain",E22="protocol_report"),IF(L22="","",L22),"not_applicable")=IF(INDEX('Primary_snapshot'!$H$2:$H$92,MATCH(A22,'Primary_snapshot'!$A$2:$A$92,0))="","",INDEX('Primary_snapshot'!$H$2:$H$92,MATCH(A22,'Primary_snapshot'!$A$2:$A$92,0))),IF(R22="","",R22)=IF(INDEX('Primary_snapshot'!$I$2:$I$92,MATCH(A22,'Primary_snapshot'!$A$2:$A$92,0))="","",INDEX('Primary_snapshot'!$I$2:$I$92,MATCH(A22,'Primary_snapshot'!$A$2:$A$92,0)))))),"AGREE BUT CHANGED",IF(AND(P22&lt;&gt;"",NOT(OR(P22="pending",P22="resolved"))),"CHECK RESOLUTION",IF(OR(AND(OR(D22="discuss",INDEX('Primary_snapshot'!$B$2:$B$92,MATCH(A22,'Primary_snapshot'!$A$2:$A$92,0))="discuss",N22="disagree",N22="unable"),P22&lt;&gt;"resolved"),D22="discuss"),"DISCUSS",IF(AND(P22="resolved",LEN(TRIM(Q22))=0),"RESOLUTION NOTE NEEDED",IF(F22&lt;&gt;"checker_done","CHECKER DRAFT","FINAL READY")))))))))))))),"CHECK KEY / SNAPSHOT")</x:f>
        <x:v>CHECK REVIEWER IDs</x:v>
      </x:c>
      <x:c r="H22" s="7" t="str">
        <x:f>IF(AND(OR(D22="retain",D22=""),E22="statistical_results"),"","not_applicable")</x:f>
        <x:v>not_applicable</x:v>
      </x:c>
      <x:c r="I22" s="7" t="str">
        <x:f>IF(AND(OR(D22="retain",D22=""),E22="statistical_results"),"","not_applicable")</x:f>
        <x:v>not_applicable</x:v>
      </x:c>
      <x:c r="J22" s="13" t="str">
        <x:f>IF(AND(OR(D22="retain",D22=""),E22="statistical_results"),"","not_applicable")</x:f>
        <x:v>not_applicable</x:v>
      </x:c>
      <x:c r="K22" s="7" t="str">
        <x:f>IF(AND(OR(D22="retain",D22=""),OR(E22="report_internal_inconsistency",E22="plan_material")),"","not_applicable")</x:f>
      </x:c>
      <x:c r="L22" s="13" t="str">
        <x:f>IF(AND(OR(D22="retain",D22=""),E22="protocol_report"),"","not_applicable")</x:f>
        <x:v>not_applicable</x:v>
      </x:c>
      <x:c r="M22" s="6" t="str">
        <x:f>IF(Setup!$B$6="primary","",IFERROR(IF(INDEX('Primary_snapshot'!$L$2:$L$92,MATCH(A22,'Primary_snapshot'!$A$2:$A$92,0))="","",INDEX('Primary_snapshot'!$L$2:$L$92,MATCH(A22,'Primary_snapshot'!$A$2:$A$92,0))),"SNAPSHOT MISSING"))</x:f>
      </x:c>
      <x:c r="N22" s="7" t="str"/>
      <x:c r="O22" s="7" t="str"/>
      <x:c r="P22" s="7" t="str"/>
      <x:c r="Q22" s="7" t="str"/>
      <x:c r="R22" s="13" t="str"/>
    </x:row>
    <x:row r="23" ht="92" customHeight="1">
      <x:c r="A23" s="3" t="str">
        <x:v>2024::jama.2024.4183::C022</x:v>
      </x:c>
      <x:c r="B23" s="3" t="str">
        <x:v>Six-month VAR-plus-versus-switch cross-reference does not directly identify the matched table</x:v>
      </x:c>
      <x:c r="C23" s="3" t="str">
        <x:v>Supplement 2 p. 12; Supplement 2 p. 33; Supplement 2 p. 34.</x:v>
      </x:c>
      <x:c r="D23" s="7" t="str"/>
      <x:c r="E23" s="7" t="str">
        <x:v>report_internal_inconsistency</x:v>
      </x:c>
      <x:c r="F23" s="7" t="str">
        <x:v>no</x:v>
      </x:c>
      <x:c r="G23" s="3" t="str">
        <x:f>IFERROR(IF(NOT(OR(Setup!$B$6="primary",Setup!$B$6="checker")),"CHECK STAGE",IF(OR(LEN(TRIM(Setup!$B$2))=0,Setup!$B$2&lt;&gt;TRIM(Setup!$B$2),AND(Setup!$B$6="checker",OR(LEN(TRIM(Setup!$B$4))=0,Setup!$B$4&lt;&gt;TRIM(Setup!$B$4),LOWER(TRIM(Setup!$B$4))=LOWER(TRIM(Setup!$B$2))))),"CHECK REVIEWER IDs",IF(OR(COUNTIF($A$2:$A$25,A23)&lt;&gt;1,COUNTIF(Decisions!$C$2:$C$92,A23)&lt;&gt;1),"CHECK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$92,A23)&lt;&gt;1,INDEX('Primary_snapshot'!$J$2:$J$92,MATCH(A23,'Primary_snapshot'!$A$2:$A$92,0))&lt;&gt;"primary_done",INDEX('Primary_snapshot'!$K$2:$K$92,MATCH(A23,'Primary_snapshot'!$A$2:$A$92,0))&lt;&gt;Setup!$B$2,INDEX('Primary_snapshot'!$B$2:$B$92,MATCH(A23,'Primary_snapshot'!$A$2:$A$92,0))="NOT FROZEN",INDEX('Primary_snapshot'!$C$2:$C$92,MATCH(A23,'Primary_snapshot'!$A$2:$A$92,0))="NOT FROZEN",INDEX('Primary_snapshot'!$D$2:$D$92,MATCH(A23,'Primary_snapshot'!$A$2:$A$92,0))="NOT FROZEN",INDEX('Primary_snapshot'!$E$2:$E$92,MATCH(A23,'Primary_snapshot'!$A$2:$A$92,0))="NOT FROZEN",INDEX('Primary_snapshot'!$F$2:$F$92,MATCH(A23,'Primary_snapshot'!$A$2:$A$92,0))="NOT FROZEN",INDEX('Primary_snapshot'!$G$2:$G$92,MATCH(A23,'Primary_snapshot'!$A$2:$A$92,0))="NOT FROZEN",INDEX('Primary_snapshot'!$H$2:$H$92,MATCH(A23,'Primary_snapshot'!$A$2:$A$92,0))="NOT FROZEN",INDEX('Primary_snapshot'!$I$2:$I$92,MATCH(A23,'Primary_snapshot'!$A$2:$A$92,0))="NOT FROZEN",INDEX('Primary_snapshot'!$J$2:$J$92,MATCH(A23,'Primary_snapshot'!$A$2:$A$92,0))="NOT FROZEN",INDEX('Primary_snapshot'!$K$2:$K$92,MATCH(A23,'Primary_snapshot'!$A$2:$A$92,0))="NOT FROZEN",INDEX('Primary_snapshot'!$L$2:$L$92,MATCH(A23,'Primary_snapshot'!$A$2:$A$92,0))="NOT FROZEN"),"FREEZE SNAPSHOT",IF(NOT(OR(N23="agree",N23="agree_clarification",N23="disagree",N23="unable")),"CHECKER RESULT NEEDED",IF(AND(N23&lt;&gt;"agree",LEN(TRIM(O23))=0),"COMMENT NEEDED",IF(AND(N23="agree",NOT(AND(IF(D23="","",D23)=IF(INDEX('Primary_snapshot'!$B$2:$B$92,MATCH(A23,'Primary_snapshot'!$A$2:$A$92,0))="","",INDEX('Primary_snapshot'!$B$2:$B$92,MATCH(A23,'Primary_snapshot'!$A$2:$A$92,0))),IF(E23="","",E23)=IF(INDEX('Primary_snapshot'!$C$2:$C$92,MATCH(A23,'Primary_snapshot'!$A$2:$A$92,0))="","",INDEX('Primary_snapshot'!$C$2:$C$92,MATCH(A23,'Primary_snapshot'!$A$2:$A$92,0))),IF(AND(D23="retain",E23="statistical_results"),IF(H23="","",H23),"not_applicable")=IF(INDEX('Primary_snapshot'!$D$2:$D$92,MATCH(A23,'Primary_snapshot'!$A$2:$A$92,0))="","",INDEX('Primary_snapshot'!$D$2:$D$92,MATCH(A23,'Primary_snapshot'!$A$2:$A$92,0))),IF(AND(D23="retain",E23="statistical_results"),IF(I23="","",I23),"not_applicable")=IF(INDEX('Primary_snapshot'!$E$2:$E$92,MATCH(A23,'Primary_snapshot'!$A$2:$A$92,0))="","",INDEX('Primary_snapshot'!$E$2:$E$92,MATCH(A23,'Primary_snapshot'!$A$2:$A$92,0))),IF(AND(D23="retain",E23="statistical_results"),IF(J23="","",J23),"not_applicable")=IF(INDEX('Primary_snapshot'!$F$2:$F$92,MATCH(A23,'Primary_snapshot'!$A$2:$A$92,0))="","",INDEX('Primary_snapshot'!$F$2:$F$92,MATCH(A23,'Primary_snapshot'!$A$2:$A$92,0))),IF(AND(D23="retain",OR(E23="report_internal_inconsistency",E23="plan_material")),IF(K23="","",K23),"not_applicable")=IF(INDEX('Primary_snapshot'!$G$2:$G$92,MATCH(A23,'Primary_snapshot'!$A$2:$A$92,0))="","",INDEX('Primary_snapshot'!$G$2:$G$92,MATCH(A23,'Primary_snapshot'!$A$2:$A$92,0))),IF(AND(D23="retain",E23="protocol_report"),IF(L23="","",L23),"not_applicable")=IF(INDEX('Primary_snapshot'!$H$2:$H$92,MATCH(A23,'Primary_snapshot'!$A$2:$A$92,0))="","",INDEX('Primary_snapshot'!$H$2:$H$92,MATCH(A23,'Primary_snapshot'!$A$2:$A$92,0))),IF(R23="","",R23)=IF(INDEX('Primary_snapshot'!$I$2:$I$92,MATCH(A23,'Primary_snapshot'!$A$2:$A$92,0))="","",INDEX('Primary_snapshot'!$I$2:$I$92,MATCH(A23,'Primary_snapshot'!$A$2:$A$92,0)))))),"AGREE BUT CHANGED",IF(AND(P23&lt;&gt;"",NOT(OR(P23="pending",P23="resolved"))),"CHECK RESOLUTION",IF(OR(AND(OR(D23="discuss",INDEX('Primary_snapshot'!$B$2:$B$92,MATCH(A23,'Primary_snapshot'!$A$2:$A$92,0))="discuss",N23="disagree",N23="unable"),P23&lt;&gt;"resolved"),D23="discuss"),"DISCUSS",IF(AND(P23="resolved",LEN(TRIM(Q23))=0),"RESOLUTION NOTE NEEDED",IF(F23&lt;&gt;"checker_done","CHECKER DRAFT","FINAL READY")))))))))))))),"CHECK KEY / SNAPSHOT")</x:f>
        <x:v>CHECK REVIEWER IDs</x:v>
      </x:c>
      <x:c r="H23" s="7" t="str">
        <x:f>IF(AND(OR(D23="retain",D23=""),E23="statistical_results"),"","not_applicable")</x:f>
        <x:v>not_applicable</x:v>
      </x:c>
      <x:c r="I23" s="7" t="str">
        <x:f>IF(AND(OR(D23="retain",D23=""),E23="statistical_results"),"","not_applicable")</x:f>
        <x:v>not_applicable</x:v>
      </x:c>
      <x:c r="J23" s="13" t="str">
        <x:f>IF(AND(OR(D23="retain",D23=""),E23="statistical_results"),"","not_applicable")</x:f>
        <x:v>not_applicable</x:v>
      </x:c>
      <x:c r="K23" s="7" t="str">
        <x:f>IF(AND(OR(D23="retain",D23=""),OR(E23="report_internal_inconsistency",E23="plan_material")),"","not_applicable")</x:f>
      </x:c>
      <x:c r="L23" s="13" t="str">
        <x:f>IF(AND(OR(D23="retain",D23=""),E23="protocol_report"),"","not_applicable")</x:f>
        <x:v>not_applicable</x:v>
      </x:c>
      <x:c r="M23" s="3" t="str">
        <x:f>IF(Setup!$B$6="primary","",IFERROR(IF(INDEX('Primary_snapshot'!$L$2:$L$92,MATCH(A23,'Primary_snapshot'!$A$2:$A$92,0))="","",INDEX('Primary_snapshot'!$L$2:$L$92,MATCH(A23,'Primary_snapshot'!$A$2:$A$92,0))),"SNAPSHOT MISSING"))</x:f>
      </x:c>
      <x:c r="N23" s="7" t="str"/>
      <x:c r="O23" s="7" t="str"/>
      <x:c r="P23" s="7" t="str"/>
      <x:c r="Q23" s="7" t="str"/>
      <x:c r="R23" s="13" t="str"/>
    </x:row>
    <x:row r="24" ht="92" customHeight="1">
      <x:c r="A24" s="6" t="str">
        <x:v>2024::jama.2024.4183::C023</x:v>
      </x:c>
      <x:c r="B24" s="6" t="str">
        <x:v>ETable 3 employment value order differs from declared n (%)</x:v>
      </x:c>
      <x:c r="C24" s="6" t="str">
        <x:v>Supplement 2 p. 19, ETable 3.</x:v>
      </x:c>
      <x:c r="D24" s="7" t="str"/>
      <x:c r="E24" s="7" t="str">
        <x:v>report_internal_inconsistency</x:v>
      </x:c>
      <x:c r="F24" s="7" t="str">
        <x:v>no</x:v>
      </x:c>
      <x:c r="G24" s="6" t="str">
        <x:f>IFERROR(IF(NOT(OR(Setup!$B$6="primary",Setup!$B$6="checker")),"CHECK STAGE",IF(OR(LEN(TRIM(Setup!$B$2))=0,Setup!$B$2&lt;&gt;TRIM(Setup!$B$2),AND(Setup!$B$6="checker",OR(LEN(TRIM(Setup!$B$4))=0,Setup!$B$4&lt;&gt;TRIM(Setup!$B$4),LOWER(TRIM(Setup!$B$4))=LOWER(TRIM(Setup!$B$2))))),"CHECK REVIEWER IDs",IF(OR(COUNTIF($A$2:$A$25,A24)&lt;&gt;1,COUNTIF(Decisions!$C$2:$C$92,A24)&lt;&gt;1),"CHECK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$92,A24)&lt;&gt;1,INDEX('Primary_snapshot'!$J$2:$J$92,MATCH(A24,'Primary_snapshot'!$A$2:$A$92,0))&lt;&gt;"primary_done",INDEX('Primary_snapshot'!$K$2:$K$92,MATCH(A24,'Primary_snapshot'!$A$2:$A$92,0))&lt;&gt;Setup!$B$2,INDEX('Primary_snapshot'!$B$2:$B$92,MATCH(A24,'Primary_snapshot'!$A$2:$A$92,0))="NOT FROZEN",INDEX('Primary_snapshot'!$C$2:$C$92,MATCH(A24,'Primary_snapshot'!$A$2:$A$92,0))="NOT FROZEN",INDEX('Primary_snapshot'!$D$2:$D$92,MATCH(A24,'Primary_snapshot'!$A$2:$A$92,0))="NOT FROZEN",INDEX('Primary_snapshot'!$E$2:$E$92,MATCH(A24,'Primary_snapshot'!$A$2:$A$92,0))="NOT FROZEN",INDEX('Primary_snapshot'!$F$2:$F$92,MATCH(A24,'Primary_snapshot'!$A$2:$A$92,0))="NOT FROZEN",INDEX('Primary_snapshot'!$G$2:$G$92,MATCH(A24,'Primary_snapshot'!$A$2:$A$92,0))="NOT FROZEN",INDEX('Primary_snapshot'!$H$2:$H$92,MATCH(A24,'Primary_snapshot'!$A$2:$A$92,0))="NOT FROZEN",INDEX('Primary_snapshot'!$I$2:$I$92,MATCH(A24,'Primary_snapshot'!$A$2:$A$92,0))="NOT FROZEN",INDEX('Primary_snapshot'!$J$2:$J$92,MATCH(A24,'Primary_snapshot'!$A$2:$A$92,0))="NOT FROZEN",INDEX('Primary_snapshot'!$K$2:$K$92,MATCH(A24,'Primary_snapshot'!$A$2:$A$92,0))="NOT FROZEN",INDEX('Primary_snapshot'!$L$2:$L$92,MATCH(A24,'Primary_snapshot'!$A$2:$A$92,0))="NOT FROZEN"),"FREEZE SNAPSHOT",IF(NOT(OR(N24="agree",N24="agree_clarification",N24="disagree",N24="unable")),"CHECKER RESULT NEEDED",IF(AND(N24&lt;&gt;"agree",LEN(TRIM(O24))=0),"COMMENT NEEDED",IF(AND(N24="agree",NOT(AND(IF(D24="","",D24)=IF(INDEX('Primary_snapshot'!$B$2:$B$92,MATCH(A24,'Primary_snapshot'!$A$2:$A$92,0))="","",INDEX('Primary_snapshot'!$B$2:$B$92,MATCH(A24,'Primary_snapshot'!$A$2:$A$92,0))),IF(E24="","",E24)=IF(INDEX('Primary_snapshot'!$C$2:$C$92,MATCH(A24,'Primary_snapshot'!$A$2:$A$92,0))="","",INDEX('Primary_snapshot'!$C$2:$C$92,MATCH(A24,'Primary_snapshot'!$A$2:$A$92,0))),IF(AND(D24="retain",E24="statistical_results"),IF(H24="","",H24),"not_applicable")=IF(INDEX('Primary_snapshot'!$D$2:$D$92,MATCH(A24,'Primary_snapshot'!$A$2:$A$92,0))="","",INDEX('Primary_snapshot'!$D$2:$D$92,MATCH(A24,'Primary_snapshot'!$A$2:$A$92,0))),IF(AND(D24="retain",E24="statistical_results"),IF(I24="","",I24),"not_applicable")=IF(INDEX('Primary_snapshot'!$E$2:$E$92,MATCH(A24,'Primary_snapshot'!$A$2:$A$92,0))="","",INDEX('Primary_snapshot'!$E$2:$E$92,MATCH(A24,'Primary_snapshot'!$A$2:$A$92,0))),IF(AND(D24="retain",E24="statistical_results"),IF(J24="","",J24),"not_applicable")=IF(INDEX('Primary_snapshot'!$F$2:$F$92,MATCH(A24,'Primary_snapshot'!$A$2:$A$92,0))="","",INDEX('Primary_snapshot'!$F$2:$F$92,MATCH(A24,'Primary_snapshot'!$A$2:$A$92,0))),IF(AND(D24="retain",OR(E24="report_internal_inconsistency",E24="plan_material")),IF(K24="","",K24),"not_applicable")=IF(INDEX('Primary_snapshot'!$G$2:$G$92,MATCH(A24,'Primary_snapshot'!$A$2:$A$92,0))="","",INDEX('Primary_snapshot'!$G$2:$G$92,MATCH(A24,'Primary_snapshot'!$A$2:$A$92,0))),IF(AND(D24="retain",E24="protocol_report"),IF(L24="","",L24),"not_applicable")=IF(INDEX('Primary_snapshot'!$H$2:$H$92,MATCH(A24,'Primary_snapshot'!$A$2:$A$92,0))="","",INDEX('Primary_snapshot'!$H$2:$H$92,MATCH(A24,'Primary_snapshot'!$A$2:$A$92,0))),IF(R24="","",R24)=IF(INDEX('Primary_snapshot'!$I$2:$I$92,MATCH(A24,'Primary_snapshot'!$A$2:$A$92,0))="","",INDEX('Primary_snapshot'!$I$2:$I$92,MATCH(A24,'Primary_snapshot'!$A$2:$A$92,0)))))),"AGREE BUT CHANGED",IF(AND(P24&lt;&gt;"",NOT(OR(P24="pending",P24="resolved"))),"CHECK RESOLUTION",IF(OR(AND(OR(D24="discuss",INDEX('Primary_snapshot'!$B$2:$B$92,MATCH(A24,'Primary_snapshot'!$A$2:$A$92,0))="discuss",N24="disagree",N24="unable"),P24&lt;&gt;"resolved"),D24="discuss"),"DISCUSS",IF(AND(P24="resolved",LEN(TRIM(Q24))=0),"RESOLUTION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c>
      <x:c r="L24" s="13" t="str">
        <x:f>IF(AND(OR(D24="retain",D24=""),E24="protocol_report"),"","not_applicable")</x:f>
        <x:v>not_applicable</x:v>
      </x:c>
      <x:c r="M24" s="6" t="str">
        <x:f>IF(Setup!$B$6="primary","",IFERROR(IF(INDEX('Primary_snapshot'!$L$2:$L$92,MATCH(A24,'Primary_snapshot'!$A$2:$A$92,0))="","",INDEX('Primary_snapshot'!$L$2:$L$92,MATCH(A24,'Primary_snapshot'!$A$2:$A$92,0))),"SNAPSHOT MISSING"))</x:f>
      </x:c>
      <x:c r="N24" s="7" t="str"/>
      <x:c r="O24" s="7" t="str"/>
      <x:c r="P24" s="7" t="str"/>
      <x:c r="Q24" s="7" t="str"/>
      <x:c r="R24" s="13" t="str"/>
    </x:row>
    <x:row r="25" ht="92" customHeight="1">
      <x:c r="A25" s="3" t="str">
        <x:v>2024::jama.2024.4183::C024</x:v>
      </x:c>
      <x:c r="B25" s="3" t="str">
        <x:v>ETable 3 employment totals do not close to two printed column Ns</x:v>
      </x:c>
      <x:c r="C25" s="3" t="str">
        <x:v>Supplement 2 p. 19, ETable 3.</x:v>
      </x:c>
      <x:c r="D25" s="7" t="str"/>
      <x:c r="E25" s="7" t="str">
        <x:v>statistical_results</x:v>
      </x:c>
      <x:c r="F25" s="7" t="str">
        <x:v>no</x:v>
      </x:c>
      <x:c r="G25" s="3" t="str">
        <x:f>IFERROR(IF(NOT(OR(Setup!$B$6="primary",Setup!$B$6="checker")),"CHECK STAGE",IF(OR(LEN(TRIM(Setup!$B$2))=0,Setup!$B$2&lt;&gt;TRIM(Setup!$B$2),AND(Setup!$B$6="checker",OR(LEN(TRIM(Setup!$B$4))=0,Setup!$B$4&lt;&gt;TRIM(Setup!$B$4),LOWER(TRIM(Setup!$B$4))=LOWER(TRIM(Setup!$B$2))))),"CHECK REVIEWER IDs",IF(OR(COUNTIF($A$2:$A$25,A25)&lt;&gt;1,COUNTIF(Decisions!$C$2:$C$92,A25)&lt;&gt;1),"CHECK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$92,A25)&lt;&gt;1,INDEX('Primary_snapshot'!$J$2:$J$92,MATCH(A25,'Primary_snapshot'!$A$2:$A$92,0))&lt;&gt;"primary_done",INDEX('Primary_snapshot'!$K$2:$K$92,MATCH(A25,'Primary_snapshot'!$A$2:$A$92,0))&lt;&gt;Setup!$B$2,INDEX('Primary_snapshot'!$B$2:$B$92,MATCH(A25,'Primary_snapshot'!$A$2:$A$92,0))="NOT FROZEN",INDEX('Primary_snapshot'!$C$2:$C$92,MATCH(A25,'Primary_snapshot'!$A$2:$A$92,0))="NOT FROZEN",INDEX('Primary_snapshot'!$D$2:$D$92,MATCH(A25,'Primary_snapshot'!$A$2:$A$92,0))="NOT FROZEN",INDEX('Primary_snapshot'!$E$2:$E$92,MATCH(A25,'Primary_snapshot'!$A$2:$A$92,0))="NOT FROZEN",INDEX('Primary_snapshot'!$F$2:$F$92,MATCH(A25,'Primary_snapshot'!$A$2:$A$92,0))="NOT FROZEN",INDEX('Primary_snapshot'!$G$2:$G$92,MATCH(A25,'Primary_snapshot'!$A$2:$A$92,0))="NOT FROZEN",INDEX('Primary_snapshot'!$H$2:$H$92,MATCH(A25,'Primary_snapshot'!$A$2:$A$92,0))="NOT FROZEN",INDEX('Primary_snapshot'!$I$2:$I$92,MATCH(A25,'Primary_snapshot'!$A$2:$A$92,0))="NOT FROZEN",INDEX('Primary_snapshot'!$J$2:$J$92,MATCH(A25,'Primary_snapshot'!$A$2:$A$92,0))="NOT FROZEN",INDEX('Primary_snapshot'!$K$2:$K$92,MATCH(A25,'Primary_snapshot'!$A$2:$A$92,0))="NOT FROZEN",INDEX('Primary_snapshot'!$L$2:$L$92,MATCH(A25,'Primary_snapshot'!$A$2:$A$92,0))="NOT FROZEN"),"FREEZE SNAPSHOT",IF(NOT(OR(N25="agree",N25="agree_clarification",N25="disagree",N25="unable")),"CHECKER RESULT NEEDED",IF(AND(N25&lt;&gt;"agree",LEN(TRIM(O25))=0),"COMMENT NEEDED",IF(AND(N25="agree",NOT(AND(IF(D25="","",D25)=IF(INDEX('Primary_snapshot'!$B$2:$B$92,MATCH(A25,'Primary_snapshot'!$A$2:$A$92,0))="","",INDEX('Primary_snapshot'!$B$2:$B$92,MATCH(A25,'Primary_snapshot'!$A$2:$A$92,0))),IF(E25="","",E25)=IF(INDEX('Primary_snapshot'!$C$2:$C$92,MATCH(A25,'Primary_snapshot'!$A$2:$A$92,0))="","",INDEX('Primary_snapshot'!$C$2:$C$92,MATCH(A25,'Primary_snapshot'!$A$2:$A$92,0))),IF(AND(D25="retain",E25="statistical_results"),IF(H25="","",H25),"not_applicable")=IF(INDEX('Primary_snapshot'!$D$2:$D$92,MATCH(A25,'Primary_snapshot'!$A$2:$A$92,0))="","",INDEX('Primary_snapshot'!$D$2:$D$92,MATCH(A25,'Primary_snapshot'!$A$2:$A$92,0))),IF(AND(D25="retain",E25="statistical_results"),IF(I25="","",I25),"not_applicable")=IF(INDEX('Primary_snapshot'!$E$2:$E$92,MATCH(A25,'Primary_snapshot'!$A$2:$A$92,0))="","",INDEX('Primary_snapshot'!$E$2:$E$92,MATCH(A25,'Primary_snapshot'!$A$2:$A$92,0))),IF(AND(D25="retain",E25="statistical_results"),IF(J25="","",J25),"not_applicable")=IF(INDEX('Primary_snapshot'!$F$2:$F$92,MATCH(A25,'Primary_snapshot'!$A$2:$A$92,0))="","",INDEX('Primary_snapshot'!$F$2:$F$92,MATCH(A25,'Primary_snapshot'!$A$2:$A$92,0))),IF(AND(D25="retain",OR(E25="report_internal_inconsistency",E25="plan_material")),IF(K25="","",K25),"not_applicable")=IF(INDEX('Primary_snapshot'!$G$2:$G$92,MATCH(A25,'Primary_snapshot'!$A$2:$A$92,0))="","",INDEX('Primary_snapshot'!$G$2:$G$92,MATCH(A25,'Primary_snapshot'!$A$2:$A$92,0))),IF(AND(D25="retain",E25="protocol_report"),IF(L25="","",L25),"not_applicable")=IF(INDEX('Primary_snapshot'!$H$2:$H$92,MATCH(A25,'Primary_snapshot'!$A$2:$A$92,0))="","",INDEX('Primary_snapshot'!$H$2:$H$92,MATCH(A25,'Primary_snapshot'!$A$2:$A$92,0))),IF(R25="","",R25)=IF(INDEX('Primary_snapshot'!$I$2:$I$92,MATCH(A25,'Primary_snapshot'!$A$2:$A$92,0))="","",INDEX('Primary_snapshot'!$I$2:$I$92,MATCH(A25,'Primary_snapshot'!$A$2:$A$92,0)))))),"AGREE BUT CHANGED",IF(AND(P25&lt;&gt;"",NOT(OR(P25="pending",P25="resolved"))),"CHECK RESOLUTION",IF(OR(AND(OR(D25="discuss",INDEX('Primary_snapshot'!$B$2:$B$92,MATCH(A25,'Primary_snapshot'!$A$2:$A$92,0))="discuss",N25="disagree",N25="unable"),P25&lt;&gt;"resolved"),D25="discuss"),"DISCUSS",IF(AND(P25="resolved",LEN(TRIM(Q25))=0),"RESOLUTION NOTE NEEDED",IF(F25&lt;&gt;"checker_done","CHECKER DRAFT","FINAL READY")))))))))))))),"CHECK KEY / SNAPSHOT")</x:f>
        <x:v>CHECK REVIEWER IDs</x:v>
      </x:c>
      <x:c r="H25" s="7" t="str">
        <x:f>IF(AND(OR(D25="retain",D25=""),E25="statistical_results"),"","not_applicable")</x:f>
      </x:c>
      <x:c r="I25" s="7" t="str">
        <x:f>IF(AND(OR(D25="retain",D25=""),E25="statistical_results"),"","not_applicable")</x:f>
      </x:c>
      <x:c r="J25" s="13" t="str">
        <x:f>IF(AND(OR(D25="retain",D25=""),E25="statistical_results"),"","not_applicable")</x:f>
      </x:c>
      <x:c r="K25" s="7" t="str">
        <x:f>IF(AND(OR(D25="retain",D25=""),OR(E25="report_internal_inconsistency",E25="plan_material")),"","not_applicable")</x:f>
        <x:v>not_applicable</x:v>
      </x:c>
      <x:c r="L25" s="13" t="str">
        <x:f>IF(AND(OR(D25="retain",D25=""),E25="protocol_report"),"","not_applicable")</x:f>
        <x:v>not_applicable</x:v>
      </x:c>
      <x:c r="M25" s="3" t="str">
        <x:f>IF(Setup!$B$6="primary","",IFERROR(IF(INDEX('Primary_snapshot'!$L$2:$L$92,MATCH(A25,'Primary_snapshot'!$A$2:$A$92,0))="","",INDEX('Primary_snapshot'!$L$2:$L$92,MATCH(A25,'Primary_snapshot'!$A$2:$A$92,0))),"SNAPSHOT MISSING"))</x:f>
      </x:c>
      <x:c r="N25" s="7" t="str"/>
      <x:c r="O25" s="7" t="str"/>
      <x:c r="P25" s="7" t="str"/>
      <x:c r="Q25" s="7" t="str"/>
      <x:c r="R25" s="13" t="str"/>
    </x:row>
  </x:sheetData>
  <x:conditionalFormatting sqref="G2:G25">
    <x:cfRule type="expression" dxfId="56" priority="1">
      <x:formula>AND(G2&lt;&gt;"PRIMARY READY",G2&lt;&gt;"FINAL READY")</x:formula>
    </x:cfRule>
  </x:conditionalFormatting>
  <x:conditionalFormatting sqref="N2:Q25">
    <x:cfRule type="expression" dxfId="57" priority="2">
      <x:formula>Setup!$B$6="primary"</x:formula>
    </x:cfRule>
  </x:conditionalFormatting>
  <x:conditionalFormatting sqref="H2:H25">
    <x:cfRule type="expression" dxfId="58" priority="3">
      <x:formula>NOT(AND(OR($D2="retain",$D2=""),$E2="statistical_results"))</x:formula>
    </x:cfRule>
  </x:conditionalFormatting>
  <x:conditionalFormatting sqref="I2:I25">
    <x:cfRule type="expression" dxfId="59" priority="4">
      <x:formula>NOT(AND(OR($D2="retain",$D2=""),$E2="statistical_results"))</x:formula>
    </x:cfRule>
  </x:conditionalFormatting>
  <x:conditionalFormatting sqref="J2:J25">
    <x:cfRule type="expression" dxfId="60" priority="5">
      <x:formula>NOT(AND(OR($D2="retain",$D2=""),$E2="statistical_results"))</x:formula>
    </x:cfRule>
  </x:conditionalFormatting>
  <x:conditionalFormatting sqref="K2:K25">
    <x:cfRule type="expression" dxfId="61" priority="6">
      <x:formula>NOT(AND(OR($D2="retain",$D2=""),OR($E2="report_internal_inconsistency",$E2="plan_material")))</x:formula>
    </x:cfRule>
  </x:conditionalFormatting>
  <x:conditionalFormatting sqref="L2:L25">
    <x:cfRule type="expression" dxfId="62" priority="7">
      <x:formula>NOT(AND(OR($D2="retain",$D2=""),$E2="protocol_report"))</x:formula>
    </x:cfRule>
  </x:conditionalFormatting>
  <x:dataValidations count="10">
    <x:dataValidation type="list" sqref="D2:D25">
      <x:formula1>"retain,exclude,discuss"</x:formula1>
    </x:dataValidation>
    <x:dataValidation type="list" sqref="E2:E25">
      <x:formula1>"statistical_results,report_internal_inconsistency,plan_material,protocol_report"</x:formula1>
    </x:dataValidation>
    <x:dataValidation type="list" sqref="F2:F25">
      <x:formula1>"no,primary_done,checker_done"</x:formula1>
    </x:dataValidation>
    <x:dataValidation type="list" sqref="H2:H25">
      <x:formula1>"confirmed_issue,probable_issue,not_issue,indeterminate,not_applicable"</x:formula1>
    </x:dataValidation>
    <x:dataValidation type="list" sqref="I2:I25">
      <x:formula1>"substantive,minor_presentation,indeterminate,not_applicable"</x:formula1>
    </x:dataValidation>
    <x:dataValidation type="list" sqref="J2:J25">
      <x:formula1>"direct,possible,unlikely,unknown,not_applicable"</x:formula1>
    </x:dataValidation>
    <x:dataValidation type="list" sqref="K2:K25">
      <x:formula1>"substantive_inconsistency,minor_presentation,non_inconsistency,indeterminate,not_applicable"</x:formula1>
    </x:dataValidation>
    <x:dataValidation type="list" sqref="L2:L25">
      <x:formula1>"substantive_difference,minor_presentation,version_timing,non_inconsistency,indeterminate,not_applicable"</x:formula1>
    </x:dataValidation>
    <x:dataValidation type="list" sqref="N2:N25">
      <x:formula1>"agree,agree_clarification,disagree,unable"</x:formula1>
    </x:dataValidation>
    <x:dataValidation type="list" sqref="P2:P25">
      <x:formula1>"pending,resolved"</x:formula1>
    </x:dataValidation>
  </x:dataValidations>
  <x:pageMargins left="0.7" right="0.7" top="0.75" bottom="0.75" header="0.3" footer="0.3"/>
  <x:tableParts count="1">
    <x:tablePart xmlns:r="http://schemas.openxmlformats.org/officeDocument/2006/relationships" r:id="R5df9805c6d4f4bfa"/>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2024::jama.2024.6063::C001</x:v>
      </x:c>
      <x:c r="B2" s="6" t="str">
        <x:v>Placebo discontinuation counts differ between Figure 1 and the Results text</x:v>
      </x:c>
      <x:c r="C2" s="6" t="str">
        <x:v>Main article — PDF p. 3; Main article — PDF p. 7.</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IDs",IF(OR(COUNTIF($A$2:$A$17,A2)&lt;&gt;1,COUNTIF(Decisions!$C$2:$C$92,A2)&lt;&gt;1),"CHECK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2024::jama.2024.6063::C002</x:v>
      </x:c>
      <x:c r="B3" s="3" t="str">
        <x:v>eTable 2 names 167 and 165 for the overall adherence population</x:v>
      </x:c>
      <x:c r="C3" s="3" t="str">
        <x:v>Supplement 3 — PDF p. 3.</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IDs",IF(OR(COUNTIF($A$2:$A$17,A3)&lt;&gt;1,COUNTIF(Decisions!$C$2:$C$92,A3)&lt;&gt;1),"CHECK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2024::jama.2024.6063::C003</x:v>
      </x:c>
      <x:c r="B4" s="6" t="str">
        <x:v>eTable 5 krill “Smaller by 1 unit” percentage conflicts with 10 of 107</x:v>
      </x:c>
      <x:c r="C4" s="6" t="str">
        <x:v>Supplement 3 — PDF p. 8.</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IDs",IF(OR(COUNTIF($A$2:$A$17,A4)&lt;&gt;1,COUNTIF(Decisions!$C$2:$C$92,A4)&lt;&gt;1),"CHECK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2024::jama.2024.6063::C004</x:v>
      </x:c>
      <x:c r="B5" s="3" t="str">
        <x:v>eTable 5 krill “No change” percentage conflicts with 80 of 107</x:v>
      </x:c>
      <x:c r="C5" s="3" t="str">
        <x:v>Supplement 3 — PDF p. 8.</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IDs",IF(OR(COUNTIF($A$2:$A$17,A5)&lt;&gt;1,COUNTIF(Decisions!$C$2:$C$92,A5)&lt;&gt;1),"CHECK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2024::jama.2024.6063::C005</x:v>
      </x:c>
      <x:c r="B6" s="6" t="str">
        <x:v>eTable 5 krill “Larger by 1 unit” percentage conflicts with 12 of 107</x:v>
      </x:c>
      <x:c r="C6" s="6" t="str">
        <x:v>Supplement 3 — PDF p. 8.</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IDs",IF(OR(COUNTIF($A$2:$A$17,A6)&lt;&gt;1,COUNTIF(Decisions!$C$2:$C$92,A6)&lt;&gt;1),"CHECK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2024::jama.2024.6063::C006</x:v>
      </x:c>
      <x:c r="B7" s="3" t="str">
        <x:v>eTable 5 placebo “Smaller by 2 units” percentage conflicts with 2 of 109</x:v>
      </x:c>
      <x:c r="C7" s="3" t="str">
        <x:v>Supplement 3 — PDF p. 8.</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IDs",IF(OR(COUNTIF($A$2:$A$17,A7)&lt;&gt;1,COUNTIF(Decisions!$C$2:$C$92,A7)&lt;&gt;1),"CHECK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2024::jama.2024.6063::C007</x:v>
      </x:c>
      <x:c r="B8" s="6" t="str">
        <x:v>eTable 5 placebo “Smaller by 1 unit” percentage conflicts with 16 of 109</x:v>
      </x:c>
      <x:c r="C8" s="6" t="str">
        <x:v>Supplement 3 — PDF p. 8.</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IDs",IF(OR(COUNTIF($A$2:$A$17,A8)&lt;&gt;1,COUNTIF(Decisions!$C$2:$C$92,A8)&lt;&gt;1),"CHECK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2024::jama.2024.6063::C008</x:v>
      </x:c>
      <x:c r="B9" s="3" t="str">
        <x:v>eTable 5 placebo “No change” percentage conflicts with 75 of 109</x:v>
      </x:c>
      <x:c r="C9" s="3" t="str">
        <x:v>Supplement 3 — PDF p. 8.</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IDs",IF(OR(COUNTIF($A$2:$A$17,A9)&lt;&gt;1,COUNTIF(Decisions!$C$2:$C$92,A9)&lt;&gt;1),"CHECK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2024::jama.2024.6063::C009</x:v>
      </x:c>
      <x:c r="B10" s="6" t="str">
        <x:v>eTable 4 repeats week-4 function changes in the weight-bearing-pain row</x:v>
      </x:c>
      <x:c r="C10" s="6" t="str">
        <x:v>Supplement 3 — PDF p. 5.</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IDs",IF(OR(COUNTIF($A$2:$A$17,A10)&lt;&gt;1,COUNTIF(Decisions!$C$2:$C$92,A10)&lt;&gt;1),"CHECK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2024::jama.2024.6063::C010</x:v>
      </x:c>
      <x:c r="B11" s="3" t="str">
        <x:v>eTable 4 repeats week-4 back-pain results in week-12 lower-leg strength</x:v>
      </x:c>
      <x:c r="C11" s="3" t="str">
        <x:v>Supplement 3 — PDF p. 6.</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IDs",IF(OR(COUNTIF($A$2:$A$17,A11)&lt;&gt;1,COUNTIF(Decisions!$C$2:$C$92,A11)&lt;&gt;1),"CHECK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2024::jama.2024.6063::C011</x:v>
      </x:c>
      <x:c r="B12" s="6" t="str">
        <x:v>eTable 4 repeats the week-12 hsCRP result in fasting glucose</x:v>
      </x:c>
      <x:c r="C12" s="6" t="str">
        <x:v>Supplement 3 — PDF p. 6.</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IDs",IF(OR(COUNTIF($A$2:$A$17,A12)&lt;&gt;1,COUNTIF(Decisions!$C$2:$C$92,A12)&lt;&gt;1),"CHECK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2024::jama.2024.6063::C012</x:v>
      </x:c>
      <x:c r="B13" s="3" t="str">
        <x:v>Key Points and other matched primary-result displays use opposite signs</x:v>
      </x:c>
      <x:c r="C13" s="3" t="str">
        <x:v>Main article — PDF p. 2; Main article — PDF p. 1; Main article — PDF p. 6; Main article — PDF p. 7; Supplement 3 — PDF p. 2.</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IDs",IF(OR(COUNTIF($A$2:$A$17,A13)&lt;&gt;1,COUNTIF(Decisions!$C$2:$C$92,A13)&lt;&gt;1),"CHECK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2024::jama.2024.6063::C013</x:v>
      </x:c>
      <x:c r="B14" s="6" t="str">
        <x:v>Placebo extremity-pain event count is 6 in Table 3 and 5 elsewhere</x:v>
      </x:c>
      <x:c r="C14" s="6" t="str">
        <x:v>Main article — PDF p. 1; Main article — PDF p. 8; Supplement 3 — PDF p. 10.</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IDs",IF(OR(COUNTIF($A$2:$A$17,A14)&lt;&gt;1,COUNTIF(Decisions!$C$2:$C$92,A14)&lt;&gt;1),"CHECK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2024::jama.2024.6063::C014</x:v>
      </x:c>
      <x:c r="B15" s="3" t="str">
        <x:v>Table 3 regular-adverse-event footnote points to eTable 4 instead of eTable 7</x:v>
      </x:c>
      <x:c r="C15" s="3" t="str">
        <x:v>Main article — PDF p. 8; Supplement 3 — PDF p. 5; Supplement 3 — PDF p. 10.</x:v>
      </x:c>
      <x:c r="D15" s="7" t="str"/>
      <x:c r="E15" s="7" t="str">
        <x:v>report_internal_inconsistency</x:v>
      </x:c>
      <x:c r="F15" s="7" t="str">
        <x:v>no</x:v>
      </x:c>
      <x:c r="G15" s="3" t="str">
        <x:f>IFERROR(IF(NOT(OR(Setup!$B$6="primary",Setup!$B$6="checker")),"CHECK STAGE",IF(OR(LEN(TRIM(Setup!$B$2))=0,Setup!$B$2&lt;&gt;TRIM(Setup!$B$2),AND(Setup!$B$6="checker",OR(LEN(TRIM(Setup!$B$4))=0,Setup!$B$4&lt;&gt;TRIM(Setup!$B$4),LOWER(TRIM(Setup!$B$4))=LOWER(TRIM(Setup!$B$2))))),"CHECK REVIEWER IDs",IF(OR(COUNTIF($A$2:$A$17,A15)&lt;&gt;1,COUNTIF(Decisions!$C$2:$C$92,A15)&lt;&gt;1),"CHECK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v>not_applicable</x:v>
      </x:c>
      <x:c r="I15" s="7" t="str">
        <x:f>IF(AND(OR(D15="retain",D15=""),E15="statistical_results"),"","not_applicable")</x:f>
        <x:v>not_applicable</x:v>
      </x:c>
      <x:c r="J15" s="13" t="str">
        <x:f>IF(AND(OR(D15="retain",D15=""),E15="statistical_results"),"","not_applicable")</x:f>
        <x:v>not_applicable</x:v>
      </x:c>
      <x:c r="K15" s="7" t="str">
        <x:f>IF(AND(OR(D15="retain",D15=""),OR(E15="report_internal_inconsistency",E15="plan_material")),"","not_applicable")</x:f>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2024::jama.2024.6063::C015</x:v>
      </x:c>
      <x:c r="B16" s="6" t="str">
        <x:v>Table 3 serious-adverse-event footnote points to eTables 5 and 6 instead of eTable 8</x:v>
      </x:c>
      <x:c r="C16" s="6" t="str">
        <x:v>Main article — PDF p. 8; Supplement 3 — PDF p. 8; Supplement 3 — PDF p. 9; Supplement 3 — PDF p. 14.</x:v>
      </x:c>
      <x:c r="D16" s="7" t="str"/>
      <x:c r="E16" s="7" t="str">
        <x:v>report_internal_inconsistency</x:v>
      </x:c>
      <x:c r="F16" s="7" t="str">
        <x:v>no</x:v>
      </x:c>
      <x:c r="G16" s="6" t="str">
        <x:f>IFERROR(IF(NOT(OR(Setup!$B$6="primary",Setup!$B$6="checker")),"CHECK STAGE",IF(OR(LEN(TRIM(Setup!$B$2))=0,Setup!$B$2&lt;&gt;TRIM(Setup!$B$2),AND(Setup!$B$6="checker",OR(LEN(TRIM(Setup!$B$4))=0,Setup!$B$4&lt;&gt;TRIM(Setup!$B$4),LOWER(TRIM(Setup!$B$4))=LOWER(TRIM(Setup!$B$2))))),"CHECK REVIEWER IDs",IF(OR(COUNTIF($A$2:$A$17,A16)&lt;&gt;1,COUNTIF(Decisions!$C$2:$C$92,A16)&lt;&gt;1),"CHECK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v>not_applicable</x:v>
      </x:c>
      <x:c r="I16" s="7" t="str">
        <x:f>IF(AND(OR(D16="retain",D16=""),E16="statistical_results"),"","not_applicable")</x:f>
        <x:v>not_applicable</x:v>
      </x:c>
      <x:c r="J16" s="13" t="str">
        <x:f>IF(AND(OR(D16="retain",D16=""),E16="statistical_results"),"","not_applicable")</x:f>
        <x:v>not_applicable</x:v>
      </x:c>
      <x:c r="K16" s="7" t="str">
        <x:f>IF(AND(OR(D16="retain",D16=""),OR(E16="report_internal_inconsistency",E16="plan_material")),"","not_applicable")</x:f>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2024::jama.2024.6063::C016</x:v>
      </x:c>
      <x:c r="B17" s="3" t="str">
        <x:v>Main-text 95% adherence does not reproduce the cited eTable 2 overall result</x:v>
      </x:c>
      <x:c r="C17" s="3" t="str">
        <x:v>Main article — PDF p. 7; Supplement 3 — PDF p. 3.</x:v>
      </x:c>
      <x:c r="D17" s="7" t="str"/>
      <x:c r="E17" s="7" t="str">
        <x:v>report_internal_inconsistency</x:v>
      </x:c>
      <x:c r="F17" s="7" t="str">
        <x:v>no</x:v>
      </x:c>
      <x:c r="G17" s="3" t="str">
        <x:f>IFERROR(IF(NOT(OR(Setup!$B$6="primary",Setup!$B$6="checker")),"CHECK STAGE",IF(OR(LEN(TRIM(Setup!$B$2))=0,Setup!$B$2&lt;&gt;TRIM(Setup!$B$2),AND(Setup!$B$6="checker",OR(LEN(TRIM(Setup!$B$4))=0,Setup!$B$4&lt;&gt;TRIM(Setup!$B$4),LOWER(TRIM(Setup!$B$4))=LOWER(TRIM(Setup!$B$2))))),"CHECK REVIEWER IDs",IF(OR(COUNTIF($A$2:$A$17,A17)&lt;&gt;1,COUNTIF(Decisions!$C$2:$C$92,A17)&lt;&gt;1),"CHECK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v>not_applicable</x:v>
      </x:c>
      <x:c r="I17" s="7" t="str">
        <x:f>IF(AND(OR(D17="retain",D17=""),E17="statistical_results"),"","not_applicable")</x:f>
        <x:v>not_applicable</x:v>
      </x:c>
      <x:c r="J17" s="13" t="str">
        <x:f>IF(AND(OR(D17="retain",D17=""),E17="statistical_results"),"","not_applicable")</x:f>
        <x:v>not_applicable</x:v>
      </x:c>
      <x:c r="K17" s="7" t="str">
        <x:f>IF(AND(OR(D17="retain",D17=""),OR(E17="report_internal_inconsistency",E17="plan_material")),"","not_applicable")</x:f>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sheetData>
  <x:conditionalFormatting sqref="G2:G17">
    <x:cfRule type="expression" dxfId="63" priority="1">
      <x:formula>AND(G2&lt;&gt;"PRIMARY READY",G2&lt;&gt;"FINAL READY")</x:formula>
    </x:cfRule>
  </x:conditionalFormatting>
  <x:conditionalFormatting sqref="N2:Q17">
    <x:cfRule type="expression" dxfId="64" priority="2">
      <x:formula>Setup!$B$6="primary"</x:formula>
    </x:cfRule>
  </x:conditionalFormatting>
  <x:conditionalFormatting sqref="H2:H17">
    <x:cfRule type="expression" dxfId="65" priority="3">
      <x:formula>NOT(AND(OR($D2="retain",$D2=""),$E2="statistical_results"))</x:formula>
    </x:cfRule>
  </x:conditionalFormatting>
  <x:conditionalFormatting sqref="I2:I17">
    <x:cfRule type="expression" dxfId="66" priority="4">
      <x:formula>NOT(AND(OR($D2="retain",$D2=""),$E2="statistical_results"))</x:formula>
    </x:cfRule>
  </x:conditionalFormatting>
  <x:conditionalFormatting sqref="J2:J17">
    <x:cfRule type="expression" dxfId="67" priority="5">
      <x:formula>NOT(AND(OR($D2="retain",$D2=""),$E2="statistical_results"))</x:formula>
    </x:cfRule>
  </x:conditionalFormatting>
  <x:conditionalFormatting sqref="K2:K17">
    <x:cfRule type="expression" dxfId="68" priority="6">
      <x:formula>NOT(AND(OR($D2="retain",$D2=""),OR($E2="report_internal_inconsistency",$E2="plan_material")))</x:formula>
    </x:cfRule>
  </x:conditionalFormatting>
  <x:conditionalFormatting sqref="L2:L17">
    <x:cfRule type="expression" dxfId="69" priority="7">
      <x:formula>NOT(AND(OR($D2="retain",$D2=""),$E2="protocol_report"))</x:formula>
    </x:cfRule>
  </x:conditionalFormatting>
  <x:dataValidations count="10">
    <x:dataValidation type="list" sqref="D2:D17">
      <x:formula1>"retain,exclude,discuss"</x:formula1>
    </x:dataValidation>
    <x:dataValidation type="list" sqref="E2:E17">
      <x:formula1>"statistical_results,report_internal_inconsistency,plan_material,protocol_report"</x:formula1>
    </x:dataValidation>
    <x:dataValidation type="list" sqref="F2:F17">
      <x:formula1>"no,primary_done,checker_done"</x:formula1>
    </x:dataValidation>
    <x:dataValidation type="list" sqref="H2:H17">
      <x:formula1>"confirmed_issue,probable_issue,not_issue,indeterminate,not_applicable"</x:formula1>
    </x:dataValidation>
    <x:dataValidation type="list" sqref="I2:I17">
      <x:formula1>"substantive,minor_presentation,indeterminate,not_applicable"</x:formula1>
    </x:dataValidation>
    <x:dataValidation type="list" sqref="J2:J17">
      <x:formula1>"direct,possible,unlikely,unknown,not_applicable"</x:formula1>
    </x:dataValidation>
    <x:dataValidation type="list" sqref="K2:K17">
      <x:formula1>"substantive_inconsistency,minor_presentation,non_inconsistency,indeterminate,not_applicable"</x:formula1>
    </x:dataValidation>
    <x:dataValidation type="list" sqref="L2:L17">
      <x:formula1>"substantive_difference,minor_presentation,version_timing,non_inconsistency,indeterminate,not_applicable"</x:formula1>
    </x:dataValidation>
    <x:dataValidation type="list" sqref="N2:N17">
      <x:formula1>"agree,agree_clarification,disagree,unable"</x:formula1>
    </x:dataValidation>
    <x:dataValidation type="list" sqref="P2:P17">
      <x:formula1>"pending,resolved"</x:formula1>
    </x:dataValidation>
  </x:dataValidations>
  <x:pageMargins left="0.7" right="0.7" top="0.75" bottom="0.75" header="0.3" footer="0.3"/>
  <x:tableParts count="1">
    <x:tablePart xmlns:r="http://schemas.openxmlformats.org/officeDocument/2006/relationships" r:id="R1370382365a84dc1"/>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IF(Setup!$B$6="primary","2024::jama.2024.0318::C001","NOT FROZEN")</x:f>
        <x:v>2024::jama.2024.0318::C001</x:v>
      </x:c>
      <x:c r="B2" s="6" t="str">
        <x:f>IF(Setup!$B$6="primary",IF(INDEX('C_jama.2024.0318'!$D$2:$D$7,MATCH("2024::jama.2024.0318::C001",'C_jama.2024.0318'!$A$2:$A$7,0))="","",INDEX('C_jama.2024.0318'!$D$2:$D$7,MATCH("2024::jama.2024.0318::C001",'C_jama.2024.0318'!$A$2:$A$7,0))),"NOT FROZEN")</x:f>
      </x:c>
      <x:c r="C2" s="6" t="str">
        <x:f>IF(Setup!$B$6="primary",IF(INDEX('C_jama.2024.0318'!$E$2:$E$7,MATCH("2024::jama.2024.0318::C001",'C_jama.2024.0318'!$A$2:$A$7,0))="","",INDEX('C_jama.2024.0318'!$E$2:$E$7,MATCH("2024::jama.2024.0318::C001",'C_jama.2024.0318'!$A$2:$A$7,0))),"NOT FROZEN")</x:f>
        <x:v>statistical_results</x:v>
      </x:c>
      <x:c r="D2" s="6" t="str">
        <x:f>IF(Setup!$B$6="primary",IF(AND(INDEX('C_jama.2024.0318'!$D$2:$D$7,MATCH("2024::jama.2024.0318::C001",'C_jama.2024.0318'!$A$2:$A$7,0))="retain",INDEX('C_jama.2024.0318'!$E$2:$E$7,MATCH("2024::jama.2024.0318::C001",'C_jama.2024.0318'!$A$2:$A$7,0))="statistical_results"),IF(INDEX('C_jama.2024.0318'!$H$2:$H$7,MATCH("2024::jama.2024.0318::C001",'C_jama.2024.0318'!$A$2:$A$7,0))="","",INDEX('C_jama.2024.0318'!$H$2:$H$7,MATCH("2024::jama.2024.0318::C001",'C_jama.2024.0318'!$A$2:$A$7,0))),"not_applicable"),"NOT FROZEN")</x:f>
        <x:v>not_applicable</x:v>
      </x:c>
      <x:c r="E2" s="6" t="str">
        <x:f>IF(Setup!$B$6="primary",IF(AND(INDEX('C_jama.2024.0318'!$D$2:$D$7,MATCH("2024::jama.2024.0318::C001",'C_jama.2024.0318'!$A$2:$A$7,0))="retain",INDEX('C_jama.2024.0318'!$E$2:$E$7,MATCH("2024::jama.2024.0318::C001",'C_jama.2024.0318'!$A$2:$A$7,0))="statistical_results"),IF(INDEX('C_jama.2024.0318'!$I$2:$I$7,MATCH("2024::jama.2024.0318::C001",'C_jama.2024.0318'!$A$2:$A$7,0))="","",INDEX('C_jama.2024.0318'!$I$2:$I$7,MATCH("2024::jama.2024.0318::C001",'C_jama.2024.0318'!$A$2:$A$7,0))),"not_applicable"),"NOT FROZEN")</x:f>
        <x:v>not_applicable</x:v>
      </x:c>
      <x:c r="F2" s="6" t="str">
        <x:f>IF(Setup!$B$6="primary",IF(AND(INDEX('C_jama.2024.0318'!$D$2:$D$7,MATCH("2024::jama.2024.0318::C001",'C_jama.2024.0318'!$A$2:$A$7,0))="retain",INDEX('C_jama.2024.0318'!$E$2:$E$7,MATCH("2024::jama.2024.0318::C001",'C_jama.2024.0318'!$A$2:$A$7,0))="statistical_results"),IF(INDEX('C_jama.2024.0318'!$J$2:$J$7,MATCH("2024::jama.2024.0318::C001",'C_jama.2024.0318'!$A$2:$A$7,0))="","",INDEX('C_jama.2024.0318'!$J$2:$J$7,MATCH("2024::jama.2024.0318::C001",'C_jama.2024.0318'!$A$2:$A$7,0))),"not_applicable"),"NOT FROZEN")</x:f>
        <x:v>not_applicable</x:v>
      </x:c>
      <x:c r="G2" s="6" t="str">
        <x:f>IF(Setup!$B$6="primary",IF(AND(INDEX('C_jama.2024.0318'!$D$2:$D$7,MATCH("2024::jama.2024.0318::C001",'C_jama.2024.0318'!$A$2:$A$7,0))="retain",OR(INDEX('C_jama.2024.0318'!$E$2:$E$7,MATCH("2024::jama.2024.0318::C001",'C_jama.2024.0318'!$A$2:$A$7,0))="report_internal_inconsistency",INDEX('C_jama.2024.0318'!$E$2:$E$7,MATCH("2024::jama.2024.0318::C001",'C_jama.2024.0318'!$A$2:$A$7,0))="plan_material")),IF(INDEX('C_jama.2024.0318'!$K$2:$K$7,MATCH("2024::jama.2024.0318::C001",'C_jama.2024.0318'!$A$2:$A$7,0))="","",INDEX('C_jama.2024.0318'!$K$2:$K$7,MATCH("2024::jama.2024.0318::C001",'C_jama.2024.0318'!$A$2:$A$7,0))),"not_applicable"),"NOT FROZEN")</x:f>
        <x:v>not_applicable</x:v>
      </x:c>
      <x:c r="H2" s="6" t="str">
        <x:f>IF(Setup!$B$6="primary",IF(AND(INDEX('C_jama.2024.0318'!$D$2:$D$7,MATCH("2024::jama.2024.0318::C001",'C_jama.2024.0318'!$A$2:$A$7,0))="retain",INDEX('C_jama.2024.0318'!$E$2:$E$7,MATCH("2024::jama.2024.0318::C001",'C_jama.2024.0318'!$A$2:$A$7,0))="protocol_report"),IF(INDEX('C_jama.2024.0318'!$L$2:$L$7,MATCH("2024::jama.2024.0318::C001",'C_jama.2024.0318'!$A$2:$A$7,0))="","",INDEX('C_jama.2024.0318'!$L$2:$L$7,MATCH("2024::jama.2024.0318::C001",'C_jama.2024.0318'!$A$2:$A$7,0))),"not_applicable"),"NOT FROZEN")</x:f>
        <x:v>not_applicable</x:v>
      </x:c>
      <x:c r="I2" s="6" t="str">
        <x:f>IF(Setup!$B$6="primary",IF(INDEX('C_jama.2024.0318'!$R$2:$R$7,MATCH("2024::jama.2024.0318::C001",'C_jama.2024.0318'!$A$2:$A$7,0))="","",INDEX('C_jama.2024.0318'!$R$2:$R$7,MATCH("2024::jama.2024.0318::C001",'C_jama.2024.0318'!$A$2:$A$7,0))),"NOT FROZEN")</x:f>
      </x:c>
      <x:c r="J2" s="6" t="str">
        <x:f>IF(Setup!$B$6="primary",INDEX('C_jama.2024.0318'!$F$2:$F$7,MATCH("2024::jama.2024.0318::C001",'C_jama.2024.0318'!$A$2:$A$7,0)),"NOT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IF(Setup!$B$6="primary","2024::jama.2024.0318::C002","NOT FROZEN")</x:f>
        <x:v>2024::jama.2024.0318::C002</x:v>
      </x:c>
      <x:c r="B3" s="3" t="str">
        <x:f>IF(Setup!$B$6="primary",IF(INDEX('C_jama.2024.0318'!$D$2:$D$7,MATCH("2024::jama.2024.0318::C002",'C_jama.2024.0318'!$A$2:$A$7,0))="","",INDEX('C_jama.2024.0318'!$D$2:$D$7,MATCH("2024::jama.2024.0318::C002",'C_jama.2024.0318'!$A$2:$A$7,0))),"NOT FROZEN")</x:f>
      </x:c>
      <x:c r="C3" s="3" t="str">
        <x:f>IF(Setup!$B$6="primary",IF(INDEX('C_jama.2024.0318'!$E$2:$E$7,MATCH("2024::jama.2024.0318::C002",'C_jama.2024.0318'!$A$2:$A$7,0))="","",INDEX('C_jama.2024.0318'!$E$2:$E$7,MATCH("2024::jama.2024.0318::C002",'C_jama.2024.0318'!$A$2:$A$7,0))),"NOT FROZEN")</x:f>
        <x:v>report_internal_inconsistency</x:v>
      </x:c>
      <x:c r="D3" s="3" t="str">
        <x:f>IF(Setup!$B$6="primary",IF(AND(INDEX('C_jama.2024.0318'!$D$2:$D$7,MATCH("2024::jama.2024.0318::C002",'C_jama.2024.0318'!$A$2:$A$7,0))="retain",INDEX('C_jama.2024.0318'!$E$2:$E$7,MATCH("2024::jama.2024.0318::C002",'C_jama.2024.0318'!$A$2:$A$7,0))="statistical_results"),IF(INDEX('C_jama.2024.0318'!$H$2:$H$7,MATCH("2024::jama.2024.0318::C002",'C_jama.2024.0318'!$A$2:$A$7,0))="","",INDEX('C_jama.2024.0318'!$H$2:$H$7,MATCH("2024::jama.2024.0318::C002",'C_jama.2024.0318'!$A$2:$A$7,0))),"not_applicable"),"NOT FROZEN")</x:f>
        <x:v>not_applicable</x:v>
      </x:c>
      <x:c r="E3" s="3" t="str">
        <x:f>IF(Setup!$B$6="primary",IF(AND(INDEX('C_jama.2024.0318'!$D$2:$D$7,MATCH("2024::jama.2024.0318::C002",'C_jama.2024.0318'!$A$2:$A$7,0))="retain",INDEX('C_jama.2024.0318'!$E$2:$E$7,MATCH("2024::jama.2024.0318::C002",'C_jama.2024.0318'!$A$2:$A$7,0))="statistical_results"),IF(INDEX('C_jama.2024.0318'!$I$2:$I$7,MATCH("2024::jama.2024.0318::C002",'C_jama.2024.0318'!$A$2:$A$7,0))="","",INDEX('C_jama.2024.0318'!$I$2:$I$7,MATCH("2024::jama.2024.0318::C002",'C_jama.2024.0318'!$A$2:$A$7,0))),"not_applicable"),"NOT FROZEN")</x:f>
        <x:v>not_applicable</x:v>
      </x:c>
      <x:c r="F3" s="3" t="str">
        <x:f>IF(Setup!$B$6="primary",IF(AND(INDEX('C_jama.2024.0318'!$D$2:$D$7,MATCH("2024::jama.2024.0318::C002",'C_jama.2024.0318'!$A$2:$A$7,0))="retain",INDEX('C_jama.2024.0318'!$E$2:$E$7,MATCH("2024::jama.2024.0318::C002",'C_jama.2024.0318'!$A$2:$A$7,0))="statistical_results"),IF(INDEX('C_jama.2024.0318'!$J$2:$J$7,MATCH("2024::jama.2024.0318::C002",'C_jama.2024.0318'!$A$2:$A$7,0))="","",INDEX('C_jama.2024.0318'!$J$2:$J$7,MATCH("2024::jama.2024.0318::C002",'C_jama.2024.0318'!$A$2:$A$7,0))),"not_applicable"),"NOT FROZEN")</x:f>
        <x:v>not_applicable</x:v>
      </x:c>
      <x:c r="G3" s="3" t="str">
        <x:f>IF(Setup!$B$6="primary",IF(AND(INDEX('C_jama.2024.0318'!$D$2:$D$7,MATCH("2024::jama.2024.0318::C002",'C_jama.2024.0318'!$A$2:$A$7,0))="retain",OR(INDEX('C_jama.2024.0318'!$E$2:$E$7,MATCH("2024::jama.2024.0318::C002",'C_jama.2024.0318'!$A$2:$A$7,0))="report_internal_inconsistency",INDEX('C_jama.2024.0318'!$E$2:$E$7,MATCH("2024::jama.2024.0318::C002",'C_jama.2024.0318'!$A$2:$A$7,0))="plan_material")),IF(INDEX('C_jama.2024.0318'!$K$2:$K$7,MATCH("2024::jama.2024.0318::C002",'C_jama.2024.0318'!$A$2:$A$7,0))="","",INDEX('C_jama.2024.0318'!$K$2:$K$7,MATCH("2024::jama.2024.0318::C002",'C_jama.2024.0318'!$A$2:$A$7,0))),"not_applicable"),"NOT FROZEN")</x:f>
        <x:v>not_applicable</x:v>
      </x:c>
      <x:c r="H3" s="3" t="str">
        <x:f>IF(Setup!$B$6="primary",IF(AND(INDEX('C_jama.2024.0318'!$D$2:$D$7,MATCH("2024::jama.2024.0318::C002",'C_jama.2024.0318'!$A$2:$A$7,0))="retain",INDEX('C_jama.2024.0318'!$E$2:$E$7,MATCH("2024::jama.2024.0318::C002",'C_jama.2024.0318'!$A$2:$A$7,0))="protocol_report"),IF(INDEX('C_jama.2024.0318'!$L$2:$L$7,MATCH("2024::jama.2024.0318::C002",'C_jama.2024.0318'!$A$2:$A$7,0))="","",INDEX('C_jama.2024.0318'!$L$2:$L$7,MATCH("2024::jama.2024.0318::C002",'C_jama.2024.0318'!$A$2:$A$7,0))),"not_applicable"),"NOT FROZEN")</x:f>
        <x:v>not_applicable</x:v>
      </x:c>
      <x:c r="I3" s="3" t="str">
        <x:f>IF(Setup!$B$6="primary",IF(INDEX('C_jama.2024.0318'!$R$2:$R$7,MATCH("2024::jama.2024.0318::C002",'C_jama.2024.0318'!$A$2:$A$7,0))="","",INDEX('C_jama.2024.0318'!$R$2:$R$7,MATCH("2024::jama.2024.0318::C002",'C_jama.2024.0318'!$A$2:$A$7,0))),"NOT FROZEN")</x:f>
      </x:c>
      <x:c r="J3" s="3" t="str">
        <x:f>IF(Setup!$B$6="primary",INDEX('C_jama.2024.0318'!$F$2:$F$7,MATCH("2024::jama.2024.0318::C002",'C_jama.2024.0318'!$A$2:$A$7,0)),"NOT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IF(Setup!$B$6="primary","2024::jama.2024.0318::C003","NOT FROZEN")</x:f>
        <x:v>2024::jama.2024.0318::C003</x:v>
      </x:c>
      <x:c r="B4" s="6" t="str">
        <x:f>IF(Setup!$B$6="primary",IF(INDEX('C_jama.2024.0318'!$D$2:$D$7,MATCH("2024::jama.2024.0318::C003",'C_jama.2024.0318'!$A$2:$A$7,0))="","",INDEX('C_jama.2024.0318'!$D$2:$D$7,MATCH("2024::jama.2024.0318::C003",'C_jama.2024.0318'!$A$2:$A$7,0))),"NOT FROZEN")</x:f>
      </x:c>
      <x:c r="C4" s="6" t="str">
        <x:f>IF(Setup!$B$6="primary",IF(INDEX('C_jama.2024.0318'!$E$2:$E$7,MATCH("2024::jama.2024.0318::C003",'C_jama.2024.0318'!$A$2:$A$7,0))="","",INDEX('C_jama.2024.0318'!$E$2:$E$7,MATCH("2024::jama.2024.0318::C003",'C_jama.2024.0318'!$A$2:$A$7,0))),"NOT FROZEN")</x:f>
        <x:v>report_internal_inconsistency</x:v>
      </x:c>
      <x:c r="D4" s="6" t="str">
        <x:f>IF(Setup!$B$6="primary",IF(AND(INDEX('C_jama.2024.0318'!$D$2:$D$7,MATCH("2024::jama.2024.0318::C003",'C_jama.2024.0318'!$A$2:$A$7,0))="retain",INDEX('C_jama.2024.0318'!$E$2:$E$7,MATCH("2024::jama.2024.0318::C003",'C_jama.2024.0318'!$A$2:$A$7,0))="statistical_results"),IF(INDEX('C_jama.2024.0318'!$H$2:$H$7,MATCH("2024::jama.2024.0318::C003",'C_jama.2024.0318'!$A$2:$A$7,0))="","",INDEX('C_jama.2024.0318'!$H$2:$H$7,MATCH("2024::jama.2024.0318::C003",'C_jama.2024.0318'!$A$2:$A$7,0))),"not_applicable"),"NOT FROZEN")</x:f>
        <x:v>not_applicable</x:v>
      </x:c>
      <x:c r="E4" s="6" t="str">
        <x:f>IF(Setup!$B$6="primary",IF(AND(INDEX('C_jama.2024.0318'!$D$2:$D$7,MATCH("2024::jama.2024.0318::C003",'C_jama.2024.0318'!$A$2:$A$7,0))="retain",INDEX('C_jama.2024.0318'!$E$2:$E$7,MATCH("2024::jama.2024.0318::C003",'C_jama.2024.0318'!$A$2:$A$7,0))="statistical_results"),IF(INDEX('C_jama.2024.0318'!$I$2:$I$7,MATCH("2024::jama.2024.0318::C003",'C_jama.2024.0318'!$A$2:$A$7,0))="","",INDEX('C_jama.2024.0318'!$I$2:$I$7,MATCH("2024::jama.2024.0318::C003",'C_jama.2024.0318'!$A$2:$A$7,0))),"not_applicable"),"NOT FROZEN")</x:f>
        <x:v>not_applicable</x:v>
      </x:c>
      <x:c r="F4" s="6" t="str">
        <x:f>IF(Setup!$B$6="primary",IF(AND(INDEX('C_jama.2024.0318'!$D$2:$D$7,MATCH("2024::jama.2024.0318::C003",'C_jama.2024.0318'!$A$2:$A$7,0))="retain",INDEX('C_jama.2024.0318'!$E$2:$E$7,MATCH("2024::jama.2024.0318::C003",'C_jama.2024.0318'!$A$2:$A$7,0))="statistical_results"),IF(INDEX('C_jama.2024.0318'!$J$2:$J$7,MATCH("2024::jama.2024.0318::C003",'C_jama.2024.0318'!$A$2:$A$7,0))="","",INDEX('C_jama.2024.0318'!$J$2:$J$7,MATCH("2024::jama.2024.0318::C003",'C_jama.2024.0318'!$A$2:$A$7,0))),"not_applicable"),"NOT FROZEN")</x:f>
        <x:v>not_applicable</x:v>
      </x:c>
      <x:c r="G4" s="6" t="str">
        <x:f>IF(Setup!$B$6="primary",IF(AND(INDEX('C_jama.2024.0318'!$D$2:$D$7,MATCH("2024::jama.2024.0318::C003",'C_jama.2024.0318'!$A$2:$A$7,0))="retain",OR(INDEX('C_jama.2024.0318'!$E$2:$E$7,MATCH("2024::jama.2024.0318::C003",'C_jama.2024.0318'!$A$2:$A$7,0))="report_internal_inconsistency",INDEX('C_jama.2024.0318'!$E$2:$E$7,MATCH("2024::jama.2024.0318::C003",'C_jama.2024.0318'!$A$2:$A$7,0))="plan_material")),IF(INDEX('C_jama.2024.0318'!$K$2:$K$7,MATCH("2024::jama.2024.0318::C003",'C_jama.2024.0318'!$A$2:$A$7,0))="","",INDEX('C_jama.2024.0318'!$K$2:$K$7,MATCH("2024::jama.2024.0318::C003",'C_jama.2024.0318'!$A$2:$A$7,0))),"not_applicable"),"NOT FROZEN")</x:f>
        <x:v>not_applicable</x:v>
      </x:c>
      <x:c r="H4" s="6" t="str">
        <x:f>IF(Setup!$B$6="primary",IF(AND(INDEX('C_jama.2024.0318'!$D$2:$D$7,MATCH("2024::jama.2024.0318::C003",'C_jama.2024.0318'!$A$2:$A$7,0))="retain",INDEX('C_jama.2024.0318'!$E$2:$E$7,MATCH("2024::jama.2024.0318::C003",'C_jama.2024.0318'!$A$2:$A$7,0))="protocol_report"),IF(INDEX('C_jama.2024.0318'!$L$2:$L$7,MATCH("2024::jama.2024.0318::C003",'C_jama.2024.0318'!$A$2:$A$7,0))="","",INDEX('C_jama.2024.0318'!$L$2:$L$7,MATCH("2024::jama.2024.0318::C003",'C_jama.2024.0318'!$A$2:$A$7,0))),"not_applicable"),"NOT FROZEN")</x:f>
        <x:v>not_applicable</x:v>
      </x:c>
      <x:c r="I4" s="6" t="str">
        <x:f>IF(Setup!$B$6="primary",IF(INDEX('C_jama.2024.0318'!$R$2:$R$7,MATCH("2024::jama.2024.0318::C003",'C_jama.2024.0318'!$A$2:$A$7,0))="","",INDEX('C_jama.2024.0318'!$R$2:$R$7,MATCH("2024::jama.2024.0318::C003",'C_jama.2024.0318'!$A$2:$A$7,0))),"NOT FROZEN")</x:f>
      </x:c>
      <x:c r="J4" s="6" t="str">
        <x:f>IF(Setup!$B$6="primary",INDEX('C_jama.2024.0318'!$F$2:$F$7,MATCH("2024::jama.2024.0318::C003",'C_jama.2024.0318'!$A$2:$A$7,0)),"NOT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IF(Setup!$B$6="primary","2024::jama.2024.0318::C004","NOT FROZEN")</x:f>
        <x:v>2024::jama.2024.0318::C004</x:v>
      </x:c>
      <x:c r="B5" s="3" t="str">
        <x:f>IF(Setup!$B$6="primary",IF(INDEX('C_jama.2024.0318'!$D$2:$D$7,MATCH("2024::jama.2024.0318::C004",'C_jama.2024.0318'!$A$2:$A$7,0))="","",INDEX('C_jama.2024.0318'!$D$2:$D$7,MATCH("2024::jama.2024.0318::C004",'C_jama.2024.0318'!$A$2:$A$7,0))),"NOT FROZEN")</x:f>
      </x:c>
      <x:c r="C5" s="3" t="str">
        <x:f>IF(Setup!$B$6="primary",IF(INDEX('C_jama.2024.0318'!$E$2:$E$7,MATCH("2024::jama.2024.0318::C004",'C_jama.2024.0318'!$A$2:$A$7,0))="","",INDEX('C_jama.2024.0318'!$E$2:$E$7,MATCH("2024::jama.2024.0318::C004",'C_jama.2024.0318'!$A$2:$A$7,0))),"NOT FROZEN")</x:f>
        <x:v>report_internal_inconsistency</x:v>
      </x:c>
      <x:c r="D5" s="3" t="str">
        <x:f>IF(Setup!$B$6="primary",IF(AND(INDEX('C_jama.2024.0318'!$D$2:$D$7,MATCH("2024::jama.2024.0318::C004",'C_jama.2024.0318'!$A$2:$A$7,0))="retain",INDEX('C_jama.2024.0318'!$E$2:$E$7,MATCH("2024::jama.2024.0318::C004",'C_jama.2024.0318'!$A$2:$A$7,0))="statistical_results"),IF(INDEX('C_jama.2024.0318'!$H$2:$H$7,MATCH("2024::jama.2024.0318::C004",'C_jama.2024.0318'!$A$2:$A$7,0))="","",INDEX('C_jama.2024.0318'!$H$2:$H$7,MATCH("2024::jama.2024.0318::C004",'C_jama.2024.0318'!$A$2:$A$7,0))),"not_applicable"),"NOT FROZEN")</x:f>
        <x:v>not_applicable</x:v>
      </x:c>
      <x:c r="E5" s="3" t="str">
        <x:f>IF(Setup!$B$6="primary",IF(AND(INDEX('C_jama.2024.0318'!$D$2:$D$7,MATCH("2024::jama.2024.0318::C004",'C_jama.2024.0318'!$A$2:$A$7,0))="retain",INDEX('C_jama.2024.0318'!$E$2:$E$7,MATCH("2024::jama.2024.0318::C004",'C_jama.2024.0318'!$A$2:$A$7,0))="statistical_results"),IF(INDEX('C_jama.2024.0318'!$I$2:$I$7,MATCH("2024::jama.2024.0318::C004",'C_jama.2024.0318'!$A$2:$A$7,0))="","",INDEX('C_jama.2024.0318'!$I$2:$I$7,MATCH("2024::jama.2024.0318::C004",'C_jama.2024.0318'!$A$2:$A$7,0))),"not_applicable"),"NOT FROZEN")</x:f>
        <x:v>not_applicable</x:v>
      </x:c>
      <x:c r="F5" s="3" t="str">
        <x:f>IF(Setup!$B$6="primary",IF(AND(INDEX('C_jama.2024.0318'!$D$2:$D$7,MATCH("2024::jama.2024.0318::C004",'C_jama.2024.0318'!$A$2:$A$7,0))="retain",INDEX('C_jama.2024.0318'!$E$2:$E$7,MATCH("2024::jama.2024.0318::C004",'C_jama.2024.0318'!$A$2:$A$7,0))="statistical_results"),IF(INDEX('C_jama.2024.0318'!$J$2:$J$7,MATCH("2024::jama.2024.0318::C004",'C_jama.2024.0318'!$A$2:$A$7,0))="","",INDEX('C_jama.2024.0318'!$J$2:$J$7,MATCH("2024::jama.2024.0318::C004",'C_jama.2024.0318'!$A$2:$A$7,0))),"not_applicable"),"NOT FROZEN")</x:f>
        <x:v>not_applicable</x:v>
      </x:c>
      <x:c r="G5" s="3" t="str">
        <x:f>IF(Setup!$B$6="primary",IF(AND(INDEX('C_jama.2024.0318'!$D$2:$D$7,MATCH("2024::jama.2024.0318::C004",'C_jama.2024.0318'!$A$2:$A$7,0))="retain",OR(INDEX('C_jama.2024.0318'!$E$2:$E$7,MATCH("2024::jama.2024.0318::C004",'C_jama.2024.0318'!$A$2:$A$7,0))="report_internal_inconsistency",INDEX('C_jama.2024.0318'!$E$2:$E$7,MATCH("2024::jama.2024.0318::C004",'C_jama.2024.0318'!$A$2:$A$7,0))="plan_material")),IF(INDEX('C_jama.2024.0318'!$K$2:$K$7,MATCH("2024::jama.2024.0318::C004",'C_jama.2024.0318'!$A$2:$A$7,0))="","",INDEX('C_jama.2024.0318'!$K$2:$K$7,MATCH("2024::jama.2024.0318::C004",'C_jama.2024.0318'!$A$2:$A$7,0))),"not_applicable"),"NOT FROZEN")</x:f>
        <x:v>not_applicable</x:v>
      </x:c>
      <x:c r="H5" s="3" t="str">
        <x:f>IF(Setup!$B$6="primary",IF(AND(INDEX('C_jama.2024.0318'!$D$2:$D$7,MATCH("2024::jama.2024.0318::C004",'C_jama.2024.0318'!$A$2:$A$7,0))="retain",INDEX('C_jama.2024.0318'!$E$2:$E$7,MATCH("2024::jama.2024.0318::C004",'C_jama.2024.0318'!$A$2:$A$7,0))="protocol_report"),IF(INDEX('C_jama.2024.0318'!$L$2:$L$7,MATCH("2024::jama.2024.0318::C004",'C_jama.2024.0318'!$A$2:$A$7,0))="","",INDEX('C_jama.2024.0318'!$L$2:$L$7,MATCH("2024::jama.2024.0318::C004",'C_jama.2024.0318'!$A$2:$A$7,0))),"not_applicable"),"NOT FROZEN")</x:f>
        <x:v>not_applicable</x:v>
      </x:c>
      <x:c r="I5" s="3" t="str">
        <x:f>IF(Setup!$B$6="primary",IF(INDEX('C_jama.2024.0318'!$R$2:$R$7,MATCH("2024::jama.2024.0318::C004",'C_jama.2024.0318'!$A$2:$A$7,0))="","",INDEX('C_jama.2024.0318'!$R$2:$R$7,MATCH("2024::jama.2024.0318::C004",'C_jama.2024.0318'!$A$2:$A$7,0))),"NOT FROZEN")</x:f>
      </x:c>
      <x:c r="J5" s="3" t="str">
        <x:f>IF(Setup!$B$6="primary",INDEX('C_jama.2024.0318'!$F$2:$F$7,MATCH("2024::jama.2024.0318::C004",'C_jama.2024.0318'!$A$2:$A$7,0)),"NOT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report_internal_inconsistency
</x:v>
      </x:c>
    </x:row>
    <x:row r="6" ht="70" customHeight="1">
      <x:c r="A6" s="6" t="str">
        <x:f>IF(Setup!$B$6="primary","2024::jama.2024.0318::C005","NOT FROZEN")</x:f>
        <x:v>2024::jama.2024.0318::C005</x:v>
      </x:c>
      <x:c r="B6" s="6" t="str">
        <x:f>IF(Setup!$B$6="primary",IF(INDEX('C_jama.2024.0318'!$D$2:$D$7,MATCH("2024::jama.2024.0318::C005",'C_jama.2024.0318'!$A$2:$A$7,0))="","",INDEX('C_jama.2024.0318'!$D$2:$D$7,MATCH("2024::jama.2024.0318::C005",'C_jama.2024.0318'!$A$2:$A$7,0))),"NOT FROZEN")</x:f>
      </x:c>
      <x:c r="C6" s="6" t="str">
        <x:f>IF(Setup!$B$6="primary",IF(INDEX('C_jama.2024.0318'!$E$2:$E$7,MATCH("2024::jama.2024.0318::C005",'C_jama.2024.0318'!$A$2:$A$7,0))="","",INDEX('C_jama.2024.0318'!$E$2:$E$7,MATCH("2024::jama.2024.0318::C005",'C_jama.2024.0318'!$A$2:$A$7,0))),"NOT FROZEN")</x:f>
        <x:v>statistical_results</x:v>
      </x:c>
      <x:c r="D6" s="6" t="str">
        <x:f>IF(Setup!$B$6="primary",IF(AND(INDEX('C_jama.2024.0318'!$D$2:$D$7,MATCH("2024::jama.2024.0318::C005",'C_jama.2024.0318'!$A$2:$A$7,0))="retain",INDEX('C_jama.2024.0318'!$E$2:$E$7,MATCH("2024::jama.2024.0318::C005",'C_jama.2024.0318'!$A$2:$A$7,0))="statistical_results"),IF(INDEX('C_jama.2024.0318'!$H$2:$H$7,MATCH("2024::jama.2024.0318::C005",'C_jama.2024.0318'!$A$2:$A$7,0))="","",INDEX('C_jama.2024.0318'!$H$2:$H$7,MATCH("2024::jama.2024.0318::C005",'C_jama.2024.0318'!$A$2:$A$7,0))),"not_applicable"),"NOT FROZEN")</x:f>
        <x:v>not_applicable</x:v>
      </x:c>
      <x:c r="E6" s="6" t="str">
        <x:f>IF(Setup!$B$6="primary",IF(AND(INDEX('C_jama.2024.0318'!$D$2:$D$7,MATCH("2024::jama.2024.0318::C005",'C_jama.2024.0318'!$A$2:$A$7,0))="retain",INDEX('C_jama.2024.0318'!$E$2:$E$7,MATCH("2024::jama.2024.0318::C005",'C_jama.2024.0318'!$A$2:$A$7,0))="statistical_results"),IF(INDEX('C_jama.2024.0318'!$I$2:$I$7,MATCH("2024::jama.2024.0318::C005",'C_jama.2024.0318'!$A$2:$A$7,0))="","",INDEX('C_jama.2024.0318'!$I$2:$I$7,MATCH("2024::jama.2024.0318::C005",'C_jama.2024.0318'!$A$2:$A$7,0))),"not_applicable"),"NOT FROZEN")</x:f>
        <x:v>not_applicable</x:v>
      </x:c>
      <x:c r="F6" s="6" t="str">
        <x:f>IF(Setup!$B$6="primary",IF(AND(INDEX('C_jama.2024.0318'!$D$2:$D$7,MATCH("2024::jama.2024.0318::C005",'C_jama.2024.0318'!$A$2:$A$7,0))="retain",INDEX('C_jama.2024.0318'!$E$2:$E$7,MATCH("2024::jama.2024.0318::C005",'C_jama.2024.0318'!$A$2:$A$7,0))="statistical_results"),IF(INDEX('C_jama.2024.0318'!$J$2:$J$7,MATCH("2024::jama.2024.0318::C005",'C_jama.2024.0318'!$A$2:$A$7,0))="","",INDEX('C_jama.2024.0318'!$J$2:$J$7,MATCH("2024::jama.2024.0318::C005",'C_jama.2024.0318'!$A$2:$A$7,0))),"not_applicable"),"NOT FROZEN")</x:f>
        <x:v>not_applicable</x:v>
      </x:c>
      <x:c r="G6" s="6" t="str">
        <x:f>IF(Setup!$B$6="primary",IF(AND(INDEX('C_jama.2024.0318'!$D$2:$D$7,MATCH("2024::jama.2024.0318::C005",'C_jama.2024.0318'!$A$2:$A$7,0))="retain",OR(INDEX('C_jama.2024.0318'!$E$2:$E$7,MATCH("2024::jama.2024.0318::C005",'C_jama.2024.0318'!$A$2:$A$7,0))="report_internal_inconsistency",INDEX('C_jama.2024.0318'!$E$2:$E$7,MATCH("2024::jama.2024.0318::C005",'C_jama.2024.0318'!$A$2:$A$7,0))="plan_material")),IF(INDEX('C_jama.2024.0318'!$K$2:$K$7,MATCH("2024::jama.2024.0318::C005",'C_jama.2024.0318'!$A$2:$A$7,0))="","",INDEX('C_jama.2024.0318'!$K$2:$K$7,MATCH("2024::jama.2024.0318::C005",'C_jama.2024.0318'!$A$2:$A$7,0))),"not_applicable"),"NOT FROZEN")</x:f>
        <x:v>not_applicable</x:v>
      </x:c>
      <x:c r="H6" s="6" t="str">
        <x:f>IF(Setup!$B$6="primary",IF(AND(INDEX('C_jama.2024.0318'!$D$2:$D$7,MATCH("2024::jama.2024.0318::C005",'C_jama.2024.0318'!$A$2:$A$7,0))="retain",INDEX('C_jama.2024.0318'!$E$2:$E$7,MATCH("2024::jama.2024.0318::C005",'C_jama.2024.0318'!$A$2:$A$7,0))="protocol_report"),IF(INDEX('C_jama.2024.0318'!$L$2:$L$7,MATCH("2024::jama.2024.0318::C005",'C_jama.2024.0318'!$A$2:$A$7,0))="","",INDEX('C_jama.2024.0318'!$L$2:$L$7,MATCH("2024::jama.2024.0318::C005",'C_jama.2024.0318'!$A$2:$A$7,0))),"not_applicable"),"NOT FROZEN")</x:f>
        <x:v>not_applicable</x:v>
      </x:c>
      <x:c r="I6" s="6" t="str">
        <x:f>IF(Setup!$B$6="primary",IF(INDEX('C_jama.2024.0318'!$R$2:$R$7,MATCH("2024::jama.2024.0318::C005",'C_jama.2024.0318'!$A$2:$A$7,0))="","",INDEX('C_jama.2024.0318'!$R$2:$R$7,MATCH("2024::jama.2024.0318::C005",'C_jama.2024.0318'!$A$2:$A$7,0))),"NOT FROZEN")</x:f>
      </x:c>
      <x:c r="J6" s="6" t="str">
        <x:f>IF(Setup!$B$6="primary",INDEX('C_jama.2024.0318'!$F$2:$F$7,MATCH("2024::jama.2024.0318::C005",'C_jama.2024.0318'!$A$2:$A$7,0)),"NOT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statistical_results
</x:v>
      </x:c>
    </x:row>
    <x:row r="7" ht="70" customHeight="1">
      <x:c r="A7" s="3" t="str">
        <x:f>IF(Setup!$B$6="primary","2024::jama.2024.0318::C006","NOT FROZEN")</x:f>
        <x:v>2024::jama.2024.0318::C006</x:v>
      </x:c>
      <x:c r="B7" s="3" t="str">
        <x:f>IF(Setup!$B$6="primary",IF(INDEX('C_jama.2024.0318'!$D$2:$D$7,MATCH("2024::jama.2024.0318::C006",'C_jama.2024.0318'!$A$2:$A$7,0))="","",INDEX('C_jama.2024.0318'!$D$2:$D$7,MATCH("2024::jama.2024.0318::C006",'C_jama.2024.0318'!$A$2:$A$7,0))),"NOT FROZEN")</x:f>
      </x:c>
      <x:c r="C7" s="3" t="str">
        <x:f>IF(Setup!$B$6="primary",IF(INDEX('C_jama.2024.0318'!$E$2:$E$7,MATCH("2024::jama.2024.0318::C006",'C_jama.2024.0318'!$A$2:$A$7,0))="","",INDEX('C_jama.2024.0318'!$E$2:$E$7,MATCH("2024::jama.2024.0318::C006",'C_jama.2024.0318'!$A$2:$A$7,0))),"NOT FROZEN")</x:f>
        <x:v>report_internal_inconsistency</x:v>
      </x:c>
      <x:c r="D7" s="3" t="str">
        <x:f>IF(Setup!$B$6="primary",IF(AND(INDEX('C_jama.2024.0318'!$D$2:$D$7,MATCH("2024::jama.2024.0318::C006",'C_jama.2024.0318'!$A$2:$A$7,0))="retain",INDEX('C_jama.2024.0318'!$E$2:$E$7,MATCH("2024::jama.2024.0318::C006",'C_jama.2024.0318'!$A$2:$A$7,0))="statistical_results"),IF(INDEX('C_jama.2024.0318'!$H$2:$H$7,MATCH("2024::jama.2024.0318::C006",'C_jama.2024.0318'!$A$2:$A$7,0))="","",INDEX('C_jama.2024.0318'!$H$2:$H$7,MATCH("2024::jama.2024.0318::C006",'C_jama.2024.0318'!$A$2:$A$7,0))),"not_applicable"),"NOT FROZEN")</x:f>
        <x:v>not_applicable</x:v>
      </x:c>
      <x:c r="E7" s="3" t="str">
        <x:f>IF(Setup!$B$6="primary",IF(AND(INDEX('C_jama.2024.0318'!$D$2:$D$7,MATCH("2024::jama.2024.0318::C006",'C_jama.2024.0318'!$A$2:$A$7,0))="retain",INDEX('C_jama.2024.0318'!$E$2:$E$7,MATCH("2024::jama.2024.0318::C006",'C_jama.2024.0318'!$A$2:$A$7,0))="statistical_results"),IF(INDEX('C_jama.2024.0318'!$I$2:$I$7,MATCH("2024::jama.2024.0318::C006",'C_jama.2024.0318'!$A$2:$A$7,0))="","",INDEX('C_jama.2024.0318'!$I$2:$I$7,MATCH("2024::jama.2024.0318::C006",'C_jama.2024.0318'!$A$2:$A$7,0))),"not_applicable"),"NOT FROZEN")</x:f>
        <x:v>not_applicable</x:v>
      </x:c>
      <x:c r="F7" s="3" t="str">
        <x:f>IF(Setup!$B$6="primary",IF(AND(INDEX('C_jama.2024.0318'!$D$2:$D$7,MATCH("2024::jama.2024.0318::C006",'C_jama.2024.0318'!$A$2:$A$7,0))="retain",INDEX('C_jama.2024.0318'!$E$2:$E$7,MATCH("2024::jama.2024.0318::C006",'C_jama.2024.0318'!$A$2:$A$7,0))="statistical_results"),IF(INDEX('C_jama.2024.0318'!$J$2:$J$7,MATCH("2024::jama.2024.0318::C006",'C_jama.2024.0318'!$A$2:$A$7,0))="","",INDEX('C_jama.2024.0318'!$J$2:$J$7,MATCH("2024::jama.2024.0318::C006",'C_jama.2024.0318'!$A$2:$A$7,0))),"not_applicable"),"NOT FROZEN")</x:f>
        <x:v>not_applicable</x:v>
      </x:c>
      <x:c r="G7" s="3" t="str">
        <x:f>IF(Setup!$B$6="primary",IF(AND(INDEX('C_jama.2024.0318'!$D$2:$D$7,MATCH("2024::jama.2024.0318::C006",'C_jama.2024.0318'!$A$2:$A$7,0))="retain",OR(INDEX('C_jama.2024.0318'!$E$2:$E$7,MATCH("2024::jama.2024.0318::C006",'C_jama.2024.0318'!$A$2:$A$7,0))="report_internal_inconsistency",INDEX('C_jama.2024.0318'!$E$2:$E$7,MATCH("2024::jama.2024.0318::C006",'C_jama.2024.0318'!$A$2:$A$7,0))="plan_material")),IF(INDEX('C_jama.2024.0318'!$K$2:$K$7,MATCH("2024::jama.2024.0318::C006",'C_jama.2024.0318'!$A$2:$A$7,0))="","",INDEX('C_jama.2024.0318'!$K$2:$K$7,MATCH("2024::jama.2024.0318::C006",'C_jama.2024.0318'!$A$2:$A$7,0))),"not_applicable"),"NOT FROZEN")</x:f>
        <x:v>not_applicable</x:v>
      </x:c>
      <x:c r="H7" s="3" t="str">
        <x:f>IF(Setup!$B$6="primary",IF(AND(INDEX('C_jama.2024.0318'!$D$2:$D$7,MATCH("2024::jama.2024.0318::C006",'C_jama.2024.0318'!$A$2:$A$7,0))="retain",INDEX('C_jama.2024.0318'!$E$2:$E$7,MATCH("2024::jama.2024.0318::C006",'C_jama.2024.0318'!$A$2:$A$7,0))="protocol_report"),IF(INDEX('C_jama.2024.0318'!$L$2:$L$7,MATCH("2024::jama.2024.0318::C006",'C_jama.2024.0318'!$A$2:$A$7,0))="","",INDEX('C_jama.2024.0318'!$L$2:$L$7,MATCH("2024::jama.2024.0318::C006",'C_jama.2024.0318'!$A$2:$A$7,0))),"not_applicable"),"NOT FROZEN")</x:f>
        <x:v>not_applicable</x:v>
      </x:c>
      <x:c r="I7" s="3" t="str">
        <x:f>IF(Setup!$B$6="primary",IF(INDEX('C_jama.2024.0318'!$R$2:$R$7,MATCH("2024::jama.2024.0318::C006",'C_jama.2024.0318'!$A$2:$A$7,0))="","",INDEX('C_jama.2024.0318'!$R$2:$R$7,MATCH("2024::jama.2024.0318::C006",'C_jama.2024.0318'!$A$2:$A$7,0))),"NOT FROZEN")</x:f>
      </x:c>
      <x:c r="J7" s="3" t="str">
        <x:f>IF(Setup!$B$6="primary",INDEX('C_jama.2024.0318'!$F$2:$F$7,MATCH("2024::jama.2024.0318::C006",'C_jama.2024.0318'!$A$2:$A$7,0)),"NOT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report_internal_inconsistency
</x:v>
      </x:c>
    </x:row>
    <x:row r="8" ht="70" customHeight="1">
      <x:c r="A8" s="6" t="str">
        <x:f>IF(Setup!$B$6="primary","2024::jama.2024.0572::C001","NOT FROZEN")</x:f>
        <x:v>2024::jama.2024.0572::C001</x:v>
      </x:c>
      <x:c r="B8" s="6" t="str">
        <x:f>IF(Setup!$B$6="primary",IF(INDEX('C_jama.2024.0572'!$D$2:$D$3,MATCH("2024::jama.2024.0572::C001",'C_jama.2024.0572'!$A$2:$A$3,0))="","",INDEX('C_jama.2024.0572'!$D$2:$D$3,MATCH("2024::jama.2024.0572::C001",'C_jama.2024.0572'!$A$2:$A$3,0))),"NOT FROZEN")</x:f>
      </x:c>
      <x:c r="C8" s="6" t="str">
        <x:f>IF(Setup!$B$6="primary",IF(INDEX('C_jama.2024.0572'!$E$2:$E$3,MATCH("2024::jama.2024.0572::C001",'C_jama.2024.0572'!$A$2:$A$3,0))="","",INDEX('C_jama.2024.0572'!$E$2:$E$3,MATCH("2024::jama.2024.0572::C001",'C_jama.2024.0572'!$A$2:$A$3,0))),"NOT FROZEN")</x:f>
        <x:v>report_internal_inconsistency</x:v>
      </x:c>
      <x:c r="D8" s="6" t="str">
        <x:f>IF(Setup!$B$6="primary",IF(AND(INDEX('C_jama.2024.0572'!$D$2:$D$3,MATCH("2024::jama.2024.0572::C001",'C_jama.2024.0572'!$A$2:$A$3,0))="retain",INDEX('C_jama.2024.0572'!$E$2:$E$3,MATCH("2024::jama.2024.0572::C001",'C_jama.2024.0572'!$A$2:$A$3,0))="statistical_results"),IF(INDEX('C_jama.2024.0572'!$H$2:$H$3,MATCH("2024::jama.2024.0572::C001",'C_jama.2024.0572'!$A$2:$A$3,0))="","",INDEX('C_jama.2024.0572'!$H$2:$H$3,MATCH("2024::jama.2024.0572::C001",'C_jama.2024.0572'!$A$2:$A$3,0))),"not_applicable"),"NOT FROZEN")</x:f>
        <x:v>not_applicable</x:v>
      </x:c>
      <x:c r="E8" s="6" t="str">
        <x:f>IF(Setup!$B$6="primary",IF(AND(INDEX('C_jama.2024.0572'!$D$2:$D$3,MATCH("2024::jama.2024.0572::C001",'C_jama.2024.0572'!$A$2:$A$3,0))="retain",INDEX('C_jama.2024.0572'!$E$2:$E$3,MATCH("2024::jama.2024.0572::C001",'C_jama.2024.0572'!$A$2:$A$3,0))="statistical_results"),IF(INDEX('C_jama.2024.0572'!$I$2:$I$3,MATCH("2024::jama.2024.0572::C001",'C_jama.2024.0572'!$A$2:$A$3,0))="","",INDEX('C_jama.2024.0572'!$I$2:$I$3,MATCH("2024::jama.2024.0572::C001",'C_jama.2024.0572'!$A$2:$A$3,0))),"not_applicable"),"NOT FROZEN")</x:f>
        <x:v>not_applicable</x:v>
      </x:c>
      <x:c r="F8" s="6" t="str">
        <x:f>IF(Setup!$B$6="primary",IF(AND(INDEX('C_jama.2024.0572'!$D$2:$D$3,MATCH("2024::jama.2024.0572::C001",'C_jama.2024.0572'!$A$2:$A$3,0))="retain",INDEX('C_jama.2024.0572'!$E$2:$E$3,MATCH("2024::jama.2024.0572::C001",'C_jama.2024.0572'!$A$2:$A$3,0))="statistical_results"),IF(INDEX('C_jama.2024.0572'!$J$2:$J$3,MATCH("2024::jama.2024.0572::C001",'C_jama.2024.0572'!$A$2:$A$3,0))="","",INDEX('C_jama.2024.0572'!$J$2:$J$3,MATCH("2024::jama.2024.0572::C001",'C_jama.2024.0572'!$A$2:$A$3,0))),"not_applicable"),"NOT FROZEN")</x:f>
        <x:v>not_applicable</x:v>
      </x:c>
      <x:c r="G8" s="6" t="str">
        <x:f>IF(Setup!$B$6="primary",IF(AND(INDEX('C_jama.2024.0572'!$D$2:$D$3,MATCH("2024::jama.2024.0572::C001",'C_jama.2024.0572'!$A$2:$A$3,0))="retain",OR(INDEX('C_jama.2024.0572'!$E$2:$E$3,MATCH("2024::jama.2024.0572::C001",'C_jama.2024.0572'!$A$2:$A$3,0))="report_internal_inconsistency",INDEX('C_jama.2024.0572'!$E$2:$E$3,MATCH("2024::jama.2024.0572::C001",'C_jama.2024.0572'!$A$2:$A$3,0))="plan_material")),IF(INDEX('C_jama.2024.0572'!$K$2:$K$3,MATCH("2024::jama.2024.0572::C001",'C_jama.2024.0572'!$A$2:$A$3,0))="","",INDEX('C_jama.2024.0572'!$K$2:$K$3,MATCH("2024::jama.2024.0572::C001",'C_jama.2024.0572'!$A$2:$A$3,0))),"not_applicable"),"NOT FROZEN")</x:f>
        <x:v>not_applicable</x:v>
      </x:c>
      <x:c r="H8" s="6" t="str">
        <x:f>IF(Setup!$B$6="primary",IF(AND(INDEX('C_jama.2024.0572'!$D$2:$D$3,MATCH("2024::jama.2024.0572::C001",'C_jama.2024.0572'!$A$2:$A$3,0))="retain",INDEX('C_jama.2024.0572'!$E$2:$E$3,MATCH("2024::jama.2024.0572::C001",'C_jama.2024.0572'!$A$2:$A$3,0))="protocol_report"),IF(INDEX('C_jama.2024.0572'!$L$2:$L$3,MATCH("2024::jama.2024.0572::C001",'C_jama.2024.0572'!$A$2:$A$3,0))="","",INDEX('C_jama.2024.0572'!$L$2:$L$3,MATCH("2024::jama.2024.0572::C001",'C_jama.2024.0572'!$A$2:$A$3,0))),"not_applicable"),"NOT FROZEN")</x:f>
        <x:v>not_applicable</x:v>
      </x:c>
      <x:c r="I8" s="6" t="str">
        <x:f>IF(Setup!$B$6="primary",IF(INDEX('C_jama.2024.0572'!$R$2:$R$3,MATCH("2024::jama.2024.0572::C001",'C_jama.2024.0572'!$A$2:$A$3,0))="","",INDEX('C_jama.2024.0572'!$R$2:$R$3,MATCH("2024::jama.2024.0572::C001",'C_jama.2024.0572'!$A$2:$A$3,0))),"NOT FROZEN")</x:f>
      </x:c>
      <x:c r="J8" s="6" t="str">
        <x:f>IF(Setup!$B$6="primary",INDEX('C_jama.2024.0572'!$F$2:$F$3,MATCH("2024::jama.2024.0572::C001",'C_jama.2024.0572'!$A$2:$A$3,0)),"NOT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report_internal_inconsistency
</x:v>
      </x:c>
    </x:row>
    <x:row r="9" ht="70" customHeight="1">
      <x:c r="A9" s="3" t="str">
        <x:f>IF(Setup!$B$6="primary","2024::jama.2024.0572::C002","NOT FROZEN")</x:f>
        <x:v>2024::jama.2024.0572::C002</x:v>
      </x:c>
      <x:c r="B9" s="3" t="str">
        <x:f>IF(Setup!$B$6="primary",IF(INDEX('C_jama.2024.0572'!$D$2:$D$3,MATCH("2024::jama.2024.0572::C002",'C_jama.2024.0572'!$A$2:$A$3,0))="","",INDEX('C_jama.2024.0572'!$D$2:$D$3,MATCH("2024::jama.2024.0572::C002",'C_jama.2024.0572'!$A$2:$A$3,0))),"NOT FROZEN")</x:f>
      </x:c>
      <x:c r="C9" s="3" t="str">
        <x:f>IF(Setup!$B$6="primary",IF(INDEX('C_jama.2024.0572'!$E$2:$E$3,MATCH("2024::jama.2024.0572::C002",'C_jama.2024.0572'!$A$2:$A$3,0))="","",INDEX('C_jama.2024.0572'!$E$2:$E$3,MATCH("2024::jama.2024.0572::C002",'C_jama.2024.0572'!$A$2:$A$3,0))),"NOT FROZEN")</x:f>
        <x:v>report_internal_inconsistency</x:v>
      </x:c>
      <x:c r="D9" s="3" t="str">
        <x:f>IF(Setup!$B$6="primary",IF(AND(INDEX('C_jama.2024.0572'!$D$2:$D$3,MATCH("2024::jama.2024.0572::C002",'C_jama.2024.0572'!$A$2:$A$3,0))="retain",INDEX('C_jama.2024.0572'!$E$2:$E$3,MATCH("2024::jama.2024.0572::C002",'C_jama.2024.0572'!$A$2:$A$3,0))="statistical_results"),IF(INDEX('C_jama.2024.0572'!$H$2:$H$3,MATCH("2024::jama.2024.0572::C002",'C_jama.2024.0572'!$A$2:$A$3,0))="","",INDEX('C_jama.2024.0572'!$H$2:$H$3,MATCH("2024::jama.2024.0572::C002",'C_jama.2024.0572'!$A$2:$A$3,0))),"not_applicable"),"NOT FROZEN")</x:f>
        <x:v>not_applicable</x:v>
      </x:c>
      <x:c r="E9" s="3" t="str">
        <x:f>IF(Setup!$B$6="primary",IF(AND(INDEX('C_jama.2024.0572'!$D$2:$D$3,MATCH("2024::jama.2024.0572::C002",'C_jama.2024.0572'!$A$2:$A$3,0))="retain",INDEX('C_jama.2024.0572'!$E$2:$E$3,MATCH("2024::jama.2024.0572::C002",'C_jama.2024.0572'!$A$2:$A$3,0))="statistical_results"),IF(INDEX('C_jama.2024.0572'!$I$2:$I$3,MATCH("2024::jama.2024.0572::C002",'C_jama.2024.0572'!$A$2:$A$3,0))="","",INDEX('C_jama.2024.0572'!$I$2:$I$3,MATCH("2024::jama.2024.0572::C002",'C_jama.2024.0572'!$A$2:$A$3,0))),"not_applicable"),"NOT FROZEN")</x:f>
        <x:v>not_applicable</x:v>
      </x:c>
      <x:c r="F9" s="3" t="str">
        <x:f>IF(Setup!$B$6="primary",IF(AND(INDEX('C_jama.2024.0572'!$D$2:$D$3,MATCH("2024::jama.2024.0572::C002",'C_jama.2024.0572'!$A$2:$A$3,0))="retain",INDEX('C_jama.2024.0572'!$E$2:$E$3,MATCH("2024::jama.2024.0572::C002",'C_jama.2024.0572'!$A$2:$A$3,0))="statistical_results"),IF(INDEX('C_jama.2024.0572'!$J$2:$J$3,MATCH("2024::jama.2024.0572::C002",'C_jama.2024.0572'!$A$2:$A$3,0))="","",INDEX('C_jama.2024.0572'!$J$2:$J$3,MATCH("2024::jama.2024.0572::C002",'C_jama.2024.0572'!$A$2:$A$3,0))),"not_applicable"),"NOT FROZEN")</x:f>
        <x:v>not_applicable</x:v>
      </x:c>
      <x:c r="G9" s="3" t="str">
        <x:f>IF(Setup!$B$6="primary",IF(AND(INDEX('C_jama.2024.0572'!$D$2:$D$3,MATCH("2024::jama.2024.0572::C002",'C_jama.2024.0572'!$A$2:$A$3,0))="retain",OR(INDEX('C_jama.2024.0572'!$E$2:$E$3,MATCH("2024::jama.2024.0572::C002",'C_jama.2024.0572'!$A$2:$A$3,0))="report_internal_inconsistency",INDEX('C_jama.2024.0572'!$E$2:$E$3,MATCH("2024::jama.2024.0572::C002",'C_jama.2024.0572'!$A$2:$A$3,0))="plan_material")),IF(INDEX('C_jama.2024.0572'!$K$2:$K$3,MATCH("2024::jama.2024.0572::C002",'C_jama.2024.0572'!$A$2:$A$3,0))="","",INDEX('C_jama.2024.0572'!$K$2:$K$3,MATCH("2024::jama.2024.0572::C002",'C_jama.2024.0572'!$A$2:$A$3,0))),"not_applicable"),"NOT FROZEN")</x:f>
        <x:v>not_applicable</x:v>
      </x:c>
      <x:c r="H9" s="3" t="str">
        <x:f>IF(Setup!$B$6="primary",IF(AND(INDEX('C_jama.2024.0572'!$D$2:$D$3,MATCH("2024::jama.2024.0572::C002",'C_jama.2024.0572'!$A$2:$A$3,0))="retain",INDEX('C_jama.2024.0572'!$E$2:$E$3,MATCH("2024::jama.2024.0572::C002",'C_jama.2024.0572'!$A$2:$A$3,0))="protocol_report"),IF(INDEX('C_jama.2024.0572'!$L$2:$L$3,MATCH("2024::jama.2024.0572::C002",'C_jama.2024.0572'!$A$2:$A$3,0))="","",INDEX('C_jama.2024.0572'!$L$2:$L$3,MATCH("2024::jama.2024.0572::C002",'C_jama.2024.0572'!$A$2:$A$3,0))),"not_applicable"),"NOT FROZEN")</x:f>
        <x:v>not_applicable</x:v>
      </x:c>
      <x:c r="I9" s="3" t="str">
        <x:f>IF(Setup!$B$6="primary",IF(INDEX('C_jama.2024.0572'!$R$2:$R$3,MATCH("2024::jama.2024.0572::C002",'C_jama.2024.0572'!$A$2:$A$3,0))="","",INDEX('C_jama.2024.0572'!$R$2:$R$3,MATCH("2024::jama.2024.0572::C002",'C_jama.2024.0572'!$A$2:$A$3,0))),"NOT FROZEN")</x:f>
      </x:c>
      <x:c r="J9" s="3" t="str">
        <x:f>IF(Setup!$B$6="primary",INDEX('C_jama.2024.0572'!$F$2:$F$3,MATCH("2024::jama.2024.0572::C002",'C_jama.2024.0572'!$A$2:$A$3,0)),"NOT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report_internal_inconsistency
</x:v>
      </x:c>
    </x:row>
    <x:row r="10" ht="70" customHeight="1">
      <x:c r="A10" s="6" t="str">
        <x:f>IF(Setup!$B$6="primary","2024::jama.2024.11057::C001","NOT FROZEN")</x:f>
        <x:v>2024::jama.2024.11057::C001</x:v>
      </x:c>
      <x:c r="B10" s="6" t="str">
        <x:f>IF(Setup!$B$6="primary",IF(INDEX('C_jama.2024.11057'!$D$2:$D$4,MATCH("2024::jama.2024.11057::C001",'C_jama.2024.11057'!$A$2:$A$4,0))="","",INDEX('C_jama.2024.11057'!$D$2:$D$4,MATCH("2024::jama.2024.11057::C001",'C_jama.2024.11057'!$A$2:$A$4,0))),"NOT FROZEN")</x:f>
      </x:c>
      <x:c r="C10" s="6" t="str">
        <x:f>IF(Setup!$B$6="primary",IF(INDEX('C_jama.2024.11057'!$E$2:$E$4,MATCH("2024::jama.2024.11057::C001",'C_jama.2024.11057'!$A$2:$A$4,0))="","",INDEX('C_jama.2024.11057'!$E$2:$E$4,MATCH("2024::jama.2024.11057::C001",'C_jama.2024.11057'!$A$2:$A$4,0))),"NOT FROZEN")</x:f>
        <x:v>protocol_report</x:v>
      </x:c>
      <x:c r="D10" s="6" t="str">
        <x:f>IF(Setup!$B$6="primary",IF(AND(INDEX('C_jama.2024.11057'!$D$2:$D$4,MATCH("2024::jama.2024.11057::C001",'C_jama.2024.11057'!$A$2:$A$4,0))="retain",INDEX('C_jama.2024.11057'!$E$2:$E$4,MATCH("2024::jama.2024.11057::C001",'C_jama.2024.11057'!$A$2:$A$4,0))="statistical_results"),IF(INDEX('C_jama.2024.11057'!$H$2:$H$4,MATCH("2024::jama.2024.11057::C001",'C_jama.2024.11057'!$A$2:$A$4,0))="","",INDEX('C_jama.2024.11057'!$H$2:$H$4,MATCH("2024::jama.2024.11057::C001",'C_jama.2024.11057'!$A$2:$A$4,0))),"not_applicable"),"NOT FROZEN")</x:f>
        <x:v>not_applicable</x:v>
      </x:c>
      <x:c r="E10" s="6" t="str">
        <x:f>IF(Setup!$B$6="primary",IF(AND(INDEX('C_jama.2024.11057'!$D$2:$D$4,MATCH("2024::jama.2024.11057::C001",'C_jama.2024.11057'!$A$2:$A$4,0))="retain",INDEX('C_jama.2024.11057'!$E$2:$E$4,MATCH("2024::jama.2024.11057::C001",'C_jama.2024.11057'!$A$2:$A$4,0))="statistical_results"),IF(INDEX('C_jama.2024.11057'!$I$2:$I$4,MATCH("2024::jama.2024.11057::C001",'C_jama.2024.11057'!$A$2:$A$4,0))="","",INDEX('C_jama.2024.11057'!$I$2:$I$4,MATCH("2024::jama.2024.11057::C001",'C_jama.2024.11057'!$A$2:$A$4,0))),"not_applicable"),"NOT FROZEN")</x:f>
        <x:v>not_applicable</x:v>
      </x:c>
      <x:c r="F10" s="6" t="str">
        <x:f>IF(Setup!$B$6="primary",IF(AND(INDEX('C_jama.2024.11057'!$D$2:$D$4,MATCH("2024::jama.2024.11057::C001",'C_jama.2024.11057'!$A$2:$A$4,0))="retain",INDEX('C_jama.2024.11057'!$E$2:$E$4,MATCH("2024::jama.2024.11057::C001",'C_jama.2024.11057'!$A$2:$A$4,0))="statistical_results"),IF(INDEX('C_jama.2024.11057'!$J$2:$J$4,MATCH("2024::jama.2024.11057::C001",'C_jama.2024.11057'!$A$2:$A$4,0))="","",INDEX('C_jama.2024.11057'!$J$2:$J$4,MATCH("2024::jama.2024.11057::C001",'C_jama.2024.11057'!$A$2:$A$4,0))),"not_applicable"),"NOT FROZEN")</x:f>
        <x:v>not_applicable</x:v>
      </x:c>
      <x:c r="G10" s="6" t="str">
        <x:f>IF(Setup!$B$6="primary",IF(AND(INDEX('C_jama.2024.11057'!$D$2:$D$4,MATCH("2024::jama.2024.11057::C001",'C_jama.2024.11057'!$A$2:$A$4,0))="retain",OR(INDEX('C_jama.2024.11057'!$E$2:$E$4,MATCH("2024::jama.2024.11057::C001",'C_jama.2024.11057'!$A$2:$A$4,0))="report_internal_inconsistency",INDEX('C_jama.2024.11057'!$E$2:$E$4,MATCH("2024::jama.2024.11057::C001",'C_jama.2024.11057'!$A$2:$A$4,0))="plan_material")),IF(INDEX('C_jama.2024.11057'!$K$2:$K$4,MATCH("2024::jama.2024.11057::C001",'C_jama.2024.11057'!$A$2:$A$4,0))="","",INDEX('C_jama.2024.11057'!$K$2:$K$4,MATCH("2024::jama.2024.11057::C001",'C_jama.2024.11057'!$A$2:$A$4,0))),"not_applicable"),"NOT FROZEN")</x:f>
        <x:v>not_applicable</x:v>
      </x:c>
      <x:c r="H10" s="6" t="str">
        <x:f>IF(Setup!$B$6="primary",IF(AND(INDEX('C_jama.2024.11057'!$D$2:$D$4,MATCH("2024::jama.2024.11057::C001",'C_jama.2024.11057'!$A$2:$A$4,0))="retain",INDEX('C_jama.2024.11057'!$E$2:$E$4,MATCH("2024::jama.2024.11057::C001",'C_jama.2024.11057'!$A$2:$A$4,0))="protocol_report"),IF(INDEX('C_jama.2024.11057'!$L$2:$L$4,MATCH("2024::jama.2024.11057::C001",'C_jama.2024.11057'!$A$2:$A$4,0))="","",INDEX('C_jama.2024.11057'!$L$2:$L$4,MATCH("2024::jama.2024.11057::C001",'C_jama.2024.11057'!$A$2:$A$4,0))),"not_applicable"),"NOT FROZEN")</x:f>
        <x:v>not_applicable</x:v>
      </x:c>
      <x:c r="I10" s="6" t="str">
        <x:f>IF(Setup!$B$6="primary",IF(INDEX('C_jama.2024.11057'!$R$2:$R$4,MATCH("2024::jama.2024.11057::C001",'C_jama.2024.11057'!$A$2:$A$4,0))="","",INDEX('C_jama.2024.11057'!$R$2:$R$4,MATCH("2024::jama.2024.11057::C001",'C_jama.2024.11057'!$A$2:$A$4,0))),"NOT FROZEN")</x:f>
      </x:c>
      <x:c r="J10" s="6" t="str">
        <x:f>IF(Setup!$B$6="primary",INDEX('C_jama.2024.11057'!$F$2:$F$4,MATCH("2024::jama.2024.11057::C001",'C_jama.2024.11057'!$A$2:$A$4,0)),"NOT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protocol_report
</x:v>
      </x:c>
    </x:row>
    <x:row r="11" ht="70" customHeight="1">
      <x:c r="A11" s="3" t="str">
        <x:f>IF(Setup!$B$6="primary","2024::jama.2024.11057::C002","NOT FROZEN")</x:f>
        <x:v>2024::jama.2024.11057::C002</x:v>
      </x:c>
      <x:c r="B11" s="3" t="str">
        <x:f>IF(Setup!$B$6="primary",IF(INDEX('C_jama.2024.11057'!$D$2:$D$4,MATCH("2024::jama.2024.11057::C002",'C_jama.2024.11057'!$A$2:$A$4,0))="","",INDEX('C_jama.2024.11057'!$D$2:$D$4,MATCH("2024::jama.2024.11057::C002",'C_jama.2024.11057'!$A$2:$A$4,0))),"NOT FROZEN")</x:f>
      </x:c>
      <x:c r="C11" s="3" t="str">
        <x:f>IF(Setup!$B$6="primary",IF(INDEX('C_jama.2024.11057'!$E$2:$E$4,MATCH("2024::jama.2024.11057::C002",'C_jama.2024.11057'!$A$2:$A$4,0))="","",INDEX('C_jama.2024.11057'!$E$2:$E$4,MATCH("2024::jama.2024.11057::C002",'C_jama.2024.11057'!$A$2:$A$4,0))),"NOT FROZEN")</x:f>
        <x:v>report_internal_inconsistency</x:v>
      </x:c>
      <x:c r="D11" s="3" t="str">
        <x:f>IF(Setup!$B$6="primary",IF(AND(INDEX('C_jama.2024.11057'!$D$2:$D$4,MATCH("2024::jama.2024.11057::C002",'C_jama.2024.11057'!$A$2:$A$4,0))="retain",INDEX('C_jama.2024.11057'!$E$2:$E$4,MATCH("2024::jama.2024.11057::C002",'C_jama.2024.11057'!$A$2:$A$4,0))="statistical_results"),IF(INDEX('C_jama.2024.11057'!$H$2:$H$4,MATCH("2024::jama.2024.11057::C002",'C_jama.2024.11057'!$A$2:$A$4,0))="","",INDEX('C_jama.2024.11057'!$H$2:$H$4,MATCH("2024::jama.2024.11057::C002",'C_jama.2024.11057'!$A$2:$A$4,0))),"not_applicable"),"NOT FROZEN")</x:f>
        <x:v>not_applicable</x:v>
      </x:c>
      <x:c r="E11" s="3" t="str">
        <x:f>IF(Setup!$B$6="primary",IF(AND(INDEX('C_jama.2024.11057'!$D$2:$D$4,MATCH("2024::jama.2024.11057::C002",'C_jama.2024.11057'!$A$2:$A$4,0))="retain",INDEX('C_jama.2024.11057'!$E$2:$E$4,MATCH("2024::jama.2024.11057::C002",'C_jama.2024.11057'!$A$2:$A$4,0))="statistical_results"),IF(INDEX('C_jama.2024.11057'!$I$2:$I$4,MATCH("2024::jama.2024.11057::C002",'C_jama.2024.11057'!$A$2:$A$4,0))="","",INDEX('C_jama.2024.11057'!$I$2:$I$4,MATCH("2024::jama.2024.11057::C002",'C_jama.2024.11057'!$A$2:$A$4,0))),"not_applicable"),"NOT FROZEN")</x:f>
        <x:v>not_applicable</x:v>
      </x:c>
      <x:c r="F11" s="3" t="str">
        <x:f>IF(Setup!$B$6="primary",IF(AND(INDEX('C_jama.2024.11057'!$D$2:$D$4,MATCH("2024::jama.2024.11057::C002",'C_jama.2024.11057'!$A$2:$A$4,0))="retain",INDEX('C_jama.2024.11057'!$E$2:$E$4,MATCH("2024::jama.2024.11057::C002",'C_jama.2024.11057'!$A$2:$A$4,0))="statistical_results"),IF(INDEX('C_jama.2024.11057'!$J$2:$J$4,MATCH("2024::jama.2024.11057::C002",'C_jama.2024.11057'!$A$2:$A$4,0))="","",INDEX('C_jama.2024.11057'!$J$2:$J$4,MATCH("2024::jama.2024.11057::C002",'C_jama.2024.11057'!$A$2:$A$4,0))),"not_applicable"),"NOT FROZEN")</x:f>
        <x:v>not_applicable</x:v>
      </x:c>
      <x:c r="G11" s="3" t="str">
        <x:f>IF(Setup!$B$6="primary",IF(AND(INDEX('C_jama.2024.11057'!$D$2:$D$4,MATCH("2024::jama.2024.11057::C002",'C_jama.2024.11057'!$A$2:$A$4,0))="retain",OR(INDEX('C_jama.2024.11057'!$E$2:$E$4,MATCH("2024::jama.2024.11057::C002",'C_jama.2024.11057'!$A$2:$A$4,0))="report_internal_inconsistency",INDEX('C_jama.2024.11057'!$E$2:$E$4,MATCH("2024::jama.2024.11057::C002",'C_jama.2024.11057'!$A$2:$A$4,0))="plan_material")),IF(INDEX('C_jama.2024.11057'!$K$2:$K$4,MATCH("2024::jama.2024.11057::C002",'C_jama.2024.11057'!$A$2:$A$4,0))="","",INDEX('C_jama.2024.11057'!$K$2:$K$4,MATCH("2024::jama.2024.11057::C002",'C_jama.2024.11057'!$A$2:$A$4,0))),"not_applicable"),"NOT FROZEN")</x:f>
        <x:v>not_applicable</x:v>
      </x:c>
      <x:c r="H11" s="3" t="str">
        <x:f>IF(Setup!$B$6="primary",IF(AND(INDEX('C_jama.2024.11057'!$D$2:$D$4,MATCH("2024::jama.2024.11057::C002",'C_jama.2024.11057'!$A$2:$A$4,0))="retain",INDEX('C_jama.2024.11057'!$E$2:$E$4,MATCH("2024::jama.2024.11057::C002",'C_jama.2024.11057'!$A$2:$A$4,0))="protocol_report"),IF(INDEX('C_jama.2024.11057'!$L$2:$L$4,MATCH("2024::jama.2024.11057::C002",'C_jama.2024.11057'!$A$2:$A$4,0))="","",INDEX('C_jama.2024.11057'!$L$2:$L$4,MATCH("2024::jama.2024.11057::C002",'C_jama.2024.11057'!$A$2:$A$4,0))),"not_applicable"),"NOT FROZEN")</x:f>
        <x:v>not_applicable</x:v>
      </x:c>
      <x:c r="I11" s="3" t="str">
        <x:f>IF(Setup!$B$6="primary",IF(INDEX('C_jama.2024.11057'!$R$2:$R$4,MATCH("2024::jama.2024.11057::C002",'C_jama.2024.11057'!$A$2:$A$4,0))="","",INDEX('C_jama.2024.11057'!$R$2:$R$4,MATCH("2024::jama.2024.11057::C002",'C_jama.2024.11057'!$A$2:$A$4,0))),"NOT FROZEN")</x:f>
      </x:c>
      <x:c r="J11" s="3" t="str">
        <x:f>IF(Setup!$B$6="primary",INDEX('C_jama.2024.11057'!$F$2:$F$4,MATCH("2024::jama.2024.11057::C002",'C_jama.2024.11057'!$A$2:$A$4,0)),"NOT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report_internal_inconsistency
</x:v>
      </x:c>
    </x:row>
    <x:row r="12" ht="70" customHeight="1">
      <x:c r="A12" s="6" t="str">
        <x:f>IF(Setup!$B$6="primary","2024::jama.2024.11057::C003","NOT FROZEN")</x:f>
        <x:v>2024::jama.2024.11057::C003</x:v>
      </x:c>
      <x:c r="B12" s="6" t="str">
        <x:f>IF(Setup!$B$6="primary",IF(INDEX('C_jama.2024.11057'!$D$2:$D$4,MATCH("2024::jama.2024.11057::C003",'C_jama.2024.11057'!$A$2:$A$4,0))="","",INDEX('C_jama.2024.11057'!$D$2:$D$4,MATCH("2024::jama.2024.11057::C003",'C_jama.2024.11057'!$A$2:$A$4,0))),"NOT FROZEN")</x:f>
      </x:c>
      <x:c r="C12" s="6" t="str">
        <x:f>IF(Setup!$B$6="primary",IF(INDEX('C_jama.2024.11057'!$E$2:$E$4,MATCH("2024::jama.2024.11057::C003",'C_jama.2024.11057'!$A$2:$A$4,0))="","",INDEX('C_jama.2024.11057'!$E$2:$E$4,MATCH("2024::jama.2024.11057::C003",'C_jama.2024.11057'!$A$2:$A$4,0))),"NOT FROZEN")</x:f>
        <x:v>report_internal_inconsistency</x:v>
      </x:c>
      <x:c r="D12" s="6" t="str">
        <x:f>IF(Setup!$B$6="primary",IF(AND(INDEX('C_jama.2024.11057'!$D$2:$D$4,MATCH("2024::jama.2024.11057::C003",'C_jama.2024.11057'!$A$2:$A$4,0))="retain",INDEX('C_jama.2024.11057'!$E$2:$E$4,MATCH("2024::jama.2024.11057::C003",'C_jama.2024.11057'!$A$2:$A$4,0))="statistical_results"),IF(INDEX('C_jama.2024.11057'!$H$2:$H$4,MATCH("2024::jama.2024.11057::C003",'C_jama.2024.11057'!$A$2:$A$4,0))="","",INDEX('C_jama.2024.11057'!$H$2:$H$4,MATCH("2024::jama.2024.11057::C003",'C_jama.2024.11057'!$A$2:$A$4,0))),"not_applicable"),"NOT FROZEN")</x:f>
        <x:v>not_applicable</x:v>
      </x:c>
      <x:c r="E12" s="6" t="str">
        <x:f>IF(Setup!$B$6="primary",IF(AND(INDEX('C_jama.2024.11057'!$D$2:$D$4,MATCH("2024::jama.2024.11057::C003",'C_jama.2024.11057'!$A$2:$A$4,0))="retain",INDEX('C_jama.2024.11057'!$E$2:$E$4,MATCH("2024::jama.2024.11057::C003",'C_jama.2024.11057'!$A$2:$A$4,0))="statistical_results"),IF(INDEX('C_jama.2024.11057'!$I$2:$I$4,MATCH("2024::jama.2024.11057::C003",'C_jama.2024.11057'!$A$2:$A$4,0))="","",INDEX('C_jama.2024.11057'!$I$2:$I$4,MATCH("2024::jama.2024.11057::C003",'C_jama.2024.11057'!$A$2:$A$4,0))),"not_applicable"),"NOT FROZEN")</x:f>
        <x:v>not_applicable</x:v>
      </x:c>
      <x:c r="F12" s="6" t="str">
        <x:f>IF(Setup!$B$6="primary",IF(AND(INDEX('C_jama.2024.11057'!$D$2:$D$4,MATCH("2024::jama.2024.11057::C003",'C_jama.2024.11057'!$A$2:$A$4,0))="retain",INDEX('C_jama.2024.11057'!$E$2:$E$4,MATCH("2024::jama.2024.11057::C003",'C_jama.2024.11057'!$A$2:$A$4,0))="statistical_results"),IF(INDEX('C_jama.2024.11057'!$J$2:$J$4,MATCH("2024::jama.2024.11057::C003",'C_jama.2024.11057'!$A$2:$A$4,0))="","",INDEX('C_jama.2024.11057'!$J$2:$J$4,MATCH("2024::jama.2024.11057::C003",'C_jama.2024.11057'!$A$2:$A$4,0))),"not_applicable"),"NOT FROZEN")</x:f>
        <x:v>not_applicable</x:v>
      </x:c>
      <x:c r="G12" s="6" t="str">
        <x:f>IF(Setup!$B$6="primary",IF(AND(INDEX('C_jama.2024.11057'!$D$2:$D$4,MATCH("2024::jama.2024.11057::C003",'C_jama.2024.11057'!$A$2:$A$4,0))="retain",OR(INDEX('C_jama.2024.11057'!$E$2:$E$4,MATCH("2024::jama.2024.11057::C003",'C_jama.2024.11057'!$A$2:$A$4,0))="report_internal_inconsistency",INDEX('C_jama.2024.11057'!$E$2:$E$4,MATCH("2024::jama.2024.11057::C003",'C_jama.2024.11057'!$A$2:$A$4,0))="plan_material")),IF(INDEX('C_jama.2024.11057'!$K$2:$K$4,MATCH("2024::jama.2024.11057::C003",'C_jama.2024.11057'!$A$2:$A$4,0))="","",INDEX('C_jama.2024.11057'!$K$2:$K$4,MATCH("2024::jama.2024.11057::C003",'C_jama.2024.11057'!$A$2:$A$4,0))),"not_applicable"),"NOT FROZEN")</x:f>
        <x:v>not_applicable</x:v>
      </x:c>
      <x:c r="H12" s="6" t="str">
        <x:f>IF(Setup!$B$6="primary",IF(AND(INDEX('C_jama.2024.11057'!$D$2:$D$4,MATCH("2024::jama.2024.11057::C003",'C_jama.2024.11057'!$A$2:$A$4,0))="retain",INDEX('C_jama.2024.11057'!$E$2:$E$4,MATCH("2024::jama.2024.11057::C003",'C_jama.2024.11057'!$A$2:$A$4,0))="protocol_report"),IF(INDEX('C_jama.2024.11057'!$L$2:$L$4,MATCH("2024::jama.2024.11057::C003",'C_jama.2024.11057'!$A$2:$A$4,0))="","",INDEX('C_jama.2024.11057'!$L$2:$L$4,MATCH("2024::jama.2024.11057::C003",'C_jama.2024.11057'!$A$2:$A$4,0))),"not_applicable"),"NOT FROZEN")</x:f>
        <x:v>not_applicable</x:v>
      </x:c>
      <x:c r="I12" s="6" t="str">
        <x:f>IF(Setup!$B$6="primary",IF(INDEX('C_jama.2024.11057'!$R$2:$R$4,MATCH("2024::jama.2024.11057::C003",'C_jama.2024.11057'!$A$2:$A$4,0))="","",INDEX('C_jama.2024.11057'!$R$2:$R$4,MATCH("2024::jama.2024.11057::C003",'C_jama.2024.11057'!$A$2:$A$4,0))),"NOT FROZEN")</x:f>
      </x:c>
      <x:c r="J12" s="6" t="str">
        <x:f>IF(Setup!$B$6="primary",INDEX('C_jama.2024.11057'!$F$2:$F$4,MATCH("2024::jama.2024.11057::C003",'C_jama.2024.11057'!$A$2:$A$4,0)),"NOT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IF(Setup!$B$6="primary","2024::jama.2024.12829::C001","NOT FROZEN")</x:f>
        <x:v>2024::jama.2024.12829::C001</x:v>
      </x:c>
      <x:c r="B13" s="3" t="str">
        <x:f>IF(Setup!$B$6="primary",IF(INDEX('C_jama.2024.12829'!$D$2:$D$18,MATCH("2024::jama.2024.12829::C001",'C_jama.2024.12829'!$A$2:$A$18,0))="","",INDEX('C_jama.2024.12829'!$D$2:$D$18,MATCH("2024::jama.2024.12829::C001",'C_jama.2024.12829'!$A$2:$A$18,0))),"NOT FROZEN")</x:f>
      </x:c>
      <x:c r="C13" s="3" t="str">
        <x:f>IF(Setup!$B$6="primary",IF(INDEX('C_jama.2024.12829'!$E$2:$E$18,MATCH("2024::jama.2024.12829::C001",'C_jama.2024.12829'!$A$2:$A$18,0))="","",INDEX('C_jama.2024.12829'!$E$2:$E$18,MATCH("2024::jama.2024.12829::C001",'C_jama.2024.12829'!$A$2:$A$18,0))),"NOT FROZEN")</x:f>
        <x:v>statistical_results</x:v>
      </x:c>
      <x:c r="D13" s="3" t="str">
        <x:f>IF(Setup!$B$6="primary",IF(AND(INDEX('C_jama.2024.12829'!$D$2:$D$18,MATCH("2024::jama.2024.12829::C001",'C_jama.2024.12829'!$A$2:$A$18,0))="retain",INDEX('C_jama.2024.12829'!$E$2:$E$18,MATCH("2024::jama.2024.12829::C001",'C_jama.2024.12829'!$A$2:$A$18,0))="statistical_results"),IF(INDEX('C_jama.2024.12829'!$H$2:$H$18,MATCH("2024::jama.2024.12829::C001",'C_jama.2024.12829'!$A$2:$A$18,0))="","",INDEX('C_jama.2024.12829'!$H$2:$H$18,MATCH("2024::jama.2024.12829::C001",'C_jama.2024.12829'!$A$2:$A$18,0))),"not_applicable"),"NOT FROZEN")</x:f>
        <x:v>not_applicable</x:v>
      </x:c>
      <x:c r="E13" s="3" t="str">
        <x:f>IF(Setup!$B$6="primary",IF(AND(INDEX('C_jama.2024.12829'!$D$2:$D$18,MATCH("2024::jama.2024.12829::C001",'C_jama.2024.12829'!$A$2:$A$18,0))="retain",INDEX('C_jama.2024.12829'!$E$2:$E$18,MATCH("2024::jama.2024.12829::C001",'C_jama.2024.12829'!$A$2:$A$18,0))="statistical_results"),IF(INDEX('C_jama.2024.12829'!$I$2:$I$18,MATCH("2024::jama.2024.12829::C001",'C_jama.2024.12829'!$A$2:$A$18,0))="","",INDEX('C_jama.2024.12829'!$I$2:$I$18,MATCH("2024::jama.2024.12829::C001",'C_jama.2024.12829'!$A$2:$A$18,0))),"not_applicable"),"NOT FROZEN")</x:f>
        <x:v>not_applicable</x:v>
      </x:c>
      <x:c r="F13" s="3" t="str">
        <x:f>IF(Setup!$B$6="primary",IF(AND(INDEX('C_jama.2024.12829'!$D$2:$D$18,MATCH("2024::jama.2024.12829::C001",'C_jama.2024.12829'!$A$2:$A$18,0))="retain",INDEX('C_jama.2024.12829'!$E$2:$E$18,MATCH("2024::jama.2024.12829::C001",'C_jama.2024.12829'!$A$2:$A$18,0))="statistical_results"),IF(INDEX('C_jama.2024.12829'!$J$2:$J$18,MATCH("2024::jama.2024.12829::C001",'C_jama.2024.12829'!$A$2:$A$18,0))="","",INDEX('C_jama.2024.12829'!$J$2:$J$18,MATCH("2024::jama.2024.12829::C001",'C_jama.2024.12829'!$A$2:$A$18,0))),"not_applicable"),"NOT FROZEN")</x:f>
        <x:v>not_applicable</x:v>
      </x:c>
      <x:c r="G13" s="3" t="str">
        <x:f>IF(Setup!$B$6="primary",IF(AND(INDEX('C_jama.2024.12829'!$D$2:$D$18,MATCH("2024::jama.2024.12829::C001",'C_jama.2024.12829'!$A$2:$A$18,0))="retain",OR(INDEX('C_jama.2024.12829'!$E$2:$E$18,MATCH("2024::jama.2024.12829::C001",'C_jama.2024.12829'!$A$2:$A$18,0))="report_internal_inconsistency",INDEX('C_jama.2024.12829'!$E$2:$E$18,MATCH("2024::jama.2024.12829::C001",'C_jama.2024.12829'!$A$2:$A$18,0))="plan_material")),IF(INDEX('C_jama.2024.12829'!$K$2:$K$18,MATCH("2024::jama.2024.12829::C001",'C_jama.2024.12829'!$A$2:$A$18,0))="","",INDEX('C_jama.2024.12829'!$K$2:$K$18,MATCH("2024::jama.2024.12829::C001",'C_jama.2024.12829'!$A$2:$A$18,0))),"not_applicable"),"NOT FROZEN")</x:f>
        <x:v>not_applicable</x:v>
      </x:c>
      <x:c r="H13" s="3" t="str">
        <x:f>IF(Setup!$B$6="primary",IF(AND(INDEX('C_jama.2024.12829'!$D$2:$D$18,MATCH("2024::jama.2024.12829::C001",'C_jama.2024.12829'!$A$2:$A$18,0))="retain",INDEX('C_jama.2024.12829'!$E$2:$E$18,MATCH("2024::jama.2024.12829::C001",'C_jama.2024.12829'!$A$2:$A$18,0))="protocol_report"),IF(INDEX('C_jama.2024.12829'!$L$2:$L$18,MATCH("2024::jama.2024.12829::C001",'C_jama.2024.12829'!$A$2:$A$18,0))="","",INDEX('C_jama.2024.12829'!$L$2:$L$18,MATCH("2024::jama.2024.12829::C001",'C_jama.2024.12829'!$A$2:$A$18,0))),"not_applicable"),"NOT FROZEN")</x:f>
        <x:v>not_applicable</x:v>
      </x:c>
      <x:c r="I13" s="3" t="str">
        <x:f>IF(Setup!$B$6="primary",IF(INDEX('C_jama.2024.12829'!$R$2:$R$18,MATCH("2024::jama.2024.12829::C001",'C_jama.2024.12829'!$A$2:$A$18,0))="","",INDEX('C_jama.2024.12829'!$R$2:$R$18,MATCH("2024::jama.2024.12829::C001",'C_jama.2024.12829'!$A$2:$A$18,0))),"NOT FROZEN")</x:f>
      </x:c>
      <x:c r="J13" s="3" t="str">
        <x:f>IF(Setup!$B$6="primary",INDEX('C_jama.2024.12829'!$F$2:$F$18,MATCH("2024::jama.2024.12829::C001",'C_jama.2024.12829'!$A$2:$A$18,0)),"NOT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statistical_results
</x:v>
      </x:c>
    </x:row>
    <x:row r="14" ht="70" customHeight="1">
      <x:c r="A14" s="6" t="str">
        <x:f>IF(Setup!$B$6="primary","2024::jama.2024.12829::C002","NOT FROZEN")</x:f>
        <x:v>2024::jama.2024.12829::C002</x:v>
      </x:c>
      <x:c r="B14" s="6" t="str">
        <x:f>IF(Setup!$B$6="primary",IF(INDEX('C_jama.2024.12829'!$D$2:$D$18,MATCH("2024::jama.2024.12829::C002",'C_jama.2024.12829'!$A$2:$A$18,0))="","",INDEX('C_jama.2024.12829'!$D$2:$D$18,MATCH("2024::jama.2024.12829::C002",'C_jama.2024.12829'!$A$2:$A$18,0))),"NOT FROZEN")</x:f>
      </x:c>
      <x:c r="C14" s="6" t="str">
        <x:f>IF(Setup!$B$6="primary",IF(INDEX('C_jama.2024.12829'!$E$2:$E$18,MATCH("2024::jama.2024.12829::C002",'C_jama.2024.12829'!$A$2:$A$18,0))="","",INDEX('C_jama.2024.12829'!$E$2:$E$18,MATCH("2024::jama.2024.12829::C002",'C_jama.2024.12829'!$A$2:$A$18,0))),"NOT FROZEN")</x:f>
        <x:v>statistical_results</x:v>
      </x:c>
      <x:c r="D14" s="6" t="str">
        <x:f>IF(Setup!$B$6="primary",IF(AND(INDEX('C_jama.2024.12829'!$D$2:$D$18,MATCH("2024::jama.2024.12829::C002",'C_jama.2024.12829'!$A$2:$A$18,0))="retain",INDEX('C_jama.2024.12829'!$E$2:$E$18,MATCH("2024::jama.2024.12829::C002",'C_jama.2024.12829'!$A$2:$A$18,0))="statistical_results"),IF(INDEX('C_jama.2024.12829'!$H$2:$H$18,MATCH("2024::jama.2024.12829::C002",'C_jama.2024.12829'!$A$2:$A$18,0))="","",INDEX('C_jama.2024.12829'!$H$2:$H$18,MATCH("2024::jama.2024.12829::C002",'C_jama.2024.12829'!$A$2:$A$18,0))),"not_applicable"),"NOT FROZEN")</x:f>
        <x:v>not_applicable</x:v>
      </x:c>
      <x:c r="E14" s="6" t="str">
        <x:f>IF(Setup!$B$6="primary",IF(AND(INDEX('C_jama.2024.12829'!$D$2:$D$18,MATCH("2024::jama.2024.12829::C002",'C_jama.2024.12829'!$A$2:$A$18,0))="retain",INDEX('C_jama.2024.12829'!$E$2:$E$18,MATCH("2024::jama.2024.12829::C002",'C_jama.2024.12829'!$A$2:$A$18,0))="statistical_results"),IF(INDEX('C_jama.2024.12829'!$I$2:$I$18,MATCH("2024::jama.2024.12829::C002",'C_jama.2024.12829'!$A$2:$A$18,0))="","",INDEX('C_jama.2024.12829'!$I$2:$I$18,MATCH("2024::jama.2024.12829::C002",'C_jama.2024.12829'!$A$2:$A$18,0))),"not_applicable"),"NOT FROZEN")</x:f>
        <x:v>not_applicable</x:v>
      </x:c>
      <x:c r="F14" s="6" t="str">
        <x:f>IF(Setup!$B$6="primary",IF(AND(INDEX('C_jama.2024.12829'!$D$2:$D$18,MATCH("2024::jama.2024.12829::C002",'C_jama.2024.12829'!$A$2:$A$18,0))="retain",INDEX('C_jama.2024.12829'!$E$2:$E$18,MATCH("2024::jama.2024.12829::C002",'C_jama.2024.12829'!$A$2:$A$18,0))="statistical_results"),IF(INDEX('C_jama.2024.12829'!$J$2:$J$18,MATCH("2024::jama.2024.12829::C002",'C_jama.2024.12829'!$A$2:$A$18,0))="","",INDEX('C_jama.2024.12829'!$J$2:$J$18,MATCH("2024::jama.2024.12829::C002",'C_jama.2024.12829'!$A$2:$A$18,0))),"not_applicable"),"NOT FROZEN")</x:f>
        <x:v>not_applicable</x:v>
      </x:c>
      <x:c r="G14" s="6" t="str">
        <x:f>IF(Setup!$B$6="primary",IF(AND(INDEX('C_jama.2024.12829'!$D$2:$D$18,MATCH("2024::jama.2024.12829::C002",'C_jama.2024.12829'!$A$2:$A$18,0))="retain",OR(INDEX('C_jama.2024.12829'!$E$2:$E$18,MATCH("2024::jama.2024.12829::C002",'C_jama.2024.12829'!$A$2:$A$18,0))="report_internal_inconsistency",INDEX('C_jama.2024.12829'!$E$2:$E$18,MATCH("2024::jama.2024.12829::C002",'C_jama.2024.12829'!$A$2:$A$18,0))="plan_material")),IF(INDEX('C_jama.2024.12829'!$K$2:$K$18,MATCH("2024::jama.2024.12829::C002",'C_jama.2024.12829'!$A$2:$A$18,0))="","",INDEX('C_jama.2024.12829'!$K$2:$K$18,MATCH("2024::jama.2024.12829::C002",'C_jama.2024.12829'!$A$2:$A$18,0))),"not_applicable"),"NOT FROZEN")</x:f>
        <x:v>not_applicable</x:v>
      </x:c>
      <x:c r="H14" s="6" t="str">
        <x:f>IF(Setup!$B$6="primary",IF(AND(INDEX('C_jama.2024.12829'!$D$2:$D$18,MATCH("2024::jama.2024.12829::C002",'C_jama.2024.12829'!$A$2:$A$18,0))="retain",INDEX('C_jama.2024.12829'!$E$2:$E$18,MATCH("2024::jama.2024.12829::C002",'C_jama.2024.12829'!$A$2:$A$18,0))="protocol_report"),IF(INDEX('C_jama.2024.12829'!$L$2:$L$18,MATCH("2024::jama.2024.12829::C002",'C_jama.2024.12829'!$A$2:$A$18,0))="","",INDEX('C_jama.2024.12829'!$L$2:$L$18,MATCH("2024::jama.2024.12829::C002",'C_jama.2024.12829'!$A$2:$A$18,0))),"not_applicable"),"NOT FROZEN")</x:f>
        <x:v>not_applicable</x:v>
      </x:c>
      <x:c r="I14" s="6" t="str">
        <x:f>IF(Setup!$B$6="primary",IF(INDEX('C_jama.2024.12829'!$R$2:$R$18,MATCH("2024::jama.2024.12829::C002",'C_jama.2024.12829'!$A$2:$A$18,0))="","",INDEX('C_jama.2024.12829'!$R$2:$R$18,MATCH("2024::jama.2024.12829::C002",'C_jama.2024.12829'!$A$2:$A$18,0))),"NOT FROZEN")</x:f>
      </x:c>
      <x:c r="J14" s="6" t="str">
        <x:f>IF(Setup!$B$6="primary",INDEX('C_jama.2024.12829'!$F$2:$F$18,MATCH("2024::jama.2024.12829::C002",'C_jama.2024.12829'!$A$2:$A$18,0)),"NOT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statistical_results
</x:v>
      </x:c>
    </x:row>
    <x:row r="15" ht="70" customHeight="1">
      <x:c r="A15" s="3" t="str">
        <x:f>IF(Setup!$B$6="primary","2024::jama.2024.12829::C003","NOT FROZEN")</x:f>
        <x:v>2024::jama.2024.12829::C003</x:v>
      </x:c>
      <x:c r="B15" s="3" t="str">
        <x:f>IF(Setup!$B$6="primary",IF(INDEX('C_jama.2024.12829'!$D$2:$D$18,MATCH("2024::jama.2024.12829::C003",'C_jama.2024.12829'!$A$2:$A$18,0))="","",INDEX('C_jama.2024.12829'!$D$2:$D$18,MATCH("2024::jama.2024.12829::C003",'C_jama.2024.12829'!$A$2:$A$18,0))),"NOT FROZEN")</x:f>
      </x:c>
      <x:c r="C15" s="3" t="str">
        <x:f>IF(Setup!$B$6="primary",IF(INDEX('C_jama.2024.12829'!$E$2:$E$18,MATCH("2024::jama.2024.12829::C003",'C_jama.2024.12829'!$A$2:$A$18,0))="","",INDEX('C_jama.2024.12829'!$E$2:$E$18,MATCH("2024::jama.2024.12829::C003",'C_jama.2024.12829'!$A$2:$A$18,0))),"NOT FROZEN")</x:f>
        <x:v>statistical_results</x:v>
      </x:c>
      <x:c r="D15" s="3" t="str">
        <x:f>IF(Setup!$B$6="primary",IF(AND(INDEX('C_jama.2024.12829'!$D$2:$D$18,MATCH("2024::jama.2024.12829::C003",'C_jama.2024.12829'!$A$2:$A$18,0))="retain",INDEX('C_jama.2024.12829'!$E$2:$E$18,MATCH("2024::jama.2024.12829::C003",'C_jama.2024.12829'!$A$2:$A$18,0))="statistical_results"),IF(INDEX('C_jama.2024.12829'!$H$2:$H$18,MATCH("2024::jama.2024.12829::C003",'C_jama.2024.12829'!$A$2:$A$18,0))="","",INDEX('C_jama.2024.12829'!$H$2:$H$18,MATCH("2024::jama.2024.12829::C003",'C_jama.2024.12829'!$A$2:$A$18,0))),"not_applicable"),"NOT FROZEN")</x:f>
        <x:v>not_applicable</x:v>
      </x:c>
      <x:c r="E15" s="3" t="str">
        <x:f>IF(Setup!$B$6="primary",IF(AND(INDEX('C_jama.2024.12829'!$D$2:$D$18,MATCH("2024::jama.2024.12829::C003",'C_jama.2024.12829'!$A$2:$A$18,0))="retain",INDEX('C_jama.2024.12829'!$E$2:$E$18,MATCH("2024::jama.2024.12829::C003",'C_jama.2024.12829'!$A$2:$A$18,0))="statistical_results"),IF(INDEX('C_jama.2024.12829'!$I$2:$I$18,MATCH("2024::jama.2024.12829::C003",'C_jama.2024.12829'!$A$2:$A$18,0))="","",INDEX('C_jama.2024.12829'!$I$2:$I$18,MATCH("2024::jama.2024.12829::C003",'C_jama.2024.12829'!$A$2:$A$18,0))),"not_applicable"),"NOT FROZEN")</x:f>
        <x:v>not_applicable</x:v>
      </x:c>
      <x:c r="F15" s="3" t="str">
        <x:f>IF(Setup!$B$6="primary",IF(AND(INDEX('C_jama.2024.12829'!$D$2:$D$18,MATCH("2024::jama.2024.12829::C003",'C_jama.2024.12829'!$A$2:$A$18,0))="retain",INDEX('C_jama.2024.12829'!$E$2:$E$18,MATCH("2024::jama.2024.12829::C003",'C_jama.2024.12829'!$A$2:$A$18,0))="statistical_results"),IF(INDEX('C_jama.2024.12829'!$J$2:$J$18,MATCH("2024::jama.2024.12829::C003",'C_jama.2024.12829'!$A$2:$A$18,0))="","",INDEX('C_jama.2024.12829'!$J$2:$J$18,MATCH("2024::jama.2024.12829::C003",'C_jama.2024.12829'!$A$2:$A$18,0))),"not_applicable"),"NOT FROZEN")</x:f>
        <x:v>not_applicable</x:v>
      </x:c>
      <x:c r="G15" s="3" t="str">
        <x:f>IF(Setup!$B$6="primary",IF(AND(INDEX('C_jama.2024.12829'!$D$2:$D$18,MATCH("2024::jama.2024.12829::C003",'C_jama.2024.12829'!$A$2:$A$18,0))="retain",OR(INDEX('C_jama.2024.12829'!$E$2:$E$18,MATCH("2024::jama.2024.12829::C003",'C_jama.2024.12829'!$A$2:$A$18,0))="report_internal_inconsistency",INDEX('C_jama.2024.12829'!$E$2:$E$18,MATCH("2024::jama.2024.12829::C003",'C_jama.2024.12829'!$A$2:$A$18,0))="plan_material")),IF(INDEX('C_jama.2024.12829'!$K$2:$K$18,MATCH("2024::jama.2024.12829::C003",'C_jama.2024.12829'!$A$2:$A$18,0))="","",INDEX('C_jama.2024.12829'!$K$2:$K$18,MATCH("2024::jama.2024.12829::C003",'C_jama.2024.12829'!$A$2:$A$18,0))),"not_applicable"),"NOT FROZEN")</x:f>
        <x:v>not_applicable</x:v>
      </x:c>
      <x:c r="H15" s="3" t="str">
        <x:f>IF(Setup!$B$6="primary",IF(AND(INDEX('C_jama.2024.12829'!$D$2:$D$18,MATCH("2024::jama.2024.12829::C003",'C_jama.2024.12829'!$A$2:$A$18,0))="retain",INDEX('C_jama.2024.12829'!$E$2:$E$18,MATCH("2024::jama.2024.12829::C003",'C_jama.2024.12829'!$A$2:$A$18,0))="protocol_report"),IF(INDEX('C_jama.2024.12829'!$L$2:$L$18,MATCH("2024::jama.2024.12829::C003",'C_jama.2024.12829'!$A$2:$A$18,0))="","",INDEX('C_jama.2024.12829'!$L$2:$L$18,MATCH("2024::jama.2024.12829::C003",'C_jama.2024.12829'!$A$2:$A$18,0))),"not_applicable"),"NOT FROZEN")</x:f>
        <x:v>not_applicable</x:v>
      </x:c>
      <x:c r="I15" s="3" t="str">
        <x:f>IF(Setup!$B$6="primary",IF(INDEX('C_jama.2024.12829'!$R$2:$R$18,MATCH("2024::jama.2024.12829::C003",'C_jama.2024.12829'!$A$2:$A$18,0))="","",INDEX('C_jama.2024.12829'!$R$2:$R$18,MATCH("2024::jama.2024.12829::C003",'C_jama.2024.12829'!$A$2:$A$18,0))),"NOT FROZEN")</x:f>
      </x:c>
      <x:c r="J15" s="3" t="str">
        <x:f>IF(Setup!$B$6="primary",INDEX('C_jama.2024.12829'!$F$2:$F$18,MATCH("2024::jama.2024.12829::C003",'C_jama.2024.12829'!$A$2:$A$18,0)),"NOT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statistical_results
</x:v>
      </x:c>
    </x:row>
    <x:row r="16" ht="70" customHeight="1">
      <x:c r="A16" s="6" t="str">
        <x:f>IF(Setup!$B$6="primary","2024::jama.2024.12829::C004","NOT FROZEN")</x:f>
        <x:v>2024::jama.2024.12829::C004</x:v>
      </x:c>
      <x:c r="B16" s="6" t="str">
        <x:f>IF(Setup!$B$6="primary",IF(INDEX('C_jama.2024.12829'!$D$2:$D$18,MATCH("2024::jama.2024.12829::C004",'C_jama.2024.12829'!$A$2:$A$18,0))="","",INDEX('C_jama.2024.12829'!$D$2:$D$18,MATCH("2024::jama.2024.12829::C004",'C_jama.2024.12829'!$A$2:$A$18,0))),"NOT FROZEN")</x:f>
      </x:c>
      <x:c r="C16" s="6" t="str">
        <x:f>IF(Setup!$B$6="primary",IF(INDEX('C_jama.2024.12829'!$E$2:$E$18,MATCH("2024::jama.2024.12829::C004",'C_jama.2024.12829'!$A$2:$A$18,0))="","",INDEX('C_jama.2024.12829'!$E$2:$E$18,MATCH("2024::jama.2024.12829::C004",'C_jama.2024.12829'!$A$2:$A$18,0))),"NOT FROZEN")</x:f>
        <x:v>statistical_results</x:v>
      </x:c>
      <x:c r="D16" s="6" t="str">
        <x:f>IF(Setup!$B$6="primary",IF(AND(INDEX('C_jama.2024.12829'!$D$2:$D$18,MATCH("2024::jama.2024.12829::C004",'C_jama.2024.12829'!$A$2:$A$18,0))="retain",INDEX('C_jama.2024.12829'!$E$2:$E$18,MATCH("2024::jama.2024.12829::C004",'C_jama.2024.12829'!$A$2:$A$18,0))="statistical_results"),IF(INDEX('C_jama.2024.12829'!$H$2:$H$18,MATCH("2024::jama.2024.12829::C004",'C_jama.2024.12829'!$A$2:$A$18,0))="","",INDEX('C_jama.2024.12829'!$H$2:$H$18,MATCH("2024::jama.2024.12829::C004",'C_jama.2024.12829'!$A$2:$A$18,0))),"not_applicable"),"NOT FROZEN")</x:f>
        <x:v>not_applicable</x:v>
      </x:c>
      <x:c r="E16" s="6" t="str">
        <x:f>IF(Setup!$B$6="primary",IF(AND(INDEX('C_jama.2024.12829'!$D$2:$D$18,MATCH("2024::jama.2024.12829::C004",'C_jama.2024.12829'!$A$2:$A$18,0))="retain",INDEX('C_jama.2024.12829'!$E$2:$E$18,MATCH("2024::jama.2024.12829::C004",'C_jama.2024.12829'!$A$2:$A$18,0))="statistical_results"),IF(INDEX('C_jama.2024.12829'!$I$2:$I$18,MATCH("2024::jama.2024.12829::C004",'C_jama.2024.12829'!$A$2:$A$18,0))="","",INDEX('C_jama.2024.12829'!$I$2:$I$18,MATCH("2024::jama.2024.12829::C004",'C_jama.2024.12829'!$A$2:$A$18,0))),"not_applicable"),"NOT FROZEN")</x:f>
        <x:v>not_applicable</x:v>
      </x:c>
      <x:c r="F16" s="6" t="str">
        <x:f>IF(Setup!$B$6="primary",IF(AND(INDEX('C_jama.2024.12829'!$D$2:$D$18,MATCH("2024::jama.2024.12829::C004",'C_jama.2024.12829'!$A$2:$A$18,0))="retain",INDEX('C_jama.2024.12829'!$E$2:$E$18,MATCH("2024::jama.2024.12829::C004",'C_jama.2024.12829'!$A$2:$A$18,0))="statistical_results"),IF(INDEX('C_jama.2024.12829'!$J$2:$J$18,MATCH("2024::jama.2024.12829::C004",'C_jama.2024.12829'!$A$2:$A$18,0))="","",INDEX('C_jama.2024.12829'!$J$2:$J$18,MATCH("2024::jama.2024.12829::C004",'C_jama.2024.12829'!$A$2:$A$18,0))),"not_applicable"),"NOT FROZEN")</x:f>
        <x:v>not_applicable</x:v>
      </x:c>
      <x:c r="G16" s="6" t="str">
        <x:f>IF(Setup!$B$6="primary",IF(AND(INDEX('C_jama.2024.12829'!$D$2:$D$18,MATCH("2024::jama.2024.12829::C004",'C_jama.2024.12829'!$A$2:$A$18,0))="retain",OR(INDEX('C_jama.2024.12829'!$E$2:$E$18,MATCH("2024::jama.2024.12829::C004",'C_jama.2024.12829'!$A$2:$A$18,0))="report_internal_inconsistency",INDEX('C_jama.2024.12829'!$E$2:$E$18,MATCH("2024::jama.2024.12829::C004",'C_jama.2024.12829'!$A$2:$A$18,0))="plan_material")),IF(INDEX('C_jama.2024.12829'!$K$2:$K$18,MATCH("2024::jama.2024.12829::C004",'C_jama.2024.12829'!$A$2:$A$18,0))="","",INDEX('C_jama.2024.12829'!$K$2:$K$18,MATCH("2024::jama.2024.12829::C004",'C_jama.2024.12829'!$A$2:$A$18,0))),"not_applicable"),"NOT FROZEN")</x:f>
        <x:v>not_applicable</x:v>
      </x:c>
      <x:c r="H16" s="6" t="str">
        <x:f>IF(Setup!$B$6="primary",IF(AND(INDEX('C_jama.2024.12829'!$D$2:$D$18,MATCH("2024::jama.2024.12829::C004",'C_jama.2024.12829'!$A$2:$A$18,0))="retain",INDEX('C_jama.2024.12829'!$E$2:$E$18,MATCH("2024::jama.2024.12829::C004",'C_jama.2024.12829'!$A$2:$A$18,0))="protocol_report"),IF(INDEX('C_jama.2024.12829'!$L$2:$L$18,MATCH("2024::jama.2024.12829::C004",'C_jama.2024.12829'!$A$2:$A$18,0))="","",INDEX('C_jama.2024.12829'!$L$2:$L$18,MATCH("2024::jama.2024.12829::C004",'C_jama.2024.12829'!$A$2:$A$18,0))),"not_applicable"),"NOT FROZEN")</x:f>
        <x:v>not_applicable</x:v>
      </x:c>
      <x:c r="I16" s="6" t="str">
        <x:f>IF(Setup!$B$6="primary",IF(INDEX('C_jama.2024.12829'!$R$2:$R$18,MATCH("2024::jama.2024.12829::C004",'C_jama.2024.12829'!$A$2:$A$18,0))="","",INDEX('C_jama.2024.12829'!$R$2:$R$18,MATCH("2024::jama.2024.12829::C004",'C_jama.2024.12829'!$A$2:$A$18,0))),"NOT FROZEN")</x:f>
      </x:c>
      <x:c r="J16" s="6" t="str">
        <x:f>IF(Setup!$B$6="primary",INDEX('C_jama.2024.12829'!$F$2:$F$18,MATCH("2024::jama.2024.12829::C004",'C_jama.2024.12829'!$A$2:$A$18,0)),"NOT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statistical_results
</x:v>
      </x:c>
    </x:row>
    <x:row r="17" ht="70" customHeight="1">
      <x:c r="A17" s="3" t="str">
        <x:f>IF(Setup!$B$6="primary","2024::jama.2024.12829::C005","NOT FROZEN")</x:f>
        <x:v>2024::jama.2024.12829::C005</x:v>
      </x:c>
      <x:c r="B17" s="3" t="str">
        <x:f>IF(Setup!$B$6="primary",IF(INDEX('C_jama.2024.12829'!$D$2:$D$18,MATCH("2024::jama.2024.12829::C005",'C_jama.2024.12829'!$A$2:$A$18,0))="","",INDEX('C_jama.2024.12829'!$D$2:$D$18,MATCH("2024::jama.2024.12829::C005",'C_jama.2024.12829'!$A$2:$A$18,0))),"NOT FROZEN")</x:f>
      </x:c>
      <x:c r="C17" s="3" t="str">
        <x:f>IF(Setup!$B$6="primary",IF(INDEX('C_jama.2024.12829'!$E$2:$E$18,MATCH("2024::jama.2024.12829::C005",'C_jama.2024.12829'!$A$2:$A$18,0))="","",INDEX('C_jama.2024.12829'!$E$2:$E$18,MATCH("2024::jama.2024.12829::C005",'C_jama.2024.12829'!$A$2:$A$18,0))),"NOT FROZEN")</x:f>
        <x:v>statistical_results</x:v>
      </x:c>
      <x:c r="D17" s="3" t="str">
        <x:f>IF(Setup!$B$6="primary",IF(AND(INDEX('C_jama.2024.12829'!$D$2:$D$18,MATCH("2024::jama.2024.12829::C005",'C_jama.2024.12829'!$A$2:$A$18,0))="retain",INDEX('C_jama.2024.12829'!$E$2:$E$18,MATCH("2024::jama.2024.12829::C005",'C_jama.2024.12829'!$A$2:$A$18,0))="statistical_results"),IF(INDEX('C_jama.2024.12829'!$H$2:$H$18,MATCH("2024::jama.2024.12829::C005",'C_jama.2024.12829'!$A$2:$A$18,0))="","",INDEX('C_jama.2024.12829'!$H$2:$H$18,MATCH("2024::jama.2024.12829::C005",'C_jama.2024.12829'!$A$2:$A$18,0))),"not_applicable"),"NOT FROZEN")</x:f>
        <x:v>not_applicable</x:v>
      </x:c>
      <x:c r="E17" s="3" t="str">
        <x:f>IF(Setup!$B$6="primary",IF(AND(INDEX('C_jama.2024.12829'!$D$2:$D$18,MATCH("2024::jama.2024.12829::C005",'C_jama.2024.12829'!$A$2:$A$18,0))="retain",INDEX('C_jama.2024.12829'!$E$2:$E$18,MATCH("2024::jama.2024.12829::C005",'C_jama.2024.12829'!$A$2:$A$18,0))="statistical_results"),IF(INDEX('C_jama.2024.12829'!$I$2:$I$18,MATCH("2024::jama.2024.12829::C005",'C_jama.2024.12829'!$A$2:$A$18,0))="","",INDEX('C_jama.2024.12829'!$I$2:$I$18,MATCH("2024::jama.2024.12829::C005",'C_jama.2024.12829'!$A$2:$A$18,0))),"not_applicable"),"NOT FROZEN")</x:f>
        <x:v>not_applicable</x:v>
      </x:c>
      <x:c r="F17" s="3" t="str">
        <x:f>IF(Setup!$B$6="primary",IF(AND(INDEX('C_jama.2024.12829'!$D$2:$D$18,MATCH("2024::jama.2024.12829::C005",'C_jama.2024.12829'!$A$2:$A$18,0))="retain",INDEX('C_jama.2024.12829'!$E$2:$E$18,MATCH("2024::jama.2024.12829::C005",'C_jama.2024.12829'!$A$2:$A$18,0))="statistical_results"),IF(INDEX('C_jama.2024.12829'!$J$2:$J$18,MATCH("2024::jama.2024.12829::C005",'C_jama.2024.12829'!$A$2:$A$18,0))="","",INDEX('C_jama.2024.12829'!$J$2:$J$18,MATCH("2024::jama.2024.12829::C005",'C_jama.2024.12829'!$A$2:$A$18,0))),"not_applicable"),"NOT FROZEN")</x:f>
        <x:v>not_applicable</x:v>
      </x:c>
      <x:c r="G17" s="3" t="str">
        <x:f>IF(Setup!$B$6="primary",IF(AND(INDEX('C_jama.2024.12829'!$D$2:$D$18,MATCH("2024::jama.2024.12829::C005",'C_jama.2024.12829'!$A$2:$A$18,0))="retain",OR(INDEX('C_jama.2024.12829'!$E$2:$E$18,MATCH("2024::jama.2024.12829::C005",'C_jama.2024.12829'!$A$2:$A$18,0))="report_internal_inconsistency",INDEX('C_jama.2024.12829'!$E$2:$E$18,MATCH("2024::jama.2024.12829::C005",'C_jama.2024.12829'!$A$2:$A$18,0))="plan_material")),IF(INDEX('C_jama.2024.12829'!$K$2:$K$18,MATCH("2024::jama.2024.12829::C005",'C_jama.2024.12829'!$A$2:$A$18,0))="","",INDEX('C_jama.2024.12829'!$K$2:$K$18,MATCH("2024::jama.2024.12829::C005",'C_jama.2024.12829'!$A$2:$A$18,0))),"not_applicable"),"NOT FROZEN")</x:f>
        <x:v>not_applicable</x:v>
      </x:c>
      <x:c r="H17" s="3" t="str">
        <x:f>IF(Setup!$B$6="primary",IF(AND(INDEX('C_jama.2024.12829'!$D$2:$D$18,MATCH("2024::jama.2024.12829::C005",'C_jama.2024.12829'!$A$2:$A$18,0))="retain",INDEX('C_jama.2024.12829'!$E$2:$E$18,MATCH("2024::jama.2024.12829::C005",'C_jama.2024.12829'!$A$2:$A$18,0))="protocol_report"),IF(INDEX('C_jama.2024.12829'!$L$2:$L$18,MATCH("2024::jama.2024.12829::C005",'C_jama.2024.12829'!$A$2:$A$18,0))="","",INDEX('C_jama.2024.12829'!$L$2:$L$18,MATCH("2024::jama.2024.12829::C005",'C_jama.2024.12829'!$A$2:$A$18,0))),"not_applicable"),"NOT FROZEN")</x:f>
        <x:v>not_applicable</x:v>
      </x:c>
      <x:c r="I17" s="3" t="str">
        <x:f>IF(Setup!$B$6="primary",IF(INDEX('C_jama.2024.12829'!$R$2:$R$18,MATCH("2024::jama.2024.12829::C005",'C_jama.2024.12829'!$A$2:$A$18,0))="","",INDEX('C_jama.2024.12829'!$R$2:$R$18,MATCH("2024::jama.2024.12829::C005",'C_jama.2024.12829'!$A$2:$A$18,0))),"NOT FROZEN")</x:f>
      </x:c>
      <x:c r="J17" s="3" t="str">
        <x:f>IF(Setup!$B$6="primary",INDEX('C_jama.2024.12829'!$F$2:$F$18,MATCH("2024::jama.2024.12829::C005",'C_jama.2024.12829'!$A$2:$A$18,0)),"NOT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statistical_results
</x:v>
      </x:c>
    </x:row>
    <x:row r="18" ht="70" customHeight="1">
      <x:c r="A18" s="6" t="str">
        <x:f>IF(Setup!$B$6="primary","2024::jama.2024.12829::C006","NOT FROZEN")</x:f>
        <x:v>2024::jama.2024.12829::C006</x:v>
      </x:c>
      <x:c r="B18" s="6" t="str">
        <x:f>IF(Setup!$B$6="primary",IF(INDEX('C_jama.2024.12829'!$D$2:$D$18,MATCH("2024::jama.2024.12829::C006",'C_jama.2024.12829'!$A$2:$A$18,0))="","",INDEX('C_jama.2024.12829'!$D$2:$D$18,MATCH("2024::jama.2024.12829::C006",'C_jama.2024.12829'!$A$2:$A$18,0))),"NOT FROZEN")</x:f>
      </x:c>
      <x:c r="C18" s="6" t="str">
        <x:f>IF(Setup!$B$6="primary",IF(INDEX('C_jama.2024.12829'!$E$2:$E$18,MATCH("2024::jama.2024.12829::C006",'C_jama.2024.12829'!$A$2:$A$18,0))="","",INDEX('C_jama.2024.12829'!$E$2:$E$18,MATCH("2024::jama.2024.12829::C006",'C_jama.2024.12829'!$A$2:$A$18,0))),"NOT FROZEN")</x:f>
        <x:v>statistical_results</x:v>
      </x:c>
      <x:c r="D18" s="6" t="str">
        <x:f>IF(Setup!$B$6="primary",IF(AND(INDEX('C_jama.2024.12829'!$D$2:$D$18,MATCH("2024::jama.2024.12829::C006",'C_jama.2024.12829'!$A$2:$A$18,0))="retain",INDEX('C_jama.2024.12829'!$E$2:$E$18,MATCH("2024::jama.2024.12829::C006",'C_jama.2024.12829'!$A$2:$A$18,0))="statistical_results"),IF(INDEX('C_jama.2024.12829'!$H$2:$H$18,MATCH("2024::jama.2024.12829::C006",'C_jama.2024.12829'!$A$2:$A$18,0))="","",INDEX('C_jama.2024.12829'!$H$2:$H$18,MATCH("2024::jama.2024.12829::C006",'C_jama.2024.12829'!$A$2:$A$18,0))),"not_applicable"),"NOT FROZEN")</x:f>
        <x:v>not_applicable</x:v>
      </x:c>
      <x:c r="E18" s="6" t="str">
        <x:f>IF(Setup!$B$6="primary",IF(AND(INDEX('C_jama.2024.12829'!$D$2:$D$18,MATCH("2024::jama.2024.12829::C006",'C_jama.2024.12829'!$A$2:$A$18,0))="retain",INDEX('C_jama.2024.12829'!$E$2:$E$18,MATCH("2024::jama.2024.12829::C006",'C_jama.2024.12829'!$A$2:$A$18,0))="statistical_results"),IF(INDEX('C_jama.2024.12829'!$I$2:$I$18,MATCH("2024::jama.2024.12829::C006",'C_jama.2024.12829'!$A$2:$A$18,0))="","",INDEX('C_jama.2024.12829'!$I$2:$I$18,MATCH("2024::jama.2024.12829::C006",'C_jama.2024.12829'!$A$2:$A$18,0))),"not_applicable"),"NOT FROZEN")</x:f>
        <x:v>not_applicable</x:v>
      </x:c>
      <x:c r="F18" s="6" t="str">
        <x:f>IF(Setup!$B$6="primary",IF(AND(INDEX('C_jama.2024.12829'!$D$2:$D$18,MATCH("2024::jama.2024.12829::C006",'C_jama.2024.12829'!$A$2:$A$18,0))="retain",INDEX('C_jama.2024.12829'!$E$2:$E$18,MATCH("2024::jama.2024.12829::C006",'C_jama.2024.12829'!$A$2:$A$18,0))="statistical_results"),IF(INDEX('C_jama.2024.12829'!$J$2:$J$18,MATCH("2024::jama.2024.12829::C006",'C_jama.2024.12829'!$A$2:$A$18,0))="","",INDEX('C_jama.2024.12829'!$J$2:$J$18,MATCH("2024::jama.2024.12829::C006",'C_jama.2024.12829'!$A$2:$A$18,0))),"not_applicable"),"NOT FROZEN")</x:f>
        <x:v>not_applicable</x:v>
      </x:c>
      <x:c r="G18" s="6" t="str">
        <x:f>IF(Setup!$B$6="primary",IF(AND(INDEX('C_jama.2024.12829'!$D$2:$D$18,MATCH("2024::jama.2024.12829::C006",'C_jama.2024.12829'!$A$2:$A$18,0))="retain",OR(INDEX('C_jama.2024.12829'!$E$2:$E$18,MATCH("2024::jama.2024.12829::C006",'C_jama.2024.12829'!$A$2:$A$18,0))="report_internal_inconsistency",INDEX('C_jama.2024.12829'!$E$2:$E$18,MATCH("2024::jama.2024.12829::C006",'C_jama.2024.12829'!$A$2:$A$18,0))="plan_material")),IF(INDEX('C_jama.2024.12829'!$K$2:$K$18,MATCH("2024::jama.2024.12829::C006",'C_jama.2024.12829'!$A$2:$A$18,0))="","",INDEX('C_jama.2024.12829'!$K$2:$K$18,MATCH("2024::jama.2024.12829::C006",'C_jama.2024.12829'!$A$2:$A$18,0))),"not_applicable"),"NOT FROZEN")</x:f>
        <x:v>not_applicable</x:v>
      </x:c>
      <x:c r="H18" s="6" t="str">
        <x:f>IF(Setup!$B$6="primary",IF(AND(INDEX('C_jama.2024.12829'!$D$2:$D$18,MATCH("2024::jama.2024.12829::C006",'C_jama.2024.12829'!$A$2:$A$18,0))="retain",INDEX('C_jama.2024.12829'!$E$2:$E$18,MATCH("2024::jama.2024.12829::C006",'C_jama.2024.12829'!$A$2:$A$18,0))="protocol_report"),IF(INDEX('C_jama.2024.12829'!$L$2:$L$18,MATCH("2024::jama.2024.12829::C006",'C_jama.2024.12829'!$A$2:$A$18,0))="","",INDEX('C_jama.2024.12829'!$L$2:$L$18,MATCH("2024::jama.2024.12829::C006",'C_jama.2024.12829'!$A$2:$A$18,0))),"not_applicable"),"NOT FROZEN")</x:f>
        <x:v>not_applicable</x:v>
      </x:c>
      <x:c r="I18" s="6" t="str">
        <x:f>IF(Setup!$B$6="primary",IF(INDEX('C_jama.2024.12829'!$R$2:$R$18,MATCH("2024::jama.2024.12829::C006",'C_jama.2024.12829'!$A$2:$A$18,0))="","",INDEX('C_jama.2024.12829'!$R$2:$R$18,MATCH("2024::jama.2024.12829::C006",'C_jama.2024.12829'!$A$2:$A$18,0))),"NOT FROZEN")</x:f>
      </x:c>
      <x:c r="J18" s="6" t="str">
        <x:f>IF(Setup!$B$6="primary",INDEX('C_jama.2024.12829'!$F$2:$F$18,MATCH("2024::jama.2024.12829::C006",'C_jama.2024.12829'!$A$2:$A$18,0)),"NOT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IF(Setup!$B$6="primary","2024::jama.2024.12829::C007","NOT FROZEN")</x:f>
        <x:v>2024::jama.2024.12829::C007</x:v>
      </x:c>
      <x:c r="B19" s="3" t="str">
        <x:f>IF(Setup!$B$6="primary",IF(INDEX('C_jama.2024.12829'!$D$2:$D$18,MATCH("2024::jama.2024.12829::C007",'C_jama.2024.12829'!$A$2:$A$18,0))="","",INDEX('C_jama.2024.12829'!$D$2:$D$18,MATCH("2024::jama.2024.12829::C007",'C_jama.2024.12829'!$A$2:$A$18,0))),"NOT FROZEN")</x:f>
      </x:c>
      <x:c r="C19" s="3" t="str">
        <x:f>IF(Setup!$B$6="primary",IF(INDEX('C_jama.2024.12829'!$E$2:$E$18,MATCH("2024::jama.2024.12829::C007",'C_jama.2024.12829'!$A$2:$A$18,0))="","",INDEX('C_jama.2024.12829'!$E$2:$E$18,MATCH("2024::jama.2024.12829::C007",'C_jama.2024.12829'!$A$2:$A$18,0))),"NOT FROZEN")</x:f>
        <x:v>statistical_results</x:v>
      </x:c>
      <x:c r="D19" s="3" t="str">
        <x:f>IF(Setup!$B$6="primary",IF(AND(INDEX('C_jama.2024.12829'!$D$2:$D$18,MATCH("2024::jama.2024.12829::C007",'C_jama.2024.12829'!$A$2:$A$18,0))="retain",INDEX('C_jama.2024.12829'!$E$2:$E$18,MATCH("2024::jama.2024.12829::C007",'C_jama.2024.12829'!$A$2:$A$18,0))="statistical_results"),IF(INDEX('C_jama.2024.12829'!$H$2:$H$18,MATCH("2024::jama.2024.12829::C007",'C_jama.2024.12829'!$A$2:$A$18,0))="","",INDEX('C_jama.2024.12829'!$H$2:$H$18,MATCH("2024::jama.2024.12829::C007",'C_jama.2024.12829'!$A$2:$A$18,0))),"not_applicable"),"NOT FROZEN")</x:f>
        <x:v>not_applicable</x:v>
      </x:c>
      <x:c r="E19" s="3" t="str">
        <x:f>IF(Setup!$B$6="primary",IF(AND(INDEX('C_jama.2024.12829'!$D$2:$D$18,MATCH("2024::jama.2024.12829::C007",'C_jama.2024.12829'!$A$2:$A$18,0))="retain",INDEX('C_jama.2024.12829'!$E$2:$E$18,MATCH("2024::jama.2024.12829::C007",'C_jama.2024.12829'!$A$2:$A$18,0))="statistical_results"),IF(INDEX('C_jama.2024.12829'!$I$2:$I$18,MATCH("2024::jama.2024.12829::C007",'C_jama.2024.12829'!$A$2:$A$18,0))="","",INDEX('C_jama.2024.12829'!$I$2:$I$18,MATCH("2024::jama.2024.12829::C007",'C_jama.2024.12829'!$A$2:$A$18,0))),"not_applicable"),"NOT FROZEN")</x:f>
        <x:v>not_applicable</x:v>
      </x:c>
      <x:c r="F19" s="3" t="str">
        <x:f>IF(Setup!$B$6="primary",IF(AND(INDEX('C_jama.2024.12829'!$D$2:$D$18,MATCH("2024::jama.2024.12829::C007",'C_jama.2024.12829'!$A$2:$A$18,0))="retain",INDEX('C_jama.2024.12829'!$E$2:$E$18,MATCH("2024::jama.2024.12829::C007",'C_jama.2024.12829'!$A$2:$A$18,0))="statistical_results"),IF(INDEX('C_jama.2024.12829'!$J$2:$J$18,MATCH("2024::jama.2024.12829::C007",'C_jama.2024.12829'!$A$2:$A$18,0))="","",INDEX('C_jama.2024.12829'!$J$2:$J$18,MATCH("2024::jama.2024.12829::C007",'C_jama.2024.12829'!$A$2:$A$18,0))),"not_applicable"),"NOT FROZEN")</x:f>
        <x:v>not_applicable</x:v>
      </x:c>
      <x:c r="G19" s="3" t="str">
        <x:f>IF(Setup!$B$6="primary",IF(AND(INDEX('C_jama.2024.12829'!$D$2:$D$18,MATCH("2024::jama.2024.12829::C007",'C_jama.2024.12829'!$A$2:$A$18,0))="retain",OR(INDEX('C_jama.2024.12829'!$E$2:$E$18,MATCH("2024::jama.2024.12829::C007",'C_jama.2024.12829'!$A$2:$A$18,0))="report_internal_inconsistency",INDEX('C_jama.2024.12829'!$E$2:$E$18,MATCH("2024::jama.2024.12829::C007",'C_jama.2024.12829'!$A$2:$A$18,0))="plan_material")),IF(INDEX('C_jama.2024.12829'!$K$2:$K$18,MATCH("2024::jama.2024.12829::C007",'C_jama.2024.12829'!$A$2:$A$18,0))="","",INDEX('C_jama.2024.12829'!$K$2:$K$18,MATCH("2024::jama.2024.12829::C007",'C_jama.2024.12829'!$A$2:$A$18,0))),"not_applicable"),"NOT FROZEN")</x:f>
        <x:v>not_applicable</x:v>
      </x:c>
      <x:c r="H19" s="3" t="str">
        <x:f>IF(Setup!$B$6="primary",IF(AND(INDEX('C_jama.2024.12829'!$D$2:$D$18,MATCH("2024::jama.2024.12829::C007",'C_jama.2024.12829'!$A$2:$A$18,0))="retain",INDEX('C_jama.2024.12829'!$E$2:$E$18,MATCH("2024::jama.2024.12829::C007",'C_jama.2024.12829'!$A$2:$A$18,0))="protocol_report"),IF(INDEX('C_jama.2024.12829'!$L$2:$L$18,MATCH("2024::jama.2024.12829::C007",'C_jama.2024.12829'!$A$2:$A$18,0))="","",INDEX('C_jama.2024.12829'!$L$2:$L$18,MATCH("2024::jama.2024.12829::C007",'C_jama.2024.12829'!$A$2:$A$18,0))),"not_applicable"),"NOT FROZEN")</x:f>
        <x:v>not_applicable</x:v>
      </x:c>
      <x:c r="I19" s="3" t="str">
        <x:f>IF(Setup!$B$6="primary",IF(INDEX('C_jama.2024.12829'!$R$2:$R$18,MATCH("2024::jama.2024.12829::C007",'C_jama.2024.12829'!$A$2:$A$18,0))="","",INDEX('C_jama.2024.12829'!$R$2:$R$18,MATCH("2024::jama.2024.12829::C007",'C_jama.2024.12829'!$A$2:$A$18,0))),"NOT FROZEN")</x:f>
      </x:c>
      <x:c r="J19" s="3" t="str">
        <x:f>IF(Setup!$B$6="primary",INDEX('C_jama.2024.12829'!$F$2:$F$18,MATCH("2024::jama.2024.12829::C007",'C_jama.2024.12829'!$A$2:$A$18,0)),"NOT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statistical_results
</x:v>
      </x:c>
    </x:row>
    <x:row r="20" ht="70" customHeight="1">
      <x:c r="A20" s="6" t="str">
        <x:f>IF(Setup!$B$6="primary","2024::jama.2024.12829::C008","NOT FROZEN")</x:f>
        <x:v>2024::jama.2024.12829::C008</x:v>
      </x:c>
      <x:c r="B20" s="6" t="str">
        <x:f>IF(Setup!$B$6="primary",IF(INDEX('C_jama.2024.12829'!$D$2:$D$18,MATCH("2024::jama.2024.12829::C008",'C_jama.2024.12829'!$A$2:$A$18,0))="","",INDEX('C_jama.2024.12829'!$D$2:$D$18,MATCH("2024::jama.2024.12829::C008",'C_jama.2024.12829'!$A$2:$A$18,0))),"NOT FROZEN")</x:f>
      </x:c>
      <x:c r="C20" s="6" t="str">
        <x:f>IF(Setup!$B$6="primary",IF(INDEX('C_jama.2024.12829'!$E$2:$E$18,MATCH("2024::jama.2024.12829::C008",'C_jama.2024.12829'!$A$2:$A$18,0))="","",INDEX('C_jama.2024.12829'!$E$2:$E$18,MATCH("2024::jama.2024.12829::C008",'C_jama.2024.12829'!$A$2:$A$18,0))),"NOT FROZEN")</x:f>
        <x:v>statistical_results</x:v>
      </x:c>
      <x:c r="D20" s="6" t="str">
        <x:f>IF(Setup!$B$6="primary",IF(AND(INDEX('C_jama.2024.12829'!$D$2:$D$18,MATCH("2024::jama.2024.12829::C008",'C_jama.2024.12829'!$A$2:$A$18,0))="retain",INDEX('C_jama.2024.12829'!$E$2:$E$18,MATCH("2024::jama.2024.12829::C008",'C_jama.2024.12829'!$A$2:$A$18,0))="statistical_results"),IF(INDEX('C_jama.2024.12829'!$H$2:$H$18,MATCH("2024::jama.2024.12829::C008",'C_jama.2024.12829'!$A$2:$A$18,0))="","",INDEX('C_jama.2024.12829'!$H$2:$H$18,MATCH("2024::jama.2024.12829::C008",'C_jama.2024.12829'!$A$2:$A$18,0))),"not_applicable"),"NOT FROZEN")</x:f>
        <x:v>not_applicable</x:v>
      </x:c>
      <x:c r="E20" s="6" t="str">
        <x:f>IF(Setup!$B$6="primary",IF(AND(INDEX('C_jama.2024.12829'!$D$2:$D$18,MATCH("2024::jama.2024.12829::C008",'C_jama.2024.12829'!$A$2:$A$18,0))="retain",INDEX('C_jama.2024.12829'!$E$2:$E$18,MATCH("2024::jama.2024.12829::C008",'C_jama.2024.12829'!$A$2:$A$18,0))="statistical_results"),IF(INDEX('C_jama.2024.12829'!$I$2:$I$18,MATCH("2024::jama.2024.12829::C008",'C_jama.2024.12829'!$A$2:$A$18,0))="","",INDEX('C_jama.2024.12829'!$I$2:$I$18,MATCH("2024::jama.2024.12829::C008",'C_jama.2024.12829'!$A$2:$A$18,0))),"not_applicable"),"NOT FROZEN")</x:f>
        <x:v>not_applicable</x:v>
      </x:c>
      <x:c r="F20" s="6" t="str">
        <x:f>IF(Setup!$B$6="primary",IF(AND(INDEX('C_jama.2024.12829'!$D$2:$D$18,MATCH("2024::jama.2024.12829::C008",'C_jama.2024.12829'!$A$2:$A$18,0))="retain",INDEX('C_jama.2024.12829'!$E$2:$E$18,MATCH("2024::jama.2024.12829::C008",'C_jama.2024.12829'!$A$2:$A$18,0))="statistical_results"),IF(INDEX('C_jama.2024.12829'!$J$2:$J$18,MATCH("2024::jama.2024.12829::C008",'C_jama.2024.12829'!$A$2:$A$18,0))="","",INDEX('C_jama.2024.12829'!$J$2:$J$18,MATCH("2024::jama.2024.12829::C008",'C_jama.2024.12829'!$A$2:$A$18,0))),"not_applicable"),"NOT FROZEN")</x:f>
        <x:v>not_applicable</x:v>
      </x:c>
      <x:c r="G20" s="6" t="str">
        <x:f>IF(Setup!$B$6="primary",IF(AND(INDEX('C_jama.2024.12829'!$D$2:$D$18,MATCH("2024::jama.2024.12829::C008",'C_jama.2024.12829'!$A$2:$A$18,0))="retain",OR(INDEX('C_jama.2024.12829'!$E$2:$E$18,MATCH("2024::jama.2024.12829::C008",'C_jama.2024.12829'!$A$2:$A$18,0))="report_internal_inconsistency",INDEX('C_jama.2024.12829'!$E$2:$E$18,MATCH("2024::jama.2024.12829::C008",'C_jama.2024.12829'!$A$2:$A$18,0))="plan_material")),IF(INDEX('C_jama.2024.12829'!$K$2:$K$18,MATCH("2024::jama.2024.12829::C008",'C_jama.2024.12829'!$A$2:$A$18,0))="","",INDEX('C_jama.2024.12829'!$K$2:$K$18,MATCH("2024::jama.2024.12829::C008",'C_jama.2024.12829'!$A$2:$A$18,0))),"not_applicable"),"NOT FROZEN")</x:f>
        <x:v>not_applicable</x:v>
      </x:c>
      <x:c r="H20" s="6" t="str">
        <x:f>IF(Setup!$B$6="primary",IF(AND(INDEX('C_jama.2024.12829'!$D$2:$D$18,MATCH("2024::jama.2024.12829::C008",'C_jama.2024.12829'!$A$2:$A$18,0))="retain",INDEX('C_jama.2024.12829'!$E$2:$E$18,MATCH("2024::jama.2024.12829::C008",'C_jama.2024.12829'!$A$2:$A$18,0))="protocol_report"),IF(INDEX('C_jama.2024.12829'!$L$2:$L$18,MATCH("2024::jama.2024.12829::C008",'C_jama.2024.12829'!$A$2:$A$18,0))="","",INDEX('C_jama.2024.12829'!$L$2:$L$18,MATCH("2024::jama.2024.12829::C008",'C_jama.2024.12829'!$A$2:$A$18,0))),"not_applicable"),"NOT FROZEN")</x:f>
        <x:v>not_applicable</x:v>
      </x:c>
      <x:c r="I20" s="6" t="str">
        <x:f>IF(Setup!$B$6="primary",IF(INDEX('C_jama.2024.12829'!$R$2:$R$18,MATCH("2024::jama.2024.12829::C008",'C_jama.2024.12829'!$A$2:$A$18,0))="","",INDEX('C_jama.2024.12829'!$R$2:$R$18,MATCH("2024::jama.2024.12829::C008",'C_jama.2024.12829'!$A$2:$A$18,0))),"NOT FROZEN")</x:f>
      </x:c>
      <x:c r="J20" s="6" t="str">
        <x:f>IF(Setup!$B$6="primary",INDEX('C_jama.2024.12829'!$F$2:$F$18,MATCH("2024::jama.2024.12829::C008",'C_jama.2024.12829'!$A$2:$A$18,0)),"NOT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IF(Setup!$B$6="primary","2024::jama.2024.12829::C009","NOT FROZEN")</x:f>
        <x:v>2024::jama.2024.12829::C009</x:v>
      </x:c>
      <x:c r="B21" s="3" t="str">
        <x:f>IF(Setup!$B$6="primary",IF(INDEX('C_jama.2024.12829'!$D$2:$D$18,MATCH("2024::jama.2024.12829::C009",'C_jama.2024.12829'!$A$2:$A$18,0))="","",INDEX('C_jama.2024.12829'!$D$2:$D$18,MATCH("2024::jama.2024.12829::C009",'C_jama.2024.12829'!$A$2:$A$18,0))),"NOT FROZEN")</x:f>
      </x:c>
      <x:c r="C21" s="3" t="str">
        <x:f>IF(Setup!$B$6="primary",IF(INDEX('C_jama.2024.12829'!$E$2:$E$18,MATCH("2024::jama.2024.12829::C009",'C_jama.2024.12829'!$A$2:$A$18,0))="","",INDEX('C_jama.2024.12829'!$E$2:$E$18,MATCH("2024::jama.2024.12829::C009",'C_jama.2024.12829'!$A$2:$A$18,0))),"NOT FROZEN")</x:f>
        <x:v>protocol_report</x:v>
      </x:c>
      <x:c r="D21" s="3" t="str">
        <x:f>IF(Setup!$B$6="primary",IF(AND(INDEX('C_jama.2024.12829'!$D$2:$D$18,MATCH("2024::jama.2024.12829::C009",'C_jama.2024.12829'!$A$2:$A$18,0))="retain",INDEX('C_jama.2024.12829'!$E$2:$E$18,MATCH("2024::jama.2024.12829::C009",'C_jama.2024.12829'!$A$2:$A$18,0))="statistical_results"),IF(INDEX('C_jama.2024.12829'!$H$2:$H$18,MATCH("2024::jama.2024.12829::C009",'C_jama.2024.12829'!$A$2:$A$18,0))="","",INDEX('C_jama.2024.12829'!$H$2:$H$18,MATCH("2024::jama.2024.12829::C009",'C_jama.2024.12829'!$A$2:$A$18,0))),"not_applicable"),"NOT FROZEN")</x:f>
        <x:v>not_applicable</x:v>
      </x:c>
      <x:c r="E21" s="3" t="str">
        <x:f>IF(Setup!$B$6="primary",IF(AND(INDEX('C_jama.2024.12829'!$D$2:$D$18,MATCH("2024::jama.2024.12829::C009",'C_jama.2024.12829'!$A$2:$A$18,0))="retain",INDEX('C_jama.2024.12829'!$E$2:$E$18,MATCH("2024::jama.2024.12829::C009",'C_jama.2024.12829'!$A$2:$A$18,0))="statistical_results"),IF(INDEX('C_jama.2024.12829'!$I$2:$I$18,MATCH("2024::jama.2024.12829::C009",'C_jama.2024.12829'!$A$2:$A$18,0))="","",INDEX('C_jama.2024.12829'!$I$2:$I$18,MATCH("2024::jama.2024.12829::C009",'C_jama.2024.12829'!$A$2:$A$18,0))),"not_applicable"),"NOT FROZEN")</x:f>
        <x:v>not_applicable</x:v>
      </x:c>
      <x:c r="F21" s="3" t="str">
        <x:f>IF(Setup!$B$6="primary",IF(AND(INDEX('C_jama.2024.12829'!$D$2:$D$18,MATCH("2024::jama.2024.12829::C009",'C_jama.2024.12829'!$A$2:$A$18,0))="retain",INDEX('C_jama.2024.12829'!$E$2:$E$18,MATCH("2024::jama.2024.12829::C009",'C_jama.2024.12829'!$A$2:$A$18,0))="statistical_results"),IF(INDEX('C_jama.2024.12829'!$J$2:$J$18,MATCH("2024::jama.2024.12829::C009",'C_jama.2024.12829'!$A$2:$A$18,0))="","",INDEX('C_jama.2024.12829'!$J$2:$J$18,MATCH("2024::jama.2024.12829::C009",'C_jama.2024.12829'!$A$2:$A$18,0))),"not_applicable"),"NOT FROZEN")</x:f>
        <x:v>not_applicable</x:v>
      </x:c>
      <x:c r="G21" s="3" t="str">
        <x:f>IF(Setup!$B$6="primary",IF(AND(INDEX('C_jama.2024.12829'!$D$2:$D$18,MATCH("2024::jama.2024.12829::C009",'C_jama.2024.12829'!$A$2:$A$18,0))="retain",OR(INDEX('C_jama.2024.12829'!$E$2:$E$18,MATCH("2024::jama.2024.12829::C009",'C_jama.2024.12829'!$A$2:$A$18,0))="report_internal_inconsistency",INDEX('C_jama.2024.12829'!$E$2:$E$18,MATCH("2024::jama.2024.12829::C009",'C_jama.2024.12829'!$A$2:$A$18,0))="plan_material")),IF(INDEX('C_jama.2024.12829'!$K$2:$K$18,MATCH("2024::jama.2024.12829::C009",'C_jama.2024.12829'!$A$2:$A$18,0))="","",INDEX('C_jama.2024.12829'!$K$2:$K$18,MATCH("2024::jama.2024.12829::C009",'C_jama.2024.12829'!$A$2:$A$18,0))),"not_applicable"),"NOT FROZEN")</x:f>
        <x:v>not_applicable</x:v>
      </x:c>
      <x:c r="H21" s="3" t="str">
        <x:f>IF(Setup!$B$6="primary",IF(AND(INDEX('C_jama.2024.12829'!$D$2:$D$18,MATCH("2024::jama.2024.12829::C009",'C_jama.2024.12829'!$A$2:$A$18,0))="retain",INDEX('C_jama.2024.12829'!$E$2:$E$18,MATCH("2024::jama.2024.12829::C009",'C_jama.2024.12829'!$A$2:$A$18,0))="protocol_report"),IF(INDEX('C_jama.2024.12829'!$L$2:$L$18,MATCH("2024::jama.2024.12829::C009",'C_jama.2024.12829'!$A$2:$A$18,0))="","",INDEX('C_jama.2024.12829'!$L$2:$L$18,MATCH("2024::jama.2024.12829::C009",'C_jama.2024.12829'!$A$2:$A$18,0))),"not_applicable"),"NOT FROZEN")</x:f>
        <x:v>not_applicable</x:v>
      </x:c>
      <x:c r="I21" s="3" t="str">
        <x:f>IF(Setup!$B$6="primary",IF(INDEX('C_jama.2024.12829'!$R$2:$R$18,MATCH("2024::jama.2024.12829::C009",'C_jama.2024.12829'!$A$2:$A$18,0))="","",INDEX('C_jama.2024.12829'!$R$2:$R$18,MATCH("2024::jama.2024.12829::C009",'C_jama.2024.12829'!$A$2:$A$18,0))),"NOT FROZEN")</x:f>
      </x:c>
      <x:c r="J21" s="3" t="str">
        <x:f>IF(Setup!$B$6="primary",INDEX('C_jama.2024.12829'!$F$2:$F$18,MATCH("2024::jama.2024.12829::C009",'C_jama.2024.12829'!$A$2:$A$18,0)),"NOT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protocol_report
</x:v>
      </x:c>
    </x:row>
    <x:row r="22" ht="70" customHeight="1">
      <x:c r="A22" s="6" t="str">
        <x:f>IF(Setup!$B$6="primary","2024::jama.2024.12829::C010","NOT FROZEN")</x:f>
        <x:v>2024::jama.2024.12829::C010</x:v>
      </x:c>
      <x:c r="B22" s="6" t="str">
        <x:f>IF(Setup!$B$6="primary",IF(INDEX('C_jama.2024.12829'!$D$2:$D$18,MATCH("2024::jama.2024.12829::C010",'C_jama.2024.12829'!$A$2:$A$18,0))="","",INDEX('C_jama.2024.12829'!$D$2:$D$18,MATCH("2024::jama.2024.12829::C010",'C_jama.2024.12829'!$A$2:$A$18,0))),"NOT FROZEN")</x:f>
      </x:c>
      <x:c r="C22" s="6" t="str">
        <x:f>IF(Setup!$B$6="primary",IF(INDEX('C_jama.2024.12829'!$E$2:$E$18,MATCH("2024::jama.2024.12829::C010",'C_jama.2024.12829'!$A$2:$A$18,0))="","",INDEX('C_jama.2024.12829'!$E$2:$E$18,MATCH("2024::jama.2024.12829::C010",'C_jama.2024.12829'!$A$2:$A$18,0))),"NOT FROZEN")</x:f>
        <x:v>plan_material</x:v>
      </x:c>
      <x:c r="D22" s="6" t="str">
        <x:f>IF(Setup!$B$6="primary",IF(AND(INDEX('C_jama.2024.12829'!$D$2:$D$18,MATCH("2024::jama.2024.12829::C010",'C_jama.2024.12829'!$A$2:$A$18,0))="retain",INDEX('C_jama.2024.12829'!$E$2:$E$18,MATCH("2024::jama.2024.12829::C010",'C_jama.2024.12829'!$A$2:$A$18,0))="statistical_results"),IF(INDEX('C_jama.2024.12829'!$H$2:$H$18,MATCH("2024::jama.2024.12829::C010",'C_jama.2024.12829'!$A$2:$A$18,0))="","",INDEX('C_jama.2024.12829'!$H$2:$H$18,MATCH("2024::jama.2024.12829::C010",'C_jama.2024.12829'!$A$2:$A$18,0))),"not_applicable"),"NOT FROZEN")</x:f>
        <x:v>not_applicable</x:v>
      </x:c>
      <x:c r="E22" s="6" t="str">
        <x:f>IF(Setup!$B$6="primary",IF(AND(INDEX('C_jama.2024.12829'!$D$2:$D$18,MATCH("2024::jama.2024.12829::C010",'C_jama.2024.12829'!$A$2:$A$18,0))="retain",INDEX('C_jama.2024.12829'!$E$2:$E$18,MATCH("2024::jama.2024.12829::C010",'C_jama.2024.12829'!$A$2:$A$18,0))="statistical_results"),IF(INDEX('C_jama.2024.12829'!$I$2:$I$18,MATCH("2024::jama.2024.12829::C010",'C_jama.2024.12829'!$A$2:$A$18,0))="","",INDEX('C_jama.2024.12829'!$I$2:$I$18,MATCH("2024::jama.2024.12829::C010",'C_jama.2024.12829'!$A$2:$A$18,0))),"not_applicable"),"NOT FROZEN")</x:f>
        <x:v>not_applicable</x:v>
      </x:c>
      <x:c r="F22" s="6" t="str">
        <x:f>IF(Setup!$B$6="primary",IF(AND(INDEX('C_jama.2024.12829'!$D$2:$D$18,MATCH("2024::jama.2024.12829::C010",'C_jama.2024.12829'!$A$2:$A$18,0))="retain",INDEX('C_jama.2024.12829'!$E$2:$E$18,MATCH("2024::jama.2024.12829::C010",'C_jama.2024.12829'!$A$2:$A$18,0))="statistical_results"),IF(INDEX('C_jama.2024.12829'!$J$2:$J$18,MATCH("2024::jama.2024.12829::C010",'C_jama.2024.12829'!$A$2:$A$18,0))="","",INDEX('C_jama.2024.12829'!$J$2:$J$18,MATCH("2024::jama.2024.12829::C010",'C_jama.2024.12829'!$A$2:$A$18,0))),"not_applicable"),"NOT FROZEN")</x:f>
        <x:v>not_applicable</x:v>
      </x:c>
      <x:c r="G22" s="6" t="str">
        <x:f>IF(Setup!$B$6="primary",IF(AND(INDEX('C_jama.2024.12829'!$D$2:$D$18,MATCH("2024::jama.2024.12829::C010",'C_jama.2024.12829'!$A$2:$A$18,0))="retain",OR(INDEX('C_jama.2024.12829'!$E$2:$E$18,MATCH("2024::jama.2024.12829::C010",'C_jama.2024.12829'!$A$2:$A$18,0))="report_internal_inconsistency",INDEX('C_jama.2024.12829'!$E$2:$E$18,MATCH("2024::jama.2024.12829::C010",'C_jama.2024.12829'!$A$2:$A$18,0))="plan_material")),IF(INDEX('C_jama.2024.12829'!$K$2:$K$18,MATCH("2024::jama.2024.12829::C010",'C_jama.2024.12829'!$A$2:$A$18,0))="","",INDEX('C_jama.2024.12829'!$K$2:$K$18,MATCH("2024::jama.2024.12829::C010",'C_jama.2024.12829'!$A$2:$A$18,0))),"not_applicable"),"NOT FROZEN")</x:f>
        <x:v>not_applicable</x:v>
      </x:c>
      <x:c r="H22" s="6" t="str">
        <x:f>IF(Setup!$B$6="primary",IF(AND(INDEX('C_jama.2024.12829'!$D$2:$D$18,MATCH("2024::jama.2024.12829::C010",'C_jama.2024.12829'!$A$2:$A$18,0))="retain",INDEX('C_jama.2024.12829'!$E$2:$E$18,MATCH("2024::jama.2024.12829::C010",'C_jama.2024.12829'!$A$2:$A$18,0))="protocol_report"),IF(INDEX('C_jama.2024.12829'!$L$2:$L$18,MATCH("2024::jama.2024.12829::C010",'C_jama.2024.12829'!$A$2:$A$18,0))="","",INDEX('C_jama.2024.12829'!$L$2:$L$18,MATCH("2024::jama.2024.12829::C010",'C_jama.2024.12829'!$A$2:$A$18,0))),"not_applicable"),"NOT FROZEN")</x:f>
        <x:v>not_applicable</x:v>
      </x:c>
      <x:c r="I22" s="6" t="str">
        <x:f>IF(Setup!$B$6="primary",IF(INDEX('C_jama.2024.12829'!$R$2:$R$18,MATCH("2024::jama.2024.12829::C010",'C_jama.2024.12829'!$A$2:$A$18,0))="","",INDEX('C_jama.2024.12829'!$R$2:$R$18,MATCH("2024::jama.2024.12829::C010",'C_jama.2024.12829'!$A$2:$A$18,0))),"NOT FROZEN")</x:f>
      </x:c>
      <x:c r="J22" s="6" t="str">
        <x:f>IF(Setup!$B$6="primary",INDEX('C_jama.2024.12829'!$F$2:$F$18,MATCH("2024::jama.2024.12829::C010",'C_jama.2024.12829'!$A$2:$A$18,0)),"NOT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plan_material
</x:v>
      </x:c>
    </x:row>
    <x:row r="23" ht="70" customHeight="1">
      <x:c r="A23" s="3" t="str">
        <x:f>IF(Setup!$B$6="primary","2024::jama.2024.12829::C011","NOT FROZEN")</x:f>
        <x:v>2024::jama.2024.12829::C011</x:v>
      </x:c>
      <x:c r="B23" s="3" t="str">
        <x:f>IF(Setup!$B$6="primary",IF(INDEX('C_jama.2024.12829'!$D$2:$D$18,MATCH("2024::jama.2024.12829::C011",'C_jama.2024.12829'!$A$2:$A$18,0))="","",INDEX('C_jama.2024.12829'!$D$2:$D$18,MATCH("2024::jama.2024.12829::C011",'C_jama.2024.12829'!$A$2:$A$18,0))),"NOT FROZEN")</x:f>
      </x:c>
      <x:c r="C23" s="3" t="str">
        <x:f>IF(Setup!$B$6="primary",IF(INDEX('C_jama.2024.12829'!$E$2:$E$18,MATCH("2024::jama.2024.12829::C011",'C_jama.2024.12829'!$A$2:$A$18,0))="","",INDEX('C_jama.2024.12829'!$E$2:$E$18,MATCH("2024::jama.2024.12829::C011",'C_jama.2024.12829'!$A$2:$A$18,0))),"NOT FROZEN")</x:f>
        <x:v>statistical_results</x:v>
      </x:c>
      <x:c r="D23" s="3" t="str">
        <x:f>IF(Setup!$B$6="primary",IF(AND(INDEX('C_jama.2024.12829'!$D$2:$D$18,MATCH("2024::jama.2024.12829::C011",'C_jama.2024.12829'!$A$2:$A$18,0))="retain",INDEX('C_jama.2024.12829'!$E$2:$E$18,MATCH("2024::jama.2024.12829::C011",'C_jama.2024.12829'!$A$2:$A$18,0))="statistical_results"),IF(INDEX('C_jama.2024.12829'!$H$2:$H$18,MATCH("2024::jama.2024.12829::C011",'C_jama.2024.12829'!$A$2:$A$18,0))="","",INDEX('C_jama.2024.12829'!$H$2:$H$18,MATCH("2024::jama.2024.12829::C011",'C_jama.2024.12829'!$A$2:$A$18,0))),"not_applicable"),"NOT FROZEN")</x:f>
        <x:v>not_applicable</x:v>
      </x:c>
      <x:c r="E23" s="3" t="str">
        <x:f>IF(Setup!$B$6="primary",IF(AND(INDEX('C_jama.2024.12829'!$D$2:$D$18,MATCH("2024::jama.2024.12829::C011",'C_jama.2024.12829'!$A$2:$A$18,0))="retain",INDEX('C_jama.2024.12829'!$E$2:$E$18,MATCH("2024::jama.2024.12829::C011",'C_jama.2024.12829'!$A$2:$A$18,0))="statistical_results"),IF(INDEX('C_jama.2024.12829'!$I$2:$I$18,MATCH("2024::jama.2024.12829::C011",'C_jama.2024.12829'!$A$2:$A$18,0))="","",INDEX('C_jama.2024.12829'!$I$2:$I$18,MATCH("2024::jama.2024.12829::C011",'C_jama.2024.12829'!$A$2:$A$18,0))),"not_applicable"),"NOT FROZEN")</x:f>
        <x:v>not_applicable</x:v>
      </x:c>
      <x:c r="F23" s="3" t="str">
        <x:f>IF(Setup!$B$6="primary",IF(AND(INDEX('C_jama.2024.12829'!$D$2:$D$18,MATCH("2024::jama.2024.12829::C011",'C_jama.2024.12829'!$A$2:$A$18,0))="retain",INDEX('C_jama.2024.12829'!$E$2:$E$18,MATCH("2024::jama.2024.12829::C011",'C_jama.2024.12829'!$A$2:$A$18,0))="statistical_results"),IF(INDEX('C_jama.2024.12829'!$J$2:$J$18,MATCH("2024::jama.2024.12829::C011",'C_jama.2024.12829'!$A$2:$A$18,0))="","",INDEX('C_jama.2024.12829'!$J$2:$J$18,MATCH("2024::jama.2024.12829::C011",'C_jama.2024.12829'!$A$2:$A$18,0))),"not_applicable"),"NOT FROZEN")</x:f>
        <x:v>not_applicable</x:v>
      </x:c>
      <x:c r="G23" s="3" t="str">
        <x:f>IF(Setup!$B$6="primary",IF(AND(INDEX('C_jama.2024.12829'!$D$2:$D$18,MATCH("2024::jama.2024.12829::C011",'C_jama.2024.12829'!$A$2:$A$18,0))="retain",OR(INDEX('C_jama.2024.12829'!$E$2:$E$18,MATCH("2024::jama.2024.12829::C011",'C_jama.2024.12829'!$A$2:$A$18,0))="report_internal_inconsistency",INDEX('C_jama.2024.12829'!$E$2:$E$18,MATCH("2024::jama.2024.12829::C011",'C_jama.2024.12829'!$A$2:$A$18,0))="plan_material")),IF(INDEX('C_jama.2024.12829'!$K$2:$K$18,MATCH("2024::jama.2024.12829::C011",'C_jama.2024.12829'!$A$2:$A$18,0))="","",INDEX('C_jama.2024.12829'!$K$2:$K$18,MATCH("2024::jama.2024.12829::C011",'C_jama.2024.12829'!$A$2:$A$18,0))),"not_applicable"),"NOT FROZEN")</x:f>
        <x:v>not_applicable</x:v>
      </x:c>
      <x:c r="H23" s="3" t="str">
        <x:f>IF(Setup!$B$6="primary",IF(AND(INDEX('C_jama.2024.12829'!$D$2:$D$18,MATCH("2024::jama.2024.12829::C011",'C_jama.2024.12829'!$A$2:$A$18,0))="retain",INDEX('C_jama.2024.12829'!$E$2:$E$18,MATCH("2024::jama.2024.12829::C011",'C_jama.2024.12829'!$A$2:$A$18,0))="protocol_report"),IF(INDEX('C_jama.2024.12829'!$L$2:$L$18,MATCH("2024::jama.2024.12829::C011",'C_jama.2024.12829'!$A$2:$A$18,0))="","",INDEX('C_jama.2024.12829'!$L$2:$L$18,MATCH("2024::jama.2024.12829::C011",'C_jama.2024.12829'!$A$2:$A$18,0))),"not_applicable"),"NOT FROZEN")</x:f>
        <x:v>not_applicable</x:v>
      </x:c>
      <x:c r="I23" s="3" t="str">
        <x:f>IF(Setup!$B$6="primary",IF(INDEX('C_jama.2024.12829'!$R$2:$R$18,MATCH("2024::jama.2024.12829::C011",'C_jama.2024.12829'!$A$2:$A$18,0))="","",INDEX('C_jama.2024.12829'!$R$2:$R$18,MATCH("2024::jama.2024.12829::C011",'C_jama.2024.12829'!$A$2:$A$18,0))),"NOT FROZEN")</x:f>
      </x:c>
      <x:c r="J23" s="3" t="str">
        <x:f>IF(Setup!$B$6="primary",INDEX('C_jama.2024.12829'!$F$2:$F$18,MATCH("2024::jama.2024.12829::C011",'C_jama.2024.12829'!$A$2:$A$18,0)),"NOT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IF(Setup!$B$6="primary","2024::jama.2024.12829::C012","NOT FROZEN")</x:f>
        <x:v>2024::jama.2024.12829::C012</x:v>
      </x:c>
      <x:c r="B24" s="6" t="str">
        <x:f>IF(Setup!$B$6="primary",IF(INDEX('C_jama.2024.12829'!$D$2:$D$18,MATCH("2024::jama.2024.12829::C012",'C_jama.2024.12829'!$A$2:$A$18,0))="","",INDEX('C_jama.2024.12829'!$D$2:$D$18,MATCH("2024::jama.2024.12829::C012",'C_jama.2024.12829'!$A$2:$A$18,0))),"NOT FROZEN")</x:f>
      </x:c>
      <x:c r="C24" s="6" t="str">
        <x:f>IF(Setup!$B$6="primary",IF(INDEX('C_jama.2024.12829'!$E$2:$E$18,MATCH("2024::jama.2024.12829::C012",'C_jama.2024.12829'!$A$2:$A$18,0))="","",INDEX('C_jama.2024.12829'!$E$2:$E$18,MATCH("2024::jama.2024.12829::C012",'C_jama.2024.12829'!$A$2:$A$18,0))),"NOT FROZEN")</x:f>
        <x:v>report_internal_inconsistency</x:v>
      </x:c>
      <x:c r="D24" s="6" t="str">
        <x:f>IF(Setup!$B$6="primary",IF(AND(INDEX('C_jama.2024.12829'!$D$2:$D$18,MATCH("2024::jama.2024.12829::C012",'C_jama.2024.12829'!$A$2:$A$18,0))="retain",INDEX('C_jama.2024.12829'!$E$2:$E$18,MATCH("2024::jama.2024.12829::C012",'C_jama.2024.12829'!$A$2:$A$18,0))="statistical_results"),IF(INDEX('C_jama.2024.12829'!$H$2:$H$18,MATCH("2024::jama.2024.12829::C012",'C_jama.2024.12829'!$A$2:$A$18,0))="","",INDEX('C_jama.2024.12829'!$H$2:$H$18,MATCH("2024::jama.2024.12829::C012",'C_jama.2024.12829'!$A$2:$A$18,0))),"not_applicable"),"NOT FROZEN")</x:f>
        <x:v>not_applicable</x:v>
      </x:c>
      <x:c r="E24" s="6" t="str">
        <x:f>IF(Setup!$B$6="primary",IF(AND(INDEX('C_jama.2024.12829'!$D$2:$D$18,MATCH("2024::jama.2024.12829::C012",'C_jama.2024.12829'!$A$2:$A$18,0))="retain",INDEX('C_jama.2024.12829'!$E$2:$E$18,MATCH("2024::jama.2024.12829::C012",'C_jama.2024.12829'!$A$2:$A$18,0))="statistical_results"),IF(INDEX('C_jama.2024.12829'!$I$2:$I$18,MATCH("2024::jama.2024.12829::C012",'C_jama.2024.12829'!$A$2:$A$18,0))="","",INDEX('C_jama.2024.12829'!$I$2:$I$18,MATCH("2024::jama.2024.12829::C012",'C_jama.2024.12829'!$A$2:$A$18,0))),"not_applicable"),"NOT FROZEN")</x:f>
        <x:v>not_applicable</x:v>
      </x:c>
      <x:c r="F24" s="6" t="str">
        <x:f>IF(Setup!$B$6="primary",IF(AND(INDEX('C_jama.2024.12829'!$D$2:$D$18,MATCH("2024::jama.2024.12829::C012",'C_jama.2024.12829'!$A$2:$A$18,0))="retain",INDEX('C_jama.2024.12829'!$E$2:$E$18,MATCH("2024::jama.2024.12829::C012",'C_jama.2024.12829'!$A$2:$A$18,0))="statistical_results"),IF(INDEX('C_jama.2024.12829'!$J$2:$J$18,MATCH("2024::jama.2024.12829::C012",'C_jama.2024.12829'!$A$2:$A$18,0))="","",INDEX('C_jama.2024.12829'!$J$2:$J$18,MATCH("2024::jama.2024.12829::C012",'C_jama.2024.12829'!$A$2:$A$18,0))),"not_applicable"),"NOT FROZEN")</x:f>
        <x:v>not_applicable</x:v>
      </x:c>
      <x:c r="G24" s="6" t="str">
        <x:f>IF(Setup!$B$6="primary",IF(AND(INDEX('C_jama.2024.12829'!$D$2:$D$18,MATCH("2024::jama.2024.12829::C012",'C_jama.2024.12829'!$A$2:$A$18,0))="retain",OR(INDEX('C_jama.2024.12829'!$E$2:$E$18,MATCH("2024::jama.2024.12829::C012",'C_jama.2024.12829'!$A$2:$A$18,0))="report_internal_inconsistency",INDEX('C_jama.2024.12829'!$E$2:$E$18,MATCH("2024::jama.2024.12829::C012",'C_jama.2024.12829'!$A$2:$A$18,0))="plan_material")),IF(INDEX('C_jama.2024.12829'!$K$2:$K$18,MATCH("2024::jama.2024.12829::C012",'C_jama.2024.12829'!$A$2:$A$18,0))="","",INDEX('C_jama.2024.12829'!$K$2:$K$18,MATCH("2024::jama.2024.12829::C012",'C_jama.2024.12829'!$A$2:$A$18,0))),"not_applicable"),"NOT FROZEN")</x:f>
        <x:v>not_applicable</x:v>
      </x:c>
      <x:c r="H24" s="6" t="str">
        <x:f>IF(Setup!$B$6="primary",IF(AND(INDEX('C_jama.2024.12829'!$D$2:$D$18,MATCH("2024::jama.2024.12829::C012",'C_jama.2024.12829'!$A$2:$A$18,0))="retain",INDEX('C_jama.2024.12829'!$E$2:$E$18,MATCH("2024::jama.2024.12829::C012",'C_jama.2024.12829'!$A$2:$A$18,0))="protocol_report"),IF(INDEX('C_jama.2024.12829'!$L$2:$L$18,MATCH("2024::jama.2024.12829::C012",'C_jama.2024.12829'!$A$2:$A$18,0))="","",INDEX('C_jama.2024.12829'!$L$2:$L$18,MATCH("2024::jama.2024.12829::C012",'C_jama.2024.12829'!$A$2:$A$18,0))),"not_applicable"),"NOT FROZEN")</x:f>
        <x:v>not_applicable</x:v>
      </x:c>
      <x:c r="I24" s="6" t="str">
        <x:f>IF(Setup!$B$6="primary",IF(INDEX('C_jama.2024.12829'!$R$2:$R$18,MATCH("2024::jama.2024.12829::C012",'C_jama.2024.12829'!$A$2:$A$18,0))="","",INDEX('C_jama.2024.12829'!$R$2:$R$18,MATCH("2024::jama.2024.12829::C012",'C_jama.2024.12829'!$A$2:$A$18,0))),"NOT FROZEN")</x:f>
      </x:c>
      <x:c r="J24" s="6" t="str">
        <x:f>IF(Setup!$B$6="primary",INDEX('C_jama.2024.12829'!$F$2:$F$18,MATCH("2024::jama.2024.12829::C012",'C_jama.2024.12829'!$A$2:$A$18,0)),"NOT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report_internal_inconsistency
</x:v>
      </x:c>
    </x:row>
    <x:row r="25" ht="70" customHeight="1">
      <x:c r="A25" s="3" t="str">
        <x:f>IF(Setup!$B$6="primary","2024::jama.2024.12829::C013","NOT FROZEN")</x:f>
        <x:v>2024::jama.2024.12829::C013</x:v>
      </x:c>
      <x:c r="B25" s="3" t="str">
        <x:f>IF(Setup!$B$6="primary",IF(INDEX('C_jama.2024.12829'!$D$2:$D$18,MATCH("2024::jama.2024.12829::C013",'C_jama.2024.12829'!$A$2:$A$18,0))="","",INDEX('C_jama.2024.12829'!$D$2:$D$18,MATCH("2024::jama.2024.12829::C013",'C_jama.2024.12829'!$A$2:$A$18,0))),"NOT FROZEN")</x:f>
      </x:c>
      <x:c r="C25" s="3" t="str">
        <x:f>IF(Setup!$B$6="primary",IF(INDEX('C_jama.2024.12829'!$E$2:$E$18,MATCH("2024::jama.2024.12829::C013",'C_jama.2024.12829'!$A$2:$A$18,0))="","",INDEX('C_jama.2024.12829'!$E$2:$E$18,MATCH("2024::jama.2024.12829::C013",'C_jama.2024.12829'!$A$2:$A$18,0))),"NOT FROZEN")</x:f>
        <x:v>plan_material</x:v>
      </x:c>
      <x:c r="D25" s="3" t="str">
        <x:f>IF(Setup!$B$6="primary",IF(AND(INDEX('C_jama.2024.12829'!$D$2:$D$18,MATCH("2024::jama.2024.12829::C013",'C_jama.2024.12829'!$A$2:$A$18,0))="retain",INDEX('C_jama.2024.12829'!$E$2:$E$18,MATCH("2024::jama.2024.12829::C013",'C_jama.2024.12829'!$A$2:$A$18,0))="statistical_results"),IF(INDEX('C_jama.2024.12829'!$H$2:$H$18,MATCH("2024::jama.2024.12829::C013",'C_jama.2024.12829'!$A$2:$A$18,0))="","",INDEX('C_jama.2024.12829'!$H$2:$H$18,MATCH("2024::jama.2024.12829::C013",'C_jama.2024.12829'!$A$2:$A$18,0))),"not_applicable"),"NOT FROZEN")</x:f>
        <x:v>not_applicable</x:v>
      </x:c>
      <x:c r="E25" s="3" t="str">
        <x:f>IF(Setup!$B$6="primary",IF(AND(INDEX('C_jama.2024.12829'!$D$2:$D$18,MATCH("2024::jama.2024.12829::C013",'C_jama.2024.12829'!$A$2:$A$18,0))="retain",INDEX('C_jama.2024.12829'!$E$2:$E$18,MATCH("2024::jama.2024.12829::C013",'C_jama.2024.12829'!$A$2:$A$18,0))="statistical_results"),IF(INDEX('C_jama.2024.12829'!$I$2:$I$18,MATCH("2024::jama.2024.12829::C013",'C_jama.2024.12829'!$A$2:$A$18,0))="","",INDEX('C_jama.2024.12829'!$I$2:$I$18,MATCH("2024::jama.2024.12829::C013",'C_jama.2024.12829'!$A$2:$A$18,0))),"not_applicable"),"NOT FROZEN")</x:f>
        <x:v>not_applicable</x:v>
      </x:c>
      <x:c r="F25" s="3" t="str">
        <x:f>IF(Setup!$B$6="primary",IF(AND(INDEX('C_jama.2024.12829'!$D$2:$D$18,MATCH("2024::jama.2024.12829::C013",'C_jama.2024.12829'!$A$2:$A$18,0))="retain",INDEX('C_jama.2024.12829'!$E$2:$E$18,MATCH("2024::jama.2024.12829::C013",'C_jama.2024.12829'!$A$2:$A$18,0))="statistical_results"),IF(INDEX('C_jama.2024.12829'!$J$2:$J$18,MATCH("2024::jama.2024.12829::C013",'C_jama.2024.12829'!$A$2:$A$18,0))="","",INDEX('C_jama.2024.12829'!$J$2:$J$18,MATCH("2024::jama.2024.12829::C013",'C_jama.2024.12829'!$A$2:$A$18,0))),"not_applicable"),"NOT FROZEN")</x:f>
        <x:v>not_applicable</x:v>
      </x:c>
      <x:c r="G25" s="3" t="str">
        <x:f>IF(Setup!$B$6="primary",IF(AND(INDEX('C_jama.2024.12829'!$D$2:$D$18,MATCH("2024::jama.2024.12829::C013",'C_jama.2024.12829'!$A$2:$A$18,0))="retain",OR(INDEX('C_jama.2024.12829'!$E$2:$E$18,MATCH("2024::jama.2024.12829::C013",'C_jama.2024.12829'!$A$2:$A$18,0))="report_internal_inconsistency",INDEX('C_jama.2024.12829'!$E$2:$E$18,MATCH("2024::jama.2024.12829::C013",'C_jama.2024.12829'!$A$2:$A$18,0))="plan_material")),IF(INDEX('C_jama.2024.12829'!$K$2:$K$18,MATCH("2024::jama.2024.12829::C013",'C_jama.2024.12829'!$A$2:$A$18,0))="","",INDEX('C_jama.2024.12829'!$K$2:$K$18,MATCH("2024::jama.2024.12829::C013",'C_jama.2024.12829'!$A$2:$A$18,0))),"not_applicable"),"NOT FROZEN")</x:f>
        <x:v>not_applicable</x:v>
      </x:c>
      <x:c r="H25" s="3" t="str">
        <x:f>IF(Setup!$B$6="primary",IF(AND(INDEX('C_jama.2024.12829'!$D$2:$D$18,MATCH("2024::jama.2024.12829::C013",'C_jama.2024.12829'!$A$2:$A$18,0))="retain",INDEX('C_jama.2024.12829'!$E$2:$E$18,MATCH("2024::jama.2024.12829::C013",'C_jama.2024.12829'!$A$2:$A$18,0))="protocol_report"),IF(INDEX('C_jama.2024.12829'!$L$2:$L$18,MATCH("2024::jama.2024.12829::C013",'C_jama.2024.12829'!$A$2:$A$18,0))="","",INDEX('C_jama.2024.12829'!$L$2:$L$18,MATCH("2024::jama.2024.12829::C013",'C_jama.2024.12829'!$A$2:$A$18,0))),"not_applicable"),"NOT FROZEN")</x:f>
        <x:v>not_applicable</x:v>
      </x:c>
      <x:c r="I25" s="3" t="str">
        <x:f>IF(Setup!$B$6="primary",IF(INDEX('C_jama.2024.12829'!$R$2:$R$18,MATCH("2024::jama.2024.12829::C013",'C_jama.2024.12829'!$A$2:$A$18,0))="","",INDEX('C_jama.2024.12829'!$R$2:$R$18,MATCH("2024::jama.2024.12829::C013",'C_jama.2024.12829'!$A$2:$A$18,0))),"NOT FROZEN")</x:f>
      </x:c>
      <x:c r="J25" s="3" t="str">
        <x:f>IF(Setup!$B$6="primary",INDEX('C_jama.2024.12829'!$F$2:$F$18,MATCH("2024::jama.2024.12829::C013",'C_jama.2024.12829'!$A$2:$A$18,0)),"NOT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plan_material
</x:v>
      </x:c>
    </x:row>
    <x:row r="26" ht="70" customHeight="1">
      <x:c r="A26" s="6" t="str">
        <x:f>IF(Setup!$B$6="primary","2024::jama.2024.12829::C014","NOT FROZEN")</x:f>
        <x:v>2024::jama.2024.12829::C014</x:v>
      </x:c>
      <x:c r="B26" s="6" t="str">
        <x:f>IF(Setup!$B$6="primary",IF(INDEX('C_jama.2024.12829'!$D$2:$D$18,MATCH("2024::jama.2024.12829::C014",'C_jama.2024.12829'!$A$2:$A$18,0))="","",INDEX('C_jama.2024.12829'!$D$2:$D$18,MATCH("2024::jama.2024.12829::C014",'C_jama.2024.12829'!$A$2:$A$18,0))),"NOT FROZEN")</x:f>
      </x:c>
      <x:c r="C26" s="6" t="str">
        <x:f>IF(Setup!$B$6="primary",IF(INDEX('C_jama.2024.12829'!$E$2:$E$18,MATCH("2024::jama.2024.12829::C014",'C_jama.2024.12829'!$A$2:$A$18,0))="","",INDEX('C_jama.2024.12829'!$E$2:$E$18,MATCH("2024::jama.2024.12829::C014",'C_jama.2024.12829'!$A$2:$A$18,0))),"NOT FROZEN")</x:f>
        <x:v>statistical_results</x:v>
      </x:c>
      <x:c r="D26" s="6" t="str">
        <x:f>IF(Setup!$B$6="primary",IF(AND(INDEX('C_jama.2024.12829'!$D$2:$D$18,MATCH("2024::jama.2024.12829::C014",'C_jama.2024.12829'!$A$2:$A$18,0))="retain",INDEX('C_jama.2024.12829'!$E$2:$E$18,MATCH("2024::jama.2024.12829::C014",'C_jama.2024.12829'!$A$2:$A$18,0))="statistical_results"),IF(INDEX('C_jama.2024.12829'!$H$2:$H$18,MATCH("2024::jama.2024.12829::C014",'C_jama.2024.12829'!$A$2:$A$18,0))="","",INDEX('C_jama.2024.12829'!$H$2:$H$18,MATCH("2024::jama.2024.12829::C014",'C_jama.2024.12829'!$A$2:$A$18,0))),"not_applicable"),"NOT FROZEN")</x:f>
        <x:v>not_applicable</x:v>
      </x:c>
      <x:c r="E26" s="6" t="str">
        <x:f>IF(Setup!$B$6="primary",IF(AND(INDEX('C_jama.2024.12829'!$D$2:$D$18,MATCH("2024::jama.2024.12829::C014",'C_jama.2024.12829'!$A$2:$A$18,0))="retain",INDEX('C_jama.2024.12829'!$E$2:$E$18,MATCH("2024::jama.2024.12829::C014",'C_jama.2024.12829'!$A$2:$A$18,0))="statistical_results"),IF(INDEX('C_jama.2024.12829'!$I$2:$I$18,MATCH("2024::jama.2024.12829::C014",'C_jama.2024.12829'!$A$2:$A$18,0))="","",INDEX('C_jama.2024.12829'!$I$2:$I$18,MATCH("2024::jama.2024.12829::C014",'C_jama.2024.12829'!$A$2:$A$18,0))),"not_applicable"),"NOT FROZEN")</x:f>
        <x:v>not_applicable</x:v>
      </x:c>
      <x:c r="F26" s="6" t="str">
        <x:f>IF(Setup!$B$6="primary",IF(AND(INDEX('C_jama.2024.12829'!$D$2:$D$18,MATCH("2024::jama.2024.12829::C014",'C_jama.2024.12829'!$A$2:$A$18,0))="retain",INDEX('C_jama.2024.12829'!$E$2:$E$18,MATCH("2024::jama.2024.12829::C014",'C_jama.2024.12829'!$A$2:$A$18,0))="statistical_results"),IF(INDEX('C_jama.2024.12829'!$J$2:$J$18,MATCH("2024::jama.2024.12829::C014",'C_jama.2024.12829'!$A$2:$A$18,0))="","",INDEX('C_jama.2024.12829'!$J$2:$J$18,MATCH("2024::jama.2024.12829::C014",'C_jama.2024.12829'!$A$2:$A$18,0))),"not_applicable"),"NOT FROZEN")</x:f>
        <x:v>not_applicable</x:v>
      </x:c>
      <x:c r="G26" s="6" t="str">
        <x:f>IF(Setup!$B$6="primary",IF(AND(INDEX('C_jama.2024.12829'!$D$2:$D$18,MATCH("2024::jama.2024.12829::C014",'C_jama.2024.12829'!$A$2:$A$18,0))="retain",OR(INDEX('C_jama.2024.12829'!$E$2:$E$18,MATCH("2024::jama.2024.12829::C014",'C_jama.2024.12829'!$A$2:$A$18,0))="report_internal_inconsistency",INDEX('C_jama.2024.12829'!$E$2:$E$18,MATCH("2024::jama.2024.12829::C014",'C_jama.2024.12829'!$A$2:$A$18,0))="plan_material")),IF(INDEX('C_jama.2024.12829'!$K$2:$K$18,MATCH("2024::jama.2024.12829::C014",'C_jama.2024.12829'!$A$2:$A$18,0))="","",INDEX('C_jama.2024.12829'!$K$2:$K$18,MATCH("2024::jama.2024.12829::C014",'C_jama.2024.12829'!$A$2:$A$18,0))),"not_applicable"),"NOT FROZEN")</x:f>
        <x:v>not_applicable</x:v>
      </x:c>
      <x:c r="H26" s="6" t="str">
        <x:f>IF(Setup!$B$6="primary",IF(AND(INDEX('C_jama.2024.12829'!$D$2:$D$18,MATCH("2024::jama.2024.12829::C014",'C_jama.2024.12829'!$A$2:$A$18,0))="retain",INDEX('C_jama.2024.12829'!$E$2:$E$18,MATCH("2024::jama.2024.12829::C014",'C_jama.2024.12829'!$A$2:$A$18,0))="protocol_report"),IF(INDEX('C_jama.2024.12829'!$L$2:$L$18,MATCH("2024::jama.2024.12829::C014",'C_jama.2024.12829'!$A$2:$A$18,0))="","",INDEX('C_jama.2024.12829'!$L$2:$L$18,MATCH("2024::jama.2024.12829::C014",'C_jama.2024.12829'!$A$2:$A$18,0))),"not_applicable"),"NOT FROZEN")</x:f>
        <x:v>not_applicable</x:v>
      </x:c>
      <x:c r="I26" s="6" t="str">
        <x:f>IF(Setup!$B$6="primary",IF(INDEX('C_jama.2024.12829'!$R$2:$R$18,MATCH("2024::jama.2024.12829::C014",'C_jama.2024.12829'!$A$2:$A$18,0))="","",INDEX('C_jama.2024.12829'!$R$2:$R$18,MATCH("2024::jama.2024.12829::C014",'C_jama.2024.12829'!$A$2:$A$18,0))),"NOT FROZEN")</x:f>
      </x:c>
      <x:c r="J26" s="6" t="str">
        <x:f>IF(Setup!$B$6="primary",INDEX('C_jama.2024.12829'!$F$2:$F$18,MATCH("2024::jama.2024.12829::C014",'C_jama.2024.12829'!$A$2:$A$18,0)),"NOT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IF(Setup!$B$6="primary","2024::jama.2024.12829::C015","NOT FROZEN")</x:f>
        <x:v>2024::jama.2024.12829::C015</x:v>
      </x:c>
      <x:c r="B27" s="3" t="str">
        <x:f>IF(Setup!$B$6="primary",IF(INDEX('C_jama.2024.12829'!$D$2:$D$18,MATCH("2024::jama.2024.12829::C015",'C_jama.2024.12829'!$A$2:$A$18,0))="","",INDEX('C_jama.2024.12829'!$D$2:$D$18,MATCH("2024::jama.2024.12829::C015",'C_jama.2024.12829'!$A$2:$A$18,0))),"NOT FROZEN")</x:f>
      </x:c>
      <x:c r="C27" s="3" t="str">
        <x:f>IF(Setup!$B$6="primary",IF(INDEX('C_jama.2024.12829'!$E$2:$E$18,MATCH("2024::jama.2024.12829::C015",'C_jama.2024.12829'!$A$2:$A$18,0))="","",INDEX('C_jama.2024.12829'!$E$2:$E$18,MATCH("2024::jama.2024.12829::C015",'C_jama.2024.12829'!$A$2:$A$18,0))),"NOT FROZEN")</x:f>
        <x:v>report_internal_inconsistency</x:v>
      </x:c>
      <x:c r="D27" s="3" t="str">
        <x:f>IF(Setup!$B$6="primary",IF(AND(INDEX('C_jama.2024.12829'!$D$2:$D$18,MATCH("2024::jama.2024.12829::C015",'C_jama.2024.12829'!$A$2:$A$18,0))="retain",INDEX('C_jama.2024.12829'!$E$2:$E$18,MATCH("2024::jama.2024.12829::C015",'C_jama.2024.12829'!$A$2:$A$18,0))="statistical_results"),IF(INDEX('C_jama.2024.12829'!$H$2:$H$18,MATCH("2024::jama.2024.12829::C015",'C_jama.2024.12829'!$A$2:$A$18,0))="","",INDEX('C_jama.2024.12829'!$H$2:$H$18,MATCH("2024::jama.2024.12829::C015",'C_jama.2024.12829'!$A$2:$A$18,0))),"not_applicable"),"NOT FROZEN")</x:f>
        <x:v>not_applicable</x:v>
      </x:c>
      <x:c r="E27" s="3" t="str">
        <x:f>IF(Setup!$B$6="primary",IF(AND(INDEX('C_jama.2024.12829'!$D$2:$D$18,MATCH("2024::jama.2024.12829::C015",'C_jama.2024.12829'!$A$2:$A$18,0))="retain",INDEX('C_jama.2024.12829'!$E$2:$E$18,MATCH("2024::jama.2024.12829::C015",'C_jama.2024.12829'!$A$2:$A$18,0))="statistical_results"),IF(INDEX('C_jama.2024.12829'!$I$2:$I$18,MATCH("2024::jama.2024.12829::C015",'C_jama.2024.12829'!$A$2:$A$18,0))="","",INDEX('C_jama.2024.12829'!$I$2:$I$18,MATCH("2024::jama.2024.12829::C015",'C_jama.2024.12829'!$A$2:$A$18,0))),"not_applicable"),"NOT FROZEN")</x:f>
        <x:v>not_applicable</x:v>
      </x:c>
      <x:c r="F27" s="3" t="str">
        <x:f>IF(Setup!$B$6="primary",IF(AND(INDEX('C_jama.2024.12829'!$D$2:$D$18,MATCH("2024::jama.2024.12829::C015",'C_jama.2024.12829'!$A$2:$A$18,0))="retain",INDEX('C_jama.2024.12829'!$E$2:$E$18,MATCH("2024::jama.2024.12829::C015",'C_jama.2024.12829'!$A$2:$A$18,0))="statistical_results"),IF(INDEX('C_jama.2024.12829'!$J$2:$J$18,MATCH("2024::jama.2024.12829::C015",'C_jama.2024.12829'!$A$2:$A$18,0))="","",INDEX('C_jama.2024.12829'!$J$2:$J$18,MATCH("2024::jama.2024.12829::C015",'C_jama.2024.12829'!$A$2:$A$18,0))),"not_applicable"),"NOT FROZEN")</x:f>
        <x:v>not_applicable</x:v>
      </x:c>
      <x:c r="G27" s="3" t="str">
        <x:f>IF(Setup!$B$6="primary",IF(AND(INDEX('C_jama.2024.12829'!$D$2:$D$18,MATCH("2024::jama.2024.12829::C015",'C_jama.2024.12829'!$A$2:$A$18,0))="retain",OR(INDEX('C_jama.2024.12829'!$E$2:$E$18,MATCH("2024::jama.2024.12829::C015",'C_jama.2024.12829'!$A$2:$A$18,0))="report_internal_inconsistency",INDEX('C_jama.2024.12829'!$E$2:$E$18,MATCH("2024::jama.2024.12829::C015",'C_jama.2024.12829'!$A$2:$A$18,0))="plan_material")),IF(INDEX('C_jama.2024.12829'!$K$2:$K$18,MATCH("2024::jama.2024.12829::C015",'C_jama.2024.12829'!$A$2:$A$18,0))="","",INDEX('C_jama.2024.12829'!$K$2:$K$18,MATCH("2024::jama.2024.12829::C015",'C_jama.2024.12829'!$A$2:$A$18,0))),"not_applicable"),"NOT FROZEN")</x:f>
        <x:v>not_applicable</x:v>
      </x:c>
      <x:c r="H27" s="3" t="str">
        <x:f>IF(Setup!$B$6="primary",IF(AND(INDEX('C_jama.2024.12829'!$D$2:$D$18,MATCH("2024::jama.2024.12829::C015",'C_jama.2024.12829'!$A$2:$A$18,0))="retain",INDEX('C_jama.2024.12829'!$E$2:$E$18,MATCH("2024::jama.2024.12829::C015",'C_jama.2024.12829'!$A$2:$A$18,0))="protocol_report"),IF(INDEX('C_jama.2024.12829'!$L$2:$L$18,MATCH("2024::jama.2024.12829::C015",'C_jama.2024.12829'!$A$2:$A$18,0))="","",INDEX('C_jama.2024.12829'!$L$2:$L$18,MATCH("2024::jama.2024.12829::C015",'C_jama.2024.12829'!$A$2:$A$18,0))),"not_applicable"),"NOT FROZEN")</x:f>
        <x:v>not_applicable</x:v>
      </x:c>
      <x:c r="I27" s="3" t="str">
        <x:f>IF(Setup!$B$6="primary",IF(INDEX('C_jama.2024.12829'!$R$2:$R$18,MATCH("2024::jama.2024.12829::C015",'C_jama.2024.12829'!$A$2:$A$18,0))="","",INDEX('C_jama.2024.12829'!$R$2:$R$18,MATCH("2024::jama.2024.12829::C015",'C_jama.2024.12829'!$A$2:$A$18,0))),"NOT FROZEN")</x:f>
      </x:c>
      <x:c r="J27" s="3" t="str">
        <x:f>IF(Setup!$B$6="primary",INDEX('C_jama.2024.12829'!$F$2:$F$18,MATCH("2024::jama.2024.12829::C015",'C_jama.2024.12829'!$A$2:$A$18,0)),"NOT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report_internal_inconsistency
</x:v>
      </x:c>
    </x:row>
    <x:row r="28" ht="70" customHeight="1">
      <x:c r="A28" s="6" t="str">
        <x:f>IF(Setup!$B$6="primary","2024::jama.2024.12829::C016","NOT FROZEN")</x:f>
        <x:v>2024::jama.2024.12829::C016</x:v>
      </x:c>
      <x:c r="B28" s="6" t="str">
        <x:f>IF(Setup!$B$6="primary",IF(INDEX('C_jama.2024.12829'!$D$2:$D$18,MATCH("2024::jama.2024.12829::C016",'C_jama.2024.12829'!$A$2:$A$18,0))="","",INDEX('C_jama.2024.12829'!$D$2:$D$18,MATCH("2024::jama.2024.12829::C016",'C_jama.2024.12829'!$A$2:$A$18,0))),"NOT FROZEN")</x:f>
      </x:c>
      <x:c r="C28" s="6" t="str">
        <x:f>IF(Setup!$B$6="primary",IF(INDEX('C_jama.2024.12829'!$E$2:$E$18,MATCH("2024::jama.2024.12829::C016",'C_jama.2024.12829'!$A$2:$A$18,0))="","",INDEX('C_jama.2024.12829'!$E$2:$E$18,MATCH("2024::jama.2024.12829::C016",'C_jama.2024.12829'!$A$2:$A$18,0))),"NOT FROZEN")</x:f>
        <x:v>report_internal_inconsistency</x:v>
      </x:c>
      <x:c r="D28" s="6" t="str">
        <x:f>IF(Setup!$B$6="primary",IF(AND(INDEX('C_jama.2024.12829'!$D$2:$D$18,MATCH("2024::jama.2024.12829::C016",'C_jama.2024.12829'!$A$2:$A$18,0))="retain",INDEX('C_jama.2024.12829'!$E$2:$E$18,MATCH("2024::jama.2024.12829::C016",'C_jama.2024.12829'!$A$2:$A$18,0))="statistical_results"),IF(INDEX('C_jama.2024.12829'!$H$2:$H$18,MATCH("2024::jama.2024.12829::C016",'C_jama.2024.12829'!$A$2:$A$18,0))="","",INDEX('C_jama.2024.12829'!$H$2:$H$18,MATCH("2024::jama.2024.12829::C016",'C_jama.2024.12829'!$A$2:$A$18,0))),"not_applicable"),"NOT FROZEN")</x:f>
        <x:v>not_applicable</x:v>
      </x:c>
      <x:c r="E28" s="6" t="str">
        <x:f>IF(Setup!$B$6="primary",IF(AND(INDEX('C_jama.2024.12829'!$D$2:$D$18,MATCH("2024::jama.2024.12829::C016",'C_jama.2024.12829'!$A$2:$A$18,0))="retain",INDEX('C_jama.2024.12829'!$E$2:$E$18,MATCH("2024::jama.2024.12829::C016",'C_jama.2024.12829'!$A$2:$A$18,0))="statistical_results"),IF(INDEX('C_jama.2024.12829'!$I$2:$I$18,MATCH("2024::jama.2024.12829::C016",'C_jama.2024.12829'!$A$2:$A$18,0))="","",INDEX('C_jama.2024.12829'!$I$2:$I$18,MATCH("2024::jama.2024.12829::C016",'C_jama.2024.12829'!$A$2:$A$18,0))),"not_applicable"),"NOT FROZEN")</x:f>
        <x:v>not_applicable</x:v>
      </x:c>
      <x:c r="F28" s="6" t="str">
        <x:f>IF(Setup!$B$6="primary",IF(AND(INDEX('C_jama.2024.12829'!$D$2:$D$18,MATCH("2024::jama.2024.12829::C016",'C_jama.2024.12829'!$A$2:$A$18,0))="retain",INDEX('C_jama.2024.12829'!$E$2:$E$18,MATCH("2024::jama.2024.12829::C016",'C_jama.2024.12829'!$A$2:$A$18,0))="statistical_results"),IF(INDEX('C_jama.2024.12829'!$J$2:$J$18,MATCH("2024::jama.2024.12829::C016",'C_jama.2024.12829'!$A$2:$A$18,0))="","",INDEX('C_jama.2024.12829'!$J$2:$J$18,MATCH("2024::jama.2024.12829::C016",'C_jama.2024.12829'!$A$2:$A$18,0))),"not_applicable"),"NOT FROZEN")</x:f>
        <x:v>not_applicable</x:v>
      </x:c>
      <x:c r="G28" s="6" t="str">
        <x:f>IF(Setup!$B$6="primary",IF(AND(INDEX('C_jama.2024.12829'!$D$2:$D$18,MATCH("2024::jama.2024.12829::C016",'C_jama.2024.12829'!$A$2:$A$18,0))="retain",OR(INDEX('C_jama.2024.12829'!$E$2:$E$18,MATCH("2024::jama.2024.12829::C016",'C_jama.2024.12829'!$A$2:$A$18,0))="report_internal_inconsistency",INDEX('C_jama.2024.12829'!$E$2:$E$18,MATCH("2024::jama.2024.12829::C016",'C_jama.2024.12829'!$A$2:$A$18,0))="plan_material")),IF(INDEX('C_jama.2024.12829'!$K$2:$K$18,MATCH("2024::jama.2024.12829::C016",'C_jama.2024.12829'!$A$2:$A$18,0))="","",INDEX('C_jama.2024.12829'!$K$2:$K$18,MATCH("2024::jama.2024.12829::C016",'C_jama.2024.12829'!$A$2:$A$18,0))),"not_applicable"),"NOT FROZEN")</x:f>
        <x:v>not_applicable</x:v>
      </x:c>
      <x:c r="H28" s="6" t="str">
        <x:f>IF(Setup!$B$6="primary",IF(AND(INDEX('C_jama.2024.12829'!$D$2:$D$18,MATCH("2024::jama.2024.12829::C016",'C_jama.2024.12829'!$A$2:$A$18,0))="retain",INDEX('C_jama.2024.12829'!$E$2:$E$18,MATCH("2024::jama.2024.12829::C016",'C_jama.2024.12829'!$A$2:$A$18,0))="protocol_report"),IF(INDEX('C_jama.2024.12829'!$L$2:$L$18,MATCH("2024::jama.2024.12829::C016",'C_jama.2024.12829'!$A$2:$A$18,0))="","",INDEX('C_jama.2024.12829'!$L$2:$L$18,MATCH("2024::jama.2024.12829::C016",'C_jama.2024.12829'!$A$2:$A$18,0))),"not_applicable"),"NOT FROZEN")</x:f>
        <x:v>not_applicable</x:v>
      </x:c>
      <x:c r="I28" s="6" t="str">
        <x:f>IF(Setup!$B$6="primary",IF(INDEX('C_jama.2024.12829'!$R$2:$R$18,MATCH("2024::jama.2024.12829::C016",'C_jama.2024.12829'!$A$2:$A$18,0))="","",INDEX('C_jama.2024.12829'!$R$2:$R$18,MATCH("2024::jama.2024.12829::C016",'C_jama.2024.12829'!$A$2:$A$18,0))),"NOT FROZEN")</x:f>
      </x:c>
      <x:c r="J28" s="6" t="str">
        <x:f>IF(Setup!$B$6="primary",INDEX('C_jama.2024.12829'!$F$2:$F$18,MATCH("2024::jama.2024.12829::C016",'C_jama.2024.12829'!$A$2:$A$18,0)),"NOT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report_internal_inconsistency
</x:v>
      </x:c>
    </x:row>
    <x:row r="29" ht="70" customHeight="1">
      <x:c r="A29" s="3" t="str">
        <x:f>IF(Setup!$B$6="primary","2024::jama.2024.12829::C017","NOT FROZEN")</x:f>
        <x:v>2024::jama.2024.12829::C017</x:v>
      </x:c>
      <x:c r="B29" s="3" t="str">
        <x:f>IF(Setup!$B$6="primary",IF(INDEX('C_jama.2024.12829'!$D$2:$D$18,MATCH("2024::jama.2024.12829::C017",'C_jama.2024.12829'!$A$2:$A$18,0))="","",INDEX('C_jama.2024.12829'!$D$2:$D$18,MATCH("2024::jama.2024.12829::C017",'C_jama.2024.12829'!$A$2:$A$18,0))),"NOT FROZEN")</x:f>
      </x:c>
      <x:c r="C29" s="3" t="str">
        <x:f>IF(Setup!$B$6="primary",IF(INDEX('C_jama.2024.12829'!$E$2:$E$18,MATCH("2024::jama.2024.12829::C017",'C_jama.2024.12829'!$A$2:$A$18,0))="","",INDEX('C_jama.2024.12829'!$E$2:$E$18,MATCH("2024::jama.2024.12829::C017",'C_jama.2024.12829'!$A$2:$A$18,0))),"NOT FROZEN")</x:f>
        <x:v>statistical_results</x:v>
      </x:c>
      <x:c r="D29" s="3" t="str">
        <x:f>IF(Setup!$B$6="primary",IF(AND(INDEX('C_jama.2024.12829'!$D$2:$D$18,MATCH("2024::jama.2024.12829::C017",'C_jama.2024.12829'!$A$2:$A$18,0))="retain",INDEX('C_jama.2024.12829'!$E$2:$E$18,MATCH("2024::jama.2024.12829::C017",'C_jama.2024.12829'!$A$2:$A$18,0))="statistical_results"),IF(INDEX('C_jama.2024.12829'!$H$2:$H$18,MATCH("2024::jama.2024.12829::C017",'C_jama.2024.12829'!$A$2:$A$18,0))="","",INDEX('C_jama.2024.12829'!$H$2:$H$18,MATCH("2024::jama.2024.12829::C017",'C_jama.2024.12829'!$A$2:$A$18,0))),"not_applicable"),"NOT FROZEN")</x:f>
        <x:v>not_applicable</x:v>
      </x:c>
      <x:c r="E29" s="3" t="str">
        <x:f>IF(Setup!$B$6="primary",IF(AND(INDEX('C_jama.2024.12829'!$D$2:$D$18,MATCH("2024::jama.2024.12829::C017",'C_jama.2024.12829'!$A$2:$A$18,0))="retain",INDEX('C_jama.2024.12829'!$E$2:$E$18,MATCH("2024::jama.2024.12829::C017",'C_jama.2024.12829'!$A$2:$A$18,0))="statistical_results"),IF(INDEX('C_jama.2024.12829'!$I$2:$I$18,MATCH("2024::jama.2024.12829::C017",'C_jama.2024.12829'!$A$2:$A$18,0))="","",INDEX('C_jama.2024.12829'!$I$2:$I$18,MATCH("2024::jama.2024.12829::C017",'C_jama.2024.12829'!$A$2:$A$18,0))),"not_applicable"),"NOT FROZEN")</x:f>
        <x:v>not_applicable</x:v>
      </x:c>
      <x:c r="F29" s="3" t="str">
        <x:f>IF(Setup!$B$6="primary",IF(AND(INDEX('C_jama.2024.12829'!$D$2:$D$18,MATCH("2024::jama.2024.12829::C017",'C_jama.2024.12829'!$A$2:$A$18,0))="retain",INDEX('C_jama.2024.12829'!$E$2:$E$18,MATCH("2024::jama.2024.12829::C017",'C_jama.2024.12829'!$A$2:$A$18,0))="statistical_results"),IF(INDEX('C_jama.2024.12829'!$J$2:$J$18,MATCH("2024::jama.2024.12829::C017",'C_jama.2024.12829'!$A$2:$A$18,0))="","",INDEX('C_jama.2024.12829'!$J$2:$J$18,MATCH("2024::jama.2024.12829::C017",'C_jama.2024.12829'!$A$2:$A$18,0))),"not_applicable"),"NOT FROZEN")</x:f>
        <x:v>not_applicable</x:v>
      </x:c>
      <x:c r="G29" s="3" t="str">
        <x:f>IF(Setup!$B$6="primary",IF(AND(INDEX('C_jama.2024.12829'!$D$2:$D$18,MATCH("2024::jama.2024.12829::C017",'C_jama.2024.12829'!$A$2:$A$18,0))="retain",OR(INDEX('C_jama.2024.12829'!$E$2:$E$18,MATCH("2024::jama.2024.12829::C017",'C_jama.2024.12829'!$A$2:$A$18,0))="report_internal_inconsistency",INDEX('C_jama.2024.12829'!$E$2:$E$18,MATCH("2024::jama.2024.12829::C017",'C_jama.2024.12829'!$A$2:$A$18,0))="plan_material")),IF(INDEX('C_jama.2024.12829'!$K$2:$K$18,MATCH("2024::jama.2024.12829::C017",'C_jama.2024.12829'!$A$2:$A$18,0))="","",INDEX('C_jama.2024.12829'!$K$2:$K$18,MATCH("2024::jama.2024.12829::C017",'C_jama.2024.12829'!$A$2:$A$18,0))),"not_applicable"),"NOT FROZEN")</x:f>
        <x:v>not_applicable</x:v>
      </x:c>
      <x:c r="H29" s="3" t="str">
        <x:f>IF(Setup!$B$6="primary",IF(AND(INDEX('C_jama.2024.12829'!$D$2:$D$18,MATCH("2024::jama.2024.12829::C017",'C_jama.2024.12829'!$A$2:$A$18,0))="retain",INDEX('C_jama.2024.12829'!$E$2:$E$18,MATCH("2024::jama.2024.12829::C017",'C_jama.2024.12829'!$A$2:$A$18,0))="protocol_report"),IF(INDEX('C_jama.2024.12829'!$L$2:$L$18,MATCH("2024::jama.2024.12829::C017",'C_jama.2024.12829'!$A$2:$A$18,0))="","",INDEX('C_jama.2024.12829'!$L$2:$L$18,MATCH("2024::jama.2024.12829::C017",'C_jama.2024.12829'!$A$2:$A$18,0))),"not_applicable"),"NOT FROZEN")</x:f>
        <x:v>not_applicable</x:v>
      </x:c>
      <x:c r="I29" s="3" t="str">
        <x:f>IF(Setup!$B$6="primary",IF(INDEX('C_jama.2024.12829'!$R$2:$R$18,MATCH("2024::jama.2024.12829::C017",'C_jama.2024.12829'!$A$2:$A$18,0))="","",INDEX('C_jama.2024.12829'!$R$2:$R$18,MATCH("2024::jama.2024.12829::C017",'C_jama.2024.12829'!$A$2:$A$18,0))),"NOT FROZEN")</x:f>
      </x:c>
      <x:c r="J29" s="3" t="str">
        <x:f>IF(Setup!$B$6="primary",INDEX('C_jama.2024.12829'!$F$2:$F$18,MATCH("2024::jama.2024.12829::C017",'C_jama.2024.12829'!$A$2:$A$18,0)),"NOT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IF(Setup!$B$6="primary","2024::jama.2024.19585::C001","NOT FROZEN")</x:f>
        <x:v>2024::jama.2024.19585::C001</x:v>
      </x:c>
      <x:c r="B30" s="6" t="str">
        <x:f>IF(Setup!$B$6="primary",IF(INDEX('C_jama.2024.19585'!$D$2:$D$4,MATCH("2024::jama.2024.19585::C001",'C_jama.2024.19585'!$A$2:$A$4,0))="","",INDEX('C_jama.2024.19585'!$D$2:$D$4,MATCH("2024::jama.2024.19585::C001",'C_jama.2024.19585'!$A$2:$A$4,0))),"NOT FROZEN")</x:f>
      </x:c>
      <x:c r="C30" s="6" t="str">
        <x:f>IF(Setup!$B$6="primary",IF(INDEX('C_jama.2024.19585'!$E$2:$E$4,MATCH("2024::jama.2024.19585::C001",'C_jama.2024.19585'!$A$2:$A$4,0))="","",INDEX('C_jama.2024.19585'!$E$2:$E$4,MATCH("2024::jama.2024.19585::C001",'C_jama.2024.19585'!$A$2:$A$4,0))),"NOT FROZEN")</x:f>
        <x:v>statistical_results</x:v>
      </x:c>
      <x:c r="D30" s="6" t="str">
        <x:f>IF(Setup!$B$6="primary",IF(AND(INDEX('C_jama.2024.19585'!$D$2:$D$4,MATCH("2024::jama.2024.19585::C001",'C_jama.2024.19585'!$A$2:$A$4,0))="retain",INDEX('C_jama.2024.19585'!$E$2:$E$4,MATCH("2024::jama.2024.19585::C001",'C_jama.2024.19585'!$A$2:$A$4,0))="statistical_results"),IF(INDEX('C_jama.2024.19585'!$H$2:$H$4,MATCH("2024::jama.2024.19585::C001",'C_jama.2024.19585'!$A$2:$A$4,0))="","",INDEX('C_jama.2024.19585'!$H$2:$H$4,MATCH("2024::jama.2024.19585::C001",'C_jama.2024.19585'!$A$2:$A$4,0))),"not_applicable"),"NOT FROZEN")</x:f>
        <x:v>not_applicable</x:v>
      </x:c>
      <x:c r="E30" s="6" t="str">
        <x:f>IF(Setup!$B$6="primary",IF(AND(INDEX('C_jama.2024.19585'!$D$2:$D$4,MATCH("2024::jama.2024.19585::C001",'C_jama.2024.19585'!$A$2:$A$4,0))="retain",INDEX('C_jama.2024.19585'!$E$2:$E$4,MATCH("2024::jama.2024.19585::C001",'C_jama.2024.19585'!$A$2:$A$4,0))="statistical_results"),IF(INDEX('C_jama.2024.19585'!$I$2:$I$4,MATCH("2024::jama.2024.19585::C001",'C_jama.2024.19585'!$A$2:$A$4,0))="","",INDEX('C_jama.2024.19585'!$I$2:$I$4,MATCH("2024::jama.2024.19585::C001",'C_jama.2024.19585'!$A$2:$A$4,0))),"not_applicable"),"NOT FROZEN")</x:f>
        <x:v>not_applicable</x:v>
      </x:c>
      <x:c r="F30" s="6" t="str">
        <x:f>IF(Setup!$B$6="primary",IF(AND(INDEX('C_jama.2024.19585'!$D$2:$D$4,MATCH("2024::jama.2024.19585::C001",'C_jama.2024.19585'!$A$2:$A$4,0))="retain",INDEX('C_jama.2024.19585'!$E$2:$E$4,MATCH("2024::jama.2024.19585::C001",'C_jama.2024.19585'!$A$2:$A$4,0))="statistical_results"),IF(INDEX('C_jama.2024.19585'!$J$2:$J$4,MATCH("2024::jama.2024.19585::C001",'C_jama.2024.19585'!$A$2:$A$4,0))="","",INDEX('C_jama.2024.19585'!$J$2:$J$4,MATCH("2024::jama.2024.19585::C001",'C_jama.2024.19585'!$A$2:$A$4,0))),"not_applicable"),"NOT FROZEN")</x:f>
        <x:v>not_applicable</x:v>
      </x:c>
      <x:c r="G30" s="6" t="str">
        <x:f>IF(Setup!$B$6="primary",IF(AND(INDEX('C_jama.2024.19585'!$D$2:$D$4,MATCH("2024::jama.2024.19585::C001",'C_jama.2024.19585'!$A$2:$A$4,0))="retain",OR(INDEX('C_jama.2024.19585'!$E$2:$E$4,MATCH("2024::jama.2024.19585::C001",'C_jama.2024.19585'!$A$2:$A$4,0))="report_internal_inconsistency",INDEX('C_jama.2024.19585'!$E$2:$E$4,MATCH("2024::jama.2024.19585::C001",'C_jama.2024.19585'!$A$2:$A$4,0))="plan_material")),IF(INDEX('C_jama.2024.19585'!$K$2:$K$4,MATCH("2024::jama.2024.19585::C001",'C_jama.2024.19585'!$A$2:$A$4,0))="","",INDEX('C_jama.2024.19585'!$K$2:$K$4,MATCH("2024::jama.2024.19585::C001",'C_jama.2024.19585'!$A$2:$A$4,0))),"not_applicable"),"NOT FROZEN")</x:f>
        <x:v>not_applicable</x:v>
      </x:c>
      <x:c r="H30" s="6" t="str">
        <x:f>IF(Setup!$B$6="primary",IF(AND(INDEX('C_jama.2024.19585'!$D$2:$D$4,MATCH("2024::jama.2024.19585::C001",'C_jama.2024.19585'!$A$2:$A$4,0))="retain",INDEX('C_jama.2024.19585'!$E$2:$E$4,MATCH("2024::jama.2024.19585::C001",'C_jama.2024.19585'!$A$2:$A$4,0))="protocol_report"),IF(INDEX('C_jama.2024.19585'!$L$2:$L$4,MATCH("2024::jama.2024.19585::C001",'C_jama.2024.19585'!$A$2:$A$4,0))="","",INDEX('C_jama.2024.19585'!$L$2:$L$4,MATCH("2024::jama.2024.19585::C001",'C_jama.2024.19585'!$A$2:$A$4,0))),"not_applicable"),"NOT FROZEN")</x:f>
        <x:v>not_applicable</x:v>
      </x:c>
      <x:c r="I30" s="6" t="str">
        <x:f>IF(Setup!$B$6="primary",IF(INDEX('C_jama.2024.19585'!$R$2:$R$4,MATCH("2024::jama.2024.19585::C001",'C_jama.2024.19585'!$A$2:$A$4,0))="","",INDEX('C_jama.2024.19585'!$R$2:$R$4,MATCH("2024::jama.2024.19585::C001",'C_jama.2024.19585'!$A$2:$A$4,0))),"NOT FROZEN")</x:f>
      </x:c>
      <x:c r="J30" s="6" t="str">
        <x:f>IF(Setup!$B$6="primary",INDEX('C_jama.2024.19585'!$F$2:$F$4,MATCH("2024::jama.2024.19585::C001",'C_jama.2024.19585'!$A$2:$A$4,0)),"NOT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IF(Setup!$B$6="primary","2024::jama.2024.19585::C002","NOT FROZEN")</x:f>
        <x:v>2024::jama.2024.19585::C002</x:v>
      </x:c>
      <x:c r="B31" s="3" t="str">
        <x:f>IF(Setup!$B$6="primary",IF(INDEX('C_jama.2024.19585'!$D$2:$D$4,MATCH("2024::jama.2024.19585::C002",'C_jama.2024.19585'!$A$2:$A$4,0))="","",INDEX('C_jama.2024.19585'!$D$2:$D$4,MATCH("2024::jama.2024.19585::C002",'C_jama.2024.19585'!$A$2:$A$4,0))),"NOT FROZEN")</x:f>
      </x:c>
      <x:c r="C31" s="3" t="str">
        <x:f>IF(Setup!$B$6="primary",IF(INDEX('C_jama.2024.19585'!$E$2:$E$4,MATCH("2024::jama.2024.19585::C002",'C_jama.2024.19585'!$A$2:$A$4,0))="","",INDEX('C_jama.2024.19585'!$E$2:$E$4,MATCH("2024::jama.2024.19585::C002",'C_jama.2024.19585'!$A$2:$A$4,0))),"NOT FROZEN")</x:f>
        <x:v>report_internal_inconsistency</x:v>
      </x:c>
      <x:c r="D31" s="3" t="str">
        <x:f>IF(Setup!$B$6="primary",IF(AND(INDEX('C_jama.2024.19585'!$D$2:$D$4,MATCH("2024::jama.2024.19585::C002",'C_jama.2024.19585'!$A$2:$A$4,0))="retain",INDEX('C_jama.2024.19585'!$E$2:$E$4,MATCH("2024::jama.2024.19585::C002",'C_jama.2024.19585'!$A$2:$A$4,0))="statistical_results"),IF(INDEX('C_jama.2024.19585'!$H$2:$H$4,MATCH("2024::jama.2024.19585::C002",'C_jama.2024.19585'!$A$2:$A$4,0))="","",INDEX('C_jama.2024.19585'!$H$2:$H$4,MATCH("2024::jama.2024.19585::C002",'C_jama.2024.19585'!$A$2:$A$4,0))),"not_applicable"),"NOT FROZEN")</x:f>
        <x:v>not_applicable</x:v>
      </x:c>
      <x:c r="E31" s="3" t="str">
        <x:f>IF(Setup!$B$6="primary",IF(AND(INDEX('C_jama.2024.19585'!$D$2:$D$4,MATCH("2024::jama.2024.19585::C002",'C_jama.2024.19585'!$A$2:$A$4,0))="retain",INDEX('C_jama.2024.19585'!$E$2:$E$4,MATCH("2024::jama.2024.19585::C002",'C_jama.2024.19585'!$A$2:$A$4,0))="statistical_results"),IF(INDEX('C_jama.2024.19585'!$I$2:$I$4,MATCH("2024::jama.2024.19585::C002",'C_jama.2024.19585'!$A$2:$A$4,0))="","",INDEX('C_jama.2024.19585'!$I$2:$I$4,MATCH("2024::jama.2024.19585::C002",'C_jama.2024.19585'!$A$2:$A$4,0))),"not_applicable"),"NOT FROZEN")</x:f>
        <x:v>not_applicable</x:v>
      </x:c>
      <x:c r="F31" s="3" t="str">
        <x:f>IF(Setup!$B$6="primary",IF(AND(INDEX('C_jama.2024.19585'!$D$2:$D$4,MATCH("2024::jama.2024.19585::C002",'C_jama.2024.19585'!$A$2:$A$4,0))="retain",INDEX('C_jama.2024.19585'!$E$2:$E$4,MATCH("2024::jama.2024.19585::C002",'C_jama.2024.19585'!$A$2:$A$4,0))="statistical_results"),IF(INDEX('C_jama.2024.19585'!$J$2:$J$4,MATCH("2024::jama.2024.19585::C002",'C_jama.2024.19585'!$A$2:$A$4,0))="","",INDEX('C_jama.2024.19585'!$J$2:$J$4,MATCH("2024::jama.2024.19585::C002",'C_jama.2024.19585'!$A$2:$A$4,0))),"not_applicable"),"NOT FROZEN")</x:f>
        <x:v>not_applicable</x:v>
      </x:c>
      <x:c r="G31" s="3" t="str">
        <x:f>IF(Setup!$B$6="primary",IF(AND(INDEX('C_jama.2024.19585'!$D$2:$D$4,MATCH("2024::jama.2024.19585::C002",'C_jama.2024.19585'!$A$2:$A$4,0))="retain",OR(INDEX('C_jama.2024.19585'!$E$2:$E$4,MATCH("2024::jama.2024.19585::C002",'C_jama.2024.19585'!$A$2:$A$4,0))="report_internal_inconsistency",INDEX('C_jama.2024.19585'!$E$2:$E$4,MATCH("2024::jama.2024.19585::C002",'C_jama.2024.19585'!$A$2:$A$4,0))="plan_material")),IF(INDEX('C_jama.2024.19585'!$K$2:$K$4,MATCH("2024::jama.2024.19585::C002",'C_jama.2024.19585'!$A$2:$A$4,0))="","",INDEX('C_jama.2024.19585'!$K$2:$K$4,MATCH("2024::jama.2024.19585::C002",'C_jama.2024.19585'!$A$2:$A$4,0))),"not_applicable"),"NOT FROZEN")</x:f>
        <x:v>not_applicable</x:v>
      </x:c>
      <x:c r="H31" s="3" t="str">
        <x:f>IF(Setup!$B$6="primary",IF(AND(INDEX('C_jama.2024.19585'!$D$2:$D$4,MATCH("2024::jama.2024.19585::C002",'C_jama.2024.19585'!$A$2:$A$4,0))="retain",INDEX('C_jama.2024.19585'!$E$2:$E$4,MATCH("2024::jama.2024.19585::C002",'C_jama.2024.19585'!$A$2:$A$4,0))="protocol_report"),IF(INDEX('C_jama.2024.19585'!$L$2:$L$4,MATCH("2024::jama.2024.19585::C002",'C_jama.2024.19585'!$A$2:$A$4,0))="","",INDEX('C_jama.2024.19585'!$L$2:$L$4,MATCH("2024::jama.2024.19585::C002",'C_jama.2024.19585'!$A$2:$A$4,0))),"not_applicable"),"NOT FROZEN")</x:f>
        <x:v>not_applicable</x:v>
      </x:c>
      <x:c r="I31" s="3" t="str">
        <x:f>IF(Setup!$B$6="primary",IF(INDEX('C_jama.2024.19585'!$R$2:$R$4,MATCH("2024::jama.2024.19585::C002",'C_jama.2024.19585'!$A$2:$A$4,0))="","",INDEX('C_jama.2024.19585'!$R$2:$R$4,MATCH("2024::jama.2024.19585::C002",'C_jama.2024.19585'!$A$2:$A$4,0))),"NOT FROZEN")</x:f>
      </x:c>
      <x:c r="J31" s="3" t="str">
        <x:f>IF(Setup!$B$6="primary",INDEX('C_jama.2024.19585'!$F$2:$F$4,MATCH("2024::jama.2024.19585::C002",'C_jama.2024.19585'!$A$2:$A$4,0)),"NOT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report_internal_inconsistency
</x:v>
      </x:c>
    </x:row>
    <x:row r="32" ht="70" customHeight="1">
      <x:c r="A32" s="6" t="str">
        <x:f>IF(Setup!$B$6="primary","2024::jama.2024.19585::C003","NOT FROZEN")</x:f>
        <x:v>2024::jama.2024.19585::C003</x:v>
      </x:c>
      <x:c r="B32" s="6" t="str">
        <x:f>IF(Setup!$B$6="primary",IF(INDEX('C_jama.2024.19585'!$D$2:$D$4,MATCH("2024::jama.2024.19585::C003",'C_jama.2024.19585'!$A$2:$A$4,0))="","",INDEX('C_jama.2024.19585'!$D$2:$D$4,MATCH("2024::jama.2024.19585::C003",'C_jama.2024.19585'!$A$2:$A$4,0))),"NOT FROZEN")</x:f>
      </x:c>
      <x:c r="C32" s="6" t="str">
        <x:f>IF(Setup!$B$6="primary",IF(INDEX('C_jama.2024.19585'!$E$2:$E$4,MATCH("2024::jama.2024.19585::C003",'C_jama.2024.19585'!$A$2:$A$4,0))="","",INDEX('C_jama.2024.19585'!$E$2:$E$4,MATCH("2024::jama.2024.19585::C003",'C_jama.2024.19585'!$A$2:$A$4,0))),"NOT FROZEN")</x:f>
        <x:v>report_internal_inconsistency</x:v>
      </x:c>
      <x:c r="D32" s="6" t="str">
        <x:f>IF(Setup!$B$6="primary",IF(AND(INDEX('C_jama.2024.19585'!$D$2:$D$4,MATCH("2024::jama.2024.19585::C003",'C_jama.2024.19585'!$A$2:$A$4,0))="retain",INDEX('C_jama.2024.19585'!$E$2:$E$4,MATCH("2024::jama.2024.19585::C003",'C_jama.2024.19585'!$A$2:$A$4,0))="statistical_results"),IF(INDEX('C_jama.2024.19585'!$H$2:$H$4,MATCH("2024::jama.2024.19585::C003",'C_jama.2024.19585'!$A$2:$A$4,0))="","",INDEX('C_jama.2024.19585'!$H$2:$H$4,MATCH("2024::jama.2024.19585::C003",'C_jama.2024.19585'!$A$2:$A$4,0))),"not_applicable"),"NOT FROZEN")</x:f>
        <x:v>not_applicable</x:v>
      </x:c>
      <x:c r="E32" s="6" t="str">
        <x:f>IF(Setup!$B$6="primary",IF(AND(INDEX('C_jama.2024.19585'!$D$2:$D$4,MATCH("2024::jama.2024.19585::C003",'C_jama.2024.19585'!$A$2:$A$4,0))="retain",INDEX('C_jama.2024.19585'!$E$2:$E$4,MATCH("2024::jama.2024.19585::C003",'C_jama.2024.19585'!$A$2:$A$4,0))="statistical_results"),IF(INDEX('C_jama.2024.19585'!$I$2:$I$4,MATCH("2024::jama.2024.19585::C003",'C_jama.2024.19585'!$A$2:$A$4,0))="","",INDEX('C_jama.2024.19585'!$I$2:$I$4,MATCH("2024::jama.2024.19585::C003",'C_jama.2024.19585'!$A$2:$A$4,0))),"not_applicable"),"NOT FROZEN")</x:f>
        <x:v>not_applicable</x:v>
      </x:c>
      <x:c r="F32" s="6" t="str">
        <x:f>IF(Setup!$B$6="primary",IF(AND(INDEX('C_jama.2024.19585'!$D$2:$D$4,MATCH("2024::jama.2024.19585::C003",'C_jama.2024.19585'!$A$2:$A$4,0))="retain",INDEX('C_jama.2024.19585'!$E$2:$E$4,MATCH("2024::jama.2024.19585::C003",'C_jama.2024.19585'!$A$2:$A$4,0))="statistical_results"),IF(INDEX('C_jama.2024.19585'!$J$2:$J$4,MATCH("2024::jama.2024.19585::C003",'C_jama.2024.19585'!$A$2:$A$4,0))="","",INDEX('C_jama.2024.19585'!$J$2:$J$4,MATCH("2024::jama.2024.19585::C003",'C_jama.2024.19585'!$A$2:$A$4,0))),"not_applicable"),"NOT FROZEN")</x:f>
        <x:v>not_applicable</x:v>
      </x:c>
      <x:c r="G32" s="6" t="str">
        <x:f>IF(Setup!$B$6="primary",IF(AND(INDEX('C_jama.2024.19585'!$D$2:$D$4,MATCH("2024::jama.2024.19585::C003",'C_jama.2024.19585'!$A$2:$A$4,0))="retain",OR(INDEX('C_jama.2024.19585'!$E$2:$E$4,MATCH("2024::jama.2024.19585::C003",'C_jama.2024.19585'!$A$2:$A$4,0))="report_internal_inconsistency",INDEX('C_jama.2024.19585'!$E$2:$E$4,MATCH("2024::jama.2024.19585::C003",'C_jama.2024.19585'!$A$2:$A$4,0))="plan_material")),IF(INDEX('C_jama.2024.19585'!$K$2:$K$4,MATCH("2024::jama.2024.19585::C003",'C_jama.2024.19585'!$A$2:$A$4,0))="","",INDEX('C_jama.2024.19585'!$K$2:$K$4,MATCH("2024::jama.2024.19585::C003",'C_jama.2024.19585'!$A$2:$A$4,0))),"not_applicable"),"NOT FROZEN")</x:f>
        <x:v>not_applicable</x:v>
      </x:c>
      <x:c r="H32" s="6" t="str">
        <x:f>IF(Setup!$B$6="primary",IF(AND(INDEX('C_jama.2024.19585'!$D$2:$D$4,MATCH("2024::jama.2024.19585::C003",'C_jama.2024.19585'!$A$2:$A$4,0))="retain",INDEX('C_jama.2024.19585'!$E$2:$E$4,MATCH("2024::jama.2024.19585::C003",'C_jama.2024.19585'!$A$2:$A$4,0))="protocol_report"),IF(INDEX('C_jama.2024.19585'!$L$2:$L$4,MATCH("2024::jama.2024.19585::C003",'C_jama.2024.19585'!$A$2:$A$4,0))="","",INDEX('C_jama.2024.19585'!$L$2:$L$4,MATCH("2024::jama.2024.19585::C003",'C_jama.2024.19585'!$A$2:$A$4,0))),"not_applicable"),"NOT FROZEN")</x:f>
        <x:v>not_applicable</x:v>
      </x:c>
      <x:c r="I32" s="6" t="str">
        <x:f>IF(Setup!$B$6="primary",IF(INDEX('C_jama.2024.19585'!$R$2:$R$4,MATCH("2024::jama.2024.19585::C003",'C_jama.2024.19585'!$A$2:$A$4,0))="","",INDEX('C_jama.2024.19585'!$R$2:$R$4,MATCH("2024::jama.2024.19585::C003",'C_jama.2024.19585'!$A$2:$A$4,0))),"NOT FROZEN")</x:f>
      </x:c>
      <x:c r="J32" s="6" t="str">
        <x:f>IF(Setup!$B$6="primary",INDEX('C_jama.2024.19585'!$F$2:$F$4,MATCH("2024::jama.2024.19585::C003",'C_jama.2024.19585'!$A$2:$A$4,0)),"NOT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report_internal_inconsistency
</x:v>
      </x:c>
    </x:row>
    <x:row r="33" ht="70" customHeight="1">
      <x:c r="A33" s="3" t="str">
        <x:f>IF(Setup!$B$6="primary","2024::jama.2024.2302::C001","NOT FROZEN")</x:f>
        <x:v>2024::jama.2024.2302::C001</x:v>
      </x:c>
      <x:c r="B33" s="3" t="str">
        <x:f>IF(Setup!$B$6="primary",IF(INDEX('C_jama.2024.2302'!$D$2:$D$6,MATCH("2024::jama.2024.2302::C001",'C_jama.2024.2302'!$A$2:$A$6,0))="","",INDEX('C_jama.2024.2302'!$D$2:$D$6,MATCH("2024::jama.2024.2302::C001",'C_jama.2024.2302'!$A$2:$A$6,0))),"NOT FROZEN")</x:f>
      </x:c>
      <x:c r="C33" s="3" t="str">
        <x:f>IF(Setup!$B$6="primary",IF(INDEX('C_jama.2024.2302'!$E$2:$E$6,MATCH("2024::jama.2024.2302::C001",'C_jama.2024.2302'!$A$2:$A$6,0))="","",INDEX('C_jama.2024.2302'!$E$2:$E$6,MATCH("2024::jama.2024.2302::C001",'C_jama.2024.2302'!$A$2:$A$6,0))),"NOT FROZEN")</x:f>
        <x:v>protocol_report</x:v>
      </x:c>
      <x:c r="D33" s="3" t="str">
        <x:f>IF(Setup!$B$6="primary",IF(AND(INDEX('C_jama.2024.2302'!$D$2:$D$6,MATCH("2024::jama.2024.2302::C001",'C_jama.2024.2302'!$A$2:$A$6,0))="retain",INDEX('C_jama.2024.2302'!$E$2:$E$6,MATCH("2024::jama.2024.2302::C001",'C_jama.2024.2302'!$A$2:$A$6,0))="statistical_results"),IF(INDEX('C_jama.2024.2302'!$H$2:$H$6,MATCH("2024::jama.2024.2302::C001",'C_jama.2024.2302'!$A$2:$A$6,0))="","",INDEX('C_jama.2024.2302'!$H$2:$H$6,MATCH("2024::jama.2024.2302::C001",'C_jama.2024.2302'!$A$2:$A$6,0))),"not_applicable"),"NOT FROZEN")</x:f>
        <x:v>not_applicable</x:v>
      </x:c>
      <x:c r="E33" s="3" t="str">
        <x:f>IF(Setup!$B$6="primary",IF(AND(INDEX('C_jama.2024.2302'!$D$2:$D$6,MATCH("2024::jama.2024.2302::C001",'C_jama.2024.2302'!$A$2:$A$6,0))="retain",INDEX('C_jama.2024.2302'!$E$2:$E$6,MATCH("2024::jama.2024.2302::C001",'C_jama.2024.2302'!$A$2:$A$6,0))="statistical_results"),IF(INDEX('C_jama.2024.2302'!$I$2:$I$6,MATCH("2024::jama.2024.2302::C001",'C_jama.2024.2302'!$A$2:$A$6,0))="","",INDEX('C_jama.2024.2302'!$I$2:$I$6,MATCH("2024::jama.2024.2302::C001",'C_jama.2024.2302'!$A$2:$A$6,0))),"not_applicable"),"NOT FROZEN")</x:f>
        <x:v>not_applicable</x:v>
      </x:c>
      <x:c r="F33" s="3" t="str">
        <x:f>IF(Setup!$B$6="primary",IF(AND(INDEX('C_jama.2024.2302'!$D$2:$D$6,MATCH("2024::jama.2024.2302::C001",'C_jama.2024.2302'!$A$2:$A$6,0))="retain",INDEX('C_jama.2024.2302'!$E$2:$E$6,MATCH("2024::jama.2024.2302::C001",'C_jama.2024.2302'!$A$2:$A$6,0))="statistical_results"),IF(INDEX('C_jama.2024.2302'!$J$2:$J$6,MATCH("2024::jama.2024.2302::C001",'C_jama.2024.2302'!$A$2:$A$6,0))="","",INDEX('C_jama.2024.2302'!$J$2:$J$6,MATCH("2024::jama.2024.2302::C001",'C_jama.2024.2302'!$A$2:$A$6,0))),"not_applicable"),"NOT FROZEN")</x:f>
        <x:v>not_applicable</x:v>
      </x:c>
      <x:c r="G33" s="3" t="str">
        <x:f>IF(Setup!$B$6="primary",IF(AND(INDEX('C_jama.2024.2302'!$D$2:$D$6,MATCH("2024::jama.2024.2302::C001",'C_jama.2024.2302'!$A$2:$A$6,0))="retain",OR(INDEX('C_jama.2024.2302'!$E$2:$E$6,MATCH("2024::jama.2024.2302::C001",'C_jama.2024.2302'!$A$2:$A$6,0))="report_internal_inconsistency",INDEX('C_jama.2024.2302'!$E$2:$E$6,MATCH("2024::jama.2024.2302::C001",'C_jama.2024.2302'!$A$2:$A$6,0))="plan_material")),IF(INDEX('C_jama.2024.2302'!$K$2:$K$6,MATCH("2024::jama.2024.2302::C001",'C_jama.2024.2302'!$A$2:$A$6,0))="","",INDEX('C_jama.2024.2302'!$K$2:$K$6,MATCH("2024::jama.2024.2302::C001",'C_jama.2024.2302'!$A$2:$A$6,0))),"not_applicable"),"NOT FROZEN")</x:f>
        <x:v>not_applicable</x:v>
      </x:c>
      <x:c r="H33" s="3" t="str">
        <x:f>IF(Setup!$B$6="primary",IF(AND(INDEX('C_jama.2024.2302'!$D$2:$D$6,MATCH("2024::jama.2024.2302::C001",'C_jama.2024.2302'!$A$2:$A$6,0))="retain",INDEX('C_jama.2024.2302'!$E$2:$E$6,MATCH("2024::jama.2024.2302::C001",'C_jama.2024.2302'!$A$2:$A$6,0))="protocol_report"),IF(INDEX('C_jama.2024.2302'!$L$2:$L$6,MATCH("2024::jama.2024.2302::C001",'C_jama.2024.2302'!$A$2:$A$6,0))="","",INDEX('C_jama.2024.2302'!$L$2:$L$6,MATCH("2024::jama.2024.2302::C001",'C_jama.2024.2302'!$A$2:$A$6,0))),"not_applicable"),"NOT FROZEN")</x:f>
        <x:v>not_applicable</x:v>
      </x:c>
      <x:c r="I33" s="3" t="str">
        <x:f>IF(Setup!$B$6="primary",IF(INDEX('C_jama.2024.2302'!$R$2:$R$6,MATCH("2024::jama.2024.2302::C001",'C_jama.2024.2302'!$A$2:$A$6,0))="","",INDEX('C_jama.2024.2302'!$R$2:$R$6,MATCH("2024::jama.2024.2302::C001",'C_jama.2024.2302'!$A$2:$A$6,0))),"NOT FROZEN")</x:f>
      </x:c>
      <x:c r="J33" s="3" t="str">
        <x:f>IF(Setup!$B$6="primary",INDEX('C_jama.2024.2302'!$F$2:$F$6,MATCH("2024::jama.2024.2302::C001",'C_jama.2024.2302'!$A$2:$A$6,0)),"NOT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protocol_report
</x:v>
      </x:c>
    </x:row>
    <x:row r="34" ht="70" customHeight="1">
      <x:c r="A34" s="6" t="str">
        <x:f>IF(Setup!$B$6="primary","2024::jama.2024.2302::C002","NOT FROZEN")</x:f>
        <x:v>2024::jama.2024.2302::C002</x:v>
      </x:c>
      <x:c r="B34" s="6" t="str">
        <x:f>IF(Setup!$B$6="primary",IF(INDEX('C_jama.2024.2302'!$D$2:$D$6,MATCH("2024::jama.2024.2302::C002",'C_jama.2024.2302'!$A$2:$A$6,0))="","",INDEX('C_jama.2024.2302'!$D$2:$D$6,MATCH("2024::jama.2024.2302::C002",'C_jama.2024.2302'!$A$2:$A$6,0))),"NOT FROZEN")</x:f>
      </x:c>
      <x:c r="C34" s="6" t="str">
        <x:f>IF(Setup!$B$6="primary",IF(INDEX('C_jama.2024.2302'!$E$2:$E$6,MATCH("2024::jama.2024.2302::C002",'C_jama.2024.2302'!$A$2:$A$6,0))="","",INDEX('C_jama.2024.2302'!$E$2:$E$6,MATCH("2024::jama.2024.2302::C002",'C_jama.2024.2302'!$A$2:$A$6,0))),"NOT FROZEN")</x:f>
        <x:v>plan_material</x:v>
      </x:c>
      <x:c r="D34" s="6" t="str">
        <x:f>IF(Setup!$B$6="primary",IF(AND(INDEX('C_jama.2024.2302'!$D$2:$D$6,MATCH("2024::jama.2024.2302::C002",'C_jama.2024.2302'!$A$2:$A$6,0))="retain",INDEX('C_jama.2024.2302'!$E$2:$E$6,MATCH("2024::jama.2024.2302::C002",'C_jama.2024.2302'!$A$2:$A$6,0))="statistical_results"),IF(INDEX('C_jama.2024.2302'!$H$2:$H$6,MATCH("2024::jama.2024.2302::C002",'C_jama.2024.2302'!$A$2:$A$6,0))="","",INDEX('C_jama.2024.2302'!$H$2:$H$6,MATCH("2024::jama.2024.2302::C002",'C_jama.2024.2302'!$A$2:$A$6,0))),"not_applicable"),"NOT FROZEN")</x:f>
        <x:v>not_applicable</x:v>
      </x:c>
      <x:c r="E34" s="6" t="str">
        <x:f>IF(Setup!$B$6="primary",IF(AND(INDEX('C_jama.2024.2302'!$D$2:$D$6,MATCH("2024::jama.2024.2302::C002",'C_jama.2024.2302'!$A$2:$A$6,0))="retain",INDEX('C_jama.2024.2302'!$E$2:$E$6,MATCH("2024::jama.2024.2302::C002",'C_jama.2024.2302'!$A$2:$A$6,0))="statistical_results"),IF(INDEX('C_jama.2024.2302'!$I$2:$I$6,MATCH("2024::jama.2024.2302::C002",'C_jama.2024.2302'!$A$2:$A$6,0))="","",INDEX('C_jama.2024.2302'!$I$2:$I$6,MATCH("2024::jama.2024.2302::C002",'C_jama.2024.2302'!$A$2:$A$6,0))),"not_applicable"),"NOT FROZEN")</x:f>
        <x:v>not_applicable</x:v>
      </x:c>
      <x:c r="F34" s="6" t="str">
        <x:f>IF(Setup!$B$6="primary",IF(AND(INDEX('C_jama.2024.2302'!$D$2:$D$6,MATCH("2024::jama.2024.2302::C002",'C_jama.2024.2302'!$A$2:$A$6,0))="retain",INDEX('C_jama.2024.2302'!$E$2:$E$6,MATCH("2024::jama.2024.2302::C002",'C_jama.2024.2302'!$A$2:$A$6,0))="statistical_results"),IF(INDEX('C_jama.2024.2302'!$J$2:$J$6,MATCH("2024::jama.2024.2302::C002",'C_jama.2024.2302'!$A$2:$A$6,0))="","",INDEX('C_jama.2024.2302'!$J$2:$J$6,MATCH("2024::jama.2024.2302::C002",'C_jama.2024.2302'!$A$2:$A$6,0))),"not_applicable"),"NOT FROZEN")</x:f>
        <x:v>not_applicable</x:v>
      </x:c>
      <x:c r="G34" s="6" t="str">
        <x:f>IF(Setup!$B$6="primary",IF(AND(INDEX('C_jama.2024.2302'!$D$2:$D$6,MATCH("2024::jama.2024.2302::C002",'C_jama.2024.2302'!$A$2:$A$6,0))="retain",OR(INDEX('C_jama.2024.2302'!$E$2:$E$6,MATCH("2024::jama.2024.2302::C002",'C_jama.2024.2302'!$A$2:$A$6,0))="report_internal_inconsistency",INDEX('C_jama.2024.2302'!$E$2:$E$6,MATCH("2024::jama.2024.2302::C002",'C_jama.2024.2302'!$A$2:$A$6,0))="plan_material")),IF(INDEX('C_jama.2024.2302'!$K$2:$K$6,MATCH("2024::jama.2024.2302::C002",'C_jama.2024.2302'!$A$2:$A$6,0))="","",INDEX('C_jama.2024.2302'!$K$2:$K$6,MATCH("2024::jama.2024.2302::C002",'C_jama.2024.2302'!$A$2:$A$6,0))),"not_applicable"),"NOT FROZEN")</x:f>
        <x:v>not_applicable</x:v>
      </x:c>
      <x:c r="H34" s="6" t="str">
        <x:f>IF(Setup!$B$6="primary",IF(AND(INDEX('C_jama.2024.2302'!$D$2:$D$6,MATCH("2024::jama.2024.2302::C002",'C_jama.2024.2302'!$A$2:$A$6,0))="retain",INDEX('C_jama.2024.2302'!$E$2:$E$6,MATCH("2024::jama.2024.2302::C002",'C_jama.2024.2302'!$A$2:$A$6,0))="protocol_report"),IF(INDEX('C_jama.2024.2302'!$L$2:$L$6,MATCH("2024::jama.2024.2302::C002",'C_jama.2024.2302'!$A$2:$A$6,0))="","",INDEX('C_jama.2024.2302'!$L$2:$L$6,MATCH("2024::jama.2024.2302::C002",'C_jama.2024.2302'!$A$2:$A$6,0))),"not_applicable"),"NOT FROZEN")</x:f>
        <x:v>not_applicable</x:v>
      </x:c>
      <x:c r="I34" s="6" t="str">
        <x:f>IF(Setup!$B$6="primary",IF(INDEX('C_jama.2024.2302'!$R$2:$R$6,MATCH("2024::jama.2024.2302::C002",'C_jama.2024.2302'!$A$2:$A$6,0))="","",INDEX('C_jama.2024.2302'!$R$2:$R$6,MATCH("2024::jama.2024.2302::C002",'C_jama.2024.2302'!$A$2:$A$6,0))),"NOT FROZEN")</x:f>
      </x:c>
      <x:c r="J34" s="6" t="str">
        <x:f>IF(Setup!$B$6="primary",INDEX('C_jama.2024.2302'!$F$2:$F$6,MATCH("2024::jama.2024.2302::C002",'C_jama.2024.2302'!$A$2:$A$6,0)),"NOT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plan_material
</x:v>
      </x:c>
    </x:row>
    <x:row r="35" ht="70" customHeight="1">
      <x:c r="A35" s="3" t="str">
        <x:f>IF(Setup!$B$6="primary","2024::jama.2024.2302::C003","NOT FROZEN")</x:f>
        <x:v>2024::jama.2024.2302::C003</x:v>
      </x:c>
      <x:c r="B35" s="3" t="str">
        <x:f>IF(Setup!$B$6="primary",IF(INDEX('C_jama.2024.2302'!$D$2:$D$6,MATCH("2024::jama.2024.2302::C003",'C_jama.2024.2302'!$A$2:$A$6,0))="","",INDEX('C_jama.2024.2302'!$D$2:$D$6,MATCH("2024::jama.2024.2302::C003",'C_jama.2024.2302'!$A$2:$A$6,0))),"NOT FROZEN")</x:f>
      </x:c>
      <x:c r="C35" s="3" t="str">
        <x:f>IF(Setup!$B$6="primary",IF(INDEX('C_jama.2024.2302'!$E$2:$E$6,MATCH("2024::jama.2024.2302::C003",'C_jama.2024.2302'!$A$2:$A$6,0))="","",INDEX('C_jama.2024.2302'!$E$2:$E$6,MATCH("2024::jama.2024.2302::C003",'C_jama.2024.2302'!$A$2:$A$6,0))),"NOT FROZEN")</x:f>
        <x:v>protocol_report</x:v>
      </x:c>
      <x:c r="D35" s="3" t="str">
        <x:f>IF(Setup!$B$6="primary",IF(AND(INDEX('C_jama.2024.2302'!$D$2:$D$6,MATCH("2024::jama.2024.2302::C003",'C_jama.2024.2302'!$A$2:$A$6,0))="retain",INDEX('C_jama.2024.2302'!$E$2:$E$6,MATCH("2024::jama.2024.2302::C003",'C_jama.2024.2302'!$A$2:$A$6,0))="statistical_results"),IF(INDEX('C_jama.2024.2302'!$H$2:$H$6,MATCH("2024::jama.2024.2302::C003",'C_jama.2024.2302'!$A$2:$A$6,0))="","",INDEX('C_jama.2024.2302'!$H$2:$H$6,MATCH("2024::jama.2024.2302::C003",'C_jama.2024.2302'!$A$2:$A$6,0))),"not_applicable"),"NOT FROZEN")</x:f>
        <x:v>not_applicable</x:v>
      </x:c>
      <x:c r="E35" s="3" t="str">
        <x:f>IF(Setup!$B$6="primary",IF(AND(INDEX('C_jama.2024.2302'!$D$2:$D$6,MATCH("2024::jama.2024.2302::C003",'C_jama.2024.2302'!$A$2:$A$6,0))="retain",INDEX('C_jama.2024.2302'!$E$2:$E$6,MATCH("2024::jama.2024.2302::C003",'C_jama.2024.2302'!$A$2:$A$6,0))="statistical_results"),IF(INDEX('C_jama.2024.2302'!$I$2:$I$6,MATCH("2024::jama.2024.2302::C003",'C_jama.2024.2302'!$A$2:$A$6,0))="","",INDEX('C_jama.2024.2302'!$I$2:$I$6,MATCH("2024::jama.2024.2302::C003",'C_jama.2024.2302'!$A$2:$A$6,0))),"not_applicable"),"NOT FROZEN")</x:f>
        <x:v>not_applicable</x:v>
      </x:c>
      <x:c r="F35" s="3" t="str">
        <x:f>IF(Setup!$B$6="primary",IF(AND(INDEX('C_jama.2024.2302'!$D$2:$D$6,MATCH("2024::jama.2024.2302::C003",'C_jama.2024.2302'!$A$2:$A$6,0))="retain",INDEX('C_jama.2024.2302'!$E$2:$E$6,MATCH("2024::jama.2024.2302::C003",'C_jama.2024.2302'!$A$2:$A$6,0))="statistical_results"),IF(INDEX('C_jama.2024.2302'!$J$2:$J$6,MATCH("2024::jama.2024.2302::C003",'C_jama.2024.2302'!$A$2:$A$6,0))="","",INDEX('C_jama.2024.2302'!$J$2:$J$6,MATCH("2024::jama.2024.2302::C003",'C_jama.2024.2302'!$A$2:$A$6,0))),"not_applicable"),"NOT FROZEN")</x:f>
        <x:v>not_applicable</x:v>
      </x:c>
      <x:c r="G35" s="3" t="str">
        <x:f>IF(Setup!$B$6="primary",IF(AND(INDEX('C_jama.2024.2302'!$D$2:$D$6,MATCH("2024::jama.2024.2302::C003",'C_jama.2024.2302'!$A$2:$A$6,0))="retain",OR(INDEX('C_jama.2024.2302'!$E$2:$E$6,MATCH("2024::jama.2024.2302::C003",'C_jama.2024.2302'!$A$2:$A$6,0))="report_internal_inconsistency",INDEX('C_jama.2024.2302'!$E$2:$E$6,MATCH("2024::jama.2024.2302::C003",'C_jama.2024.2302'!$A$2:$A$6,0))="plan_material")),IF(INDEX('C_jama.2024.2302'!$K$2:$K$6,MATCH("2024::jama.2024.2302::C003",'C_jama.2024.2302'!$A$2:$A$6,0))="","",INDEX('C_jama.2024.2302'!$K$2:$K$6,MATCH("2024::jama.2024.2302::C003",'C_jama.2024.2302'!$A$2:$A$6,0))),"not_applicable"),"NOT FROZEN")</x:f>
        <x:v>not_applicable</x:v>
      </x:c>
      <x:c r="H35" s="3" t="str">
        <x:f>IF(Setup!$B$6="primary",IF(AND(INDEX('C_jama.2024.2302'!$D$2:$D$6,MATCH("2024::jama.2024.2302::C003",'C_jama.2024.2302'!$A$2:$A$6,0))="retain",INDEX('C_jama.2024.2302'!$E$2:$E$6,MATCH("2024::jama.2024.2302::C003",'C_jama.2024.2302'!$A$2:$A$6,0))="protocol_report"),IF(INDEX('C_jama.2024.2302'!$L$2:$L$6,MATCH("2024::jama.2024.2302::C003",'C_jama.2024.2302'!$A$2:$A$6,0))="","",INDEX('C_jama.2024.2302'!$L$2:$L$6,MATCH("2024::jama.2024.2302::C003",'C_jama.2024.2302'!$A$2:$A$6,0))),"not_applicable"),"NOT FROZEN")</x:f>
        <x:v>not_applicable</x:v>
      </x:c>
      <x:c r="I35" s="3" t="str">
        <x:f>IF(Setup!$B$6="primary",IF(INDEX('C_jama.2024.2302'!$R$2:$R$6,MATCH("2024::jama.2024.2302::C003",'C_jama.2024.2302'!$A$2:$A$6,0))="","",INDEX('C_jama.2024.2302'!$R$2:$R$6,MATCH("2024::jama.2024.2302::C003",'C_jama.2024.2302'!$A$2:$A$6,0))),"NOT FROZEN")</x:f>
      </x:c>
      <x:c r="J35" s="3" t="str">
        <x:f>IF(Setup!$B$6="primary",INDEX('C_jama.2024.2302'!$F$2:$F$6,MATCH("2024::jama.2024.2302::C003",'C_jama.2024.2302'!$A$2:$A$6,0)),"NOT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protocol_report
</x:v>
      </x:c>
    </x:row>
    <x:row r="36" ht="70" customHeight="1">
      <x:c r="A36" s="6" t="str">
        <x:f>IF(Setup!$B$6="primary","2024::jama.2024.2302::C004","NOT FROZEN")</x:f>
        <x:v>2024::jama.2024.2302::C004</x:v>
      </x:c>
      <x:c r="B36" s="6" t="str">
        <x:f>IF(Setup!$B$6="primary",IF(INDEX('C_jama.2024.2302'!$D$2:$D$6,MATCH("2024::jama.2024.2302::C004",'C_jama.2024.2302'!$A$2:$A$6,0))="","",INDEX('C_jama.2024.2302'!$D$2:$D$6,MATCH("2024::jama.2024.2302::C004",'C_jama.2024.2302'!$A$2:$A$6,0))),"NOT FROZEN")</x:f>
      </x:c>
      <x:c r="C36" s="6" t="str">
        <x:f>IF(Setup!$B$6="primary",IF(INDEX('C_jama.2024.2302'!$E$2:$E$6,MATCH("2024::jama.2024.2302::C004",'C_jama.2024.2302'!$A$2:$A$6,0))="","",INDEX('C_jama.2024.2302'!$E$2:$E$6,MATCH("2024::jama.2024.2302::C004",'C_jama.2024.2302'!$A$2:$A$6,0))),"NOT FROZEN")</x:f>
        <x:v>protocol_report</x:v>
      </x:c>
      <x:c r="D36" s="6" t="str">
        <x:f>IF(Setup!$B$6="primary",IF(AND(INDEX('C_jama.2024.2302'!$D$2:$D$6,MATCH("2024::jama.2024.2302::C004",'C_jama.2024.2302'!$A$2:$A$6,0))="retain",INDEX('C_jama.2024.2302'!$E$2:$E$6,MATCH("2024::jama.2024.2302::C004",'C_jama.2024.2302'!$A$2:$A$6,0))="statistical_results"),IF(INDEX('C_jama.2024.2302'!$H$2:$H$6,MATCH("2024::jama.2024.2302::C004",'C_jama.2024.2302'!$A$2:$A$6,0))="","",INDEX('C_jama.2024.2302'!$H$2:$H$6,MATCH("2024::jama.2024.2302::C004",'C_jama.2024.2302'!$A$2:$A$6,0))),"not_applicable"),"NOT FROZEN")</x:f>
        <x:v>not_applicable</x:v>
      </x:c>
      <x:c r="E36" s="6" t="str">
        <x:f>IF(Setup!$B$6="primary",IF(AND(INDEX('C_jama.2024.2302'!$D$2:$D$6,MATCH("2024::jama.2024.2302::C004",'C_jama.2024.2302'!$A$2:$A$6,0))="retain",INDEX('C_jama.2024.2302'!$E$2:$E$6,MATCH("2024::jama.2024.2302::C004",'C_jama.2024.2302'!$A$2:$A$6,0))="statistical_results"),IF(INDEX('C_jama.2024.2302'!$I$2:$I$6,MATCH("2024::jama.2024.2302::C004",'C_jama.2024.2302'!$A$2:$A$6,0))="","",INDEX('C_jama.2024.2302'!$I$2:$I$6,MATCH("2024::jama.2024.2302::C004",'C_jama.2024.2302'!$A$2:$A$6,0))),"not_applicable"),"NOT FROZEN")</x:f>
        <x:v>not_applicable</x:v>
      </x:c>
      <x:c r="F36" s="6" t="str">
        <x:f>IF(Setup!$B$6="primary",IF(AND(INDEX('C_jama.2024.2302'!$D$2:$D$6,MATCH("2024::jama.2024.2302::C004",'C_jama.2024.2302'!$A$2:$A$6,0))="retain",INDEX('C_jama.2024.2302'!$E$2:$E$6,MATCH("2024::jama.2024.2302::C004",'C_jama.2024.2302'!$A$2:$A$6,0))="statistical_results"),IF(INDEX('C_jama.2024.2302'!$J$2:$J$6,MATCH("2024::jama.2024.2302::C004",'C_jama.2024.2302'!$A$2:$A$6,0))="","",INDEX('C_jama.2024.2302'!$J$2:$J$6,MATCH("2024::jama.2024.2302::C004",'C_jama.2024.2302'!$A$2:$A$6,0))),"not_applicable"),"NOT FROZEN")</x:f>
        <x:v>not_applicable</x:v>
      </x:c>
      <x:c r="G36" s="6" t="str">
        <x:f>IF(Setup!$B$6="primary",IF(AND(INDEX('C_jama.2024.2302'!$D$2:$D$6,MATCH("2024::jama.2024.2302::C004",'C_jama.2024.2302'!$A$2:$A$6,0))="retain",OR(INDEX('C_jama.2024.2302'!$E$2:$E$6,MATCH("2024::jama.2024.2302::C004",'C_jama.2024.2302'!$A$2:$A$6,0))="report_internal_inconsistency",INDEX('C_jama.2024.2302'!$E$2:$E$6,MATCH("2024::jama.2024.2302::C004",'C_jama.2024.2302'!$A$2:$A$6,0))="plan_material")),IF(INDEX('C_jama.2024.2302'!$K$2:$K$6,MATCH("2024::jama.2024.2302::C004",'C_jama.2024.2302'!$A$2:$A$6,0))="","",INDEX('C_jama.2024.2302'!$K$2:$K$6,MATCH("2024::jama.2024.2302::C004",'C_jama.2024.2302'!$A$2:$A$6,0))),"not_applicable"),"NOT FROZEN")</x:f>
        <x:v>not_applicable</x:v>
      </x:c>
      <x:c r="H36" s="6" t="str">
        <x:f>IF(Setup!$B$6="primary",IF(AND(INDEX('C_jama.2024.2302'!$D$2:$D$6,MATCH("2024::jama.2024.2302::C004",'C_jama.2024.2302'!$A$2:$A$6,0))="retain",INDEX('C_jama.2024.2302'!$E$2:$E$6,MATCH("2024::jama.2024.2302::C004",'C_jama.2024.2302'!$A$2:$A$6,0))="protocol_report"),IF(INDEX('C_jama.2024.2302'!$L$2:$L$6,MATCH("2024::jama.2024.2302::C004",'C_jama.2024.2302'!$A$2:$A$6,0))="","",INDEX('C_jama.2024.2302'!$L$2:$L$6,MATCH("2024::jama.2024.2302::C004",'C_jama.2024.2302'!$A$2:$A$6,0))),"not_applicable"),"NOT FROZEN")</x:f>
        <x:v>not_applicable</x:v>
      </x:c>
      <x:c r="I36" s="6" t="str">
        <x:f>IF(Setup!$B$6="primary",IF(INDEX('C_jama.2024.2302'!$R$2:$R$6,MATCH("2024::jama.2024.2302::C004",'C_jama.2024.2302'!$A$2:$A$6,0))="","",INDEX('C_jama.2024.2302'!$R$2:$R$6,MATCH("2024::jama.2024.2302::C004",'C_jama.2024.2302'!$A$2:$A$6,0))),"NOT FROZEN")</x:f>
      </x:c>
      <x:c r="J36" s="6" t="str">
        <x:f>IF(Setup!$B$6="primary",INDEX('C_jama.2024.2302'!$F$2:$F$6,MATCH("2024::jama.2024.2302::C004",'C_jama.2024.2302'!$A$2:$A$6,0)),"NOT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protocol_report
</x:v>
      </x:c>
    </x:row>
    <x:row r="37" ht="70" customHeight="1">
      <x:c r="A37" s="3" t="str">
        <x:f>IF(Setup!$B$6="primary","2024::jama.2024.2302::C005","NOT FROZEN")</x:f>
        <x:v>2024::jama.2024.2302::C005</x:v>
      </x:c>
      <x:c r="B37" s="3" t="str">
        <x:f>IF(Setup!$B$6="primary",IF(INDEX('C_jama.2024.2302'!$D$2:$D$6,MATCH("2024::jama.2024.2302::C005",'C_jama.2024.2302'!$A$2:$A$6,0))="","",INDEX('C_jama.2024.2302'!$D$2:$D$6,MATCH("2024::jama.2024.2302::C005",'C_jama.2024.2302'!$A$2:$A$6,0))),"NOT FROZEN")</x:f>
      </x:c>
      <x:c r="C37" s="3" t="str">
        <x:f>IF(Setup!$B$6="primary",IF(INDEX('C_jama.2024.2302'!$E$2:$E$6,MATCH("2024::jama.2024.2302::C005",'C_jama.2024.2302'!$A$2:$A$6,0))="","",INDEX('C_jama.2024.2302'!$E$2:$E$6,MATCH("2024::jama.2024.2302::C005",'C_jama.2024.2302'!$A$2:$A$6,0))),"NOT FROZEN")</x:f>
        <x:v>protocol_report</x:v>
      </x:c>
      <x:c r="D37" s="3" t="str">
        <x:f>IF(Setup!$B$6="primary",IF(AND(INDEX('C_jama.2024.2302'!$D$2:$D$6,MATCH("2024::jama.2024.2302::C005",'C_jama.2024.2302'!$A$2:$A$6,0))="retain",INDEX('C_jama.2024.2302'!$E$2:$E$6,MATCH("2024::jama.2024.2302::C005",'C_jama.2024.2302'!$A$2:$A$6,0))="statistical_results"),IF(INDEX('C_jama.2024.2302'!$H$2:$H$6,MATCH("2024::jama.2024.2302::C005",'C_jama.2024.2302'!$A$2:$A$6,0))="","",INDEX('C_jama.2024.2302'!$H$2:$H$6,MATCH("2024::jama.2024.2302::C005",'C_jama.2024.2302'!$A$2:$A$6,0))),"not_applicable"),"NOT FROZEN")</x:f>
        <x:v>not_applicable</x:v>
      </x:c>
      <x:c r="E37" s="3" t="str">
        <x:f>IF(Setup!$B$6="primary",IF(AND(INDEX('C_jama.2024.2302'!$D$2:$D$6,MATCH("2024::jama.2024.2302::C005",'C_jama.2024.2302'!$A$2:$A$6,0))="retain",INDEX('C_jama.2024.2302'!$E$2:$E$6,MATCH("2024::jama.2024.2302::C005",'C_jama.2024.2302'!$A$2:$A$6,0))="statistical_results"),IF(INDEX('C_jama.2024.2302'!$I$2:$I$6,MATCH("2024::jama.2024.2302::C005",'C_jama.2024.2302'!$A$2:$A$6,0))="","",INDEX('C_jama.2024.2302'!$I$2:$I$6,MATCH("2024::jama.2024.2302::C005",'C_jama.2024.2302'!$A$2:$A$6,0))),"not_applicable"),"NOT FROZEN")</x:f>
        <x:v>not_applicable</x:v>
      </x:c>
      <x:c r="F37" s="3" t="str">
        <x:f>IF(Setup!$B$6="primary",IF(AND(INDEX('C_jama.2024.2302'!$D$2:$D$6,MATCH("2024::jama.2024.2302::C005",'C_jama.2024.2302'!$A$2:$A$6,0))="retain",INDEX('C_jama.2024.2302'!$E$2:$E$6,MATCH("2024::jama.2024.2302::C005",'C_jama.2024.2302'!$A$2:$A$6,0))="statistical_results"),IF(INDEX('C_jama.2024.2302'!$J$2:$J$6,MATCH("2024::jama.2024.2302::C005",'C_jama.2024.2302'!$A$2:$A$6,0))="","",INDEX('C_jama.2024.2302'!$J$2:$J$6,MATCH("2024::jama.2024.2302::C005",'C_jama.2024.2302'!$A$2:$A$6,0))),"not_applicable"),"NOT FROZEN")</x:f>
        <x:v>not_applicable</x:v>
      </x:c>
      <x:c r="G37" s="3" t="str">
        <x:f>IF(Setup!$B$6="primary",IF(AND(INDEX('C_jama.2024.2302'!$D$2:$D$6,MATCH("2024::jama.2024.2302::C005",'C_jama.2024.2302'!$A$2:$A$6,0))="retain",OR(INDEX('C_jama.2024.2302'!$E$2:$E$6,MATCH("2024::jama.2024.2302::C005",'C_jama.2024.2302'!$A$2:$A$6,0))="report_internal_inconsistency",INDEX('C_jama.2024.2302'!$E$2:$E$6,MATCH("2024::jama.2024.2302::C005",'C_jama.2024.2302'!$A$2:$A$6,0))="plan_material")),IF(INDEX('C_jama.2024.2302'!$K$2:$K$6,MATCH("2024::jama.2024.2302::C005",'C_jama.2024.2302'!$A$2:$A$6,0))="","",INDEX('C_jama.2024.2302'!$K$2:$K$6,MATCH("2024::jama.2024.2302::C005",'C_jama.2024.2302'!$A$2:$A$6,0))),"not_applicable"),"NOT FROZEN")</x:f>
        <x:v>not_applicable</x:v>
      </x:c>
      <x:c r="H37" s="3" t="str">
        <x:f>IF(Setup!$B$6="primary",IF(AND(INDEX('C_jama.2024.2302'!$D$2:$D$6,MATCH("2024::jama.2024.2302::C005",'C_jama.2024.2302'!$A$2:$A$6,0))="retain",INDEX('C_jama.2024.2302'!$E$2:$E$6,MATCH("2024::jama.2024.2302::C005",'C_jama.2024.2302'!$A$2:$A$6,0))="protocol_report"),IF(INDEX('C_jama.2024.2302'!$L$2:$L$6,MATCH("2024::jama.2024.2302::C005",'C_jama.2024.2302'!$A$2:$A$6,0))="","",INDEX('C_jama.2024.2302'!$L$2:$L$6,MATCH("2024::jama.2024.2302::C005",'C_jama.2024.2302'!$A$2:$A$6,0))),"not_applicable"),"NOT FROZEN")</x:f>
        <x:v>not_applicable</x:v>
      </x:c>
      <x:c r="I37" s="3" t="str">
        <x:f>IF(Setup!$B$6="primary",IF(INDEX('C_jama.2024.2302'!$R$2:$R$6,MATCH("2024::jama.2024.2302::C005",'C_jama.2024.2302'!$A$2:$A$6,0))="","",INDEX('C_jama.2024.2302'!$R$2:$R$6,MATCH("2024::jama.2024.2302::C005",'C_jama.2024.2302'!$A$2:$A$6,0))),"NOT FROZEN")</x:f>
      </x:c>
      <x:c r="J37" s="3" t="str">
        <x:f>IF(Setup!$B$6="primary",INDEX('C_jama.2024.2302'!$F$2:$F$6,MATCH("2024::jama.2024.2302::C005",'C_jama.2024.2302'!$A$2:$A$6,0)),"NOT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protocol_report
</x:v>
      </x:c>
    </x:row>
    <x:row r="38" ht="70" customHeight="1">
      <x:c r="A38" s="6" t="str">
        <x:f>IF(Setup!$B$6="primary","2024::jama.2024.23898::C001","NOT FROZEN")</x:f>
        <x:v>2024::jama.2024.23898::C001</x:v>
      </x:c>
      <x:c r="B38" s="6" t="str">
        <x:f>IF(Setup!$B$6="primary",IF(INDEX('C_jama.2024.23898'!$D$2:$D$8,MATCH("2024::jama.2024.23898::C001",'C_jama.2024.23898'!$A$2:$A$8,0))="","",INDEX('C_jama.2024.23898'!$D$2:$D$8,MATCH("2024::jama.2024.23898::C001",'C_jama.2024.23898'!$A$2:$A$8,0))),"NOT FROZEN")</x:f>
      </x:c>
      <x:c r="C38" s="6" t="str">
        <x:f>IF(Setup!$B$6="primary",IF(INDEX('C_jama.2024.23898'!$E$2:$E$8,MATCH("2024::jama.2024.23898::C001",'C_jama.2024.23898'!$A$2:$A$8,0))="","",INDEX('C_jama.2024.23898'!$E$2:$E$8,MATCH("2024::jama.2024.23898::C001",'C_jama.2024.23898'!$A$2:$A$8,0))),"NOT FROZEN")</x:f>
        <x:v>protocol_report</x:v>
      </x:c>
      <x:c r="D38" s="6" t="str">
        <x:f>IF(Setup!$B$6="primary",IF(AND(INDEX('C_jama.2024.23898'!$D$2:$D$8,MATCH("2024::jama.2024.23898::C001",'C_jama.2024.23898'!$A$2:$A$8,0))="retain",INDEX('C_jama.2024.23898'!$E$2:$E$8,MATCH("2024::jama.2024.23898::C001",'C_jama.2024.23898'!$A$2:$A$8,0))="statistical_results"),IF(INDEX('C_jama.2024.23898'!$H$2:$H$8,MATCH("2024::jama.2024.23898::C001",'C_jama.2024.23898'!$A$2:$A$8,0))="","",INDEX('C_jama.2024.23898'!$H$2:$H$8,MATCH("2024::jama.2024.23898::C001",'C_jama.2024.23898'!$A$2:$A$8,0))),"not_applicable"),"NOT FROZEN")</x:f>
        <x:v>not_applicable</x:v>
      </x:c>
      <x:c r="E38" s="6" t="str">
        <x:f>IF(Setup!$B$6="primary",IF(AND(INDEX('C_jama.2024.23898'!$D$2:$D$8,MATCH("2024::jama.2024.23898::C001",'C_jama.2024.23898'!$A$2:$A$8,0))="retain",INDEX('C_jama.2024.23898'!$E$2:$E$8,MATCH("2024::jama.2024.23898::C001",'C_jama.2024.23898'!$A$2:$A$8,0))="statistical_results"),IF(INDEX('C_jama.2024.23898'!$I$2:$I$8,MATCH("2024::jama.2024.23898::C001",'C_jama.2024.23898'!$A$2:$A$8,0))="","",INDEX('C_jama.2024.23898'!$I$2:$I$8,MATCH("2024::jama.2024.23898::C001",'C_jama.2024.23898'!$A$2:$A$8,0))),"not_applicable"),"NOT FROZEN")</x:f>
        <x:v>not_applicable</x:v>
      </x:c>
      <x:c r="F38" s="6" t="str">
        <x:f>IF(Setup!$B$6="primary",IF(AND(INDEX('C_jama.2024.23898'!$D$2:$D$8,MATCH("2024::jama.2024.23898::C001",'C_jama.2024.23898'!$A$2:$A$8,0))="retain",INDEX('C_jama.2024.23898'!$E$2:$E$8,MATCH("2024::jama.2024.23898::C001",'C_jama.2024.23898'!$A$2:$A$8,0))="statistical_results"),IF(INDEX('C_jama.2024.23898'!$J$2:$J$8,MATCH("2024::jama.2024.23898::C001",'C_jama.2024.23898'!$A$2:$A$8,0))="","",INDEX('C_jama.2024.23898'!$J$2:$J$8,MATCH("2024::jama.2024.23898::C001",'C_jama.2024.23898'!$A$2:$A$8,0))),"not_applicable"),"NOT FROZEN")</x:f>
        <x:v>not_applicable</x:v>
      </x:c>
      <x:c r="G38" s="6" t="str">
        <x:f>IF(Setup!$B$6="primary",IF(AND(INDEX('C_jama.2024.23898'!$D$2:$D$8,MATCH("2024::jama.2024.23898::C001",'C_jama.2024.23898'!$A$2:$A$8,0))="retain",OR(INDEX('C_jama.2024.23898'!$E$2:$E$8,MATCH("2024::jama.2024.23898::C001",'C_jama.2024.23898'!$A$2:$A$8,0))="report_internal_inconsistency",INDEX('C_jama.2024.23898'!$E$2:$E$8,MATCH("2024::jama.2024.23898::C001",'C_jama.2024.23898'!$A$2:$A$8,0))="plan_material")),IF(INDEX('C_jama.2024.23898'!$K$2:$K$8,MATCH("2024::jama.2024.23898::C001",'C_jama.2024.23898'!$A$2:$A$8,0))="","",INDEX('C_jama.2024.23898'!$K$2:$K$8,MATCH("2024::jama.2024.23898::C001",'C_jama.2024.23898'!$A$2:$A$8,0))),"not_applicable"),"NOT FROZEN")</x:f>
        <x:v>not_applicable</x:v>
      </x:c>
      <x:c r="H38" s="6" t="str">
        <x:f>IF(Setup!$B$6="primary",IF(AND(INDEX('C_jama.2024.23898'!$D$2:$D$8,MATCH("2024::jama.2024.23898::C001",'C_jama.2024.23898'!$A$2:$A$8,0))="retain",INDEX('C_jama.2024.23898'!$E$2:$E$8,MATCH("2024::jama.2024.23898::C001",'C_jama.2024.23898'!$A$2:$A$8,0))="protocol_report"),IF(INDEX('C_jama.2024.23898'!$L$2:$L$8,MATCH("2024::jama.2024.23898::C001",'C_jama.2024.23898'!$A$2:$A$8,0))="","",INDEX('C_jama.2024.23898'!$L$2:$L$8,MATCH("2024::jama.2024.23898::C001",'C_jama.2024.23898'!$A$2:$A$8,0))),"not_applicable"),"NOT FROZEN")</x:f>
        <x:v>not_applicable</x:v>
      </x:c>
      <x:c r="I38" s="6" t="str">
        <x:f>IF(Setup!$B$6="primary",IF(INDEX('C_jama.2024.23898'!$R$2:$R$8,MATCH("2024::jama.2024.23898::C001",'C_jama.2024.23898'!$A$2:$A$8,0))="","",INDEX('C_jama.2024.23898'!$R$2:$R$8,MATCH("2024::jama.2024.23898::C001",'C_jama.2024.23898'!$A$2:$A$8,0))),"NOT FROZEN")</x:f>
      </x:c>
      <x:c r="J38" s="6" t="str">
        <x:f>IF(Setup!$B$6="primary",INDEX('C_jama.2024.23898'!$F$2:$F$8,MATCH("2024::jama.2024.23898::C001",'C_jama.2024.23898'!$A$2:$A$8,0)),"NOT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protocol_report
</x:v>
      </x:c>
    </x:row>
    <x:row r="39" ht="70" customHeight="1">
      <x:c r="A39" s="3" t="str">
        <x:f>IF(Setup!$B$6="primary","2024::jama.2024.23898::C002","NOT FROZEN")</x:f>
        <x:v>2024::jama.2024.23898::C002</x:v>
      </x:c>
      <x:c r="B39" s="3" t="str">
        <x:f>IF(Setup!$B$6="primary",IF(INDEX('C_jama.2024.23898'!$D$2:$D$8,MATCH("2024::jama.2024.23898::C002",'C_jama.2024.23898'!$A$2:$A$8,0))="","",INDEX('C_jama.2024.23898'!$D$2:$D$8,MATCH("2024::jama.2024.23898::C002",'C_jama.2024.23898'!$A$2:$A$8,0))),"NOT FROZEN")</x:f>
      </x:c>
      <x:c r="C39" s="3" t="str">
        <x:f>IF(Setup!$B$6="primary",IF(INDEX('C_jama.2024.23898'!$E$2:$E$8,MATCH("2024::jama.2024.23898::C002",'C_jama.2024.23898'!$A$2:$A$8,0))="","",INDEX('C_jama.2024.23898'!$E$2:$E$8,MATCH("2024::jama.2024.23898::C002",'C_jama.2024.23898'!$A$2:$A$8,0))),"NOT FROZEN")</x:f>
        <x:v>protocol_report</x:v>
      </x:c>
      <x:c r="D39" s="3" t="str">
        <x:f>IF(Setup!$B$6="primary",IF(AND(INDEX('C_jama.2024.23898'!$D$2:$D$8,MATCH("2024::jama.2024.23898::C002",'C_jama.2024.23898'!$A$2:$A$8,0))="retain",INDEX('C_jama.2024.23898'!$E$2:$E$8,MATCH("2024::jama.2024.23898::C002",'C_jama.2024.23898'!$A$2:$A$8,0))="statistical_results"),IF(INDEX('C_jama.2024.23898'!$H$2:$H$8,MATCH("2024::jama.2024.23898::C002",'C_jama.2024.23898'!$A$2:$A$8,0))="","",INDEX('C_jama.2024.23898'!$H$2:$H$8,MATCH("2024::jama.2024.23898::C002",'C_jama.2024.23898'!$A$2:$A$8,0))),"not_applicable"),"NOT FROZEN")</x:f>
        <x:v>not_applicable</x:v>
      </x:c>
      <x:c r="E39" s="3" t="str">
        <x:f>IF(Setup!$B$6="primary",IF(AND(INDEX('C_jama.2024.23898'!$D$2:$D$8,MATCH("2024::jama.2024.23898::C002",'C_jama.2024.23898'!$A$2:$A$8,0))="retain",INDEX('C_jama.2024.23898'!$E$2:$E$8,MATCH("2024::jama.2024.23898::C002",'C_jama.2024.23898'!$A$2:$A$8,0))="statistical_results"),IF(INDEX('C_jama.2024.23898'!$I$2:$I$8,MATCH("2024::jama.2024.23898::C002",'C_jama.2024.23898'!$A$2:$A$8,0))="","",INDEX('C_jama.2024.23898'!$I$2:$I$8,MATCH("2024::jama.2024.23898::C002",'C_jama.2024.23898'!$A$2:$A$8,0))),"not_applicable"),"NOT FROZEN")</x:f>
        <x:v>not_applicable</x:v>
      </x:c>
      <x:c r="F39" s="3" t="str">
        <x:f>IF(Setup!$B$6="primary",IF(AND(INDEX('C_jama.2024.23898'!$D$2:$D$8,MATCH("2024::jama.2024.23898::C002",'C_jama.2024.23898'!$A$2:$A$8,0))="retain",INDEX('C_jama.2024.23898'!$E$2:$E$8,MATCH("2024::jama.2024.23898::C002",'C_jama.2024.23898'!$A$2:$A$8,0))="statistical_results"),IF(INDEX('C_jama.2024.23898'!$J$2:$J$8,MATCH("2024::jama.2024.23898::C002",'C_jama.2024.23898'!$A$2:$A$8,0))="","",INDEX('C_jama.2024.23898'!$J$2:$J$8,MATCH("2024::jama.2024.23898::C002",'C_jama.2024.23898'!$A$2:$A$8,0))),"not_applicable"),"NOT FROZEN")</x:f>
        <x:v>not_applicable</x:v>
      </x:c>
      <x:c r="G39" s="3" t="str">
        <x:f>IF(Setup!$B$6="primary",IF(AND(INDEX('C_jama.2024.23898'!$D$2:$D$8,MATCH("2024::jama.2024.23898::C002",'C_jama.2024.23898'!$A$2:$A$8,0))="retain",OR(INDEX('C_jama.2024.23898'!$E$2:$E$8,MATCH("2024::jama.2024.23898::C002",'C_jama.2024.23898'!$A$2:$A$8,0))="report_internal_inconsistency",INDEX('C_jama.2024.23898'!$E$2:$E$8,MATCH("2024::jama.2024.23898::C002",'C_jama.2024.23898'!$A$2:$A$8,0))="plan_material")),IF(INDEX('C_jama.2024.23898'!$K$2:$K$8,MATCH("2024::jama.2024.23898::C002",'C_jama.2024.23898'!$A$2:$A$8,0))="","",INDEX('C_jama.2024.23898'!$K$2:$K$8,MATCH("2024::jama.2024.23898::C002",'C_jama.2024.23898'!$A$2:$A$8,0))),"not_applicable"),"NOT FROZEN")</x:f>
        <x:v>not_applicable</x:v>
      </x:c>
      <x:c r="H39" s="3" t="str">
        <x:f>IF(Setup!$B$6="primary",IF(AND(INDEX('C_jama.2024.23898'!$D$2:$D$8,MATCH("2024::jama.2024.23898::C002",'C_jama.2024.23898'!$A$2:$A$8,0))="retain",INDEX('C_jama.2024.23898'!$E$2:$E$8,MATCH("2024::jama.2024.23898::C002",'C_jama.2024.23898'!$A$2:$A$8,0))="protocol_report"),IF(INDEX('C_jama.2024.23898'!$L$2:$L$8,MATCH("2024::jama.2024.23898::C002",'C_jama.2024.23898'!$A$2:$A$8,0))="","",INDEX('C_jama.2024.23898'!$L$2:$L$8,MATCH("2024::jama.2024.23898::C002",'C_jama.2024.23898'!$A$2:$A$8,0))),"not_applicable"),"NOT FROZEN")</x:f>
        <x:v>not_applicable</x:v>
      </x:c>
      <x:c r="I39" s="3" t="str">
        <x:f>IF(Setup!$B$6="primary",IF(INDEX('C_jama.2024.23898'!$R$2:$R$8,MATCH("2024::jama.2024.23898::C002",'C_jama.2024.23898'!$A$2:$A$8,0))="","",INDEX('C_jama.2024.23898'!$R$2:$R$8,MATCH("2024::jama.2024.23898::C002",'C_jama.2024.23898'!$A$2:$A$8,0))),"NOT FROZEN")</x:f>
      </x:c>
      <x:c r="J39" s="3" t="str">
        <x:f>IF(Setup!$B$6="primary",INDEX('C_jama.2024.23898'!$F$2:$F$8,MATCH("2024::jama.2024.23898::C002",'C_jama.2024.23898'!$A$2:$A$8,0)),"NOT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protocol_report
</x:v>
      </x:c>
    </x:row>
    <x:row r="40" ht="70" customHeight="1">
      <x:c r="A40" s="6" t="str">
        <x:f>IF(Setup!$B$6="primary","2024::jama.2024.23898::C003","NOT FROZEN")</x:f>
        <x:v>2024::jama.2024.23898::C003</x:v>
      </x:c>
      <x:c r="B40" s="6" t="str">
        <x:f>IF(Setup!$B$6="primary",IF(INDEX('C_jama.2024.23898'!$D$2:$D$8,MATCH("2024::jama.2024.23898::C003",'C_jama.2024.23898'!$A$2:$A$8,0))="","",INDEX('C_jama.2024.23898'!$D$2:$D$8,MATCH("2024::jama.2024.23898::C003",'C_jama.2024.23898'!$A$2:$A$8,0))),"NOT FROZEN")</x:f>
      </x:c>
      <x:c r="C40" s="6" t="str">
        <x:f>IF(Setup!$B$6="primary",IF(INDEX('C_jama.2024.23898'!$E$2:$E$8,MATCH("2024::jama.2024.23898::C003",'C_jama.2024.23898'!$A$2:$A$8,0))="","",INDEX('C_jama.2024.23898'!$E$2:$E$8,MATCH("2024::jama.2024.23898::C003",'C_jama.2024.23898'!$A$2:$A$8,0))),"NOT FROZEN")</x:f>
        <x:v>protocol_report</x:v>
      </x:c>
      <x:c r="D40" s="6" t="str">
        <x:f>IF(Setup!$B$6="primary",IF(AND(INDEX('C_jama.2024.23898'!$D$2:$D$8,MATCH("2024::jama.2024.23898::C003",'C_jama.2024.23898'!$A$2:$A$8,0))="retain",INDEX('C_jama.2024.23898'!$E$2:$E$8,MATCH("2024::jama.2024.23898::C003",'C_jama.2024.23898'!$A$2:$A$8,0))="statistical_results"),IF(INDEX('C_jama.2024.23898'!$H$2:$H$8,MATCH("2024::jama.2024.23898::C003",'C_jama.2024.23898'!$A$2:$A$8,0))="","",INDEX('C_jama.2024.23898'!$H$2:$H$8,MATCH("2024::jama.2024.23898::C003",'C_jama.2024.23898'!$A$2:$A$8,0))),"not_applicable"),"NOT FROZEN")</x:f>
        <x:v>not_applicable</x:v>
      </x:c>
      <x:c r="E40" s="6" t="str">
        <x:f>IF(Setup!$B$6="primary",IF(AND(INDEX('C_jama.2024.23898'!$D$2:$D$8,MATCH("2024::jama.2024.23898::C003",'C_jama.2024.23898'!$A$2:$A$8,0))="retain",INDEX('C_jama.2024.23898'!$E$2:$E$8,MATCH("2024::jama.2024.23898::C003",'C_jama.2024.23898'!$A$2:$A$8,0))="statistical_results"),IF(INDEX('C_jama.2024.23898'!$I$2:$I$8,MATCH("2024::jama.2024.23898::C003",'C_jama.2024.23898'!$A$2:$A$8,0))="","",INDEX('C_jama.2024.23898'!$I$2:$I$8,MATCH("2024::jama.2024.23898::C003",'C_jama.2024.23898'!$A$2:$A$8,0))),"not_applicable"),"NOT FROZEN")</x:f>
        <x:v>not_applicable</x:v>
      </x:c>
      <x:c r="F40" s="6" t="str">
        <x:f>IF(Setup!$B$6="primary",IF(AND(INDEX('C_jama.2024.23898'!$D$2:$D$8,MATCH("2024::jama.2024.23898::C003",'C_jama.2024.23898'!$A$2:$A$8,0))="retain",INDEX('C_jama.2024.23898'!$E$2:$E$8,MATCH("2024::jama.2024.23898::C003",'C_jama.2024.23898'!$A$2:$A$8,0))="statistical_results"),IF(INDEX('C_jama.2024.23898'!$J$2:$J$8,MATCH("2024::jama.2024.23898::C003",'C_jama.2024.23898'!$A$2:$A$8,0))="","",INDEX('C_jama.2024.23898'!$J$2:$J$8,MATCH("2024::jama.2024.23898::C003",'C_jama.2024.23898'!$A$2:$A$8,0))),"not_applicable"),"NOT FROZEN")</x:f>
        <x:v>not_applicable</x:v>
      </x:c>
      <x:c r="G40" s="6" t="str">
        <x:f>IF(Setup!$B$6="primary",IF(AND(INDEX('C_jama.2024.23898'!$D$2:$D$8,MATCH("2024::jama.2024.23898::C003",'C_jama.2024.23898'!$A$2:$A$8,0))="retain",OR(INDEX('C_jama.2024.23898'!$E$2:$E$8,MATCH("2024::jama.2024.23898::C003",'C_jama.2024.23898'!$A$2:$A$8,0))="report_internal_inconsistency",INDEX('C_jama.2024.23898'!$E$2:$E$8,MATCH("2024::jama.2024.23898::C003",'C_jama.2024.23898'!$A$2:$A$8,0))="plan_material")),IF(INDEX('C_jama.2024.23898'!$K$2:$K$8,MATCH("2024::jama.2024.23898::C003",'C_jama.2024.23898'!$A$2:$A$8,0))="","",INDEX('C_jama.2024.23898'!$K$2:$K$8,MATCH("2024::jama.2024.23898::C003",'C_jama.2024.23898'!$A$2:$A$8,0))),"not_applicable"),"NOT FROZEN")</x:f>
        <x:v>not_applicable</x:v>
      </x:c>
      <x:c r="H40" s="6" t="str">
        <x:f>IF(Setup!$B$6="primary",IF(AND(INDEX('C_jama.2024.23898'!$D$2:$D$8,MATCH("2024::jama.2024.23898::C003",'C_jama.2024.23898'!$A$2:$A$8,0))="retain",INDEX('C_jama.2024.23898'!$E$2:$E$8,MATCH("2024::jama.2024.23898::C003",'C_jama.2024.23898'!$A$2:$A$8,0))="protocol_report"),IF(INDEX('C_jama.2024.23898'!$L$2:$L$8,MATCH("2024::jama.2024.23898::C003",'C_jama.2024.23898'!$A$2:$A$8,0))="","",INDEX('C_jama.2024.23898'!$L$2:$L$8,MATCH("2024::jama.2024.23898::C003",'C_jama.2024.23898'!$A$2:$A$8,0))),"not_applicable"),"NOT FROZEN")</x:f>
        <x:v>not_applicable</x:v>
      </x:c>
      <x:c r="I40" s="6" t="str">
        <x:f>IF(Setup!$B$6="primary",IF(INDEX('C_jama.2024.23898'!$R$2:$R$8,MATCH("2024::jama.2024.23898::C003",'C_jama.2024.23898'!$A$2:$A$8,0))="","",INDEX('C_jama.2024.23898'!$R$2:$R$8,MATCH("2024::jama.2024.23898::C003",'C_jama.2024.23898'!$A$2:$A$8,0))),"NOT FROZEN")</x:f>
      </x:c>
      <x:c r="J40" s="6" t="str">
        <x:f>IF(Setup!$B$6="primary",INDEX('C_jama.2024.23898'!$F$2:$F$8,MATCH("2024::jama.2024.23898::C003",'C_jama.2024.23898'!$A$2:$A$8,0)),"NOT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protocol_report
</x:v>
      </x:c>
    </x:row>
    <x:row r="41" ht="70" customHeight="1">
      <x:c r="A41" s="3" t="str">
        <x:f>IF(Setup!$B$6="primary","2024::jama.2024.23898::C004","NOT FROZEN")</x:f>
        <x:v>2024::jama.2024.23898::C004</x:v>
      </x:c>
      <x:c r="B41" s="3" t="str">
        <x:f>IF(Setup!$B$6="primary",IF(INDEX('C_jama.2024.23898'!$D$2:$D$8,MATCH("2024::jama.2024.23898::C004",'C_jama.2024.23898'!$A$2:$A$8,0))="","",INDEX('C_jama.2024.23898'!$D$2:$D$8,MATCH("2024::jama.2024.23898::C004",'C_jama.2024.23898'!$A$2:$A$8,0))),"NOT FROZEN")</x:f>
      </x:c>
      <x:c r="C41" s="3" t="str">
        <x:f>IF(Setup!$B$6="primary",IF(INDEX('C_jama.2024.23898'!$E$2:$E$8,MATCH("2024::jama.2024.23898::C004",'C_jama.2024.23898'!$A$2:$A$8,0))="","",INDEX('C_jama.2024.23898'!$E$2:$E$8,MATCH("2024::jama.2024.23898::C004",'C_jama.2024.23898'!$A$2:$A$8,0))),"NOT FROZEN")</x:f>
        <x:v>protocol_report</x:v>
      </x:c>
      <x:c r="D41" s="3" t="str">
        <x:f>IF(Setup!$B$6="primary",IF(AND(INDEX('C_jama.2024.23898'!$D$2:$D$8,MATCH("2024::jama.2024.23898::C004",'C_jama.2024.23898'!$A$2:$A$8,0))="retain",INDEX('C_jama.2024.23898'!$E$2:$E$8,MATCH("2024::jama.2024.23898::C004",'C_jama.2024.23898'!$A$2:$A$8,0))="statistical_results"),IF(INDEX('C_jama.2024.23898'!$H$2:$H$8,MATCH("2024::jama.2024.23898::C004",'C_jama.2024.23898'!$A$2:$A$8,0))="","",INDEX('C_jama.2024.23898'!$H$2:$H$8,MATCH("2024::jama.2024.23898::C004",'C_jama.2024.23898'!$A$2:$A$8,0))),"not_applicable"),"NOT FROZEN")</x:f>
        <x:v>not_applicable</x:v>
      </x:c>
      <x:c r="E41" s="3" t="str">
        <x:f>IF(Setup!$B$6="primary",IF(AND(INDEX('C_jama.2024.23898'!$D$2:$D$8,MATCH("2024::jama.2024.23898::C004",'C_jama.2024.23898'!$A$2:$A$8,0))="retain",INDEX('C_jama.2024.23898'!$E$2:$E$8,MATCH("2024::jama.2024.23898::C004",'C_jama.2024.23898'!$A$2:$A$8,0))="statistical_results"),IF(INDEX('C_jama.2024.23898'!$I$2:$I$8,MATCH("2024::jama.2024.23898::C004",'C_jama.2024.23898'!$A$2:$A$8,0))="","",INDEX('C_jama.2024.23898'!$I$2:$I$8,MATCH("2024::jama.2024.23898::C004",'C_jama.2024.23898'!$A$2:$A$8,0))),"not_applicable"),"NOT FROZEN")</x:f>
        <x:v>not_applicable</x:v>
      </x:c>
      <x:c r="F41" s="3" t="str">
        <x:f>IF(Setup!$B$6="primary",IF(AND(INDEX('C_jama.2024.23898'!$D$2:$D$8,MATCH("2024::jama.2024.23898::C004",'C_jama.2024.23898'!$A$2:$A$8,0))="retain",INDEX('C_jama.2024.23898'!$E$2:$E$8,MATCH("2024::jama.2024.23898::C004",'C_jama.2024.23898'!$A$2:$A$8,0))="statistical_results"),IF(INDEX('C_jama.2024.23898'!$J$2:$J$8,MATCH("2024::jama.2024.23898::C004",'C_jama.2024.23898'!$A$2:$A$8,0))="","",INDEX('C_jama.2024.23898'!$J$2:$J$8,MATCH("2024::jama.2024.23898::C004",'C_jama.2024.23898'!$A$2:$A$8,0))),"not_applicable"),"NOT FROZEN")</x:f>
        <x:v>not_applicable</x:v>
      </x:c>
      <x:c r="G41" s="3" t="str">
        <x:f>IF(Setup!$B$6="primary",IF(AND(INDEX('C_jama.2024.23898'!$D$2:$D$8,MATCH("2024::jama.2024.23898::C004",'C_jama.2024.23898'!$A$2:$A$8,0))="retain",OR(INDEX('C_jama.2024.23898'!$E$2:$E$8,MATCH("2024::jama.2024.23898::C004",'C_jama.2024.23898'!$A$2:$A$8,0))="report_internal_inconsistency",INDEX('C_jama.2024.23898'!$E$2:$E$8,MATCH("2024::jama.2024.23898::C004",'C_jama.2024.23898'!$A$2:$A$8,0))="plan_material")),IF(INDEX('C_jama.2024.23898'!$K$2:$K$8,MATCH("2024::jama.2024.23898::C004",'C_jama.2024.23898'!$A$2:$A$8,0))="","",INDEX('C_jama.2024.23898'!$K$2:$K$8,MATCH("2024::jama.2024.23898::C004",'C_jama.2024.23898'!$A$2:$A$8,0))),"not_applicable"),"NOT FROZEN")</x:f>
        <x:v>not_applicable</x:v>
      </x:c>
      <x:c r="H41" s="3" t="str">
        <x:f>IF(Setup!$B$6="primary",IF(AND(INDEX('C_jama.2024.23898'!$D$2:$D$8,MATCH("2024::jama.2024.23898::C004",'C_jama.2024.23898'!$A$2:$A$8,0))="retain",INDEX('C_jama.2024.23898'!$E$2:$E$8,MATCH("2024::jama.2024.23898::C004",'C_jama.2024.23898'!$A$2:$A$8,0))="protocol_report"),IF(INDEX('C_jama.2024.23898'!$L$2:$L$8,MATCH("2024::jama.2024.23898::C004",'C_jama.2024.23898'!$A$2:$A$8,0))="","",INDEX('C_jama.2024.23898'!$L$2:$L$8,MATCH("2024::jama.2024.23898::C004",'C_jama.2024.23898'!$A$2:$A$8,0))),"not_applicable"),"NOT FROZEN")</x:f>
        <x:v>not_applicable</x:v>
      </x:c>
      <x:c r="I41" s="3" t="str">
        <x:f>IF(Setup!$B$6="primary",IF(INDEX('C_jama.2024.23898'!$R$2:$R$8,MATCH("2024::jama.2024.23898::C004",'C_jama.2024.23898'!$A$2:$A$8,0))="","",INDEX('C_jama.2024.23898'!$R$2:$R$8,MATCH("2024::jama.2024.23898::C004",'C_jama.2024.23898'!$A$2:$A$8,0))),"NOT FROZEN")</x:f>
      </x:c>
      <x:c r="J41" s="3" t="str">
        <x:f>IF(Setup!$B$6="primary",INDEX('C_jama.2024.23898'!$F$2:$F$8,MATCH("2024::jama.2024.23898::C004",'C_jama.2024.23898'!$A$2:$A$8,0)),"NOT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protocol_report
</x:v>
      </x:c>
    </x:row>
    <x:row r="42" ht="70" customHeight="1">
      <x:c r="A42" s="6" t="str">
        <x:f>IF(Setup!$B$6="primary","2024::jama.2024.23898::C005","NOT FROZEN")</x:f>
        <x:v>2024::jama.2024.23898::C005</x:v>
      </x:c>
      <x:c r="B42" s="6" t="str">
        <x:f>IF(Setup!$B$6="primary",IF(INDEX('C_jama.2024.23898'!$D$2:$D$8,MATCH("2024::jama.2024.23898::C005",'C_jama.2024.23898'!$A$2:$A$8,0))="","",INDEX('C_jama.2024.23898'!$D$2:$D$8,MATCH("2024::jama.2024.23898::C005",'C_jama.2024.23898'!$A$2:$A$8,0))),"NOT FROZEN")</x:f>
      </x:c>
      <x:c r="C42" s="6" t="str">
        <x:f>IF(Setup!$B$6="primary",IF(INDEX('C_jama.2024.23898'!$E$2:$E$8,MATCH("2024::jama.2024.23898::C005",'C_jama.2024.23898'!$A$2:$A$8,0))="","",INDEX('C_jama.2024.23898'!$E$2:$E$8,MATCH("2024::jama.2024.23898::C005",'C_jama.2024.23898'!$A$2:$A$8,0))),"NOT FROZEN")</x:f>
        <x:v>statistical_results</x:v>
      </x:c>
      <x:c r="D42" s="6" t="str">
        <x:f>IF(Setup!$B$6="primary",IF(AND(INDEX('C_jama.2024.23898'!$D$2:$D$8,MATCH("2024::jama.2024.23898::C005",'C_jama.2024.23898'!$A$2:$A$8,0))="retain",INDEX('C_jama.2024.23898'!$E$2:$E$8,MATCH("2024::jama.2024.23898::C005",'C_jama.2024.23898'!$A$2:$A$8,0))="statistical_results"),IF(INDEX('C_jama.2024.23898'!$H$2:$H$8,MATCH("2024::jama.2024.23898::C005",'C_jama.2024.23898'!$A$2:$A$8,0))="","",INDEX('C_jama.2024.23898'!$H$2:$H$8,MATCH("2024::jama.2024.23898::C005",'C_jama.2024.23898'!$A$2:$A$8,0))),"not_applicable"),"NOT FROZEN")</x:f>
        <x:v>not_applicable</x:v>
      </x:c>
      <x:c r="E42" s="6" t="str">
        <x:f>IF(Setup!$B$6="primary",IF(AND(INDEX('C_jama.2024.23898'!$D$2:$D$8,MATCH("2024::jama.2024.23898::C005",'C_jama.2024.23898'!$A$2:$A$8,0))="retain",INDEX('C_jama.2024.23898'!$E$2:$E$8,MATCH("2024::jama.2024.23898::C005",'C_jama.2024.23898'!$A$2:$A$8,0))="statistical_results"),IF(INDEX('C_jama.2024.23898'!$I$2:$I$8,MATCH("2024::jama.2024.23898::C005",'C_jama.2024.23898'!$A$2:$A$8,0))="","",INDEX('C_jama.2024.23898'!$I$2:$I$8,MATCH("2024::jama.2024.23898::C005",'C_jama.2024.23898'!$A$2:$A$8,0))),"not_applicable"),"NOT FROZEN")</x:f>
        <x:v>not_applicable</x:v>
      </x:c>
      <x:c r="F42" s="6" t="str">
        <x:f>IF(Setup!$B$6="primary",IF(AND(INDEX('C_jama.2024.23898'!$D$2:$D$8,MATCH("2024::jama.2024.23898::C005",'C_jama.2024.23898'!$A$2:$A$8,0))="retain",INDEX('C_jama.2024.23898'!$E$2:$E$8,MATCH("2024::jama.2024.23898::C005",'C_jama.2024.23898'!$A$2:$A$8,0))="statistical_results"),IF(INDEX('C_jama.2024.23898'!$J$2:$J$8,MATCH("2024::jama.2024.23898::C005",'C_jama.2024.23898'!$A$2:$A$8,0))="","",INDEX('C_jama.2024.23898'!$J$2:$J$8,MATCH("2024::jama.2024.23898::C005",'C_jama.2024.23898'!$A$2:$A$8,0))),"not_applicable"),"NOT FROZEN")</x:f>
        <x:v>not_applicable</x:v>
      </x:c>
      <x:c r="G42" s="6" t="str">
        <x:f>IF(Setup!$B$6="primary",IF(AND(INDEX('C_jama.2024.23898'!$D$2:$D$8,MATCH("2024::jama.2024.23898::C005",'C_jama.2024.23898'!$A$2:$A$8,0))="retain",OR(INDEX('C_jama.2024.23898'!$E$2:$E$8,MATCH("2024::jama.2024.23898::C005",'C_jama.2024.23898'!$A$2:$A$8,0))="report_internal_inconsistency",INDEX('C_jama.2024.23898'!$E$2:$E$8,MATCH("2024::jama.2024.23898::C005",'C_jama.2024.23898'!$A$2:$A$8,0))="plan_material")),IF(INDEX('C_jama.2024.23898'!$K$2:$K$8,MATCH("2024::jama.2024.23898::C005",'C_jama.2024.23898'!$A$2:$A$8,0))="","",INDEX('C_jama.2024.23898'!$K$2:$K$8,MATCH("2024::jama.2024.23898::C005",'C_jama.2024.23898'!$A$2:$A$8,0))),"not_applicable"),"NOT FROZEN")</x:f>
        <x:v>not_applicable</x:v>
      </x:c>
      <x:c r="H42" s="6" t="str">
        <x:f>IF(Setup!$B$6="primary",IF(AND(INDEX('C_jama.2024.23898'!$D$2:$D$8,MATCH("2024::jama.2024.23898::C005",'C_jama.2024.23898'!$A$2:$A$8,0))="retain",INDEX('C_jama.2024.23898'!$E$2:$E$8,MATCH("2024::jama.2024.23898::C005",'C_jama.2024.23898'!$A$2:$A$8,0))="protocol_report"),IF(INDEX('C_jama.2024.23898'!$L$2:$L$8,MATCH("2024::jama.2024.23898::C005",'C_jama.2024.23898'!$A$2:$A$8,0))="","",INDEX('C_jama.2024.23898'!$L$2:$L$8,MATCH("2024::jama.2024.23898::C005",'C_jama.2024.23898'!$A$2:$A$8,0))),"not_applicable"),"NOT FROZEN")</x:f>
        <x:v>not_applicable</x:v>
      </x:c>
      <x:c r="I42" s="6" t="str">
        <x:f>IF(Setup!$B$6="primary",IF(INDEX('C_jama.2024.23898'!$R$2:$R$8,MATCH("2024::jama.2024.23898::C005",'C_jama.2024.23898'!$A$2:$A$8,0))="","",INDEX('C_jama.2024.23898'!$R$2:$R$8,MATCH("2024::jama.2024.23898::C005",'C_jama.2024.23898'!$A$2:$A$8,0))),"NOT FROZEN")</x:f>
      </x:c>
      <x:c r="J42" s="6" t="str">
        <x:f>IF(Setup!$B$6="primary",INDEX('C_jama.2024.23898'!$F$2:$F$8,MATCH("2024::jama.2024.23898::C005",'C_jama.2024.23898'!$A$2:$A$8,0)),"NOT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IF(Setup!$B$6="primary","2024::jama.2024.23898::C006","NOT FROZEN")</x:f>
        <x:v>2024::jama.2024.23898::C006</x:v>
      </x:c>
      <x:c r="B43" s="3" t="str">
        <x:f>IF(Setup!$B$6="primary",IF(INDEX('C_jama.2024.23898'!$D$2:$D$8,MATCH("2024::jama.2024.23898::C006",'C_jama.2024.23898'!$A$2:$A$8,0))="","",INDEX('C_jama.2024.23898'!$D$2:$D$8,MATCH("2024::jama.2024.23898::C006",'C_jama.2024.23898'!$A$2:$A$8,0))),"NOT FROZEN")</x:f>
      </x:c>
      <x:c r="C43" s="3" t="str">
        <x:f>IF(Setup!$B$6="primary",IF(INDEX('C_jama.2024.23898'!$E$2:$E$8,MATCH("2024::jama.2024.23898::C006",'C_jama.2024.23898'!$A$2:$A$8,0))="","",INDEX('C_jama.2024.23898'!$E$2:$E$8,MATCH("2024::jama.2024.23898::C006",'C_jama.2024.23898'!$A$2:$A$8,0))),"NOT FROZEN")</x:f>
        <x:v>statistical_results</x:v>
      </x:c>
      <x:c r="D43" s="3" t="str">
        <x:f>IF(Setup!$B$6="primary",IF(AND(INDEX('C_jama.2024.23898'!$D$2:$D$8,MATCH("2024::jama.2024.23898::C006",'C_jama.2024.23898'!$A$2:$A$8,0))="retain",INDEX('C_jama.2024.23898'!$E$2:$E$8,MATCH("2024::jama.2024.23898::C006",'C_jama.2024.23898'!$A$2:$A$8,0))="statistical_results"),IF(INDEX('C_jama.2024.23898'!$H$2:$H$8,MATCH("2024::jama.2024.23898::C006",'C_jama.2024.23898'!$A$2:$A$8,0))="","",INDEX('C_jama.2024.23898'!$H$2:$H$8,MATCH("2024::jama.2024.23898::C006",'C_jama.2024.23898'!$A$2:$A$8,0))),"not_applicable"),"NOT FROZEN")</x:f>
        <x:v>not_applicable</x:v>
      </x:c>
      <x:c r="E43" s="3" t="str">
        <x:f>IF(Setup!$B$6="primary",IF(AND(INDEX('C_jama.2024.23898'!$D$2:$D$8,MATCH("2024::jama.2024.23898::C006",'C_jama.2024.23898'!$A$2:$A$8,0))="retain",INDEX('C_jama.2024.23898'!$E$2:$E$8,MATCH("2024::jama.2024.23898::C006",'C_jama.2024.23898'!$A$2:$A$8,0))="statistical_results"),IF(INDEX('C_jama.2024.23898'!$I$2:$I$8,MATCH("2024::jama.2024.23898::C006",'C_jama.2024.23898'!$A$2:$A$8,0))="","",INDEX('C_jama.2024.23898'!$I$2:$I$8,MATCH("2024::jama.2024.23898::C006",'C_jama.2024.23898'!$A$2:$A$8,0))),"not_applicable"),"NOT FROZEN")</x:f>
        <x:v>not_applicable</x:v>
      </x:c>
      <x:c r="F43" s="3" t="str">
        <x:f>IF(Setup!$B$6="primary",IF(AND(INDEX('C_jama.2024.23898'!$D$2:$D$8,MATCH("2024::jama.2024.23898::C006",'C_jama.2024.23898'!$A$2:$A$8,0))="retain",INDEX('C_jama.2024.23898'!$E$2:$E$8,MATCH("2024::jama.2024.23898::C006",'C_jama.2024.23898'!$A$2:$A$8,0))="statistical_results"),IF(INDEX('C_jama.2024.23898'!$J$2:$J$8,MATCH("2024::jama.2024.23898::C006",'C_jama.2024.23898'!$A$2:$A$8,0))="","",INDEX('C_jama.2024.23898'!$J$2:$J$8,MATCH("2024::jama.2024.23898::C006",'C_jama.2024.23898'!$A$2:$A$8,0))),"not_applicable"),"NOT FROZEN")</x:f>
        <x:v>not_applicable</x:v>
      </x:c>
      <x:c r="G43" s="3" t="str">
        <x:f>IF(Setup!$B$6="primary",IF(AND(INDEX('C_jama.2024.23898'!$D$2:$D$8,MATCH("2024::jama.2024.23898::C006",'C_jama.2024.23898'!$A$2:$A$8,0))="retain",OR(INDEX('C_jama.2024.23898'!$E$2:$E$8,MATCH("2024::jama.2024.23898::C006",'C_jama.2024.23898'!$A$2:$A$8,0))="report_internal_inconsistency",INDEX('C_jama.2024.23898'!$E$2:$E$8,MATCH("2024::jama.2024.23898::C006",'C_jama.2024.23898'!$A$2:$A$8,0))="plan_material")),IF(INDEX('C_jama.2024.23898'!$K$2:$K$8,MATCH("2024::jama.2024.23898::C006",'C_jama.2024.23898'!$A$2:$A$8,0))="","",INDEX('C_jama.2024.23898'!$K$2:$K$8,MATCH("2024::jama.2024.23898::C006",'C_jama.2024.23898'!$A$2:$A$8,0))),"not_applicable"),"NOT FROZEN")</x:f>
        <x:v>not_applicable</x:v>
      </x:c>
      <x:c r="H43" s="3" t="str">
        <x:f>IF(Setup!$B$6="primary",IF(AND(INDEX('C_jama.2024.23898'!$D$2:$D$8,MATCH("2024::jama.2024.23898::C006",'C_jama.2024.23898'!$A$2:$A$8,0))="retain",INDEX('C_jama.2024.23898'!$E$2:$E$8,MATCH("2024::jama.2024.23898::C006",'C_jama.2024.23898'!$A$2:$A$8,0))="protocol_report"),IF(INDEX('C_jama.2024.23898'!$L$2:$L$8,MATCH("2024::jama.2024.23898::C006",'C_jama.2024.23898'!$A$2:$A$8,0))="","",INDEX('C_jama.2024.23898'!$L$2:$L$8,MATCH("2024::jama.2024.23898::C006",'C_jama.2024.23898'!$A$2:$A$8,0))),"not_applicable"),"NOT FROZEN")</x:f>
        <x:v>not_applicable</x:v>
      </x:c>
      <x:c r="I43" s="3" t="str">
        <x:f>IF(Setup!$B$6="primary",IF(INDEX('C_jama.2024.23898'!$R$2:$R$8,MATCH("2024::jama.2024.23898::C006",'C_jama.2024.23898'!$A$2:$A$8,0))="","",INDEX('C_jama.2024.23898'!$R$2:$R$8,MATCH("2024::jama.2024.23898::C006",'C_jama.2024.23898'!$A$2:$A$8,0))),"NOT FROZEN")</x:f>
      </x:c>
      <x:c r="J43" s="3" t="str">
        <x:f>IF(Setup!$B$6="primary",INDEX('C_jama.2024.23898'!$F$2:$F$8,MATCH("2024::jama.2024.23898::C006",'C_jama.2024.23898'!$A$2:$A$8,0)),"NOT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IF(Setup!$B$6="primary","2024::jama.2024.23898::C007","NOT FROZEN")</x:f>
        <x:v>2024::jama.2024.23898::C007</x:v>
      </x:c>
      <x:c r="B44" s="6" t="str">
        <x:f>IF(Setup!$B$6="primary",IF(INDEX('C_jama.2024.23898'!$D$2:$D$8,MATCH("2024::jama.2024.23898::C007",'C_jama.2024.23898'!$A$2:$A$8,0))="","",INDEX('C_jama.2024.23898'!$D$2:$D$8,MATCH("2024::jama.2024.23898::C007",'C_jama.2024.23898'!$A$2:$A$8,0))),"NOT FROZEN")</x:f>
      </x:c>
      <x:c r="C44" s="6" t="str">
        <x:f>IF(Setup!$B$6="primary",IF(INDEX('C_jama.2024.23898'!$E$2:$E$8,MATCH("2024::jama.2024.23898::C007",'C_jama.2024.23898'!$A$2:$A$8,0))="","",INDEX('C_jama.2024.23898'!$E$2:$E$8,MATCH("2024::jama.2024.23898::C007",'C_jama.2024.23898'!$A$2:$A$8,0))),"NOT FROZEN")</x:f>
        <x:v>protocol_report</x:v>
      </x:c>
      <x:c r="D44" s="6" t="str">
        <x:f>IF(Setup!$B$6="primary",IF(AND(INDEX('C_jama.2024.23898'!$D$2:$D$8,MATCH("2024::jama.2024.23898::C007",'C_jama.2024.23898'!$A$2:$A$8,0))="retain",INDEX('C_jama.2024.23898'!$E$2:$E$8,MATCH("2024::jama.2024.23898::C007",'C_jama.2024.23898'!$A$2:$A$8,0))="statistical_results"),IF(INDEX('C_jama.2024.23898'!$H$2:$H$8,MATCH("2024::jama.2024.23898::C007",'C_jama.2024.23898'!$A$2:$A$8,0))="","",INDEX('C_jama.2024.23898'!$H$2:$H$8,MATCH("2024::jama.2024.23898::C007",'C_jama.2024.23898'!$A$2:$A$8,0))),"not_applicable"),"NOT FROZEN")</x:f>
        <x:v>not_applicable</x:v>
      </x:c>
      <x:c r="E44" s="6" t="str">
        <x:f>IF(Setup!$B$6="primary",IF(AND(INDEX('C_jama.2024.23898'!$D$2:$D$8,MATCH("2024::jama.2024.23898::C007",'C_jama.2024.23898'!$A$2:$A$8,0))="retain",INDEX('C_jama.2024.23898'!$E$2:$E$8,MATCH("2024::jama.2024.23898::C007",'C_jama.2024.23898'!$A$2:$A$8,0))="statistical_results"),IF(INDEX('C_jama.2024.23898'!$I$2:$I$8,MATCH("2024::jama.2024.23898::C007",'C_jama.2024.23898'!$A$2:$A$8,0))="","",INDEX('C_jama.2024.23898'!$I$2:$I$8,MATCH("2024::jama.2024.23898::C007",'C_jama.2024.23898'!$A$2:$A$8,0))),"not_applicable"),"NOT FROZEN")</x:f>
        <x:v>not_applicable</x:v>
      </x:c>
      <x:c r="F44" s="6" t="str">
        <x:f>IF(Setup!$B$6="primary",IF(AND(INDEX('C_jama.2024.23898'!$D$2:$D$8,MATCH("2024::jama.2024.23898::C007",'C_jama.2024.23898'!$A$2:$A$8,0))="retain",INDEX('C_jama.2024.23898'!$E$2:$E$8,MATCH("2024::jama.2024.23898::C007",'C_jama.2024.23898'!$A$2:$A$8,0))="statistical_results"),IF(INDEX('C_jama.2024.23898'!$J$2:$J$8,MATCH("2024::jama.2024.23898::C007",'C_jama.2024.23898'!$A$2:$A$8,0))="","",INDEX('C_jama.2024.23898'!$J$2:$J$8,MATCH("2024::jama.2024.23898::C007",'C_jama.2024.23898'!$A$2:$A$8,0))),"not_applicable"),"NOT FROZEN")</x:f>
        <x:v>not_applicable</x:v>
      </x:c>
      <x:c r="G44" s="6" t="str">
        <x:f>IF(Setup!$B$6="primary",IF(AND(INDEX('C_jama.2024.23898'!$D$2:$D$8,MATCH("2024::jama.2024.23898::C007",'C_jama.2024.23898'!$A$2:$A$8,0))="retain",OR(INDEX('C_jama.2024.23898'!$E$2:$E$8,MATCH("2024::jama.2024.23898::C007",'C_jama.2024.23898'!$A$2:$A$8,0))="report_internal_inconsistency",INDEX('C_jama.2024.23898'!$E$2:$E$8,MATCH("2024::jama.2024.23898::C007",'C_jama.2024.23898'!$A$2:$A$8,0))="plan_material")),IF(INDEX('C_jama.2024.23898'!$K$2:$K$8,MATCH("2024::jama.2024.23898::C007",'C_jama.2024.23898'!$A$2:$A$8,0))="","",INDEX('C_jama.2024.23898'!$K$2:$K$8,MATCH("2024::jama.2024.23898::C007",'C_jama.2024.23898'!$A$2:$A$8,0))),"not_applicable"),"NOT FROZEN")</x:f>
        <x:v>not_applicable</x:v>
      </x:c>
      <x:c r="H44" s="6" t="str">
        <x:f>IF(Setup!$B$6="primary",IF(AND(INDEX('C_jama.2024.23898'!$D$2:$D$8,MATCH("2024::jama.2024.23898::C007",'C_jama.2024.23898'!$A$2:$A$8,0))="retain",INDEX('C_jama.2024.23898'!$E$2:$E$8,MATCH("2024::jama.2024.23898::C007",'C_jama.2024.23898'!$A$2:$A$8,0))="protocol_report"),IF(INDEX('C_jama.2024.23898'!$L$2:$L$8,MATCH("2024::jama.2024.23898::C007",'C_jama.2024.23898'!$A$2:$A$8,0))="","",INDEX('C_jama.2024.23898'!$L$2:$L$8,MATCH("2024::jama.2024.23898::C007",'C_jama.2024.23898'!$A$2:$A$8,0))),"not_applicable"),"NOT FROZEN")</x:f>
        <x:v>not_applicable</x:v>
      </x:c>
      <x:c r="I44" s="6" t="str">
        <x:f>IF(Setup!$B$6="primary",IF(INDEX('C_jama.2024.23898'!$R$2:$R$8,MATCH("2024::jama.2024.23898::C007",'C_jama.2024.23898'!$A$2:$A$8,0))="","",INDEX('C_jama.2024.23898'!$R$2:$R$8,MATCH("2024::jama.2024.23898::C007",'C_jama.2024.23898'!$A$2:$A$8,0))),"NOT FROZEN")</x:f>
      </x:c>
      <x:c r="J44" s="6" t="str">
        <x:f>IF(Setup!$B$6="primary",INDEX('C_jama.2024.23898'!$F$2:$F$8,MATCH("2024::jama.2024.23898::C007",'C_jama.2024.23898'!$A$2:$A$8,0)),"NOT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protocol_report
</x:v>
      </x:c>
    </x:row>
    <x:row r="45" ht="70" customHeight="1">
      <x:c r="A45" s="3" t="str">
        <x:f>IF(Setup!$B$6="primary","2024::jama.2024.25786::C001","NOT FROZEN")</x:f>
        <x:v>2024::jama.2024.25786::C001</x:v>
      </x:c>
      <x:c r="B45" s="3" t="str">
        <x:f>IF(Setup!$B$6="primary",IF(INDEX('C_jama.2024.25786'!$D$2:$D$9,MATCH("2024::jama.2024.25786::C001",'C_jama.2024.25786'!$A$2:$A$9,0))="","",INDEX('C_jama.2024.25786'!$D$2:$D$9,MATCH("2024::jama.2024.25786::C001",'C_jama.2024.25786'!$A$2:$A$9,0))),"NOT FROZEN")</x:f>
      </x:c>
      <x:c r="C45" s="3" t="str">
        <x:f>IF(Setup!$B$6="primary",IF(INDEX('C_jama.2024.25786'!$E$2:$E$9,MATCH("2024::jama.2024.25786::C001",'C_jama.2024.25786'!$A$2:$A$9,0))="","",INDEX('C_jama.2024.25786'!$E$2:$E$9,MATCH("2024::jama.2024.25786::C001",'C_jama.2024.25786'!$A$2:$A$9,0))),"NOT FROZEN")</x:f>
        <x:v>statistical_results</x:v>
      </x:c>
      <x:c r="D45" s="3" t="str">
        <x:f>IF(Setup!$B$6="primary",IF(AND(INDEX('C_jama.2024.25786'!$D$2:$D$9,MATCH("2024::jama.2024.25786::C001",'C_jama.2024.25786'!$A$2:$A$9,0))="retain",INDEX('C_jama.2024.25786'!$E$2:$E$9,MATCH("2024::jama.2024.25786::C001",'C_jama.2024.25786'!$A$2:$A$9,0))="statistical_results"),IF(INDEX('C_jama.2024.25786'!$H$2:$H$9,MATCH("2024::jama.2024.25786::C001",'C_jama.2024.25786'!$A$2:$A$9,0))="","",INDEX('C_jama.2024.25786'!$H$2:$H$9,MATCH("2024::jama.2024.25786::C001",'C_jama.2024.25786'!$A$2:$A$9,0))),"not_applicable"),"NOT FROZEN")</x:f>
        <x:v>not_applicable</x:v>
      </x:c>
      <x:c r="E45" s="3" t="str">
        <x:f>IF(Setup!$B$6="primary",IF(AND(INDEX('C_jama.2024.25786'!$D$2:$D$9,MATCH("2024::jama.2024.25786::C001",'C_jama.2024.25786'!$A$2:$A$9,0))="retain",INDEX('C_jama.2024.25786'!$E$2:$E$9,MATCH("2024::jama.2024.25786::C001",'C_jama.2024.25786'!$A$2:$A$9,0))="statistical_results"),IF(INDEX('C_jama.2024.25786'!$I$2:$I$9,MATCH("2024::jama.2024.25786::C001",'C_jama.2024.25786'!$A$2:$A$9,0))="","",INDEX('C_jama.2024.25786'!$I$2:$I$9,MATCH("2024::jama.2024.25786::C001",'C_jama.2024.25786'!$A$2:$A$9,0))),"not_applicable"),"NOT FROZEN")</x:f>
        <x:v>not_applicable</x:v>
      </x:c>
      <x:c r="F45" s="3" t="str">
        <x:f>IF(Setup!$B$6="primary",IF(AND(INDEX('C_jama.2024.25786'!$D$2:$D$9,MATCH("2024::jama.2024.25786::C001",'C_jama.2024.25786'!$A$2:$A$9,0))="retain",INDEX('C_jama.2024.25786'!$E$2:$E$9,MATCH("2024::jama.2024.25786::C001",'C_jama.2024.25786'!$A$2:$A$9,0))="statistical_results"),IF(INDEX('C_jama.2024.25786'!$J$2:$J$9,MATCH("2024::jama.2024.25786::C001",'C_jama.2024.25786'!$A$2:$A$9,0))="","",INDEX('C_jama.2024.25786'!$J$2:$J$9,MATCH("2024::jama.2024.25786::C001",'C_jama.2024.25786'!$A$2:$A$9,0))),"not_applicable"),"NOT FROZEN")</x:f>
        <x:v>not_applicable</x:v>
      </x:c>
      <x:c r="G45" s="3" t="str">
        <x:f>IF(Setup!$B$6="primary",IF(AND(INDEX('C_jama.2024.25786'!$D$2:$D$9,MATCH("2024::jama.2024.25786::C001",'C_jama.2024.25786'!$A$2:$A$9,0))="retain",OR(INDEX('C_jama.2024.25786'!$E$2:$E$9,MATCH("2024::jama.2024.25786::C001",'C_jama.2024.25786'!$A$2:$A$9,0))="report_internal_inconsistency",INDEX('C_jama.2024.25786'!$E$2:$E$9,MATCH("2024::jama.2024.25786::C001",'C_jama.2024.25786'!$A$2:$A$9,0))="plan_material")),IF(INDEX('C_jama.2024.25786'!$K$2:$K$9,MATCH("2024::jama.2024.25786::C001",'C_jama.2024.25786'!$A$2:$A$9,0))="","",INDEX('C_jama.2024.25786'!$K$2:$K$9,MATCH("2024::jama.2024.25786::C001",'C_jama.2024.25786'!$A$2:$A$9,0))),"not_applicable"),"NOT FROZEN")</x:f>
        <x:v>not_applicable</x:v>
      </x:c>
      <x:c r="H45" s="3" t="str">
        <x:f>IF(Setup!$B$6="primary",IF(AND(INDEX('C_jama.2024.25786'!$D$2:$D$9,MATCH("2024::jama.2024.25786::C001",'C_jama.2024.25786'!$A$2:$A$9,0))="retain",INDEX('C_jama.2024.25786'!$E$2:$E$9,MATCH("2024::jama.2024.25786::C001",'C_jama.2024.25786'!$A$2:$A$9,0))="protocol_report"),IF(INDEX('C_jama.2024.25786'!$L$2:$L$9,MATCH("2024::jama.2024.25786::C001",'C_jama.2024.25786'!$A$2:$A$9,0))="","",INDEX('C_jama.2024.25786'!$L$2:$L$9,MATCH("2024::jama.2024.25786::C001",'C_jama.2024.25786'!$A$2:$A$9,0))),"not_applicable"),"NOT FROZEN")</x:f>
        <x:v>not_applicable</x:v>
      </x:c>
      <x:c r="I45" s="3" t="str">
        <x:f>IF(Setup!$B$6="primary",IF(INDEX('C_jama.2024.25786'!$R$2:$R$9,MATCH("2024::jama.2024.25786::C001",'C_jama.2024.25786'!$A$2:$A$9,0))="","",INDEX('C_jama.2024.25786'!$R$2:$R$9,MATCH("2024::jama.2024.25786::C001",'C_jama.2024.25786'!$A$2:$A$9,0))),"NOT FROZEN")</x:f>
      </x:c>
      <x:c r="J45" s="3" t="str">
        <x:f>IF(Setup!$B$6="primary",INDEX('C_jama.2024.25786'!$F$2:$F$9,MATCH("2024::jama.2024.25786::C001",'C_jama.2024.25786'!$A$2:$A$9,0)),"NOT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IF(Setup!$B$6="primary","2024::jama.2024.25786::C002","NOT FROZEN")</x:f>
        <x:v>2024::jama.2024.25786::C002</x:v>
      </x:c>
      <x:c r="B46" s="6" t="str">
        <x:f>IF(Setup!$B$6="primary",IF(INDEX('C_jama.2024.25786'!$D$2:$D$9,MATCH("2024::jama.2024.25786::C002",'C_jama.2024.25786'!$A$2:$A$9,0))="","",INDEX('C_jama.2024.25786'!$D$2:$D$9,MATCH("2024::jama.2024.25786::C002",'C_jama.2024.25786'!$A$2:$A$9,0))),"NOT FROZEN")</x:f>
      </x:c>
      <x:c r="C46" s="6" t="str">
        <x:f>IF(Setup!$B$6="primary",IF(INDEX('C_jama.2024.25786'!$E$2:$E$9,MATCH("2024::jama.2024.25786::C002",'C_jama.2024.25786'!$A$2:$A$9,0))="","",INDEX('C_jama.2024.25786'!$E$2:$E$9,MATCH("2024::jama.2024.25786::C002",'C_jama.2024.25786'!$A$2:$A$9,0))),"NOT FROZEN")</x:f>
        <x:v>statistical_results</x:v>
      </x:c>
      <x:c r="D46" s="6" t="str">
        <x:f>IF(Setup!$B$6="primary",IF(AND(INDEX('C_jama.2024.25786'!$D$2:$D$9,MATCH("2024::jama.2024.25786::C002",'C_jama.2024.25786'!$A$2:$A$9,0))="retain",INDEX('C_jama.2024.25786'!$E$2:$E$9,MATCH("2024::jama.2024.25786::C002",'C_jama.2024.25786'!$A$2:$A$9,0))="statistical_results"),IF(INDEX('C_jama.2024.25786'!$H$2:$H$9,MATCH("2024::jama.2024.25786::C002",'C_jama.2024.25786'!$A$2:$A$9,0))="","",INDEX('C_jama.2024.25786'!$H$2:$H$9,MATCH("2024::jama.2024.25786::C002",'C_jama.2024.25786'!$A$2:$A$9,0))),"not_applicable"),"NOT FROZEN")</x:f>
        <x:v>not_applicable</x:v>
      </x:c>
      <x:c r="E46" s="6" t="str">
        <x:f>IF(Setup!$B$6="primary",IF(AND(INDEX('C_jama.2024.25786'!$D$2:$D$9,MATCH("2024::jama.2024.25786::C002",'C_jama.2024.25786'!$A$2:$A$9,0))="retain",INDEX('C_jama.2024.25786'!$E$2:$E$9,MATCH("2024::jama.2024.25786::C002",'C_jama.2024.25786'!$A$2:$A$9,0))="statistical_results"),IF(INDEX('C_jama.2024.25786'!$I$2:$I$9,MATCH("2024::jama.2024.25786::C002",'C_jama.2024.25786'!$A$2:$A$9,0))="","",INDEX('C_jama.2024.25786'!$I$2:$I$9,MATCH("2024::jama.2024.25786::C002",'C_jama.2024.25786'!$A$2:$A$9,0))),"not_applicable"),"NOT FROZEN")</x:f>
        <x:v>not_applicable</x:v>
      </x:c>
      <x:c r="F46" s="6" t="str">
        <x:f>IF(Setup!$B$6="primary",IF(AND(INDEX('C_jama.2024.25786'!$D$2:$D$9,MATCH("2024::jama.2024.25786::C002",'C_jama.2024.25786'!$A$2:$A$9,0))="retain",INDEX('C_jama.2024.25786'!$E$2:$E$9,MATCH("2024::jama.2024.25786::C002",'C_jama.2024.25786'!$A$2:$A$9,0))="statistical_results"),IF(INDEX('C_jama.2024.25786'!$J$2:$J$9,MATCH("2024::jama.2024.25786::C002",'C_jama.2024.25786'!$A$2:$A$9,0))="","",INDEX('C_jama.2024.25786'!$J$2:$J$9,MATCH("2024::jama.2024.25786::C002",'C_jama.2024.25786'!$A$2:$A$9,0))),"not_applicable"),"NOT FROZEN")</x:f>
        <x:v>not_applicable</x:v>
      </x:c>
      <x:c r="G46" s="6" t="str">
        <x:f>IF(Setup!$B$6="primary",IF(AND(INDEX('C_jama.2024.25786'!$D$2:$D$9,MATCH("2024::jama.2024.25786::C002",'C_jama.2024.25786'!$A$2:$A$9,0))="retain",OR(INDEX('C_jama.2024.25786'!$E$2:$E$9,MATCH("2024::jama.2024.25786::C002",'C_jama.2024.25786'!$A$2:$A$9,0))="report_internal_inconsistency",INDEX('C_jama.2024.25786'!$E$2:$E$9,MATCH("2024::jama.2024.25786::C002",'C_jama.2024.25786'!$A$2:$A$9,0))="plan_material")),IF(INDEX('C_jama.2024.25786'!$K$2:$K$9,MATCH("2024::jama.2024.25786::C002",'C_jama.2024.25786'!$A$2:$A$9,0))="","",INDEX('C_jama.2024.25786'!$K$2:$K$9,MATCH("2024::jama.2024.25786::C002",'C_jama.2024.25786'!$A$2:$A$9,0))),"not_applicable"),"NOT FROZEN")</x:f>
        <x:v>not_applicable</x:v>
      </x:c>
      <x:c r="H46" s="6" t="str">
        <x:f>IF(Setup!$B$6="primary",IF(AND(INDEX('C_jama.2024.25786'!$D$2:$D$9,MATCH("2024::jama.2024.25786::C002",'C_jama.2024.25786'!$A$2:$A$9,0))="retain",INDEX('C_jama.2024.25786'!$E$2:$E$9,MATCH("2024::jama.2024.25786::C002",'C_jama.2024.25786'!$A$2:$A$9,0))="protocol_report"),IF(INDEX('C_jama.2024.25786'!$L$2:$L$9,MATCH("2024::jama.2024.25786::C002",'C_jama.2024.25786'!$A$2:$A$9,0))="","",INDEX('C_jama.2024.25786'!$L$2:$L$9,MATCH("2024::jama.2024.25786::C002",'C_jama.2024.25786'!$A$2:$A$9,0))),"not_applicable"),"NOT FROZEN")</x:f>
        <x:v>not_applicable</x:v>
      </x:c>
      <x:c r="I46" s="6" t="str">
        <x:f>IF(Setup!$B$6="primary",IF(INDEX('C_jama.2024.25786'!$R$2:$R$9,MATCH("2024::jama.2024.25786::C002",'C_jama.2024.25786'!$A$2:$A$9,0))="","",INDEX('C_jama.2024.25786'!$R$2:$R$9,MATCH("2024::jama.2024.25786::C002",'C_jama.2024.25786'!$A$2:$A$9,0))),"NOT FROZEN")</x:f>
      </x:c>
      <x:c r="J46" s="6" t="str">
        <x:f>IF(Setup!$B$6="primary",INDEX('C_jama.2024.25786'!$F$2:$F$9,MATCH("2024::jama.2024.25786::C002",'C_jama.2024.25786'!$A$2:$A$9,0)),"NOT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IF(Setup!$B$6="primary","2024::jama.2024.25786::C003","NOT FROZEN")</x:f>
        <x:v>2024::jama.2024.25786::C003</x:v>
      </x:c>
      <x:c r="B47" s="3" t="str">
        <x:f>IF(Setup!$B$6="primary",IF(INDEX('C_jama.2024.25786'!$D$2:$D$9,MATCH("2024::jama.2024.25786::C003",'C_jama.2024.25786'!$A$2:$A$9,0))="","",INDEX('C_jama.2024.25786'!$D$2:$D$9,MATCH("2024::jama.2024.25786::C003",'C_jama.2024.25786'!$A$2:$A$9,0))),"NOT FROZEN")</x:f>
      </x:c>
      <x:c r="C47" s="3" t="str">
        <x:f>IF(Setup!$B$6="primary",IF(INDEX('C_jama.2024.25786'!$E$2:$E$9,MATCH("2024::jama.2024.25786::C003",'C_jama.2024.25786'!$A$2:$A$9,0))="","",INDEX('C_jama.2024.25786'!$E$2:$E$9,MATCH("2024::jama.2024.25786::C003",'C_jama.2024.25786'!$A$2:$A$9,0))),"NOT FROZEN")</x:f>
        <x:v>report_internal_inconsistency</x:v>
      </x:c>
      <x:c r="D47" s="3" t="str">
        <x:f>IF(Setup!$B$6="primary",IF(AND(INDEX('C_jama.2024.25786'!$D$2:$D$9,MATCH("2024::jama.2024.25786::C003",'C_jama.2024.25786'!$A$2:$A$9,0))="retain",INDEX('C_jama.2024.25786'!$E$2:$E$9,MATCH("2024::jama.2024.25786::C003",'C_jama.2024.25786'!$A$2:$A$9,0))="statistical_results"),IF(INDEX('C_jama.2024.25786'!$H$2:$H$9,MATCH("2024::jama.2024.25786::C003",'C_jama.2024.25786'!$A$2:$A$9,0))="","",INDEX('C_jama.2024.25786'!$H$2:$H$9,MATCH("2024::jama.2024.25786::C003",'C_jama.2024.25786'!$A$2:$A$9,0))),"not_applicable"),"NOT FROZEN")</x:f>
        <x:v>not_applicable</x:v>
      </x:c>
      <x:c r="E47" s="3" t="str">
        <x:f>IF(Setup!$B$6="primary",IF(AND(INDEX('C_jama.2024.25786'!$D$2:$D$9,MATCH("2024::jama.2024.25786::C003",'C_jama.2024.25786'!$A$2:$A$9,0))="retain",INDEX('C_jama.2024.25786'!$E$2:$E$9,MATCH("2024::jama.2024.25786::C003",'C_jama.2024.25786'!$A$2:$A$9,0))="statistical_results"),IF(INDEX('C_jama.2024.25786'!$I$2:$I$9,MATCH("2024::jama.2024.25786::C003",'C_jama.2024.25786'!$A$2:$A$9,0))="","",INDEX('C_jama.2024.25786'!$I$2:$I$9,MATCH("2024::jama.2024.25786::C003",'C_jama.2024.25786'!$A$2:$A$9,0))),"not_applicable"),"NOT FROZEN")</x:f>
        <x:v>not_applicable</x:v>
      </x:c>
      <x:c r="F47" s="3" t="str">
        <x:f>IF(Setup!$B$6="primary",IF(AND(INDEX('C_jama.2024.25786'!$D$2:$D$9,MATCH("2024::jama.2024.25786::C003",'C_jama.2024.25786'!$A$2:$A$9,0))="retain",INDEX('C_jama.2024.25786'!$E$2:$E$9,MATCH("2024::jama.2024.25786::C003",'C_jama.2024.25786'!$A$2:$A$9,0))="statistical_results"),IF(INDEX('C_jama.2024.25786'!$J$2:$J$9,MATCH("2024::jama.2024.25786::C003",'C_jama.2024.25786'!$A$2:$A$9,0))="","",INDEX('C_jama.2024.25786'!$J$2:$J$9,MATCH("2024::jama.2024.25786::C003",'C_jama.2024.25786'!$A$2:$A$9,0))),"not_applicable"),"NOT FROZEN")</x:f>
        <x:v>not_applicable</x:v>
      </x:c>
      <x:c r="G47" s="3" t="str">
        <x:f>IF(Setup!$B$6="primary",IF(AND(INDEX('C_jama.2024.25786'!$D$2:$D$9,MATCH("2024::jama.2024.25786::C003",'C_jama.2024.25786'!$A$2:$A$9,0))="retain",OR(INDEX('C_jama.2024.25786'!$E$2:$E$9,MATCH("2024::jama.2024.25786::C003",'C_jama.2024.25786'!$A$2:$A$9,0))="report_internal_inconsistency",INDEX('C_jama.2024.25786'!$E$2:$E$9,MATCH("2024::jama.2024.25786::C003",'C_jama.2024.25786'!$A$2:$A$9,0))="plan_material")),IF(INDEX('C_jama.2024.25786'!$K$2:$K$9,MATCH("2024::jama.2024.25786::C003",'C_jama.2024.25786'!$A$2:$A$9,0))="","",INDEX('C_jama.2024.25786'!$K$2:$K$9,MATCH("2024::jama.2024.25786::C003",'C_jama.2024.25786'!$A$2:$A$9,0))),"not_applicable"),"NOT FROZEN")</x:f>
        <x:v>not_applicable</x:v>
      </x:c>
      <x:c r="H47" s="3" t="str">
        <x:f>IF(Setup!$B$6="primary",IF(AND(INDEX('C_jama.2024.25786'!$D$2:$D$9,MATCH("2024::jama.2024.25786::C003",'C_jama.2024.25786'!$A$2:$A$9,0))="retain",INDEX('C_jama.2024.25786'!$E$2:$E$9,MATCH("2024::jama.2024.25786::C003",'C_jama.2024.25786'!$A$2:$A$9,0))="protocol_report"),IF(INDEX('C_jama.2024.25786'!$L$2:$L$9,MATCH("2024::jama.2024.25786::C003",'C_jama.2024.25786'!$A$2:$A$9,0))="","",INDEX('C_jama.2024.25786'!$L$2:$L$9,MATCH("2024::jama.2024.25786::C003",'C_jama.2024.25786'!$A$2:$A$9,0))),"not_applicable"),"NOT FROZEN")</x:f>
        <x:v>not_applicable</x:v>
      </x:c>
      <x:c r="I47" s="3" t="str">
        <x:f>IF(Setup!$B$6="primary",IF(INDEX('C_jama.2024.25786'!$R$2:$R$9,MATCH("2024::jama.2024.25786::C003",'C_jama.2024.25786'!$A$2:$A$9,0))="","",INDEX('C_jama.2024.25786'!$R$2:$R$9,MATCH("2024::jama.2024.25786::C003",'C_jama.2024.25786'!$A$2:$A$9,0))),"NOT FROZEN")</x:f>
      </x:c>
      <x:c r="J47" s="3" t="str">
        <x:f>IF(Setup!$B$6="primary",INDEX('C_jama.2024.25786'!$F$2:$F$9,MATCH("2024::jama.2024.25786::C003",'C_jama.2024.25786'!$A$2:$A$9,0)),"NOT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report_internal_inconsistency
</x:v>
      </x:c>
    </x:row>
    <x:row r="48" ht="70" customHeight="1">
      <x:c r="A48" s="6" t="str">
        <x:f>IF(Setup!$B$6="primary","2024::jama.2024.25786::C004","NOT FROZEN")</x:f>
        <x:v>2024::jama.2024.25786::C004</x:v>
      </x:c>
      <x:c r="B48" s="6" t="str">
        <x:f>IF(Setup!$B$6="primary",IF(INDEX('C_jama.2024.25786'!$D$2:$D$9,MATCH("2024::jama.2024.25786::C004",'C_jama.2024.25786'!$A$2:$A$9,0))="","",INDEX('C_jama.2024.25786'!$D$2:$D$9,MATCH("2024::jama.2024.25786::C004",'C_jama.2024.25786'!$A$2:$A$9,0))),"NOT FROZEN")</x:f>
      </x:c>
      <x:c r="C48" s="6" t="str">
        <x:f>IF(Setup!$B$6="primary",IF(INDEX('C_jama.2024.25786'!$E$2:$E$9,MATCH("2024::jama.2024.25786::C004",'C_jama.2024.25786'!$A$2:$A$9,0))="","",INDEX('C_jama.2024.25786'!$E$2:$E$9,MATCH("2024::jama.2024.25786::C004",'C_jama.2024.25786'!$A$2:$A$9,0))),"NOT FROZEN")</x:f>
        <x:v>report_internal_inconsistency</x:v>
      </x:c>
      <x:c r="D48" s="6" t="str">
        <x:f>IF(Setup!$B$6="primary",IF(AND(INDEX('C_jama.2024.25786'!$D$2:$D$9,MATCH("2024::jama.2024.25786::C004",'C_jama.2024.25786'!$A$2:$A$9,0))="retain",INDEX('C_jama.2024.25786'!$E$2:$E$9,MATCH("2024::jama.2024.25786::C004",'C_jama.2024.25786'!$A$2:$A$9,0))="statistical_results"),IF(INDEX('C_jama.2024.25786'!$H$2:$H$9,MATCH("2024::jama.2024.25786::C004",'C_jama.2024.25786'!$A$2:$A$9,0))="","",INDEX('C_jama.2024.25786'!$H$2:$H$9,MATCH("2024::jama.2024.25786::C004",'C_jama.2024.25786'!$A$2:$A$9,0))),"not_applicable"),"NOT FROZEN")</x:f>
        <x:v>not_applicable</x:v>
      </x:c>
      <x:c r="E48" s="6" t="str">
        <x:f>IF(Setup!$B$6="primary",IF(AND(INDEX('C_jama.2024.25786'!$D$2:$D$9,MATCH("2024::jama.2024.25786::C004",'C_jama.2024.25786'!$A$2:$A$9,0))="retain",INDEX('C_jama.2024.25786'!$E$2:$E$9,MATCH("2024::jama.2024.25786::C004",'C_jama.2024.25786'!$A$2:$A$9,0))="statistical_results"),IF(INDEX('C_jama.2024.25786'!$I$2:$I$9,MATCH("2024::jama.2024.25786::C004",'C_jama.2024.25786'!$A$2:$A$9,0))="","",INDEX('C_jama.2024.25786'!$I$2:$I$9,MATCH("2024::jama.2024.25786::C004",'C_jama.2024.25786'!$A$2:$A$9,0))),"not_applicable"),"NOT FROZEN")</x:f>
        <x:v>not_applicable</x:v>
      </x:c>
      <x:c r="F48" s="6" t="str">
        <x:f>IF(Setup!$B$6="primary",IF(AND(INDEX('C_jama.2024.25786'!$D$2:$D$9,MATCH("2024::jama.2024.25786::C004",'C_jama.2024.25786'!$A$2:$A$9,0))="retain",INDEX('C_jama.2024.25786'!$E$2:$E$9,MATCH("2024::jama.2024.25786::C004",'C_jama.2024.25786'!$A$2:$A$9,0))="statistical_results"),IF(INDEX('C_jama.2024.25786'!$J$2:$J$9,MATCH("2024::jama.2024.25786::C004",'C_jama.2024.25786'!$A$2:$A$9,0))="","",INDEX('C_jama.2024.25786'!$J$2:$J$9,MATCH("2024::jama.2024.25786::C004",'C_jama.2024.25786'!$A$2:$A$9,0))),"not_applicable"),"NOT FROZEN")</x:f>
        <x:v>not_applicable</x:v>
      </x:c>
      <x:c r="G48" s="6" t="str">
        <x:f>IF(Setup!$B$6="primary",IF(AND(INDEX('C_jama.2024.25786'!$D$2:$D$9,MATCH("2024::jama.2024.25786::C004",'C_jama.2024.25786'!$A$2:$A$9,0))="retain",OR(INDEX('C_jama.2024.25786'!$E$2:$E$9,MATCH("2024::jama.2024.25786::C004",'C_jama.2024.25786'!$A$2:$A$9,0))="report_internal_inconsistency",INDEX('C_jama.2024.25786'!$E$2:$E$9,MATCH("2024::jama.2024.25786::C004",'C_jama.2024.25786'!$A$2:$A$9,0))="plan_material")),IF(INDEX('C_jama.2024.25786'!$K$2:$K$9,MATCH("2024::jama.2024.25786::C004",'C_jama.2024.25786'!$A$2:$A$9,0))="","",INDEX('C_jama.2024.25786'!$K$2:$K$9,MATCH("2024::jama.2024.25786::C004",'C_jama.2024.25786'!$A$2:$A$9,0))),"not_applicable"),"NOT FROZEN")</x:f>
        <x:v>not_applicable</x:v>
      </x:c>
      <x:c r="H48" s="6" t="str">
        <x:f>IF(Setup!$B$6="primary",IF(AND(INDEX('C_jama.2024.25786'!$D$2:$D$9,MATCH("2024::jama.2024.25786::C004",'C_jama.2024.25786'!$A$2:$A$9,0))="retain",INDEX('C_jama.2024.25786'!$E$2:$E$9,MATCH("2024::jama.2024.25786::C004",'C_jama.2024.25786'!$A$2:$A$9,0))="protocol_report"),IF(INDEX('C_jama.2024.25786'!$L$2:$L$9,MATCH("2024::jama.2024.25786::C004",'C_jama.2024.25786'!$A$2:$A$9,0))="","",INDEX('C_jama.2024.25786'!$L$2:$L$9,MATCH("2024::jama.2024.25786::C004",'C_jama.2024.25786'!$A$2:$A$9,0))),"not_applicable"),"NOT FROZEN")</x:f>
        <x:v>not_applicable</x:v>
      </x:c>
      <x:c r="I48" s="6" t="str">
        <x:f>IF(Setup!$B$6="primary",IF(INDEX('C_jama.2024.25786'!$R$2:$R$9,MATCH("2024::jama.2024.25786::C004",'C_jama.2024.25786'!$A$2:$A$9,0))="","",INDEX('C_jama.2024.25786'!$R$2:$R$9,MATCH("2024::jama.2024.25786::C004",'C_jama.2024.25786'!$A$2:$A$9,0))),"NOT FROZEN")</x:f>
      </x:c>
      <x:c r="J48" s="6" t="str">
        <x:f>IF(Setup!$B$6="primary",INDEX('C_jama.2024.25786'!$F$2:$F$9,MATCH("2024::jama.2024.25786::C004",'C_jama.2024.25786'!$A$2:$A$9,0)),"NOT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report_internal_inconsistency
</x:v>
      </x:c>
    </x:row>
    <x:row r="49" ht="70" customHeight="1">
      <x:c r="A49" s="3" t="str">
        <x:f>IF(Setup!$B$6="primary","2024::jama.2024.25786::C005","NOT FROZEN")</x:f>
        <x:v>2024::jama.2024.25786::C005</x:v>
      </x:c>
      <x:c r="B49" s="3" t="str">
        <x:f>IF(Setup!$B$6="primary",IF(INDEX('C_jama.2024.25786'!$D$2:$D$9,MATCH("2024::jama.2024.25786::C005",'C_jama.2024.25786'!$A$2:$A$9,0))="","",INDEX('C_jama.2024.25786'!$D$2:$D$9,MATCH("2024::jama.2024.25786::C005",'C_jama.2024.25786'!$A$2:$A$9,0))),"NOT FROZEN")</x:f>
      </x:c>
      <x:c r="C49" s="3" t="str">
        <x:f>IF(Setup!$B$6="primary",IF(INDEX('C_jama.2024.25786'!$E$2:$E$9,MATCH("2024::jama.2024.25786::C005",'C_jama.2024.25786'!$A$2:$A$9,0))="","",INDEX('C_jama.2024.25786'!$E$2:$E$9,MATCH("2024::jama.2024.25786::C005",'C_jama.2024.25786'!$A$2:$A$9,0))),"NOT FROZEN")</x:f>
        <x:v>report_internal_inconsistency</x:v>
      </x:c>
      <x:c r="D49" s="3" t="str">
        <x:f>IF(Setup!$B$6="primary",IF(AND(INDEX('C_jama.2024.25786'!$D$2:$D$9,MATCH("2024::jama.2024.25786::C005",'C_jama.2024.25786'!$A$2:$A$9,0))="retain",INDEX('C_jama.2024.25786'!$E$2:$E$9,MATCH("2024::jama.2024.25786::C005",'C_jama.2024.25786'!$A$2:$A$9,0))="statistical_results"),IF(INDEX('C_jama.2024.25786'!$H$2:$H$9,MATCH("2024::jama.2024.25786::C005",'C_jama.2024.25786'!$A$2:$A$9,0))="","",INDEX('C_jama.2024.25786'!$H$2:$H$9,MATCH("2024::jama.2024.25786::C005",'C_jama.2024.25786'!$A$2:$A$9,0))),"not_applicable"),"NOT FROZEN")</x:f>
        <x:v>not_applicable</x:v>
      </x:c>
      <x:c r="E49" s="3" t="str">
        <x:f>IF(Setup!$B$6="primary",IF(AND(INDEX('C_jama.2024.25786'!$D$2:$D$9,MATCH("2024::jama.2024.25786::C005",'C_jama.2024.25786'!$A$2:$A$9,0))="retain",INDEX('C_jama.2024.25786'!$E$2:$E$9,MATCH("2024::jama.2024.25786::C005",'C_jama.2024.25786'!$A$2:$A$9,0))="statistical_results"),IF(INDEX('C_jama.2024.25786'!$I$2:$I$9,MATCH("2024::jama.2024.25786::C005",'C_jama.2024.25786'!$A$2:$A$9,0))="","",INDEX('C_jama.2024.25786'!$I$2:$I$9,MATCH("2024::jama.2024.25786::C005",'C_jama.2024.25786'!$A$2:$A$9,0))),"not_applicable"),"NOT FROZEN")</x:f>
        <x:v>not_applicable</x:v>
      </x:c>
      <x:c r="F49" s="3" t="str">
        <x:f>IF(Setup!$B$6="primary",IF(AND(INDEX('C_jama.2024.25786'!$D$2:$D$9,MATCH("2024::jama.2024.25786::C005",'C_jama.2024.25786'!$A$2:$A$9,0))="retain",INDEX('C_jama.2024.25786'!$E$2:$E$9,MATCH("2024::jama.2024.25786::C005",'C_jama.2024.25786'!$A$2:$A$9,0))="statistical_results"),IF(INDEX('C_jama.2024.25786'!$J$2:$J$9,MATCH("2024::jama.2024.25786::C005",'C_jama.2024.25786'!$A$2:$A$9,0))="","",INDEX('C_jama.2024.25786'!$J$2:$J$9,MATCH("2024::jama.2024.25786::C005",'C_jama.2024.25786'!$A$2:$A$9,0))),"not_applicable"),"NOT FROZEN")</x:f>
        <x:v>not_applicable</x:v>
      </x:c>
      <x:c r="G49" s="3" t="str">
        <x:f>IF(Setup!$B$6="primary",IF(AND(INDEX('C_jama.2024.25786'!$D$2:$D$9,MATCH("2024::jama.2024.25786::C005",'C_jama.2024.25786'!$A$2:$A$9,0))="retain",OR(INDEX('C_jama.2024.25786'!$E$2:$E$9,MATCH("2024::jama.2024.25786::C005",'C_jama.2024.25786'!$A$2:$A$9,0))="report_internal_inconsistency",INDEX('C_jama.2024.25786'!$E$2:$E$9,MATCH("2024::jama.2024.25786::C005",'C_jama.2024.25786'!$A$2:$A$9,0))="plan_material")),IF(INDEX('C_jama.2024.25786'!$K$2:$K$9,MATCH("2024::jama.2024.25786::C005",'C_jama.2024.25786'!$A$2:$A$9,0))="","",INDEX('C_jama.2024.25786'!$K$2:$K$9,MATCH("2024::jama.2024.25786::C005",'C_jama.2024.25786'!$A$2:$A$9,0))),"not_applicable"),"NOT FROZEN")</x:f>
        <x:v>not_applicable</x:v>
      </x:c>
      <x:c r="H49" s="3" t="str">
        <x:f>IF(Setup!$B$6="primary",IF(AND(INDEX('C_jama.2024.25786'!$D$2:$D$9,MATCH("2024::jama.2024.25786::C005",'C_jama.2024.25786'!$A$2:$A$9,0))="retain",INDEX('C_jama.2024.25786'!$E$2:$E$9,MATCH("2024::jama.2024.25786::C005",'C_jama.2024.25786'!$A$2:$A$9,0))="protocol_report"),IF(INDEX('C_jama.2024.25786'!$L$2:$L$9,MATCH("2024::jama.2024.25786::C005",'C_jama.2024.25786'!$A$2:$A$9,0))="","",INDEX('C_jama.2024.25786'!$L$2:$L$9,MATCH("2024::jama.2024.25786::C005",'C_jama.2024.25786'!$A$2:$A$9,0))),"not_applicable"),"NOT FROZEN")</x:f>
        <x:v>not_applicable</x:v>
      </x:c>
      <x:c r="I49" s="3" t="str">
        <x:f>IF(Setup!$B$6="primary",IF(INDEX('C_jama.2024.25786'!$R$2:$R$9,MATCH("2024::jama.2024.25786::C005",'C_jama.2024.25786'!$A$2:$A$9,0))="","",INDEX('C_jama.2024.25786'!$R$2:$R$9,MATCH("2024::jama.2024.25786::C005",'C_jama.2024.25786'!$A$2:$A$9,0))),"NOT FROZEN")</x:f>
      </x:c>
      <x:c r="J49" s="3" t="str">
        <x:f>IF(Setup!$B$6="primary",INDEX('C_jama.2024.25786'!$F$2:$F$9,MATCH("2024::jama.2024.25786::C005",'C_jama.2024.25786'!$A$2:$A$9,0)),"NOT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report_internal_inconsistency
</x:v>
      </x:c>
    </x:row>
    <x:row r="50" ht="70" customHeight="1">
      <x:c r="A50" s="6" t="str">
        <x:f>IF(Setup!$B$6="primary","2024::jama.2024.25786::C006","NOT FROZEN")</x:f>
        <x:v>2024::jama.2024.25786::C006</x:v>
      </x:c>
      <x:c r="B50" s="6" t="str">
        <x:f>IF(Setup!$B$6="primary",IF(INDEX('C_jama.2024.25786'!$D$2:$D$9,MATCH("2024::jama.2024.25786::C006",'C_jama.2024.25786'!$A$2:$A$9,0))="","",INDEX('C_jama.2024.25786'!$D$2:$D$9,MATCH("2024::jama.2024.25786::C006",'C_jama.2024.25786'!$A$2:$A$9,0))),"NOT FROZEN")</x:f>
      </x:c>
      <x:c r="C50" s="6" t="str">
        <x:f>IF(Setup!$B$6="primary",IF(INDEX('C_jama.2024.25786'!$E$2:$E$9,MATCH("2024::jama.2024.25786::C006",'C_jama.2024.25786'!$A$2:$A$9,0))="","",INDEX('C_jama.2024.25786'!$E$2:$E$9,MATCH("2024::jama.2024.25786::C006",'C_jama.2024.25786'!$A$2:$A$9,0))),"NOT FROZEN")</x:f>
        <x:v>report_internal_inconsistency</x:v>
      </x:c>
      <x:c r="D50" s="6" t="str">
        <x:f>IF(Setup!$B$6="primary",IF(AND(INDEX('C_jama.2024.25786'!$D$2:$D$9,MATCH("2024::jama.2024.25786::C006",'C_jama.2024.25786'!$A$2:$A$9,0))="retain",INDEX('C_jama.2024.25786'!$E$2:$E$9,MATCH("2024::jama.2024.25786::C006",'C_jama.2024.25786'!$A$2:$A$9,0))="statistical_results"),IF(INDEX('C_jama.2024.25786'!$H$2:$H$9,MATCH("2024::jama.2024.25786::C006",'C_jama.2024.25786'!$A$2:$A$9,0))="","",INDEX('C_jama.2024.25786'!$H$2:$H$9,MATCH("2024::jama.2024.25786::C006",'C_jama.2024.25786'!$A$2:$A$9,0))),"not_applicable"),"NOT FROZEN")</x:f>
        <x:v>not_applicable</x:v>
      </x:c>
      <x:c r="E50" s="6" t="str">
        <x:f>IF(Setup!$B$6="primary",IF(AND(INDEX('C_jama.2024.25786'!$D$2:$D$9,MATCH("2024::jama.2024.25786::C006",'C_jama.2024.25786'!$A$2:$A$9,0))="retain",INDEX('C_jama.2024.25786'!$E$2:$E$9,MATCH("2024::jama.2024.25786::C006",'C_jama.2024.25786'!$A$2:$A$9,0))="statistical_results"),IF(INDEX('C_jama.2024.25786'!$I$2:$I$9,MATCH("2024::jama.2024.25786::C006",'C_jama.2024.25786'!$A$2:$A$9,0))="","",INDEX('C_jama.2024.25786'!$I$2:$I$9,MATCH("2024::jama.2024.25786::C006",'C_jama.2024.25786'!$A$2:$A$9,0))),"not_applicable"),"NOT FROZEN")</x:f>
        <x:v>not_applicable</x:v>
      </x:c>
      <x:c r="F50" s="6" t="str">
        <x:f>IF(Setup!$B$6="primary",IF(AND(INDEX('C_jama.2024.25786'!$D$2:$D$9,MATCH("2024::jama.2024.25786::C006",'C_jama.2024.25786'!$A$2:$A$9,0))="retain",INDEX('C_jama.2024.25786'!$E$2:$E$9,MATCH("2024::jama.2024.25786::C006",'C_jama.2024.25786'!$A$2:$A$9,0))="statistical_results"),IF(INDEX('C_jama.2024.25786'!$J$2:$J$9,MATCH("2024::jama.2024.25786::C006",'C_jama.2024.25786'!$A$2:$A$9,0))="","",INDEX('C_jama.2024.25786'!$J$2:$J$9,MATCH("2024::jama.2024.25786::C006",'C_jama.2024.25786'!$A$2:$A$9,0))),"not_applicable"),"NOT FROZEN")</x:f>
        <x:v>not_applicable</x:v>
      </x:c>
      <x:c r="G50" s="6" t="str">
        <x:f>IF(Setup!$B$6="primary",IF(AND(INDEX('C_jama.2024.25786'!$D$2:$D$9,MATCH("2024::jama.2024.25786::C006",'C_jama.2024.25786'!$A$2:$A$9,0))="retain",OR(INDEX('C_jama.2024.25786'!$E$2:$E$9,MATCH("2024::jama.2024.25786::C006",'C_jama.2024.25786'!$A$2:$A$9,0))="report_internal_inconsistency",INDEX('C_jama.2024.25786'!$E$2:$E$9,MATCH("2024::jama.2024.25786::C006",'C_jama.2024.25786'!$A$2:$A$9,0))="plan_material")),IF(INDEX('C_jama.2024.25786'!$K$2:$K$9,MATCH("2024::jama.2024.25786::C006",'C_jama.2024.25786'!$A$2:$A$9,0))="","",INDEX('C_jama.2024.25786'!$K$2:$K$9,MATCH("2024::jama.2024.25786::C006",'C_jama.2024.25786'!$A$2:$A$9,0))),"not_applicable"),"NOT FROZEN")</x:f>
        <x:v>not_applicable</x:v>
      </x:c>
      <x:c r="H50" s="6" t="str">
        <x:f>IF(Setup!$B$6="primary",IF(AND(INDEX('C_jama.2024.25786'!$D$2:$D$9,MATCH("2024::jama.2024.25786::C006",'C_jama.2024.25786'!$A$2:$A$9,0))="retain",INDEX('C_jama.2024.25786'!$E$2:$E$9,MATCH("2024::jama.2024.25786::C006",'C_jama.2024.25786'!$A$2:$A$9,0))="protocol_report"),IF(INDEX('C_jama.2024.25786'!$L$2:$L$9,MATCH("2024::jama.2024.25786::C006",'C_jama.2024.25786'!$A$2:$A$9,0))="","",INDEX('C_jama.2024.25786'!$L$2:$L$9,MATCH("2024::jama.2024.25786::C006",'C_jama.2024.25786'!$A$2:$A$9,0))),"not_applicable"),"NOT FROZEN")</x:f>
        <x:v>not_applicable</x:v>
      </x:c>
      <x:c r="I50" s="6" t="str">
        <x:f>IF(Setup!$B$6="primary",IF(INDEX('C_jama.2024.25786'!$R$2:$R$9,MATCH("2024::jama.2024.25786::C006",'C_jama.2024.25786'!$A$2:$A$9,0))="","",INDEX('C_jama.2024.25786'!$R$2:$R$9,MATCH("2024::jama.2024.25786::C006",'C_jama.2024.25786'!$A$2:$A$9,0))),"NOT FROZEN")</x:f>
      </x:c>
      <x:c r="J50" s="6" t="str">
        <x:f>IF(Setup!$B$6="primary",INDEX('C_jama.2024.25786'!$F$2:$F$9,MATCH("2024::jama.2024.25786::C006",'C_jama.2024.25786'!$A$2:$A$9,0)),"NOT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report_internal_inconsistency
</x:v>
      </x:c>
    </x:row>
    <x:row r="51" ht="70" customHeight="1">
      <x:c r="A51" s="3" t="str">
        <x:f>IF(Setup!$B$6="primary","2024::jama.2024.25786::C007","NOT FROZEN")</x:f>
        <x:v>2024::jama.2024.25786::C007</x:v>
      </x:c>
      <x:c r="B51" s="3" t="str">
        <x:f>IF(Setup!$B$6="primary",IF(INDEX('C_jama.2024.25786'!$D$2:$D$9,MATCH("2024::jama.2024.25786::C007",'C_jama.2024.25786'!$A$2:$A$9,0))="","",INDEX('C_jama.2024.25786'!$D$2:$D$9,MATCH("2024::jama.2024.25786::C007",'C_jama.2024.25786'!$A$2:$A$9,0))),"NOT FROZEN")</x:f>
      </x:c>
      <x:c r="C51" s="3" t="str">
        <x:f>IF(Setup!$B$6="primary",IF(INDEX('C_jama.2024.25786'!$E$2:$E$9,MATCH("2024::jama.2024.25786::C007",'C_jama.2024.25786'!$A$2:$A$9,0))="","",INDEX('C_jama.2024.25786'!$E$2:$E$9,MATCH("2024::jama.2024.25786::C007",'C_jama.2024.25786'!$A$2:$A$9,0))),"NOT FROZEN")</x:f>
        <x:v>statistical_results</x:v>
      </x:c>
      <x:c r="D51" s="3" t="str">
        <x:f>IF(Setup!$B$6="primary",IF(AND(INDEX('C_jama.2024.25786'!$D$2:$D$9,MATCH("2024::jama.2024.25786::C007",'C_jama.2024.25786'!$A$2:$A$9,0))="retain",INDEX('C_jama.2024.25786'!$E$2:$E$9,MATCH("2024::jama.2024.25786::C007",'C_jama.2024.25786'!$A$2:$A$9,0))="statistical_results"),IF(INDEX('C_jama.2024.25786'!$H$2:$H$9,MATCH("2024::jama.2024.25786::C007",'C_jama.2024.25786'!$A$2:$A$9,0))="","",INDEX('C_jama.2024.25786'!$H$2:$H$9,MATCH("2024::jama.2024.25786::C007",'C_jama.2024.25786'!$A$2:$A$9,0))),"not_applicable"),"NOT FROZEN")</x:f>
        <x:v>not_applicable</x:v>
      </x:c>
      <x:c r="E51" s="3" t="str">
        <x:f>IF(Setup!$B$6="primary",IF(AND(INDEX('C_jama.2024.25786'!$D$2:$D$9,MATCH("2024::jama.2024.25786::C007",'C_jama.2024.25786'!$A$2:$A$9,0))="retain",INDEX('C_jama.2024.25786'!$E$2:$E$9,MATCH("2024::jama.2024.25786::C007",'C_jama.2024.25786'!$A$2:$A$9,0))="statistical_results"),IF(INDEX('C_jama.2024.25786'!$I$2:$I$9,MATCH("2024::jama.2024.25786::C007",'C_jama.2024.25786'!$A$2:$A$9,0))="","",INDEX('C_jama.2024.25786'!$I$2:$I$9,MATCH("2024::jama.2024.25786::C007",'C_jama.2024.25786'!$A$2:$A$9,0))),"not_applicable"),"NOT FROZEN")</x:f>
        <x:v>not_applicable</x:v>
      </x:c>
      <x:c r="F51" s="3" t="str">
        <x:f>IF(Setup!$B$6="primary",IF(AND(INDEX('C_jama.2024.25786'!$D$2:$D$9,MATCH("2024::jama.2024.25786::C007",'C_jama.2024.25786'!$A$2:$A$9,0))="retain",INDEX('C_jama.2024.25786'!$E$2:$E$9,MATCH("2024::jama.2024.25786::C007",'C_jama.2024.25786'!$A$2:$A$9,0))="statistical_results"),IF(INDEX('C_jama.2024.25786'!$J$2:$J$9,MATCH("2024::jama.2024.25786::C007",'C_jama.2024.25786'!$A$2:$A$9,0))="","",INDEX('C_jama.2024.25786'!$J$2:$J$9,MATCH("2024::jama.2024.25786::C007",'C_jama.2024.25786'!$A$2:$A$9,0))),"not_applicable"),"NOT FROZEN")</x:f>
        <x:v>not_applicable</x:v>
      </x:c>
      <x:c r="G51" s="3" t="str">
        <x:f>IF(Setup!$B$6="primary",IF(AND(INDEX('C_jama.2024.25786'!$D$2:$D$9,MATCH("2024::jama.2024.25786::C007",'C_jama.2024.25786'!$A$2:$A$9,0))="retain",OR(INDEX('C_jama.2024.25786'!$E$2:$E$9,MATCH("2024::jama.2024.25786::C007",'C_jama.2024.25786'!$A$2:$A$9,0))="report_internal_inconsistency",INDEX('C_jama.2024.25786'!$E$2:$E$9,MATCH("2024::jama.2024.25786::C007",'C_jama.2024.25786'!$A$2:$A$9,0))="plan_material")),IF(INDEX('C_jama.2024.25786'!$K$2:$K$9,MATCH("2024::jama.2024.25786::C007",'C_jama.2024.25786'!$A$2:$A$9,0))="","",INDEX('C_jama.2024.25786'!$K$2:$K$9,MATCH("2024::jama.2024.25786::C007",'C_jama.2024.25786'!$A$2:$A$9,0))),"not_applicable"),"NOT FROZEN")</x:f>
        <x:v>not_applicable</x:v>
      </x:c>
      <x:c r="H51" s="3" t="str">
        <x:f>IF(Setup!$B$6="primary",IF(AND(INDEX('C_jama.2024.25786'!$D$2:$D$9,MATCH("2024::jama.2024.25786::C007",'C_jama.2024.25786'!$A$2:$A$9,0))="retain",INDEX('C_jama.2024.25786'!$E$2:$E$9,MATCH("2024::jama.2024.25786::C007",'C_jama.2024.25786'!$A$2:$A$9,0))="protocol_report"),IF(INDEX('C_jama.2024.25786'!$L$2:$L$9,MATCH("2024::jama.2024.25786::C007",'C_jama.2024.25786'!$A$2:$A$9,0))="","",INDEX('C_jama.2024.25786'!$L$2:$L$9,MATCH("2024::jama.2024.25786::C007",'C_jama.2024.25786'!$A$2:$A$9,0))),"not_applicable"),"NOT FROZEN")</x:f>
        <x:v>not_applicable</x:v>
      </x:c>
      <x:c r="I51" s="3" t="str">
        <x:f>IF(Setup!$B$6="primary",IF(INDEX('C_jama.2024.25786'!$R$2:$R$9,MATCH("2024::jama.2024.25786::C007",'C_jama.2024.25786'!$A$2:$A$9,0))="","",INDEX('C_jama.2024.25786'!$R$2:$R$9,MATCH("2024::jama.2024.25786::C007",'C_jama.2024.25786'!$A$2:$A$9,0))),"NOT FROZEN")</x:f>
      </x:c>
      <x:c r="J51" s="3" t="str">
        <x:f>IF(Setup!$B$6="primary",INDEX('C_jama.2024.25786'!$F$2:$F$9,MATCH("2024::jama.2024.25786::C007",'C_jama.2024.25786'!$A$2:$A$9,0)),"NOT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statistical_results
</x:v>
      </x:c>
    </x:row>
    <x:row r="52" ht="70" customHeight="1">
      <x:c r="A52" s="6" t="str">
        <x:f>IF(Setup!$B$6="primary","2024::jama.2024.25786::C008","NOT FROZEN")</x:f>
        <x:v>2024::jama.2024.25786::C008</x:v>
      </x:c>
      <x:c r="B52" s="6" t="str">
        <x:f>IF(Setup!$B$6="primary",IF(INDEX('C_jama.2024.25786'!$D$2:$D$9,MATCH("2024::jama.2024.25786::C008",'C_jama.2024.25786'!$A$2:$A$9,0))="","",INDEX('C_jama.2024.25786'!$D$2:$D$9,MATCH("2024::jama.2024.25786::C008",'C_jama.2024.25786'!$A$2:$A$9,0))),"NOT FROZEN")</x:f>
      </x:c>
      <x:c r="C52" s="6" t="str">
        <x:f>IF(Setup!$B$6="primary",IF(INDEX('C_jama.2024.25786'!$E$2:$E$9,MATCH("2024::jama.2024.25786::C008",'C_jama.2024.25786'!$A$2:$A$9,0))="","",INDEX('C_jama.2024.25786'!$E$2:$E$9,MATCH("2024::jama.2024.25786::C008",'C_jama.2024.25786'!$A$2:$A$9,0))),"NOT FROZEN")</x:f>
        <x:v>report_internal_inconsistency</x:v>
      </x:c>
      <x:c r="D52" s="6" t="str">
        <x:f>IF(Setup!$B$6="primary",IF(AND(INDEX('C_jama.2024.25786'!$D$2:$D$9,MATCH("2024::jama.2024.25786::C008",'C_jama.2024.25786'!$A$2:$A$9,0))="retain",INDEX('C_jama.2024.25786'!$E$2:$E$9,MATCH("2024::jama.2024.25786::C008",'C_jama.2024.25786'!$A$2:$A$9,0))="statistical_results"),IF(INDEX('C_jama.2024.25786'!$H$2:$H$9,MATCH("2024::jama.2024.25786::C008",'C_jama.2024.25786'!$A$2:$A$9,0))="","",INDEX('C_jama.2024.25786'!$H$2:$H$9,MATCH("2024::jama.2024.25786::C008",'C_jama.2024.25786'!$A$2:$A$9,0))),"not_applicable"),"NOT FROZEN")</x:f>
        <x:v>not_applicable</x:v>
      </x:c>
      <x:c r="E52" s="6" t="str">
        <x:f>IF(Setup!$B$6="primary",IF(AND(INDEX('C_jama.2024.25786'!$D$2:$D$9,MATCH("2024::jama.2024.25786::C008",'C_jama.2024.25786'!$A$2:$A$9,0))="retain",INDEX('C_jama.2024.25786'!$E$2:$E$9,MATCH("2024::jama.2024.25786::C008",'C_jama.2024.25786'!$A$2:$A$9,0))="statistical_results"),IF(INDEX('C_jama.2024.25786'!$I$2:$I$9,MATCH("2024::jama.2024.25786::C008",'C_jama.2024.25786'!$A$2:$A$9,0))="","",INDEX('C_jama.2024.25786'!$I$2:$I$9,MATCH("2024::jama.2024.25786::C008",'C_jama.2024.25786'!$A$2:$A$9,0))),"not_applicable"),"NOT FROZEN")</x:f>
        <x:v>not_applicable</x:v>
      </x:c>
      <x:c r="F52" s="6" t="str">
        <x:f>IF(Setup!$B$6="primary",IF(AND(INDEX('C_jama.2024.25786'!$D$2:$D$9,MATCH("2024::jama.2024.25786::C008",'C_jama.2024.25786'!$A$2:$A$9,0))="retain",INDEX('C_jama.2024.25786'!$E$2:$E$9,MATCH("2024::jama.2024.25786::C008",'C_jama.2024.25786'!$A$2:$A$9,0))="statistical_results"),IF(INDEX('C_jama.2024.25786'!$J$2:$J$9,MATCH("2024::jama.2024.25786::C008",'C_jama.2024.25786'!$A$2:$A$9,0))="","",INDEX('C_jama.2024.25786'!$J$2:$J$9,MATCH("2024::jama.2024.25786::C008",'C_jama.2024.25786'!$A$2:$A$9,0))),"not_applicable"),"NOT FROZEN")</x:f>
        <x:v>not_applicable</x:v>
      </x:c>
      <x:c r="G52" s="6" t="str">
        <x:f>IF(Setup!$B$6="primary",IF(AND(INDEX('C_jama.2024.25786'!$D$2:$D$9,MATCH("2024::jama.2024.25786::C008",'C_jama.2024.25786'!$A$2:$A$9,0))="retain",OR(INDEX('C_jama.2024.25786'!$E$2:$E$9,MATCH("2024::jama.2024.25786::C008",'C_jama.2024.25786'!$A$2:$A$9,0))="report_internal_inconsistency",INDEX('C_jama.2024.25786'!$E$2:$E$9,MATCH("2024::jama.2024.25786::C008",'C_jama.2024.25786'!$A$2:$A$9,0))="plan_material")),IF(INDEX('C_jama.2024.25786'!$K$2:$K$9,MATCH("2024::jama.2024.25786::C008",'C_jama.2024.25786'!$A$2:$A$9,0))="","",INDEX('C_jama.2024.25786'!$K$2:$K$9,MATCH("2024::jama.2024.25786::C008",'C_jama.2024.25786'!$A$2:$A$9,0))),"not_applicable"),"NOT FROZEN")</x:f>
        <x:v>not_applicable</x:v>
      </x:c>
      <x:c r="H52" s="6" t="str">
        <x:f>IF(Setup!$B$6="primary",IF(AND(INDEX('C_jama.2024.25786'!$D$2:$D$9,MATCH("2024::jama.2024.25786::C008",'C_jama.2024.25786'!$A$2:$A$9,0))="retain",INDEX('C_jama.2024.25786'!$E$2:$E$9,MATCH("2024::jama.2024.25786::C008",'C_jama.2024.25786'!$A$2:$A$9,0))="protocol_report"),IF(INDEX('C_jama.2024.25786'!$L$2:$L$9,MATCH("2024::jama.2024.25786::C008",'C_jama.2024.25786'!$A$2:$A$9,0))="","",INDEX('C_jama.2024.25786'!$L$2:$L$9,MATCH("2024::jama.2024.25786::C008",'C_jama.2024.25786'!$A$2:$A$9,0))),"not_applicable"),"NOT FROZEN")</x:f>
        <x:v>not_applicable</x:v>
      </x:c>
      <x:c r="I52" s="6" t="str">
        <x:f>IF(Setup!$B$6="primary",IF(INDEX('C_jama.2024.25786'!$R$2:$R$9,MATCH("2024::jama.2024.25786::C008",'C_jama.2024.25786'!$A$2:$A$9,0))="","",INDEX('C_jama.2024.25786'!$R$2:$R$9,MATCH("2024::jama.2024.25786::C008",'C_jama.2024.25786'!$A$2:$A$9,0))),"NOT FROZEN")</x:f>
      </x:c>
      <x:c r="J52" s="6" t="str">
        <x:f>IF(Setup!$B$6="primary",INDEX('C_jama.2024.25786'!$F$2:$F$9,MATCH("2024::jama.2024.25786::C008",'C_jama.2024.25786'!$A$2:$A$9,0)),"NOT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IF(Setup!$B$6="primary","2024::jama.2024.4183::C001","NOT FROZEN")</x:f>
        <x:v>2024::jama.2024.4183::C001</x:v>
      </x:c>
      <x:c r="B53" s="3" t="str">
        <x:f>IF(Setup!$B$6="primary",IF(INDEX('C_jama.2024.4183'!$D$2:$D$25,MATCH("2024::jama.2024.4183::C001",'C_jama.2024.4183'!$A$2:$A$25,0))="","",INDEX('C_jama.2024.4183'!$D$2:$D$25,MATCH("2024::jama.2024.4183::C001",'C_jama.2024.4183'!$A$2:$A$25,0))),"NOT FROZEN")</x:f>
      </x:c>
      <x:c r="C53" s="3" t="str">
        <x:f>IF(Setup!$B$6="primary",IF(INDEX('C_jama.2024.4183'!$E$2:$E$25,MATCH("2024::jama.2024.4183::C001",'C_jama.2024.4183'!$A$2:$A$25,0))="","",INDEX('C_jama.2024.4183'!$E$2:$E$25,MATCH("2024::jama.2024.4183::C001",'C_jama.2024.4183'!$A$2:$A$25,0))),"NOT FROZEN")</x:f>
        <x:v>statistical_results</x:v>
      </x:c>
      <x:c r="D53" s="3" t="str">
        <x:f>IF(Setup!$B$6="primary",IF(AND(INDEX('C_jama.2024.4183'!$D$2:$D$25,MATCH("2024::jama.2024.4183::C001",'C_jama.2024.4183'!$A$2:$A$25,0))="retain",INDEX('C_jama.2024.4183'!$E$2:$E$25,MATCH("2024::jama.2024.4183::C001",'C_jama.2024.4183'!$A$2:$A$25,0))="statistical_results"),IF(INDEX('C_jama.2024.4183'!$H$2:$H$25,MATCH("2024::jama.2024.4183::C001",'C_jama.2024.4183'!$A$2:$A$25,0))="","",INDEX('C_jama.2024.4183'!$H$2:$H$25,MATCH("2024::jama.2024.4183::C001",'C_jama.2024.4183'!$A$2:$A$25,0))),"not_applicable"),"NOT FROZEN")</x:f>
        <x:v>not_applicable</x:v>
      </x:c>
      <x:c r="E53" s="3" t="str">
        <x:f>IF(Setup!$B$6="primary",IF(AND(INDEX('C_jama.2024.4183'!$D$2:$D$25,MATCH("2024::jama.2024.4183::C001",'C_jama.2024.4183'!$A$2:$A$25,0))="retain",INDEX('C_jama.2024.4183'!$E$2:$E$25,MATCH("2024::jama.2024.4183::C001",'C_jama.2024.4183'!$A$2:$A$25,0))="statistical_results"),IF(INDEX('C_jama.2024.4183'!$I$2:$I$25,MATCH("2024::jama.2024.4183::C001",'C_jama.2024.4183'!$A$2:$A$25,0))="","",INDEX('C_jama.2024.4183'!$I$2:$I$25,MATCH("2024::jama.2024.4183::C001",'C_jama.2024.4183'!$A$2:$A$25,0))),"not_applicable"),"NOT FROZEN")</x:f>
        <x:v>not_applicable</x:v>
      </x:c>
      <x:c r="F53" s="3" t="str">
        <x:f>IF(Setup!$B$6="primary",IF(AND(INDEX('C_jama.2024.4183'!$D$2:$D$25,MATCH("2024::jama.2024.4183::C001",'C_jama.2024.4183'!$A$2:$A$25,0))="retain",INDEX('C_jama.2024.4183'!$E$2:$E$25,MATCH("2024::jama.2024.4183::C001",'C_jama.2024.4183'!$A$2:$A$25,0))="statistical_results"),IF(INDEX('C_jama.2024.4183'!$J$2:$J$25,MATCH("2024::jama.2024.4183::C001",'C_jama.2024.4183'!$A$2:$A$25,0))="","",INDEX('C_jama.2024.4183'!$J$2:$J$25,MATCH("2024::jama.2024.4183::C001",'C_jama.2024.4183'!$A$2:$A$25,0))),"not_applicable"),"NOT FROZEN")</x:f>
        <x:v>not_applicable</x:v>
      </x:c>
      <x:c r="G53" s="3" t="str">
        <x:f>IF(Setup!$B$6="primary",IF(AND(INDEX('C_jama.2024.4183'!$D$2:$D$25,MATCH("2024::jama.2024.4183::C001",'C_jama.2024.4183'!$A$2:$A$25,0))="retain",OR(INDEX('C_jama.2024.4183'!$E$2:$E$25,MATCH("2024::jama.2024.4183::C001",'C_jama.2024.4183'!$A$2:$A$25,0))="report_internal_inconsistency",INDEX('C_jama.2024.4183'!$E$2:$E$25,MATCH("2024::jama.2024.4183::C001",'C_jama.2024.4183'!$A$2:$A$25,0))="plan_material")),IF(INDEX('C_jama.2024.4183'!$K$2:$K$25,MATCH("2024::jama.2024.4183::C001",'C_jama.2024.4183'!$A$2:$A$25,0))="","",INDEX('C_jama.2024.4183'!$K$2:$K$25,MATCH("2024::jama.2024.4183::C001",'C_jama.2024.4183'!$A$2:$A$25,0))),"not_applicable"),"NOT FROZEN")</x:f>
        <x:v>not_applicable</x:v>
      </x:c>
      <x:c r="H53" s="3" t="str">
        <x:f>IF(Setup!$B$6="primary",IF(AND(INDEX('C_jama.2024.4183'!$D$2:$D$25,MATCH("2024::jama.2024.4183::C001",'C_jama.2024.4183'!$A$2:$A$25,0))="retain",INDEX('C_jama.2024.4183'!$E$2:$E$25,MATCH("2024::jama.2024.4183::C001",'C_jama.2024.4183'!$A$2:$A$25,0))="protocol_report"),IF(INDEX('C_jama.2024.4183'!$L$2:$L$25,MATCH("2024::jama.2024.4183::C001",'C_jama.2024.4183'!$A$2:$A$25,0))="","",INDEX('C_jama.2024.4183'!$L$2:$L$25,MATCH("2024::jama.2024.4183::C001",'C_jama.2024.4183'!$A$2:$A$25,0))),"not_applicable"),"NOT FROZEN")</x:f>
        <x:v>not_applicable</x:v>
      </x:c>
      <x:c r="I53" s="3" t="str">
        <x:f>IF(Setup!$B$6="primary",IF(INDEX('C_jama.2024.4183'!$R$2:$R$25,MATCH("2024::jama.2024.4183::C001",'C_jama.2024.4183'!$A$2:$A$25,0))="","",INDEX('C_jama.2024.4183'!$R$2:$R$25,MATCH("2024::jama.2024.4183::C001",'C_jama.2024.4183'!$A$2:$A$25,0))),"NOT FROZEN")</x:f>
      </x:c>
      <x:c r="J53" s="3" t="str">
        <x:f>IF(Setup!$B$6="primary",INDEX('C_jama.2024.4183'!$F$2:$F$25,MATCH("2024::jama.2024.4183::C001",'C_jama.2024.4183'!$A$2:$A$25,0)),"NOT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statistical_results
</x:v>
      </x:c>
    </x:row>
    <x:row r="54" ht="70" customHeight="1">
      <x:c r="A54" s="6" t="str">
        <x:f>IF(Setup!$B$6="primary","2024::jama.2024.4183::C002","NOT FROZEN")</x:f>
        <x:v>2024::jama.2024.4183::C002</x:v>
      </x:c>
      <x:c r="B54" s="6" t="str">
        <x:f>IF(Setup!$B$6="primary",IF(INDEX('C_jama.2024.4183'!$D$2:$D$25,MATCH("2024::jama.2024.4183::C002",'C_jama.2024.4183'!$A$2:$A$25,0))="","",INDEX('C_jama.2024.4183'!$D$2:$D$25,MATCH("2024::jama.2024.4183::C002",'C_jama.2024.4183'!$A$2:$A$25,0))),"NOT FROZEN")</x:f>
      </x:c>
      <x:c r="C54" s="6" t="str">
        <x:f>IF(Setup!$B$6="primary",IF(INDEX('C_jama.2024.4183'!$E$2:$E$25,MATCH("2024::jama.2024.4183::C002",'C_jama.2024.4183'!$A$2:$A$25,0))="","",INDEX('C_jama.2024.4183'!$E$2:$E$25,MATCH("2024::jama.2024.4183::C002",'C_jama.2024.4183'!$A$2:$A$25,0))),"NOT FROZEN")</x:f>
        <x:v>statistical_results</x:v>
      </x:c>
      <x:c r="D54" s="6" t="str">
        <x:f>IF(Setup!$B$6="primary",IF(AND(INDEX('C_jama.2024.4183'!$D$2:$D$25,MATCH("2024::jama.2024.4183::C002",'C_jama.2024.4183'!$A$2:$A$25,0))="retain",INDEX('C_jama.2024.4183'!$E$2:$E$25,MATCH("2024::jama.2024.4183::C002",'C_jama.2024.4183'!$A$2:$A$25,0))="statistical_results"),IF(INDEX('C_jama.2024.4183'!$H$2:$H$25,MATCH("2024::jama.2024.4183::C002",'C_jama.2024.4183'!$A$2:$A$25,0))="","",INDEX('C_jama.2024.4183'!$H$2:$H$25,MATCH("2024::jama.2024.4183::C002",'C_jama.2024.4183'!$A$2:$A$25,0))),"not_applicable"),"NOT FROZEN")</x:f>
        <x:v>not_applicable</x:v>
      </x:c>
      <x:c r="E54" s="6" t="str">
        <x:f>IF(Setup!$B$6="primary",IF(AND(INDEX('C_jama.2024.4183'!$D$2:$D$25,MATCH("2024::jama.2024.4183::C002",'C_jama.2024.4183'!$A$2:$A$25,0))="retain",INDEX('C_jama.2024.4183'!$E$2:$E$25,MATCH("2024::jama.2024.4183::C002",'C_jama.2024.4183'!$A$2:$A$25,0))="statistical_results"),IF(INDEX('C_jama.2024.4183'!$I$2:$I$25,MATCH("2024::jama.2024.4183::C002",'C_jama.2024.4183'!$A$2:$A$25,0))="","",INDEX('C_jama.2024.4183'!$I$2:$I$25,MATCH("2024::jama.2024.4183::C002",'C_jama.2024.4183'!$A$2:$A$25,0))),"not_applicable"),"NOT FROZEN")</x:f>
        <x:v>not_applicable</x:v>
      </x:c>
      <x:c r="F54" s="6" t="str">
        <x:f>IF(Setup!$B$6="primary",IF(AND(INDEX('C_jama.2024.4183'!$D$2:$D$25,MATCH("2024::jama.2024.4183::C002",'C_jama.2024.4183'!$A$2:$A$25,0))="retain",INDEX('C_jama.2024.4183'!$E$2:$E$25,MATCH("2024::jama.2024.4183::C002",'C_jama.2024.4183'!$A$2:$A$25,0))="statistical_results"),IF(INDEX('C_jama.2024.4183'!$J$2:$J$25,MATCH("2024::jama.2024.4183::C002",'C_jama.2024.4183'!$A$2:$A$25,0))="","",INDEX('C_jama.2024.4183'!$J$2:$J$25,MATCH("2024::jama.2024.4183::C002",'C_jama.2024.4183'!$A$2:$A$25,0))),"not_applicable"),"NOT FROZEN")</x:f>
        <x:v>not_applicable</x:v>
      </x:c>
      <x:c r="G54" s="6" t="str">
        <x:f>IF(Setup!$B$6="primary",IF(AND(INDEX('C_jama.2024.4183'!$D$2:$D$25,MATCH("2024::jama.2024.4183::C002",'C_jama.2024.4183'!$A$2:$A$25,0))="retain",OR(INDEX('C_jama.2024.4183'!$E$2:$E$25,MATCH("2024::jama.2024.4183::C002",'C_jama.2024.4183'!$A$2:$A$25,0))="report_internal_inconsistency",INDEX('C_jama.2024.4183'!$E$2:$E$25,MATCH("2024::jama.2024.4183::C002",'C_jama.2024.4183'!$A$2:$A$25,0))="plan_material")),IF(INDEX('C_jama.2024.4183'!$K$2:$K$25,MATCH("2024::jama.2024.4183::C002",'C_jama.2024.4183'!$A$2:$A$25,0))="","",INDEX('C_jama.2024.4183'!$K$2:$K$25,MATCH("2024::jama.2024.4183::C002",'C_jama.2024.4183'!$A$2:$A$25,0))),"not_applicable"),"NOT FROZEN")</x:f>
        <x:v>not_applicable</x:v>
      </x:c>
      <x:c r="H54" s="6" t="str">
        <x:f>IF(Setup!$B$6="primary",IF(AND(INDEX('C_jama.2024.4183'!$D$2:$D$25,MATCH("2024::jama.2024.4183::C002",'C_jama.2024.4183'!$A$2:$A$25,0))="retain",INDEX('C_jama.2024.4183'!$E$2:$E$25,MATCH("2024::jama.2024.4183::C002",'C_jama.2024.4183'!$A$2:$A$25,0))="protocol_report"),IF(INDEX('C_jama.2024.4183'!$L$2:$L$25,MATCH("2024::jama.2024.4183::C002",'C_jama.2024.4183'!$A$2:$A$25,0))="","",INDEX('C_jama.2024.4183'!$L$2:$L$25,MATCH("2024::jama.2024.4183::C002",'C_jama.2024.4183'!$A$2:$A$25,0))),"not_applicable"),"NOT FROZEN")</x:f>
        <x:v>not_applicable</x:v>
      </x:c>
      <x:c r="I54" s="6" t="str">
        <x:f>IF(Setup!$B$6="primary",IF(INDEX('C_jama.2024.4183'!$R$2:$R$25,MATCH("2024::jama.2024.4183::C002",'C_jama.2024.4183'!$A$2:$A$25,0))="","",INDEX('C_jama.2024.4183'!$R$2:$R$25,MATCH("2024::jama.2024.4183::C002",'C_jama.2024.4183'!$A$2:$A$25,0))),"NOT FROZEN")</x:f>
      </x:c>
      <x:c r="J54" s="6" t="str">
        <x:f>IF(Setup!$B$6="primary",INDEX('C_jama.2024.4183'!$F$2:$F$25,MATCH("2024::jama.2024.4183::C002",'C_jama.2024.4183'!$A$2:$A$25,0)),"NOT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statistical_results
</x:v>
      </x:c>
    </x:row>
    <x:row r="55" ht="70" customHeight="1">
      <x:c r="A55" s="3" t="str">
        <x:f>IF(Setup!$B$6="primary","2024::jama.2024.4183::C003","NOT FROZEN")</x:f>
        <x:v>2024::jama.2024.4183::C003</x:v>
      </x:c>
      <x:c r="B55" s="3" t="str">
        <x:f>IF(Setup!$B$6="primary",IF(INDEX('C_jama.2024.4183'!$D$2:$D$25,MATCH("2024::jama.2024.4183::C003",'C_jama.2024.4183'!$A$2:$A$25,0))="","",INDEX('C_jama.2024.4183'!$D$2:$D$25,MATCH("2024::jama.2024.4183::C003",'C_jama.2024.4183'!$A$2:$A$25,0))),"NOT FROZEN")</x:f>
      </x:c>
      <x:c r="C55" s="3" t="str">
        <x:f>IF(Setup!$B$6="primary",IF(INDEX('C_jama.2024.4183'!$E$2:$E$25,MATCH("2024::jama.2024.4183::C003",'C_jama.2024.4183'!$A$2:$A$25,0))="","",INDEX('C_jama.2024.4183'!$E$2:$E$25,MATCH("2024::jama.2024.4183::C003",'C_jama.2024.4183'!$A$2:$A$25,0))),"NOT FROZEN")</x:f>
        <x:v>statistical_results</x:v>
      </x:c>
      <x:c r="D55" s="3" t="str">
        <x:f>IF(Setup!$B$6="primary",IF(AND(INDEX('C_jama.2024.4183'!$D$2:$D$25,MATCH("2024::jama.2024.4183::C003",'C_jama.2024.4183'!$A$2:$A$25,0))="retain",INDEX('C_jama.2024.4183'!$E$2:$E$25,MATCH("2024::jama.2024.4183::C003",'C_jama.2024.4183'!$A$2:$A$25,0))="statistical_results"),IF(INDEX('C_jama.2024.4183'!$H$2:$H$25,MATCH("2024::jama.2024.4183::C003",'C_jama.2024.4183'!$A$2:$A$25,0))="","",INDEX('C_jama.2024.4183'!$H$2:$H$25,MATCH("2024::jama.2024.4183::C003",'C_jama.2024.4183'!$A$2:$A$25,0))),"not_applicable"),"NOT FROZEN")</x:f>
        <x:v>not_applicable</x:v>
      </x:c>
      <x:c r="E55" s="3" t="str">
        <x:f>IF(Setup!$B$6="primary",IF(AND(INDEX('C_jama.2024.4183'!$D$2:$D$25,MATCH("2024::jama.2024.4183::C003",'C_jama.2024.4183'!$A$2:$A$25,0))="retain",INDEX('C_jama.2024.4183'!$E$2:$E$25,MATCH("2024::jama.2024.4183::C003",'C_jama.2024.4183'!$A$2:$A$25,0))="statistical_results"),IF(INDEX('C_jama.2024.4183'!$I$2:$I$25,MATCH("2024::jama.2024.4183::C003",'C_jama.2024.4183'!$A$2:$A$25,0))="","",INDEX('C_jama.2024.4183'!$I$2:$I$25,MATCH("2024::jama.2024.4183::C003",'C_jama.2024.4183'!$A$2:$A$25,0))),"not_applicable"),"NOT FROZEN")</x:f>
        <x:v>not_applicable</x:v>
      </x:c>
      <x:c r="F55" s="3" t="str">
        <x:f>IF(Setup!$B$6="primary",IF(AND(INDEX('C_jama.2024.4183'!$D$2:$D$25,MATCH("2024::jama.2024.4183::C003",'C_jama.2024.4183'!$A$2:$A$25,0))="retain",INDEX('C_jama.2024.4183'!$E$2:$E$25,MATCH("2024::jama.2024.4183::C003",'C_jama.2024.4183'!$A$2:$A$25,0))="statistical_results"),IF(INDEX('C_jama.2024.4183'!$J$2:$J$25,MATCH("2024::jama.2024.4183::C003",'C_jama.2024.4183'!$A$2:$A$25,0))="","",INDEX('C_jama.2024.4183'!$J$2:$J$25,MATCH("2024::jama.2024.4183::C003",'C_jama.2024.4183'!$A$2:$A$25,0))),"not_applicable"),"NOT FROZEN")</x:f>
        <x:v>not_applicable</x:v>
      </x:c>
      <x:c r="G55" s="3" t="str">
        <x:f>IF(Setup!$B$6="primary",IF(AND(INDEX('C_jama.2024.4183'!$D$2:$D$25,MATCH("2024::jama.2024.4183::C003",'C_jama.2024.4183'!$A$2:$A$25,0))="retain",OR(INDEX('C_jama.2024.4183'!$E$2:$E$25,MATCH("2024::jama.2024.4183::C003",'C_jama.2024.4183'!$A$2:$A$25,0))="report_internal_inconsistency",INDEX('C_jama.2024.4183'!$E$2:$E$25,MATCH("2024::jama.2024.4183::C003",'C_jama.2024.4183'!$A$2:$A$25,0))="plan_material")),IF(INDEX('C_jama.2024.4183'!$K$2:$K$25,MATCH("2024::jama.2024.4183::C003",'C_jama.2024.4183'!$A$2:$A$25,0))="","",INDEX('C_jama.2024.4183'!$K$2:$K$25,MATCH("2024::jama.2024.4183::C003",'C_jama.2024.4183'!$A$2:$A$25,0))),"not_applicable"),"NOT FROZEN")</x:f>
        <x:v>not_applicable</x:v>
      </x:c>
      <x:c r="H55" s="3" t="str">
        <x:f>IF(Setup!$B$6="primary",IF(AND(INDEX('C_jama.2024.4183'!$D$2:$D$25,MATCH("2024::jama.2024.4183::C003",'C_jama.2024.4183'!$A$2:$A$25,0))="retain",INDEX('C_jama.2024.4183'!$E$2:$E$25,MATCH("2024::jama.2024.4183::C003",'C_jama.2024.4183'!$A$2:$A$25,0))="protocol_report"),IF(INDEX('C_jama.2024.4183'!$L$2:$L$25,MATCH("2024::jama.2024.4183::C003",'C_jama.2024.4183'!$A$2:$A$25,0))="","",INDEX('C_jama.2024.4183'!$L$2:$L$25,MATCH("2024::jama.2024.4183::C003",'C_jama.2024.4183'!$A$2:$A$25,0))),"not_applicable"),"NOT FROZEN")</x:f>
        <x:v>not_applicable</x:v>
      </x:c>
      <x:c r="I55" s="3" t="str">
        <x:f>IF(Setup!$B$6="primary",IF(INDEX('C_jama.2024.4183'!$R$2:$R$25,MATCH("2024::jama.2024.4183::C003",'C_jama.2024.4183'!$A$2:$A$25,0))="","",INDEX('C_jama.2024.4183'!$R$2:$R$25,MATCH("2024::jama.2024.4183::C003",'C_jama.2024.4183'!$A$2:$A$25,0))),"NOT FROZEN")</x:f>
      </x:c>
      <x:c r="J55" s="3" t="str">
        <x:f>IF(Setup!$B$6="primary",INDEX('C_jama.2024.4183'!$F$2:$F$25,MATCH("2024::jama.2024.4183::C003",'C_jama.2024.4183'!$A$2:$A$25,0)),"NOT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IF(Setup!$B$6="primary","2024::jama.2024.4183::C004","NOT FROZEN")</x:f>
        <x:v>2024::jama.2024.4183::C004</x:v>
      </x:c>
      <x:c r="B56" s="6" t="str">
        <x:f>IF(Setup!$B$6="primary",IF(INDEX('C_jama.2024.4183'!$D$2:$D$25,MATCH("2024::jama.2024.4183::C004",'C_jama.2024.4183'!$A$2:$A$25,0))="","",INDEX('C_jama.2024.4183'!$D$2:$D$25,MATCH("2024::jama.2024.4183::C004",'C_jama.2024.4183'!$A$2:$A$25,0))),"NOT FROZEN")</x:f>
      </x:c>
      <x:c r="C56" s="6" t="str">
        <x:f>IF(Setup!$B$6="primary",IF(INDEX('C_jama.2024.4183'!$E$2:$E$25,MATCH("2024::jama.2024.4183::C004",'C_jama.2024.4183'!$A$2:$A$25,0))="","",INDEX('C_jama.2024.4183'!$E$2:$E$25,MATCH("2024::jama.2024.4183::C004",'C_jama.2024.4183'!$A$2:$A$25,0))),"NOT FROZEN")</x:f>
        <x:v>statistical_results</x:v>
      </x:c>
      <x:c r="D56" s="6" t="str">
        <x:f>IF(Setup!$B$6="primary",IF(AND(INDEX('C_jama.2024.4183'!$D$2:$D$25,MATCH("2024::jama.2024.4183::C004",'C_jama.2024.4183'!$A$2:$A$25,0))="retain",INDEX('C_jama.2024.4183'!$E$2:$E$25,MATCH("2024::jama.2024.4183::C004",'C_jama.2024.4183'!$A$2:$A$25,0))="statistical_results"),IF(INDEX('C_jama.2024.4183'!$H$2:$H$25,MATCH("2024::jama.2024.4183::C004",'C_jama.2024.4183'!$A$2:$A$25,0))="","",INDEX('C_jama.2024.4183'!$H$2:$H$25,MATCH("2024::jama.2024.4183::C004",'C_jama.2024.4183'!$A$2:$A$25,0))),"not_applicable"),"NOT FROZEN")</x:f>
        <x:v>not_applicable</x:v>
      </x:c>
      <x:c r="E56" s="6" t="str">
        <x:f>IF(Setup!$B$6="primary",IF(AND(INDEX('C_jama.2024.4183'!$D$2:$D$25,MATCH("2024::jama.2024.4183::C004",'C_jama.2024.4183'!$A$2:$A$25,0))="retain",INDEX('C_jama.2024.4183'!$E$2:$E$25,MATCH("2024::jama.2024.4183::C004",'C_jama.2024.4183'!$A$2:$A$25,0))="statistical_results"),IF(INDEX('C_jama.2024.4183'!$I$2:$I$25,MATCH("2024::jama.2024.4183::C004",'C_jama.2024.4183'!$A$2:$A$25,0))="","",INDEX('C_jama.2024.4183'!$I$2:$I$25,MATCH("2024::jama.2024.4183::C004",'C_jama.2024.4183'!$A$2:$A$25,0))),"not_applicable"),"NOT FROZEN")</x:f>
        <x:v>not_applicable</x:v>
      </x:c>
      <x:c r="F56" s="6" t="str">
        <x:f>IF(Setup!$B$6="primary",IF(AND(INDEX('C_jama.2024.4183'!$D$2:$D$25,MATCH("2024::jama.2024.4183::C004",'C_jama.2024.4183'!$A$2:$A$25,0))="retain",INDEX('C_jama.2024.4183'!$E$2:$E$25,MATCH("2024::jama.2024.4183::C004",'C_jama.2024.4183'!$A$2:$A$25,0))="statistical_results"),IF(INDEX('C_jama.2024.4183'!$J$2:$J$25,MATCH("2024::jama.2024.4183::C004",'C_jama.2024.4183'!$A$2:$A$25,0))="","",INDEX('C_jama.2024.4183'!$J$2:$J$25,MATCH("2024::jama.2024.4183::C004",'C_jama.2024.4183'!$A$2:$A$25,0))),"not_applicable"),"NOT FROZEN")</x:f>
        <x:v>not_applicable</x:v>
      </x:c>
      <x:c r="G56" s="6" t="str">
        <x:f>IF(Setup!$B$6="primary",IF(AND(INDEX('C_jama.2024.4183'!$D$2:$D$25,MATCH("2024::jama.2024.4183::C004",'C_jama.2024.4183'!$A$2:$A$25,0))="retain",OR(INDEX('C_jama.2024.4183'!$E$2:$E$25,MATCH("2024::jama.2024.4183::C004",'C_jama.2024.4183'!$A$2:$A$25,0))="report_internal_inconsistency",INDEX('C_jama.2024.4183'!$E$2:$E$25,MATCH("2024::jama.2024.4183::C004",'C_jama.2024.4183'!$A$2:$A$25,0))="plan_material")),IF(INDEX('C_jama.2024.4183'!$K$2:$K$25,MATCH("2024::jama.2024.4183::C004",'C_jama.2024.4183'!$A$2:$A$25,0))="","",INDEX('C_jama.2024.4183'!$K$2:$K$25,MATCH("2024::jama.2024.4183::C004",'C_jama.2024.4183'!$A$2:$A$25,0))),"not_applicable"),"NOT FROZEN")</x:f>
        <x:v>not_applicable</x:v>
      </x:c>
      <x:c r="H56" s="6" t="str">
        <x:f>IF(Setup!$B$6="primary",IF(AND(INDEX('C_jama.2024.4183'!$D$2:$D$25,MATCH("2024::jama.2024.4183::C004",'C_jama.2024.4183'!$A$2:$A$25,0))="retain",INDEX('C_jama.2024.4183'!$E$2:$E$25,MATCH("2024::jama.2024.4183::C004",'C_jama.2024.4183'!$A$2:$A$25,0))="protocol_report"),IF(INDEX('C_jama.2024.4183'!$L$2:$L$25,MATCH("2024::jama.2024.4183::C004",'C_jama.2024.4183'!$A$2:$A$25,0))="","",INDEX('C_jama.2024.4183'!$L$2:$L$25,MATCH("2024::jama.2024.4183::C004",'C_jama.2024.4183'!$A$2:$A$25,0))),"not_applicable"),"NOT FROZEN")</x:f>
        <x:v>not_applicable</x:v>
      </x:c>
      <x:c r="I56" s="6" t="str">
        <x:f>IF(Setup!$B$6="primary",IF(INDEX('C_jama.2024.4183'!$R$2:$R$25,MATCH("2024::jama.2024.4183::C004",'C_jama.2024.4183'!$A$2:$A$25,0))="","",INDEX('C_jama.2024.4183'!$R$2:$R$25,MATCH("2024::jama.2024.4183::C004",'C_jama.2024.4183'!$A$2:$A$25,0))),"NOT FROZEN")</x:f>
      </x:c>
      <x:c r="J56" s="6" t="str">
        <x:f>IF(Setup!$B$6="primary",INDEX('C_jama.2024.4183'!$F$2:$F$25,MATCH("2024::jama.2024.4183::C004",'C_jama.2024.4183'!$A$2:$A$25,0)),"NOT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IF(Setup!$B$6="primary","2024::jama.2024.4183::C005","NOT FROZEN")</x:f>
        <x:v>2024::jama.2024.4183::C005</x:v>
      </x:c>
      <x:c r="B57" s="3" t="str">
        <x:f>IF(Setup!$B$6="primary",IF(INDEX('C_jama.2024.4183'!$D$2:$D$25,MATCH("2024::jama.2024.4183::C005",'C_jama.2024.4183'!$A$2:$A$25,0))="","",INDEX('C_jama.2024.4183'!$D$2:$D$25,MATCH("2024::jama.2024.4183::C005",'C_jama.2024.4183'!$A$2:$A$25,0))),"NOT FROZEN")</x:f>
      </x:c>
      <x:c r="C57" s="3" t="str">
        <x:f>IF(Setup!$B$6="primary",IF(INDEX('C_jama.2024.4183'!$E$2:$E$25,MATCH("2024::jama.2024.4183::C005",'C_jama.2024.4183'!$A$2:$A$25,0))="","",INDEX('C_jama.2024.4183'!$E$2:$E$25,MATCH("2024::jama.2024.4183::C005",'C_jama.2024.4183'!$A$2:$A$25,0))),"NOT FROZEN")</x:f>
        <x:v>statistical_results</x:v>
      </x:c>
      <x:c r="D57" s="3" t="str">
        <x:f>IF(Setup!$B$6="primary",IF(AND(INDEX('C_jama.2024.4183'!$D$2:$D$25,MATCH("2024::jama.2024.4183::C005",'C_jama.2024.4183'!$A$2:$A$25,0))="retain",INDEX('C_jama.2024.4183'!$E$2:$E$25,MATCH("2024::jama.2024.4183::C005",'C_jama.2024.4183'!$A$2:$A$25,0))="statistical_results"),IF(INDEX('C_jama.2024.4183'!$H$2:$H$25,MATCH("2024::jama.2024.4183::C005",'C_jama.2024.4183'!$A$2:$A$25,0))="","",INDEX('C_jama.2024.4183'!$H$2:$H$25,MATCH("2024::jama.2024.4183::C005",'C_jama.2024.4183'!$A$2:$A$25,0))),"not_applicable"),"NOT FROZEN")</x:f>
        <x:v>not_applicable</x:v>
      </x:c>
      <x:c r="E57" s="3" t="str">
        <x:f>IF(Setup!$B$6="primary",IF(AND(INDEX('C_jama.2024.4183'!$D$2:$D$25,MATCH("2024::jama.2024.4183::C005",'C_jama.2024.4183'!$A$2:$A$25,0))="retain",INDEX('C_jama.2024.4183'!$E$2:$E$25,MATCH("2024::jama.2024.4183::C005",'C_jama.2024.4183'!$A$2:$A$25,0))="statistical_results"),IF(INDEX('C_jama.2024.4183'!$I$2:$I$25,MATCH("2024::jama.2024.4183::C005",'C_jama.2024.4183'!$A$2:$A$25,0))="","",INDEX('C_jama.2024.4183'!$I$2:$I$25,MATCH("2024::jama.2024.4183::C005",'C_jama.2024.4183'!$A$2:$A$25,0))),"not_applicable"),"NOT FROZEN")</x:f>
        <x:v>not_applicable</x:v>
      </x:c>
      <x:c r="F57" s="3" t="str">
        <x:f>IF(Setup!$B$6="primary",IF(AND(INDEX('C_jama.2024.4183'!$D$2:$D$25,MATCH("2024::jama.2024.4183::C005",'C_jama.2024.4183'!$A$2:$A$25,0))="retain",INDEX('C_jama.2024.4183'!$E$2:$E$25,MATCH("2024::jama.2024.4183::C005",'C_jama.2024.4183'!$A$2:$A$25,0))="statistical_results"),IF(INDEX('C_jama.2024.4183'!$J$2:$J$25,MATCH("2024::jama.2024.4183::C005",'C_jama.2024.4183'!$A$2:$A$25,0))="","",INDEX('C_jama.2024.4183'!$J$2:$J$25,MATCH("2024::jama.2024.4183::C005",'C_jama.2024.4183'!$A$2:$A$25,0))),"not_applicable"),"NOT FROZEN")</x:f>
        <x:v>not_applicable</x:v>
      </x:c>
      <x:c r="G57" s="3" t="str">
        <x:f>IF(Setup!$B$6="primary",IF(AND(INDEX('C_jama.2024.4183'!$D$2:$D$25,MATCH("2024::jama.2024.4183::C005",'C_jama.2024.4183'!$A$2:$A$25,0))="retain",OR(INDEX('C_jama.2024.4183'!$E$2:$E$25,MATCH("2024::jama.2024.4183::C005",'C_jama.2024.4183'!$A$2:$A$25,0))="report_internal_inconsistency",INDEX('C_jama.2024.4183'!$E$2:$E$25,MATCH("2024::jama.2024.4183::C005",'C_jama.2024.4183'!$A$2:$A$25,0))="plan_material")),IF(INDEX('C_jama.2024.4183'!$K$2:$K$25,MATCH("2024::jama.2024.4183::C005",'C_jama.2024.4183'!$A$2:$A$25,0))="","",INDEX('C_jama.2024.4183'!$K$2:$K$25,MATCH("2024::jama.2024.4183::C005",'C_jama.2024.4183'!$A$2:$A$25,0))),"not_applicable"),"NOT FROZEN")</x:f>
        <x:v>not_applicable</x:v>
      </x:c>
      <x:c r="H57" s="3" t="str">
        <x:f>IF(Setup!$B$6="primary",IF(AND(INDEX('C_jama.2024.4183'!$D$2:$D$25,MATCH("2024::jama.2024.4183::C005",'C_jama.2024.4183'!$A$2:$A$25,0))="retain",INDEX('C_jama.2024.4183'!$E$2:$E$25,MATCH("2024::jama.2024.4183::C005",'C_jama.2024.4183'!$A$2:$A$25,0))="protocol_report"),IF(INDEX('C_jama.2024.4183'!$L$2:$L$25,MATCH("2024::jama.2024.4183::C005",'C_jama.2024.4183'!$A$2:$A$25,0))="","",INDEX('C_jama.2024.4183'!$L$2:$L$25,MATCH("2024::jama.2024.4183::C005",'C_jama.2024.4183'!$A$2:$A$25,0))),"not_applicable"),"NOT FROZEN")</x:f>
        <x:v>not_applicable</x:v>
      </x:c>
      <x:c r="I57" s="3" t="str">
        <x:f>IF(Setup!$B$6="primary",IF(INDEX('C_jama.2024.4183'!$R$2:$R$25,MATCH("2024::jama.2024.4183::C005",'C_jama.2024.4183'!$A$2:$A$25,0))="","",INDEX('C_jama.2024.4183'!$R$2:$R$25,MATCH("2024::jama.2024.4183::C005",'C_jama.2024.4183'!$A$2:$A$25,0))),"NOT FROZEN")</x:f>
      </x:c>
      <x:c r="J57" s="3" t="str">
        <x:f>IF(Setup!$B$6="primary",INDEX('C_jama.2024.4183'!$F$2:$F$25,MATCH("2024::jama.2024.4183::C005",'C_jama.2024.4183'!$A$2:$A$25,0)),"NOT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statistical_results
</x:v>
      </x:c>
    </x:row>
    <x:row r="58" ht="70" customHeight="1">
      <x:c r="A58" s="6" t="str">
        <x:f>IF(Setup!$B$6="primary","2024::jama.2024.4183::C006","NOT FROZEN")</x:f>
        <x:v>2024::jama.2024.4183::C006</x:v>
      </x:c>
      <x:c r="B58" s="6" t="str">
        <x:f>IF(Setup!$B$6="primary",IF(INDEX('C_jama.2024.4183'!$D$2:$D$25,MATCH("2024::jama.2024.4183::C006",'C_jama.2024.4183'!$A$2:$A$25,0))="","",INDEX('C_jama.2024.4183'!$D$2:$D$25,MATCH("2024::jama.2024.4183::C006",'C_jama.2024.4183'!$A$2:$A$25,0))),"NOT FROZEN")</x:f>
      </x:c>
      <x:c r="C58" s="6" t="str">
        <x:f>IF(Setup!$B$6="primary",IF(INDEX('C_jama.2024.4183'!$E$2:$E$25,MATCH("2024::jama.2024.4183::C006",'C_jama.2024.4183'!$A$2:$A$25,0))="","",INDEX('C_jama.2024.4183'!$E$2:$E$25,MATCH("2024::jama.2024.4183::C006",'C_jama.2024.4183'!$A$2:$A$25,0))),"NOT FROZEN")</x:f>
        <x:v>statistical_results</x:v>
      </x:c>
      <x:c r="D58" s="6" t="str">
        <x:f>IF(Setup!$B$6="primary",IF(AND(INDEX('C_jama.2024.4183'!$D$2:$D$25,MATCH("2024::jama.2024.4183::C006",'C_jama.2024.4183'!$A$2:$A$25,0))="retain",INDEX('C_jama.2024.4183'!$E$2:$E$25,MATCH("2024::jama.2024.4183::C006",'C_jama.2024.4183'!$A$2:$A$25,0))="statistical_results"),IF(INDEX('C_jama.2024.4183'!$H$2:$H$25,MATCH("2024::jama.2024.4183::C006",'C_jama.2024.4183'!$A$2:$A$25,0))="","",INDEX('C_jama.2024.4183'!$H$2:$H$25,MATCH("2024::jama.2024.4183::C006",'C_jama.2024.4183'!$A$2:$A$25,0))),"not_applicable"),"NOT FROZEN")</x:f>
        <x:v>not_applicable</x:v>
      </x:c>
      <x:c r="E58" s="6" t="str">
        <x:f>IF(Setup!$B$6="primary",IF(AND(INDEX('C_jama.2024.4183'!$D$2:$D$25,MATCH("2024::jama.2024.4183::C006",'C_jama.2024.4183'!$A$2:$A$25,0))="retain",INDEX('C_jama.2024.4183'!$E$2:$E$25,MATCH("2024::jama.2024.4183::C006",'C_jama.2024.4183'!$A$2:$A$25,0))="statistical_results"),IF(INDEX('C_jama.2024.4183'!$I$2:$I$25,MATCH("2024::jama.2024.4183::C006",'C_jama.2024.4183'!$A$2:$A$25,0))="","",INDEX('C_jama.2024.4183'!$I$2:$I$25,MATCH("2024::jama.2024.4183::C006",'C_jama.2024.4183'!$A$2:$A$25,0))),"not_applicable"),"NOT FROZEN")</x:f>
        <x:v>not_applicable</x:v>
      </x:c>
      <x:c r="F58" s="6" t="str">
        <x:f>IF(Setup!$B$6="primary",IF(AND(INDEX('C_jama.2024.4183'!$D$2:$D$25,MATCH("2024::jama.2024.4183::C006",'C_jama.2024.4183'!$A$2:$A$25,0))="retain",INDEX('C_jama.2024.4183'!$E$2:$E$25,MATCH("2024::jama.2024.4183::C006",'C_jama.2024.4183'!$A$2:$A$25,0))="statistical_results"),IF(INDEX('C_jama.2024.4183'!$J$2:$J$25,MATCH("2024::jama.2024.4183::C006",'C_jama.2024.4183'!$A$2:$A$25,0))="","",INDEX('C_jama.2024.4183'!$J$2:$J$25,MATCH("2024::jama.2024.4183::C006",'C_jama.2024.4183'!$A$2:$A$25,0))),"not_applicable"),"NOT FROZEN")</x:f>
        <x:v>not_applicable</x:v>
      </x:c>
      <x:c r="G58" s="6" t="str">
        <x:f>IF(Setup!$B$6="primary",IF(AND(INDEX('C_jama.2024.4183'!$D$2:$D$25,MATCH("2024::jama.2024.4183::C006",'C_jama.2024.4183'!$A$2:$A$25,0))="retain",OR(INDEX('C_jama.2024.4183'!$E$2:$E$25,MATCH("2024::jama.2024.4183::C006",'C_jama.2024.4183'!$A$2:$A$25,0))="report_internal_inconsistency",INDEX('C_jama.2024.4183'!$E$2:$E$25,MATCH("2024::jama.2024.4183::C006",'C_jama.2024.4183'!$A$2:$A$25,0))="plan_material")),IF(INDEX('C_jama.2024.4183'!$K$2:$K$25,MATCH("2024::jama.2024.4183::C006",'C_jama.2024.4183'!$A$2:$A$25,0))="","",INDEX('C_jama.2024.4183'!$K$2:$K$25,MATCH("2024::jama.2024.4183::C006",'C_jama.2024.4183'!$A$2:$A$25,0))),"not_applicable"),"NOT FROZEN")</x:f>
        <x:v>not_applicable</x:v>
      </x:c>
      <x:c r="H58" s="6" t="str">
        <x:f>IF(Setup!$B$6="primary",IF(AND(INDEX('C_jama.2024.4183'!$D$2:$D$25,MATCH("2024::jama.2024.4183::C006",'C_jama.2024.4183'!$A$2:$A$25,0))="retain",INDEX('C_jama.2024.4183'!$E$2:$E$25,MATCH("2024::jama.2024.4183::C006",'C_jama.2024.4183'!$A$2:$A$25,0))="protocol_report"),IF(INDEX('C_jama.2024.4183'!$L$2:$L$25,MATCH("2024::jama.2024.4183::C006",'C_jama.2024.4183'!$A$2:$A$25,0))="","",INDEX('C_jama.2024.4183'!$L$2:$L$25,MATCH("2024::jama.2024.4183::C006",'C_jama.2024.4183'!$A$2:$A$25,0))),"not_applicable"),"NOT FROZEN")</x:f>
        <x:v>not_applicable</x:v>
      </x:c>
      <x:c r="I58" s="6" t="str">
        <x:f>IF(Setup!$B$6="primary",IF(INDEX('C_jama.2024.4183'!$R$2:$R$25,MATCH("2024::jama.2024.4183::C006",'C_jama.2024.4183'!$A$2:$A$25,0))="","",INDEX('C_jama.2024.4183'!$R$2:$R$25,MATCH("2024::jama.2024.4183::C006",'C_jama.2024.4183'!$A$2:$A$25,0))),"NOT FROZEN")</x:f>
      </x:c>
      <x:c r="J58" s="6" t="str">
        <x:f>IF(Setup!$B$6="primary",INDEX('C_jama.2024.4183'!$F$2:$F$25,MATCH("2024::jama.2024.4183::C006",'C_jama.2024.4183'!$A$2:$A$25,0)),"NOT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IF(Setup!$B$6="primary","2024::jama.2024.4183::C007","NOT FROZEN")</x:f>
        <x:v>2024::jama.2024.4183::C007</x:v>
      </x:c>
      <x:c r="B59" s="3" t="str">
        <x:f>IF(Setup!$B$6="primary",IF(INDEX('C_jama.2024.4183'!$D$2:$D$25,MATCH("2024::jama.2024.4183::C007",'C_jama.2024.4183'!$A$2:$A$25,0))="","",INDEX('C_jama.2024.4183'!$D$2:$D$25,MATCH("2024::jama.2024.4183::C007",'C_jama.2024.4183'!$A$2:$A$25,0))),"NOT FROZEN")</x:f>
      </x:c>
      <x:c r="C59" s="3" t="str">
        <x:f>IF(Setup!$B$6="primary",IF(INDEX('C_jama.2024.4183'!$E$2:$E$25,MATCH("2024::jama.2024.4183::C007",'C_jama.2024.4183'!$A$2:$A$25,0))="","",INDEX('C_jama.2024.4183'!$E$2:$E$25,MATCH("2024::jama.2024.4183::C007",'C_jama.2024.4183'!$A$2:$A$25,0))),"NOT FROZEN")</x:f>
        <x:v>report_internal_inconsistency</x:v>
      </x:c>
      <x:c r="D59" s="3" t="str">
        <x:f>IF(Setup!$B$6="primary",IF(AND(INDEX('C_jama.2024.4183'!$D$2:$D$25,MATCH("2024::jama.2024.4183::C007",'C_jama.2024.4183'!$A$2:$A$25,0))="retain",INDEX('C_jama.2024.4183'!$E$2:$E$25,MATCH("2024::jama.2024.4183::C007",'C_jama.2024.4183'!$A$2:$A$25,0))="statistical_results"),IF(INDEX('C_jama.2024.4183'!$H$2:$H$25,MATCH("2024::jama.2024.4183::C007",'C_jama.2024.4183'!$A$2:$A$25,0))="","",INDEX('C_jama.2024.4183'!$H$2:$H$25,MATCH("2024::jama.2024.4183::C007",'C_jama.2024.4183'!$A$2:$A$25,0))),"not_applicable"),"NOT FROZEN")</x:f>
        <x:v>not_applicable</x:v>
      </x:c>
      <x:c r="E59" s="3" t="str">
        <x:f>IF(Setup!$B$6="primary",IF(AND(INDEX('C_jama.2024.4183'!$D$2:$D$25,MATCH("2024::jama.2024.4183::C007",'C_jama.2024.4183'!$A$2:$A$25,0))="retain",INDEX('C_jama.2024.4183'!$E$2:$E$25,MATCH("2024::jama.2024.4183::C007",'C_jama.2024.4183'!$A$2:$A$25,0))="statistical_results"),IF(INDEX('C_jama.2024.4183'!$I$2:$I$25,MATCH("2024::jama.2024.4183::C007",'C_jama.2024.4183'!$A$2:$A$25,0))="","",INDEX('C_jama.2024.4183'!$I$2:$I$25,MATCH("2024::jama.2024.4183::C007",'C_jama.2024.4183'!$A$2:$A$25,0))),"not_applicable"),"NOT FROZEN")</x:f>
        <x:v>not_applicable</x:v>
      </x:c>
      <x:c r="F59" s="3" t="str">
        <x:f>IF(Setup!$B$6="primary",IF(AND(INDEX('C_jama.2024.4183'!$D$2:$D$25,MATCH("2024::jama.2024.4183::C007",'C_jama.2024.4183'!$A$2:$A$25,0))="retain",INDEX('C_jama.2024.4183'!$E$2:$E$25,MATCH("2024::jama.2024.4183::C007",'C_jama.2024.4183'!$A$2:$A$25,0))="statistical_results"),IF(INDEX('C_jama.2024.4183'!$J$2:$J$25,MATCH("2024::jama.2024.4183::C007",'C_jama.2024.4183'!$A$2:$A$25,0))="","",INDEX('C_jama.2024.4183'!$J$2:$J$25,MATCH("2024::jama.2024.4183::C007",'C_jama.2024.4183'!$A$2:$A$25,0))),"not_applicable"),"NOT FROZEN")</x:f>
        <x:v>not_applicable</x:v>
      </x:c>
      <x:c r="G59" s="3" t="str">
        <x:f>IF(Setup!$B$6="primary",IF(AND(INDEX('C_jama.2024.4183'!$D$2:$D$25,MATCH("2024::jama.2024.4183::C007",'C_jama.2024.4183'!$A$2:$A$25,0))="retain",OR(INDEX('C_jama.2024.4183'!$E$2:$E$25,MATCH("2024::jama.2024.4183::C007",'C_jama.2024.4183'!$A$2:$A$25,0))="report_internal_inconsistency",INDEX('C_jama.2024.4183'!$E$2:$E$25,MATCH("2024::jama.2024.4183::C007",'C_jama.2024.4183'!$A$2:$A$25,0))="plan_material")),IF(INDEX('C_jama.2024.4183'!$K$2:$K$25,MATCH("2024::jama.2024.4183::C007",'C_jama.2024.4183'!$A$2:$A$25,0))="","",INDEX('C_jama.2024.4183'!$K$2:$K$25,MATCH("2024::jama.2024.4183::C007",'C_jama.2024.4183'!$A$2:$A$25,0))),"not_applicable"),"NOT FROZEN")</x:f>
        <x:v>not_applicable</x:v>
      </x:c>
      <x:c r="H59" s="3" t="str">
        <x:f>IF(Setup!$B$6="primary",IF(AND(INDEX('C_jama.2024.4183'!$D$2:$D$25,MATCH("2024::jama.2024.4183::C007",'C_jama.2024.4183'!$A$2:$A$25,0))="retain",INDEX('C_jama.2024.4183'!$E$2:$E$25,MATCH("2024::jama.2024.4183::C007",'C_jama.2024.4183'!$A$2:$A$25,0))="protocol_report"),IF(INDEX('C_jama.2024.4183'!$L$2:$L$25,MATCH("2024::jama.2024.4183::C007",'C_jama.2024.4183'!$A$2:$A$25,0))="","",INDEX('C_jama.2024.4183'!$L$2:$L$25,MATCH("2024::jama.2024.4183::C007",'C_jama.2024.4183'!$A$2:$A$25,0))),"not_applicable"),"NOT FROZEN")</x:f>
        <x:v>not_applicable</x:v>
      </x:c>
      <x:c r="I59" s="3" t="str">
        <x:f>IF(Setup!$B$6="primary",IF(INDEX('C_jama.2024.4183'!$R$2:$R$25,MATCH("2024::jama.2024.4183::C007",'C_jama.2024.4183'!$A$2:$A$25,0))="","",INDEX('C_jama.2024.4183'!$R$2:$R$25,MATCH("2024::jama.2024.4183::C007",'C_jama.2024.4183'!$A$2:$A$25,0))),"NOT FROZEN")</x:f>
      </x:c>
      <x:c r="J59" s="3" t="str">
        <x:f>IF(Setup!$B$6="primary",INDEX('C_jama.2024.4183'!$F$2:$F$25,MATCH("2024::jama.2024.4183::C007",'C_jama.2024.4183'!$A$2:$A$25,0)),"NOT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report_internal_inconsistency
</x:v>
      </x:c>
    </x:row>
    <x:row r="60" ht="70" customHeight="1">
      <x:c r="A60" s="6" t="str">
        <x:f>IF(Setup!$B$6="primary","2024::jama.2024.4183::C008","NOT FROZEN")</x:f>
        <x:v>2024::jama.2024.4183::C008</x:v>
      </x:c>
      <x:c r="B60" s="6" t="str">
        <x:f>IF(Setup!$B$6="primary",IF(INDEX('C_jama.2024.4183'!$D$2:$D$25,MATCH("2024::jama.2024.4183::C008",'C_jama.2024.4183'!$A$2:$A$25,0))="","",INDEX('C_jama.2024.4183'!$D$2:$D$25,MATCH("2024::jama.2024.4183::C008",'C_jama.2024.4183'!$A$2:$A$25,0))),"NOT FROZEN")</x:f>
      </x:c>
      <x:c r="C60" s="6" t="str">
        <x:f>IF(Setup!$B$6="primary",IF(INDEX('C_jama.2024.4183'!$E$2:$E$25,MATCH("2024::jama.2024.4183::C008",'C_jama.2024.4183'!$A$2:$A$25,0))="","",INDEX('C_jama.2024.4183'!$E$2:$E$25,MATCH("2024::jama.2024.4183::C008",'C_jama.2024.4183'!$A$2:$A$25,0))),"NOT FROZEN")</x:f>
        <x:v>statistical_results</x:v>
      </x:c>
      <x:c r="D60" s="6" t="str">
        <x:f>IF(Setup!$B$6="primary",IF(AND(INDEX('C_jama.2024.4183'!$D$2:$D$25,MATCH("2024::jama.2024.4183::C008",'C_jama.2024.4183'!$A$2:$A$25,0))="retain",INDEX('C_jama.2024.4183'!$E$2:$E$25,MATCH("2024::jama.2024.4183::C008",'C_jama.2024.4183'!$A$2:$A$25,0))="statistical_results"),IF(INDEX('C_jama.2024.4183'!$H$2:$H$25,MATCH("2024::jama.2024.4183::C008",'C_jama.2024.4183'!$A$2:$A$25,0))="","",INDEX('C_jama.2024.4183'!$H$2:$H$25,MATCH("2024::jama.2024.4183::C008",'C_jama.2024.4183'!$A$2:$A$25,0))),"not_applicable"),"NOT FROZEN")</x:f>
        <x:v>not_applicable</x:v>
      </x:c>
      <x:c r="E60" s="6" t="str">
        <x:f>IF(Setup!$B$6="primary",IF(AND(INDEX('C_jama.2024.4183'!$D$2:$D$25,MATCH("2024::jama.2024.4183::C008",'C_jama.2024.4183'!$A$2:$A$25,0))="retain",INDEX('C_jama.2024.4183'!$E$2:$E$25,MATCH("2024::jama.2024.4183::C008",'C_jama.2024.4183'!$A$2:$A$25,0))="statistical_results"),IF(INDEX('C_jama.2024.4183'!$I$2:$I$25,MATCH("2024::jama.2024.4183::C008",'C_jama.2024.4183'!$A$2:$A$25,0))="","",INDEX('C_jama.2024.4183'!$I$2:$I$25,MATCH("2024::jama.2024.4183::C008",'C_jama.2024.4183'!$A$2:$A$25,0))),"not_applicable"),"NOT FROZEN")</x:f>
        <x:v>not_applicable</x:v>
      </x:c>
      <x:c r="F60" s="6" t="str">
        <x:f>IF(Setup!$B$6="primary",IF(AND(INDEX('C_jama.2024.4183'!$D$2:$D$25,MATCH("2024::jama.2024.4183::C008",'C_jama.2024.4183'!$A$2:$A$25,0))="retain",INDEX('C_jama.2024.4183'!$E$2:$E$25,MATCH("2024::jama.2024.4183::C008",'C_jama.2024.4183'!$A$2:$A$25,0))="statistical_results"),IF(INDEX('C_jama.2024.4183'!$J$2:$J$25,MATCH("2024::jama.2024.4183::C008",'C_jama.2024.4183'!$A$2:$A$25,0))="","",INDEX('C_jama.2024.4183'!$J$2:$J$25,MATCH("2024::jama.2024.4183::C008",'C_jama.2024.4183'!$A$2:$A$25,0))),"not_applicable"),"NOT FROZEN")</x:f>
        <x:v>not_applicable</x:v>
      </x:c>
      <x:c r="G60" s="6" t="str">
        <x:f>IF(Setup!$B$6="primary",IF(AND(INDEX('C_jama.2024.4183'!$D$2:$D$25,MATCH("2024::jama.2024.4183::C008",'C_jama.2024.4183'!$A$2:$A$25,0))="retain",OR(INDEX('C_jama.2024.4183'!$E$2:$E$25,MATCH("2024::jama.2024.4183::C008",'C_jama.2024.4183'!$A$2:$A$25,0))="report_internal_inconsistency",INDEX('C_jama.2024.4183'!$E$2:$E$25,MATCH("2024::jama.2024.4183::C008",'C_jama.2024.4183'!$A$2:$A$25,0))="plan_material")),IF(INDEX('C_jama.2024.4183'!$K$2:$K$25,MATCH("2024::jama.2024.4183::C008",'C_jama.2024.4183'!$A$2:$A$25,0))="","",INDEX('C_jama.2024.4183'!$K$2:$K$25,MATCH("2024::jama.2024.4183::C008",'C_jama.2024.4183'!$A$2:$A$25,0))),"not_applicable"),"NOT FROZEN")</x:f>
        <x:v>not_applicable</x:v>
      </x:c>
      <x:c r="H60" s="6" t="str">
        <x:f>IF(Setup!$B$6="primary",IF(AND(INDEX('C_jama.2024.4183'!$D$2:$D$25,MATCH("2024::jama.2024.4183::C008",'C_jama.2024.4183'!$A$2:$A$25,0))="retain",INDEX('C_jama.2024.4183'!$E$2:$E$25,MATCH("2024::jama.2024.4183::C008",'C_jama.2024.4183'!$A$2:$A$25,0))="protocol_report"),IF(INDEX('C_jama.2024.4183'!$L$2:$L$25,MATCH("2024::jama.2024.4183::C008",'C_jama.2024.4183'!$A$2:$A$25,0))="","",INDEX('C_jama.2024.4183'!$L$2:$L$25,MATCH("2024::jama.2024.4183::C008",'C_jama.2024.4183'!$A$2:$A$25,0))),"not_applicable"),"NOT FROZEN")</x:f>
        <x:v>not_applicable</x:v>
      </x:c>
      <x:c r="I60" s="6" t="str">
        <x:f>IF(Setup!$B$6="primary",IF(INDEX('C_jama.2024.4183'!$R$2:$R$25,MATCH("2024::jama.2024.4183::C008",'C_jama.2024.4183'!$A$2:$A$25,0))="","",INDEX('C_jama.2024.4183'!$R$2:$R$25,MATCH("2024::jama.2024.4183::C008",'C_jama.2024.4183'!$A$2:$A$25,0))),"NOT FROZEN")</x:f>
      </x:c>
      <x:c r="J60" s="6" t="str">
        <x:f>IF(Setup!$B$6="primary",INDEX('C_jama.2024.4183'!$F$2:$F$25,MATCH("2024::jama.2024.4183::C008",'C_jama.2024.4183'!$A$2:$A$25,0)),"NOT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statistical_results
</x:v>
      </x:c>
    </x:row>
    <x:row r="61" ht="70" customHeight="1">
      <x:c r="A61" s="3" t="str">
        <x:f>IF(Setup!$B$6="primary","2024::jama.2024.4183::C009","NOT FROZEN")</x:f>
        <x:v>2024::jama.2024.4183::C009</x:v>
      </x:c>
      <x:c r="B61" s="3" t="str">
        <x:f>IF(Setup!$B$6="primary",IF(INDEX('C_jama.2024.4183'!$D$2:$D$25,MATCH("2024::jama.2024.4183::C009",'C_jama.2024.4183'!$A$2:$A$25,0))="","",INDEX('C_jama.2024.4183'!$D$2:$D$25,MATCH("2024::jama.2024.4183::C009",'C_jama.2024.4183'!$A$2:$A$25,0))),"NOT FROZEN")</x:f>
      </x:c>
      <x:c r="C61" s="3" t="str">
        <x:f>IF(Setup!$B$6="primary",IF(INDEX('C_jama.2024.4183'!$E$2:$E$25,MATCH("2024::jama.2024.4183::C009",'C_jama.2024.4183'!$A$2:$A$25,0))="","",INDEX('C_jama.2024.4183'!$E$2:$E$25,MATCH("2024::jama.2024.4183::C009",'C_jama.2024.4183'!$A$2:$A$25,0))),"NOT FROZEN")</x:f>
        <x:v>statistical_results</x:v>
      </x:c>
      <x:c r="D61" s="3" t="str">
        <x:f>IF(Setup!$B$6="primary",IF(AND(INDEX('C_jama.2024.4183'!$D$2:$D$25,MATCH("2024::jama.2024.4183::C009",'C_jama.2024.4183'!$A$2:$A$25,0))="retain",INDEX('C_jama.2024.4183'!$E$2:$E$25,MATCH("2024::jama.2024.4183::C009",'C_jama.2024.4183'!$A$2:$A$25,0))="statistical_results"),IF(INDEX('C_jama.2024.4183'!$H$2:$H$25,MATCH("2024::jama.2024.4183::C009",'C_jama.2024.4183'!$A$2:$A$25,0))="","",INDEX('C_jama.2024.4183'!$H$2:$H$25,MATCH("2024::jama.2024.4183::C009",'C_jama.2024.4183'!$A$2:$A$25,0))),"not_applicable"),"NOT FROZEN")</x:f>
        <x:v>not_applicable</x:v>
      </x:c>
      <x:c r="E61" s="3" t="str">
        <x:f>IF(Setup!$B$6="primary",IF(AND(INDEX('C_jama.2024.4183'!$D$2:$D$25,MATCH("2024::jama.2024.4183::C009",'C_jama.2024.4183'!$A$2:$A$25,0))="retain",INDEX('C_jama.2024.4183'!$E$2:$E$25,MATCH("2024::jama.2024.4183::C009",'C_jama.2024.4183'!$A$2:$A$25,0))="statistical_results"),IF(INDEX('C_jama.2024.4183'!$I$2:$I$25,MATCH("2024::jama.2024.4183::C009",'C_jama.2024.4183'!$A$2:$A$25,0))="","",INDEX('C_jama.2024.4183'!$I$2:$I$25,MATCH("2024::jama.2024.4183::C009",'C_jama.2024.4183'!$A$2:$A$25,0))),"not_applicable"),"NOT FROZEN")</x:f>
        <x:v>not_applicable</x:v>
      </x:c>
      <x:c r="F61" s="3" t="str">
        <x:f>IF(Setup!$B$6="primary",IF(AND(INDEX('C_jama.2024.4183'!$D$2:$D$25,MATCH("2024::jama.2024.4183::C009",'C_jama.2024.4183'!$A$2:$A$25,0))="retain",INDEX('C_jama.2024.4183'!$E$2:$E$25,MATCH("2024::jama.2024.4183::C009",'C_jama.2024.4183'!$A$2:$A$25,0))="statistical_results"),IF(INDEX('C_jama.2024.4183'!$J$2:$J$25,MATCH("2024::jama.2024.4183::C009",'C_jama.2024.4183'!$A$2:$A$25,0))="","",INDEX('C_jama.2024.4183'!$J$2:$J$25,MATCH("2024::jama.2024.4183::C009",'C_jama.2024.4183'!$A$2:$A$25,0))),"not_applicable"),"NOT FROZEN")</x:f>
        <x:v>not_applicable</x:v>
      </x:c>
      <x:c r="G61" s="3" t="str">
        <x:f>IF(Setup!$B$6="primary",IF(AND(INDEX('C_jama.2024.4183'!$D$2:$D$25,MATCH("2024::jama.2024.4183::C009",'C_jama.2024.4183'!$A$2:$A$25,0))="retain",OR(INDEX('C_jama.2024.4183'!$E$2:$E$25,MATCH("2024::jama.2024.4183::C009",'C_jama.2024.4183'!$A$2:$A$25,0))="report_internal_inconsistency",INDEX('C_jama.2024.4183'!$E$2:$E$25,MATCH("2024::jama.2024.4183::C009",'C_jama.2024.4183'!$A$2:$A$25,0))="plan_material")),IF(INDEX('C_jama.2024.4183'!$K$2:$K$25,MATCH("2024::jama.2024.4183::C009",'C_jama.2024.4183'!$A$2:$A$25,0))="","",INDEX('C_jama.2024.4183'!$K$2:$K$25,MATCH("2024::jama.2024.4183::C009",'C_jama.2024.4183'!$A$2:$A$25,0))),"not_applicable"),"NOT FROZEN")</x:f>
        <x:v>not_applicable</x:v>
      </x:c>
      <x:c r="H61" s="3" t="str">
        <x:f>IF(Setup!$B$6="primary",IF(AND(INDEX('C_jama.2024.4183'!$D$2:$D$25,MATCH("2024::jama.2024.4183::C009",'C_jama.2024.4183'!$A$2:$A$25,0))="retain",INDEX('C_jama.2024.4183'!$E$2:$E$25,MATCH("2024::jama.2024.4183::C009",'C_jama.2024.4183'!$A$2:$A$25,0))="protocol_report"),IF(INDEX('C_jama.2024.4183'!$L$2:$L$25,MATCH("2024::jama.2024.4183::C009",'C_jama.2024.4183'!$A$2:$A$25,0))="","",INDEX('C_jama.2024.4183'!$L$2:$L$25,MATCH("2024::jama.2024.4183::C009",'C_jama.2024.4183'!$A$2:$A$25,0))),"not_applicable"),"NOT FROZEN")</x:f>
        <x:v>not_applicable</x:v>
      </x:c>
      <x:c r="I61" s="3" t="str">
        <x:f>IF(Setup!$B$6="primary",IF(INDEX('C_jama.2024.4183'!$R$2:$R$25,MATCH("2024::jama.2024.4183::C009",'C_jama.2024.4183'!$A$2:$A$25,0))="","",INDEX('C_jama.2024.4183'!$R$2:$R$25,MATCH("2024::jama.2024.4183::C009",'C_jama.2024.4183'!$A$2:$A$25,0))),"NOT FROZEN")</x:f>
      </x:c>
      <x:c r="J61" s="3" t="str">
        <x:f>IF(Setup!$B$6="primary",INDEX('C_jama.2024.4183'!$F$2:$F$25,MATCH("2024::jama.2024.4183::C009",'C_jama.2024.4183'!$A$2:$A$25,0)),"NOT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IF(Setup!$B$6="primary","2024::jama.2024.4183::C010","NOT FROZEN")</x:f>
        <x:v>2024::jama.2024.4183::C010</x:v>
      </x:c>
      <x:c r="B62" s="6" t="str">
        <x:f>IF(Setup!$B$6="primary",IF(INDEX('C_jama.2024.4183'!$D$2:$D$25,MATCH("2024::jama.2024.4183::C010",'C_jama.2024.4183'!$A$2:$A$25,0))="","",INDEX('C_jama.2024.4183'!$D$2:$D$25,MATCH("2024::jama.2024.4183::C010",'C_jama.2024.4183'!$A$2:$A$25,0))),"NOT FROZEN")</x:f>
      </x:c>
      <x:c r="C62" s="6" t="str">
        <x:f>IF(Setup!$B$6="primary",IF(INDEX('C_jama.2024.4183'!$E$2:$E$25,MATCH("2024::jama.2024.4183::C010",'C_jama.2024.4183'!$A$2:$A$25,0))="","",INDEX('C_jama.2024.4183'!$E$2:$E$25,MATCH("2024::jama.2024.4183::C010",'C_jama.2024.4183'!$A$2:$A$25,0))),"NOT FROZEN")</x:f>
        <x:v>plan_material</x:v>
      </x:c>
      <x:c r="D62" s="6" t="str">
        <x:f>IF(Setup!$B$6="primary",IF(AND(INDEX('C_jama.2024.4183'!$D$2:$D$25,MATCH("2024::jama.2024.4183::C010",'C_jama.2024.4183'!$A$2:$A$25,0))="retain",INDEX('C_jama.2024.4183'!$E$2:$E$25,MATCH("2024::jama.2024.4183::C010",'C_jama.2024.4183'!$A$2:$A$25,0))="statistical_results"),IF(INDEX('C_jama.2024.4183'!$H$2:$H$25,MATCH("2024::jama.2024.4183::C010",'C_jama.2024.4183'!$A$2:$A$25,0))="","",INDEX('C_jama.2024.4183'!$H$2:$H$25,MATCH("2024::jama.2024.4183::C010",'C_jama.2024.4183'!$A$2:$A$25,0))),"not_applicable"),"NOT FROZEN")</x:f>
        <x:v>not_applicable</x:v>
      </x:c>
      <x:c r="E62" s="6" t="str">
        <x:f>IF(Setup!$B$6="primary",IF(AND(INDEX('C_jama.2024.4183'!$D$2:$D$25,MATCH("2024::jama.2024.4183::C010",'C_jama.2024.4183'!$A$2:$A$25,0))="retain",INDEX('C_jama.2024.4183'!$E$2:$E$25,MATCH("2024::jama.2024.4183::C010",'C_jama.2024.4183'!$A$2:$A$25,0))="statistical_results"),IF(INDEX('C_jama.2024.4183'!$I$2:$I$25,MATCH("2024::jama.2024.4183::C010",'C_jama.2024.4183'!$A$2:$A$25,0))="","",INDEX('C_jama.2024.4183'!$I$2:$I$25,MATCH("2024::jama.2024.4183::C010",'C_jama.2024.4183'!$A$2:$A$25,0))),"not_applicable"),"NOT FROZEN")</x:f>
        <x:v>not_applicable</x:v>
      </x:c>
      <x:c r="F62" s="6" t="str">
        <x:f>IF(Setup!$B$6="primary",IF(AND(INDEX('C_jama.2024.4183'!$D$2:$D$25,MATCH("2024::jama.2024.4183::C010",'C_jama.2024.4183'!$A$2:$A$25,0))="retain",INDEX('C_jama.2024.4183'!$E$2:$E$25,MATCH("2024::jama.2024.4183::C010",'C_jama.2024.4183'!$A$2:$A$25,0))="statistical_results"),IF(INDEX('C_jama.2024.4183'!$J$2:$J$25,MATCH("2024::jama.2024.4183::C010",'C_jama.2024.4183'!$A$2:$A$25,0))="","",INDEX('C_jama.2024.4183'!$J$2:$J$25,MATCH("2024::jama.2024.4183::C010",'C_jama.2024.4183'!$A$2:$A$25,0))),"not_applicable"),"NOT FROZEN")</x:f>
        <x:v>not_applicable</x:v>
      </x:c>
      <x:c r="G62" s="6" t="str">
        <x:f>IF(Setup!$B$6="primary",IF(AND(INDEX('C_jama.2024.4183'!$D$2:$D$25,MATCH("2024::jama.2024.4183::C010",'C_jama.2024.4183'!$A$2:$A$25,0))="retain",OR(INDEX('C_jama.2024.4183'!$E$2:$E$25,MATCH("2024::jama.2024.4183::C010",'C_jama.2024.4183'!$A$2:$A$25,0))="report_internal_inconsistency",INDEX('C_jama.2024.4183'!$E$2:$E$25,MATCH("2024::jama.2024.4183::C010",'C_jama.2024.4183'!$A$2:$A$25,0))="plan_material")),IF(INDEX('C_jama.2024.4183'!$K$2:$K$25,MATCH("2024::jama.2024.4183::C010",'C_jama.2024.4183'!$A$2:$A$25,0))="","",INDEX('C_jama.2024.4183'!$K$2:$K$25,MATCH("2024::jama.2024.4183::C010",'C_jama.2024.4183'!$A$2:$A$25,0))),"not_applicable"),"NOT FROZEN")</x:f>
        <x:v>not_applicable</x:v>
      </x:c>
      <x:c r="H62" s="6" t="str">
        <x:f>IF(Setup!$B$6="primary",IF(AND(INDEX('C_jama.2024.4183'!$D$2:$D$25,MATCH("2024::jama.2024.4183::C010",'C_jama.2024.4183'!$A$2:$A$25,0))="retain",INDEX('C_jama.2024.4183'!$E$2:$E$25,MATCH("2024::jama.2024.4183::C010",'C_jama.2024.4183'!$A$2:$A$25,0))="protocol_report"),IF(INDEX('C_jama.2024.4183'!$L$2:$L$25,MATCH("2024::jama.2024.4183::C010",'C_jama.2024.4183'!$A$2:$A$25,0))="","",INDEX('C_jama.2024.4183'!$L$2:$L$25,MATCH("2024::jama.2024.4183::C010",'C_jama.2024.4183'!$A$2:$A$25,0))),"not_applicable"),"NOT FROZEN")</x:f>
        <x:v>not_applicable</x:v>
      </x:c>
      <x:c r="I62" s="6" t="str">
        <x:f>IF(Setup!$B$6="primary",IF(INDEX('C_jama.2024.4183'!$R$2:$R$25,MATCH("2024::jama.2024.4183::C010",'C_jama.2024.4183'!$A$2:$A$25,0))="","",INDEX('C_jama.2024.4183'!$R$2:$R$25,MATCH("2024::jama.2024.4183::C010",'C_jama.2024.4183'!$A$2:$A$25,0))),"NOT FROZEN")</x:f>
      </x:c>
      <x:c r="J62" s="6" t="str">
        <x:f>IF(Setup!$B$6="primary",INDEX('C_jama.2024.4183'!$F$2:$F$25,MATCH("2024::jama.2024.4183::C010",'C_jama.2024.4183'!$A$2:$A$25,0)),"NOT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plan_material
</x:v>
      </x:c>
    </x:row>
    <x:row r="63" ht="70" customHeight="1">
      <x:c r="A63" s="3" t="str">
        <x:f>IF(Setup!$B$6="primary","2024::jama.2024.4183::C011","NOT FROZEN")</x:f>
        <x:v>2024::jama.2024.4183::C011</x:v>
      </x:c>
      <x:c r="B63" s="3" t="str">
        <x:f>IF(Setup!$B$6="primary",IF(INDEX('C_jama.2024.4183'!$D$2:$D$25,MATCH("2024::jama.2024.4183::C011",'C_jama.2024.4183'!$A$2:$A$25,0))="","",INDEX('C_jama.2024.4183'!$D$2:$D$25,MATCH("2024::jama.2024.4183::C011",'C_jama.2024.4183'!$A$2:$A$25,0))),"NOT FROZEN")</x:f>
      </x:c>
      <x:c r="C63" s="3" t="str">
        <x:f>IF(Setup!$B$6="primary",IF(INDEX('C_jama.2024.4183'!$E$2:$E$25,MATCH("2024::jama.2024.4183::C011",'C_jama.2024.4183'!$A$2:$A$25,0))="","",INDEX('C_jama.2024.4183'!$E$2:$E$25,MATCH("2024::jama.2024.4183::C011",'C_jama.2024.4183'!$A$2:$A$25,0))),"NOT FROZEN")</x:f>
        <x:v>plan_material</x:v>
      </x:c>
      <x:c r="D63" s="3" t="str">
        <x:f>IF(Setup!$B$6="primary",IF(AND(INDEX('C_jama.2024.4183'!$D$2:$D$25,MATCH("2024::jama.2024.4183::C011",'C_jama.2024.4183'!$A$2:$A$25,0))="retain",INDEX('C_jama.2024.4183'!$E$2:$E$25,MATCH("2024::jama.2024.4183::C011",'C_jama.2024.4183'!$A$2:$A$25,0))="statistical_results"),IF(INDEX('C_jama.2024.4183'!$H$2:$H$25,MATCH("2024::jama.2024.4183::C011",'C_jama.2024.4183'!$A$2:$A$25,0))="","",INDEX('C_jama.2024.4183'!$H$2:$H$25,MATCH("2024::jama.2024.4183::C011",'C_jama.2024.4183'!$A$2:$A$25,0))),"not_applicable"),"NOT FROZEN")</x:f>
        <x:v>not_applicable</x:v>
      </x:c>
      <x:c r="E63" s="3" t="str">
        <x:f>IF(Setup!$B$6="primary",IF(AND(INDEX('C_jama.2024.4183'!$D$2:$D$25,MATCH("2024::jama.2024.4183::C011",'C_jama.2024.4183'!$A$2:$A$25,0))="retain",INDEX('C_jama.2024.4183'!$E$2:$E$25,MATCH("2024::jama.2024.4183::C011",'C_jama.2024.4183'!$A$2:$A$25,0))="statistical_results"),IF(INDEX('C_jama.2024.4183'!$I$2:$I$25,MATCH("2024::jama.2024.4183::C011",'C_jama.2024.4183'!$A$2:$A$25,0))="","",INDEX('C_jama.2024.4183'!$I$2:$I$25,MATCH("2024::jama.2024.4183::C011",'C_jama.2024.4183'!$A$2:$A$25,0))),"not_applicable"),"NOT FROZEN")</x:f>
        <x:v>not_applicable</x:v>
      </x:c>
      <x:c r="F63" s="3" t="str">
        <x:f>IF(Setup!$B$6="primary",IF(AND(INDEX('C_jama.2024.4183'!$D$2:$D$25,MATCH("2024::jama.2024.4183::C011",'C_jama.2024.4183'!$A$2:$A$25,0))="retain",INDEX('C_jama.2024.4183'!$E$2:$E$25,MATCH("2024::jama.2024.4183::C011",'C_jama.2024.4183'!$A$2:$A$25,0))="statistical_results"),IF(INDEX('C_jama.2024.4183'!$J$2:$J$25,MATCH("2024::jama.2024.4183::C011",'C_jama.2024.4183'!$A$2:$A$25,0))="","",INDEX('C_jama.2024.4183'!$J$2:$J$25,MATCH("2024::jama.2024.4183::C011",'C_jama.2024.4183'!$A$2:$A$25,0))),"not_applicable"),"NOT FROZEN")</x:f>
        <x:v>not_applicable</x:v>
      </x:c>
      <x:c r="G63" s="3" t="str">
        <x:f>IF(Setup!$B$6="primary",IF(AND(INDEX('C_jama.2024.4183'!$D$2:$D$25,MATCH("2024::jama.2024.4183::C011",'C_jama.2024.4183'!$A$2:$A$25,0))="retain",OR(INDEX('C_jama.2024.4183'!$E$2:$E$25,MATCH("2024::jama.2024.4183::C011",'C_jama.2024.4183'!$A$2:$A$25,0))="report_internal_inconsistency",INDEX('C_jama.2024.4183'!$E$2:$E$25,MATCH("2024::jama.2024.4183::C011",'C_jama.2024.4183'!$A$2:$A$25,0))="plan_material")),IF(INDEX('C_jama.2024.4183'!$K$2:$K$25,MATCH("2024::jama.2024.4183::C011",'C_jama.2024.4183'!$A$2:$A$25,0))="","",INDEX('C_jama.2024.4183'!$K$2:$K$25,MATCH("2024::jama.2024.4183::C011",'C_jama.2024.4183'!$A$2:$A$25,0))),"not_applicable"),"NOT FROZEN")</x:f>
        <x:v>not_applicable</x:v>
      </x:c>
      <x:c r="H63" s="3" t="str">
        <x:f>IF(Setup!$B$6="primary",IF(AND(INDEX('C_jama.2024.4183'!$D$2:$D$25,MATCH("2024::jama.2024.4183::C011",'C_jama.2024.4183'!$A$2:$A$25,0))="retain",INDEX('C_jama.2024.4183'!$E$2:$E$25,MATCH("2024::jama.2024.4183::C011",'C_jama.2024.4183'!$A$2:$A$25,0))="protocol_report"),IF(INDEX('C_jama.2024.4183'!$L$2:$L$25,MATCH("2024::jama.2024.4183::C011",'C_jama.2024.4183'!$A$2:$A$25,0))="","",INDEX('C_jama.2024.4183'!$L$2:$L$25,MATCH("2024::jama.2024.4183::C011",'C_jama.2024.4183'!$A$2:$A$25,0))),"not_applicable"),"NOT FROZEN")</x:f>
        <x:v>not_applicable</x:v>
      </x:c>
      <x:c r="I63" s="3" t="str">
        <x:f>IF(Setup!$B$6="primary",IF(INDEX('C_jama.2024.4183'!$R$2:$R$25,MATCH("2024::jama.2024.4183::C011",'C_jama.2024.4183'!$A$2:$A$25,0))="","",INDEX('C_jama.2024.4183'!$R$2:$R$25,MATCH("2024::jama.2024.4183::C011",'C_jama.2024.4183'!$A$2:$A$25,0))),"NOT FROZEN")</x:f>
      </x:c>
      <x:c r="J63" s="3" t="str">
        <x:f>IF(Setup!$B$6="primary",INDEX('C_jama.2024.4183'!$F$2:$F$25,MATCH("2024::jama.2024.4183::C011",'C_jama.2024.4183'!$A$2:$A$25,0)),"NOT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plan_material
</x:v>
      </x:c>
    </x:row>
    <x:row r="64" ht="70" customHeight="1">
      <x:c r="A64" s="6" t="str">
        <x:f>IF(Setup!$B$6="primary","2024::jama.2024.4183::C012","NOT FROZEN")</x:f>
        <x:v>2024::jama.2024.4183::C012</x:v>
      </x:c>
      <x:c r="B64" s="6" t="str">
        <x:f>IF(Setup!$B$6="primary",IF(INDEX('C_jama.2024.4183'!$D$2:$D$25,MATCH("2024::jama.2024.4183::C012",'C_jama.2024.4183'!$A$2:$A$25,0))="","",INDEX('C_jama.2024.4183'!$D$2:$D$25,MATCH("2024::jama.2024.4183::C012",'C_jama.2024.4183'!$A$2:$A$25,0))),"NOT FROZEN")</x:f>
      </x:c>
      <x:c r="C64" s="6" t="str">
        <x:f>IF(Setup!$B$6="primary",IF(INDEX('C_jama.2024.4183'!$E$2:$E$25,MATCH("2024::jama.2024.4183::C012",'C_jama.2024.4183'!$A$2:$A$25,0))="","",INDEX('C_jama.2024.4183'!$E$2:$E$25,MATCH("2024::jama.2024.4183::C012",'C_jama.2024.4183'!$A$2:$A$25,0))),"NOT FROZEN")</x:f>
        <x:v>plan_material</x:v>
      </x:c>
      <x:c r="D64" s="6" t="str">
        <x:f>IF(Setup!$B$6="primary",IF(AND(INDEX('C_jama.2024.4183'!$D$2:$D$25,MATCH("2024::jama.2024.4183::C012",'C_jama.2024.4183'!$A$2:$A$25,0))="retain",INDEX('C_jama.2024.4183'!$E$2:$E$25,MATCH("2024::jama.2024.4183::C012",'C_jama.2024.4183'!$A$2:$A$25,0))="statistical_results"),IF(INDEX('C_jama.2024.4183'!$H$2:$H$25,MATCH("2024::jama.2024.4183::C012",'C_jama.2024.4183'!$A$2:$A$25,0))="","",INDEX('C_jama.2024.4183'!$H$2:$H$25,MATCH("2024::jama.2024.4183::C012",'C_jama.2024.4183'!$A$2:$A$25,0))),"not_applicable"),"NOT FROZEN")</x:f>
        <x:v>not_applicable</x:v>
      </x:c>
      <x:c r="E64" s="6" t="str">
        <x:f>IF(Setup!$B$6="primary",IF(AND(INDEX('C_jama.2024.4183'!$D$2:$D$25,MATCH("2024::jama.2024.4183::C012",'C_jama.2024.4183'!$A$2:$A$25,0))="retain",INDEX('C_jama.2024.4183'!$E$2:$E$25,MATCH("2024::jama.2024.4183::C012",'C_jama.2024.4183'!$A$2:$A$25,0))="statistical_results"),IF(INDEX('C_jama.2024.4183'!$I$2:$I$25,MATCH("2024::jama.2024.4183::C012",'C_jama.2024.4183'!$A$2:$A$25,0))="","",INDEX('C_jama.2024.4183'!$I$2:$I$25,MATCH("2024::jama.2024.4183::C012",'C_jama.2024.4183'!$A$2:$A$25,0))),"not_applicable"),"NOT FROZEN")</x:f>
        <x:v>not_applicable</x:v>
      </x:c>
      <x:c r="F64" s="6" t="str">
        <x:f>IF(Setup!$B$6="primary",IF(AND(INDEX('C_jama.2024.4183'!$D$2:$D$25,MATCH("2024::jama.2024.4183::C012",'C_jama.2024.4183'!$A$2:$A$25,0))="retain",INDEX('C_jama.2024.4183'!$E$2:$E$25,MATCH("2024::jama.2024.4183::C012",'C_jama.2024.4183'!$A$2:$A$25,0))="statistical_results"),IF(INDEX('C_jama.2024.4183'!$J$2:$J$25,MATCH("2024::jama.2024.4183::C012",'C_jama.2024.4183'!$A$2:$A$25,0))="","",INDEX('C_jama.2024.4183'!$J$2:$J$25,MATCH("2024::jama.2024.4183::C012",'C_jama.2024.4183'!$A$2:$A$25,0))),"not_applicable"),"NOT FROZEN")</x:f>
        <x:v>not_applicable</x:v>
      </x:c>
      <x:c r="G64" s="6" t="str">
        <x:f>IF(Setup!$B$6="primary",IF(AND(INDEX('C_jama.2024.4183'!$D$2:$D$25,MATCH("2024::jama.2024.4183::C012",'C_jama.2024.4183'!$A$2:$A$25,0))="retain",OR(INDEX('C_jama.2024.4183'!$E$2:$E$25,MATCH("2024::jama.2024.4183::C012",'C_jama.2024.4183'!$A$2:$A$25,0))="report_internal_inconsistency",INDEX('C_jama.2024.4183'!$E$2:$E$25,MATCH("2024::jama.2024.4183::C012",'C_jama.2024.4183'!$A$2:$A$25,0))="plan_material")),IF(INDEX('C_jama.2024.4183'!$K$2:$K$25,MATCH("2024::jama.2024.4183::C012",'C_jama.2024.4183'!$A$2:$A$25,0))="","",INDEX('C_jama.2024.4183'!$K$2:$K$25,MATCH("2024::jama.2024.4183::C012",'C_jama.2024.4183'!$A$2:$A$25,0))),"not_applicable"),"NOT FROZEN")</x:f>
        <x:v>not_applicable</x:v>
      </x:c>
      <x:c r="H64" s="6" t="str">
        <x:f>IF(Setup!$B$6="primary",IF(AND(INDEX('C_jama.2024.4183'!$D$2:$D$25,MATCH("2024::jama.2024.4183::C012",'C_jama.2024.4183'!$A$2:$A$25,0))="retain",INDEX('C_jama.2024.4183'!$E$2:$E$25,MATCH("2024::jama.2024.4183::C012",'C_jama.2024.4183'!$A$2:$A$25,0))="protocol_report"),IF(INDEX('C_jama.2024.4183'!$L$2:$L$25,MATCH("2024::jama.2024.4183::C012",'C_jama.2024.4183'!$A$2:$A$25,0))="","",INDEX('C_jama.2024.4183'!$L$2:$L$25,MATCH("2024::jama.2024.4183::C012",'C_jama.2024.4183'!$A$2:$A$25,0))),"not_applicable"),"NOT FROZEN")</x:f>
        <x:v>not_applicable</x:v>
      </x:c>
      <x:c r="I64" s="6" t="str">
        <x:f>IF(Setup!$B$6="primary",IF(INDEX('C_jama.2024.4183'!$R$2:$R$25,MATCH("2024::jama.2024.4183::C012",'C_jama.2024.4183'!$A$2:$A$25,0))="","",INDEX('C_jama.2024.4183'!$R$2:$R$25,MATCH("2024::jama.2024.4183::C012",'C_jama.2024.4183'!$A$2:$A$25,0))),"NOT FROZEN")</x:f>
      </x:c>
      <x:c r="J64" s="6" t="str">
        <x:f>IF(Setup!$B$6="primary",INDEX('C_jama.2024.4183'!$F$2:$F$25,MATCH("2024::jama.2024.4183::C012",'C_jama.2024.4183'!$A$2:$A$25,0)),"NOT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plan_material
</x:v>
      </x:c>
    </x:row>
    <x:row r="65" ht="70" customHeight="1">
      <x:c r="A65" s="3" t="str">
        <x:f>IF(Setup!$B$6="primary","2024::jama.2024.4183::C013","NOT FROZEN")</x:f>
        <x:v>2024::jama.2024.4183::C013</x:v>
      </x:c>
      <x:c r="B65" s="3" t="str">
        <x:f>IF(Setup!$B$6="primary",IF(INDEX('C_jama.2024.4183'!$D$2:$D$25,MATCH("2024::jama.2024.4183::C013",'C_jama.2024.4183'!$A$2:$A$25,0))="","",INDEX('C_jama.2024.4183'!$D$2:$D$25,MATCH("2024::jama.2024.4183::C013",'C_jama.2024.4183'!$A$2:$A$25,0))),"NOT FROZEN")</x:f>
      </x:c>
      <x:c r="C65" s="3" t="str">
        <x:f>IF(Setup!$B$6="primary",IF(INDEX('C_jama.2024.4183'!$E$2:$E$25,MATCH("2024::jama.2024.4183::C013",'C_jama.2024.4183'!$A$2:$A$25,0))="","",INDEX('C_jama.2024.4183'!$E$2:$E$25,MATCH("2024::jama.2024.4183::C013",'C_jama.2024.4183'!$A$2:$A$25,0))),"NOT FROZEN")</x:f>
        <x:v>report_internal_inconsistency</x:v>
      </x:c>
      <x:c r="D65" s="3" t="str">
        <x:f>IF(Setup!$B$6="primary",IF(AND(INDEX('C_jama.2024.4183'!$D$2:$D$25,MATCH("2024::jama.2024.4183::C013",'C_jama.2024.4183'!$A$2:$A$25,0))="retain",INDEX('C_jama.2024.4183'!$E$2:$E$25,MATCH("2024::jama.2024.4183::C013",'C_jama.2024.4183'!$A$2:$A$25,0))="statistical_results"),IF(INDEX('C_jama.2024.4183'!$H$2:$H$25,MATCH("2024::jama.2024.4183::C013",'C_jama.2024.4183'!$A$2:$A$25,0))="","",INDEX('C_jama.2024.4183'!$H$2:$H$25,MATCH("2024::jama.2024.4183::C013",'C_jama.2024.4183'!$A$2:$A$25,0))),"not_applicable"),"NOT FROZEN")</x:f>
        <x:v>not_applicable</x:v>
      </x:c>
      <x:c r="E65" s="3" t="str">
        <x:f>IF(Setup!$B$6="primary",IF(AND(INDEX('C_jama.2024.4183'!$D$2:$D$25,MATCH("2024::jama.2024.4183::C013",'C_jama.2024.4183'!$A$2:$A$25,0))="retain",INDEX('C_jama.2024.4183'!$E$2:$E$25,MATCH("2024::jama.2024.4183::C013",'C_jama.2024.4183'!$A$2:$A$25,0))="statistical_results"),IF(INDEX('C_jama.2024.4183'!$I$2:$I$25,MATCH("2024::jama.2024.4183::C013",'C_jama.2024.4183'!$A$2:$A$25,0))="","",INDEX('C_jama.2024.4183'!$I$2:$I$25,MATCH("2024::jama.2024.4183::C013",'C_jama.2024.4183'!$A$2:$A$25,0))),"not_applicable"),"NOT FROZEN")</x:f>
        <x:v>not_applicable</x:v>
      </x:c>
      <x:c r="F65" s="3" t="str">
        <x:f>IF(Setup!$B$6="primary",IF(AND(INDEX('C_jama.2024.4183'!$D$2:$D$25,MATCH("2024::jama.2024.4183::C013",'C_jama.2024.4183'!$A$2:$A$25,0))="retain",INDEX('C_jama.2024.4183'!$E$2:$E$25,MATCH("2024::jama.2024.4183::C013",'C_jama.2024.4183'!$A$2:$A$25,0))="statistical_results"),IF(INDEX('C_jama.2024.4183'!$J$2:$J$25,MATCH("2024::jama.2024.4183::C013",'C_jama.2024.4183'!$A$2:$A$25,0))="","",INDEX('C_jama.2024.4183'!$J$2:$J$25,MATCH("2024::jama.2024.4183::C013",'C_jama.2024.4183'!$A$2:$A$25,0))),"not_applicable"),"NOT FROZEN")</x:f>
        <x:v>not_applicable</x:v>
      </x:c>
      <x:c r="G65" s="3" t="str">
        <x:f>IF(Setup!$B$6="primary",IF(AND(INDEX('C_jama.2024.4183'!$D$2:$D$25,MATCH("2024::jama.2024.4183::C013",'C_jama.2024.4183'!$A$2:$A$25,0))="retain",OR(INDEX('C_jama.2024.4183'!$E$2:$E$25,MATCH("2024::jama.2024.4183::C013",'C_jama.2024.4183'!$A$2:$A$25,0))="report_internal_inconsistency",INDEX('C_jama.2024.4183'!$E$2:$E$25,MATCH("2024::jama.2024.4183::C013",'C_jama.2024.4183'!$A$2:$A$25,0))="plan_material")),IF(INDEX('C_jama.2024.4183'!$K$2:$K$25,MATCH("2024::jama.2024.4183::C013",'C_jama.2024.4183'!$A$2:$A$25,0))="","",INDEX('C_jama.2024.4183'!$K$2:$K$25,MATCH("2024::jama.2024.4183::C013",'C_jama.2024.4183'!$A$2:$A$25,0))),"not_applicable"),"NOT FROZEN")</x:f>
        <x:v>not_applicable</x:v>
      </x:c>
      <x:c r="H65" s="3" t="str">
        <x:f>IF(Setup!$B$6="primary",IF(AND(INDEX('C_jama.2024.4183'!$D$2:$D$25,MATCH("2024::jama.2024.4183::C013",'C_jama.2024.4183'!$A$2:$A$25,0))="retain",INDEX('C_jama.2024.4183'!$E$2:$E$25,MATCH("2024::jama.2024.4183::C013",'C_jama.2024.4183'!$A$2:$A$25,0))="protocol_report"),IF(INDEX('C_jama.2024.4183'!$L$2:$L$25,MATCH("2024::jama.2024.4183::C013",'C_jama.2024.4183'!$A$2:$A$25,0))="","",INDEX('C_jama.2024.4183'!$L$2:$L$25,MATCH("2024::jama.2024.4183::C013",'C_jama.2024.4183'!$A$2:$A$25,0))),"not_applicable"),"NOT FROZEN")</x:f>
        <x:v>not_applicable</x:v>
      </x:c>
      <x:c r="I65" s="3" t="str">
        <x:f>IF(Setup!$B$6="primary",IF(INDEX('C_jama.2024.4183'!$R$2:$R$25,MATCH("2024::jama.2024.4183::C013",'C_jama.2024.4183'!$A$2:$A$25,0))="","",INDEX('C_jama.2024.4183'!$R$2:$R$25,MATCH("2024::jama.2024.4183::C013",'C_jama.2024.4183'!$A$2:$A$25,0))),"NOT FROZEN")</x:f>
      </x:c>
      <x:c r="J65" s="3" t="str">
        <x:f>IF(Setup!$B$6="primary",INDEX('C_jama.2024.4183'!$F$2:$F$25,MATCH("2024::jama.2024.4183::C013",'C_jama.2024.4183'!$A$2:$A$25,0)),"NOT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report_internal_inconsistency
</x:v>
      </x:c>
    </x:row>
    <x:row r="66" ht="70" customHeight="1">
      <x:c r="A66" s="6" t="str">
        <x:f>IF(Setup!$B$6="primary","2024::jama.2024.4183::C014","NOT FROZEN")</x:f>
        <x:v>2024::jama.2024.4183::C014</x:v>
      </x:c>
      <x:c r="B66" s="6" t="str">
        <x:f>IF(Setup!$B$6="primary",IF(INDEX('C_jama.2024.4183'!$D$2:$D$25,MATCH("2024::jama.2024.4183::C014",'C_jama.2024.4183'!$A$2:$A$25,0))="","",INDEX('C_jama.2024.4183'!$D$2:$D$25,MATCH("2024::jama.2024.4183::C014",'C_jama.2024.4183'!$A$2:$A$25,0))),"NOT FROZEN")</x:f>
      </x:c>
      <x:c r="C66" s="6" t="str">
        <x:f>IF(Setup!$B$6="primary",IF(INDEX('C_jama.2024.4183'!$E$2:$E$25,MATCH("2024::jama.2024.4183::C014",'C_jama.2024.4183'!$A$2:$A$25,0))="","",INDEX('C_jama.2024.4183'!$E$2:$E$25,MATCH("2024::jama.2024.4183::C014",'C_jama.2024.4183'!$A$2:$A$25,0))),"NOT FROZEN")</x:f>
        <x:v>statistical_results</x:v>
      </x:c>
      <x:c r="D66" s="6" t="str">
        <x:f>IF(Setup!$B$6="primary",IF(AND(INDEX('C_jama.2024.4183'!$D$2:$D$25,MATCH("2024::jama.2024.4183::C014",'C_jama.2024.4183'!$A$2:$A$25,0))="retain",INDEX('C_jama.2024.4183'!$E$2:$E$25,MATCH("2024::jama.2024.4183::C014",'C_jama.2024.4183'!$A$2:$A$25,0))="statistical_results"),IF(INDEX('C_jama.2024.4183'!$H$2:$H$25,MATCH("2024::jama.2024.4183::C014",'C_jama.2024.4183'!$A$2:$A$25,0))="","",INDEX('C_jama.2024.4183'!$H$2:$H$25,MATCH("2024::jama.2024.4183::C014",'C_jama.2024.4183'!$A$2:$A$25,0))),"not_applicable"),"NOT FROZEN")</x:f>
        <x:v>not_applicable</x:v>
      </x:c>
      <x:c r="E66" s="6" t="str">
        <x:f>IF(Setup!$B$6="primary",IF(AND(INDEX('C_jama.2024.4183'!$D$2:$D$25,MATCH("2024::jama.2024.4183::C014",'C_jama.2024.4183'!$A$2:$A$25,0))="retain",INDEX('C_jama.2024.4183'!$E$2:$E$25,MATCH("2024::jama.2024.4183::C014",'C_jama.2024.4183'!$A$2:$A$25,0))="statistical_results"),IF(INDEX('C_jama.2024.4183'!$I$2:$I$25,MATCH("2024::jama.2024.4183::C014",'C_jama.2024.4183'!$A$2:$A$25,0))="","",INDEX('C_jama.2024.4183'!$I$2:$I$25,MATCH("2024::jama.2024.4183::C014",'C_jama.2024.4183'!$A$2:$A$25,0))),"not_applicable"),"NOT FROZEN")</x:f>
        <x:v>not_applicable</x:v>
      </x:c>
      <x:c r="F66" s="6" t="str">
        <x:f>IF(Setup!$B$6="primary",IF(AND(INDEX('C_jama.2024.4183'!$D$2:$D$25,MATCH("2024::jama.2024.4183::C014",'C_jama.2024.4183'!$A$2:$A$25,0))="retain",INDEX('C_jama.2024.4183'!$E$2:$E$25,MATCH("2024::jama.2024.4183::C014",'C_jama.2024.4183'!$A$2:$A$25,0))="statistical_results"),IF(INDEX('C_jama.2024.4183'!$J$2:$J$25,MATCH("2024::jama.2024.4183::C014",'C_jama.2024.4183'!$A$2:$A$25,0))="","",INDEX('C_jama.2024.4183'!$J$2:$J$25,MATCH("2024::jama.2024.4183::C014",'C_jama.2024.4183'!$A$2:$A$25,0))),"not_applicable"),"NOT FROZEN")</x:f>
        <x:v>not_applicable</x:v>
      </x:c>
      <x:c r="G66" s="6" t="str">
        <x:f>IF(Setup!$B$6="primary",IF(AND(INDEX('C_jama.2024.4183'!$D$2:$D$25,MATCH("2024::jama.2024.4183::C014",'C_jama.2024.4183'!$A$2:$A$25,0))="retain",OR(INDEX('C_jama.2024.4183'!$E$2:$E$25,MATCH("2024::jama.2024.4183::C014",'C_jama.2024.4183'!$A$2:$A$25,0))="report_internal_inconsistency",INDEX('C_jama.2024.4183'!$E$2:$E$25,MATCH("2024::jama.2024.4183::C014",'C_jama.2024.4183'!$A$2:$A$25,0))="plan_material")),IF(INDEX('C_jama.2024.4183'!$K$2:$K$25,MATCH("2024::jama.2024.4183::C014",'C_jama.2024.4183'!$A$2:$A$25,0))="","",INDEX('C_jama.2024.4183'!$K$2:$K$25,MATCH("2024::jama.2024.4183::C014",'C_jama.2024.4183'!$A$2:$A$25,0))),"not_applicable"),"NOT FROZEN")</x:f>
        <x:v>not_applicable</x:v>
      </x:c>
      <x:c r="H66" s="6" t="str">
        <x:f>IF(Setup!$B$6="primary",IF(AND(INDEX('C_jama.2024.4183'!$D$2:$D$25,MATCH("2024::jama.2024.4183::C014",'C_jama.2024.4183'!$A$2:$A$25,0))="retain",INDEX('C_jama.2024.4183'!$E$2:$E$25,MATCH("2024::jama.2024.4183::C014",'C_jama.2024.4183'!$A$2:$A$25,0))="protocol_report"),IF(INDEX('C_jama.2024.4183'!$L$2:$L$25,MATCH("2024::jama.2024.4183::C014",'C_jama.2024.4183'!$A$2:$A$25,0))="","",INDEX('C_jama.2024.4183'!$L$2:$L$25,MATCH("2024::jama.2024.4183::C014",'C_jama.2024.4183'!$A$2:$A$25,0))),"not_applicable"),"NOT FROZEN")</x:f>
        <x:v>not_applicable</x:v>
      </x:c>
      <x:c r="I66" s="6" t="str">
        <x:f>IF(Setup!$B$6="primary",IF(INDEX('C_jama.2024.4183'!$R$2:$R$25,MATCH("2024::jama.2024.4183::C014",'C_jama.2024.4183'!$A$2:$A$25,0))="","",INDEX('C_jama.2024.4183'!$R$2:$R$25,MATCH("2024::jama.2024.4183::C014",'C_jama.2024.4183'!$A$2:$A$25,0))),"NOT FROZEN")</x:f>
      </x:c>
      <x:c r="J66" s="6" t="str">
        <x:f>IF(Setup!$B$6="primary",INDEX('C_jama.2024.4183'!$F$2:$F$25,MATCH("2024::jama.2024.4183::C014",'C_jama.2024.4183'!$A$2:$A$25,0)),"NOT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IF(Setup!$B$6="primary","2024::jama.2024.4183::C015","NOT FROZEN")</x:f>
        <x:v>2024::jama.2024.4183::C015</x:v>
      </x:c>
      <x:c r="B67" s="3" t="str">
        <x:f>IF(Setup!$B$6="primary",IF(INDEX('C_jama.2024.4183'!$D$2:$D$25,MATCH("2024::jama.2024.4183::C015",'C_jama.2024.4183'!$A$2:$A$25,0))="","",INDEX('C_jama.2024.4183'!$D$2:$D$25,MATCH("2024::jama.2024.4183::C015",'C_jama.2024.4183'!$A$2:$A$25,0))),"NOT FROZEN")</x:f>
      </x:c>
      <x:c r="C67" s="3" t="str">
        <x:f>IF(Setup!$B$6="primary",IF(INDEX('C_jama.2024.4183'!$E$2:$E$25,MATCH("2024::jama.2024.4183::C015",'C_jama.2024.4183'!$A$2:$A$25,0))="","",INDEX('C_jama.2024.4183'!$E$2:$E$25,MATCH("2024::jama.2024.4183::C015",'C_jama.2024.4183'!$A$2:$A$25,0))),"NOT FROZEN")</x:f>
        <x:v>statistical_results</x:v>
      </x:c>
      <x:c r="D67" s="3" t="str">
        <x:f>IF(Setup!$B$6="primary",IF(AND(INDEX('C_jama.2024.4183'!$D$2:$D$25,MATCH("2024::jama.2024.4183::C015",'C_jama.2024.4183'!$A$2:$A$25,0))="retain",INDEX('C_jama.2024.4183'!$E$2:$E$25,MATCH("2024::jama.2024.4183::C015",'C_jama.2024.4183'!$A$2:$A$25,0))="statistical_results"),IF(INDEX('C_jama.2024.4183'!$H$2:$H$25,MATCH("2024::jama.2024.4183::C015",'C_jama.2024.4183'!$A$2:$A$25,0))="","",INDEX('C_jama.2024.4183'!$H$2:$H$25,MATCH("2024::jama.2024.4183::C015",'C_jama.2024.4183'!$A$2:$A$25,0))),"not_applicable"),"NOT FROZEN")</x:f>
        <x:v>not_applicable</x:v>
      </x:c>
      <x:c r="E67" s="3" t="str">
        <x:f>IF(Setup!$B$6="primary",IF(AND(INDEX('C_jama.2024.4183'!$D$2:$D$25,MATCH("2024::jama.2024.4183::C015",'C_jama.2024.4183'!$A$2:$A$25,0))="retain",INDEX('C_jama.2024.4183'!$E$2:$E$25,MATCH("2024::jama.2024.4183::C015",'C_jama.2024.4183'!$A$2:$A$25,0))="statistical_results"),IF(INDEX('C_jama.2024.4183'!$I$2:$I$25,MATCH("2024::jama.2024.4183::C015",'C_jama.2024.4183'!$A$2:$A$25,0))="","",INDEX('C_jama.2024.4183'!$I$2:$I$25,MATCH("2024::jama.2024.4183::C015",'C_jama.2024.4183'!$A$2:$A$25,0))),"not_applicable"),"NOT FROZEN")</x:f>
        <x:v>not_applicable</x:v>
      </x:c>
      <x:c r="F67" s="3" t="str">
        <x:f>IF(Setup!$B$6="primary",IF(AND(INDEX('C_jama.2024.4183'!$D$2:$D$25,MATCH("2024::jama.2024.4183::C015",'C_jama.2024.4183'!$A$2:$A$25,0))="retain",INDEX('C_jama.2024.4183'!$E$2:$E$25,MATCH("2024::jama.2024.4183::C015",'C_jama.2024.4183'!$A$2:$A$25,0))="statistical_results"),IF(INDEX('C_jama.2024.4183'!$J$2:$J$25,MATCH("2024::jama.2024.4183::C015",'C_jama.2024.4183'!$A$2:$A$25,0))="","",INDEX('C_jama.2024.4183'!$J$2:$J$25,MATCH("2024::jama.2024.4183::C015",'C_jama.2024.4183'!$A$2:$A$25,0))),"not_applicable"),"NOT FROZEN")</x:f>
        <x:v>not_applicable</x:v>
      </x:c>
      <x:c r="G67" s="3" t="str">
        <x:f>IF(Setup!$B$6="primary",IF(AND(INDEX('C_jama.2024.4183'!$D$2:$D$25,MATCH("2024::jama.2024.4183::C015",'C_jama.2024.4183'!$A$2:$A$25,0))="retain",OR(INDEX('C_jama.2024.4183'!$E$2:$E$25,MATCH("2024::jama.2024.4183::C015",'C_jama.2024.4183'!$A$2:$A$25,0))="report_internal_inconsistency",INDEX('C_jama.2024.4183'!$E$2:$E$25,MATCH("2024::jama.2024.4183::C015",'C_jama.2024.4183'!$A$2:$A$25,0))="plan_material")),IF(INDEX('C_jama.2024.4183'!$K$2:$K$25,MATCH("2024::jama.2024.4183::C015",'C_jama.2024.4183'!$A$2:$A$25,0))="","",INDEX('C_jama.2024.4183'!$K$2:$K$25,MATCH("2024::jama.2024.4183::C015",'C_jama.2024.4183'!$A$2:$A$25,0))),"not_applicable"),"NOT FROZEN")</x:f>
        <x:v>not_applicable</x:v>
      </x:c>
      <x:c r="H67" s="3" t="str">
        <x:f>IF(Setup!$B$6="primary",IF(AND(INDEX('C_jama.2024.4183'!$D$2:$D$25,MATCH("2024::jama.2024.4183::C015",'C_jama.2024.4183'!$A$2:$A$25,0))="retain",INDEX('C_jama.2024.4183'!$E$2:$E$25,MATCH("2024::jama.2024.4183::C015",'C_jama.2024.4183'!$A$2:$A$25,0))="protocol_report"),IF(INDEX('C_jama.2024.4183'!$L$2:$L$25,MATCH("2024::jama.2024.4183::C015",'C_jama.2024.4183'!$A$2:$A$25,0))="","",INDEX('C_jama.2024.4183'!$L$2:$L$25,MATCH("2024::jama.2024.4183::C015",'C_jama.2024.4183'!$A$2:$A$25,0))),"not_applicable"),"NOT FROZEN")</x:f>
        <x:v>not_applicable</x:v>
      </x:c>
      <x:c r="I67" s="3" t="str">
        <x:f>IF(Setup!$B$6="primary",IF(INDEX('C_jama.2024.4183'!$R$2:$R$25,MATCH("2024::jama.2024.4183::C015",'C_jama.2024.4183'!$A$2:$A$25,0))="","",INDEX('C_jama.2024.4183'!$R$2:$R$25,MATCH("2024::jama.2024.4183::C015",'C_jama.2024.4183'!$A$2:$A$25,0))),"NOT FROZEN")</x:f>
      </x:c>
      <x:c r="J67" s="3" t="str">
        <x:f>IF(Setup!$B$6="primary",INDEX('C_jama.2024.4183'!$F$2:$F$25,MATCH("2024::jama.2024.4183::C015",'C_jama.2024.4183'!$A$2:$A$25,0)),"NOT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statistical_results
</x:v>
      </x:c>
    </x:row>
    <x:row r="68" ht="70" customHeight="1">
      <x:c r="A68" s="6" t="str">
        <x:f>IF(Setup!$B$6="primary","2024::jama.2024.4183::C016","NOT FROZEN")</x:f>
        <x:v>2024::jama.2024.4183::C016</x:v>
      </x:c>
      <x:c r="B68" s="6" t="str">
        <x:f>IF(Setup!$B$6="primary",IF(INDEX('C_jama.2024.4183'!$D$2:$D$25,MATCH("2024::jama.2024.4183::C016",'C_jama.2024.4183'!$A$2:$A$25,0))="","",INDEX('C_jama.2024.4183'!$D$2:$D$25,MATCH("2024::jama.2024.4183::C016",'C_jama.2024.4183'!$A$2:$A$25,0))),"NOT FROZEN")</x:f>
      </x:c>
      <x:c r="C68" s="6" t="str">
        <x:f>IF(Setup!$B$6="primary",IF(INDEX('C_jama.2024.4183'!$E$2:$E$25,MATCH("2024::jama.2024.4183::C016",'C_jama.2024.4183'!$A$2:$A$25,0))="","",INDEX('C_jama.2024.4183'!$E$2:$E$25,MATCH("2024::jama.2024.4183::C016",'C_jama.2024.4183'!$A$2:$A$25,0))),"NOT FROZEN")</x:f>
        <x:v>statistical_results</x:v>
      </x:c>
      <x:c r="D68" s="6" t="str">
        <x:f>IF(Setup!$B$6="primary",IF(AND(INDEX('C_jama.2024.4183'!$D$2:$D$25,MATCH("2024::jama.2024.4183::C016",'C_jama.2024.4183'!$A$2:$A$25,0))="retain",INDEX('C_jama.2024.4183'!$E$2:$E$25,MATCH("2024::jama.2024.4183::C016",'C_jama.2024.4183'!$A$2:$A$25,0))="statistical_results"),IF(INDEX('C_jama.2024.4183'!$H$2:$H$25,MATCH("2024::jama.2024.4183::C016",'C_jama.2024.4183'!$A$2:$A$25,0))="","",INDEX('C_jama.2024.4183'!$H$2:$H$25,MATCH("2024::jama.2024.4183::C016",'C_jama.2024.4183'!$A$2:$A$25,0))),"not_applicable"),"NOT FROZEN")</x:f>
        <x:v>not_applicable</x:v>
      </x:c>
      <x:c r="E68" s="6" t="str">
        <x:f>IF(Setup!$B$6="primary",IF(AND(INDEX('C_jama.2024.4183'!$D$2:$D$25,MATCH("2024::jama.2024.4183::C016",'C_jama.2024.4183'!$A$2:$A$25,0))="retain",INDEX('C_jama.2024.4183'!$E$2:$E$25,MATCH("2024::jama.2024.4183::C016",'C_jama.2024.4183'!$A$2:$A$25,0))="statistical_results"),IF(INDEX('C_jama.2024.4183'!$I$2:$I$25,MATCH("2024::jama.2024.4183::C016",'C_jama.2024.4183'!$A$2:$A$25,0))="","",INDEX('C_jama.2024.4183'!$I$2:$I$25,MATCH("2024::jama.2024.4183::C016",'C_jama.2024.4183'!$A$2:$A$25,0))),"not_applicable"),"NOT FROZEN")</x:f>
        <x:v>not_applicable</x:v>
      </x:c>
      <x:c r="F68" s="6" t="str">
        <x:f>IF(Setup!$B$6="primary",IF(AND(INDEX('C_jama.2024.4183'!$D$2:$D$25,MATCH("2024::jama.2024.4183::C016",'C_jama.2024.4183'!$A$2:$A$25,0))="retain",INDEX('C_jama.2024.4183'!$E$2:$E$25,MATCH("2024::jama.2024.4183::C016",'C_jama.2024.4183'!$A$2:$A$25,0))="statistical_results"),IF(INDEX('C_jama.2024.4183'!$J$2:$J$25,MATCH("2024::jama.2024.4183::C016",'C_jama.2024.4183'!$A$2:$A$25,0))="","",INDEX('C_jama.2024.4183'!$J$2:$J$25,MATCH("2024::jama.2024.4183::C016",'C_jama.2024.4183'!$A$2:$A$25,0))),"not_applicable"),"NOT FROZEN")</x:f>
        <x:v>not_applicable</x:v>
      </x:c>
      <x:c r="G68" s="6" t="str">
        <x:f>IF(Setup!$B$6="primary",IF(AND(INDEX('C_jama.2024.4183'!$D$2:$D$25,MATCH("2024::jama.2024.4183::C016",'C_jama.2024.4183'!$A$2:$A$25,0))="retain",OR(INDEX('C_jama.2024.4183'!$E$2:$E$25,MATCH("2024::jama.2024.4183::C016",'C_jama.2024.4183'!$A$2:$A$25,0))="report_internal_inconsistency",INDEX('C_jama.2024.4183'!$E$2:$E$25,MATCH("2024::jama.2024.4183::C016",'C_jama.2024.4183'!$A$2:$A$25,0))="plan_material")),IF(INDEX('C_jama.2024.4183'!$K$2:$K$25,MATCH("2024::jama.2024.4183::C016",'C_jama.2024.4183'!$A$2:$A$25,0))="","",INDEX('C_jama.2024.4183'!$K$2:$K$25,MATCH("2024::jama.2024.4183::C016",'C_jama.2024.4183'!$A$2:$A$25,0))),"not_applicable"),"NOT FROZEN")</x:f>
        <x:v>not_applicable</x:v>
      </x:c>
      <x:c r="H68" s="6" t="str">
        <x:f>IF(Setup!$B$6="primary",IF(AND(INDEX('C_jama.2024.4183'!$D$2:$D$25,MATCH("2024::jama.2024.4183::C016",'C_jama.2024.4183'!$A$2:$A$25,0))="retain",INDEX('C_jama.2024.4183'!$E$2:$E$25,MATCH("2024::jama.2024.4183::C016",'C_jama.2024.4183'!$A$2:$A$25,0))="protocol_report"),IF(INDEX('C_jama.2024.4183'!$L$2:$L$25,MATCH("2024::jama.2024.4183::C016",'C_jama.2024.4183'!$A$2:$A$25,0))="","",INDEX('C_jama.2024.4183'!$L$2:$L$25,MATCH("2024::jama.2024.4183::C016",'C_jama.2024.4183'!$A$2:$A$25,0))),"not_applicable"),"NOT FROZEN")</x:f>
        <x:v>not_applicable</x:v>
      </x:c>
      <x:c r="I68" s="6" t="str">
        <x:f>IF(Setup!$B$6="primary",IF(INDEX('C_jama.2024.4183'!$R$2:$R$25,MATCH("2024::jama.2024.4183::C016",'C_jama.2024.4183'!$A$2:$A$25,0))="","",INDEX('C_jama.2024.4183'!$R$2:$R$25,MATCH("2024::jama.2024.4183::C016",'C_jama.2024.4183'!$A$2:$A$25,0))),"NOT FROZEN")</x:f>
      </x:c>
      <x:c r="J68" s="6" t="str">
        <x:f>IF(Setup!$B$6="primary",INDEX('C_jama.2024.4183'!$F$2:$F$25,MATCH("2024::jama.2024.4183::C016",'C_jama.2024.4183'!$A$2:$A$25,0)),"NOT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statistical_results
</x:v>
      </x:c>
    </x:row>
    <x:row r="69" ht="70" customHeight="1">
      <x:c r="A69" s="3" t="str">
        <x:f>IF(Setup!$B$6="primary","2024::jama.2024.4183::C017","NOT FROZEN")</x:f>
        <x:v>2024::jama.2024.4183::C017</x:v>
      </x:c>
      <x:c r="B69" s="3" t="str">
        <x:f>IF(Setup!$B$6="primary",IF(INDEX('C_jama.2024.4183'!$D$2:$D$25,MATCH("2024::jama.2024.4183::C017",'C_jama.2024.4183'!$A$2:$A$25,0))="","",INDEX('C_jama.2024.4183'!$D$2:$D$25,MATCH("2024::jama.2024.4183::C017",'C_jama.2024.4183'!$A$2:$A$25,0))),"NOT FROZEN")</x:f>
      </x:c>
      <x:c r="C69" s="3" t="str">
        <x:f>IF(Setup!$B$6="primary",IF(INDEX('C_jama.2024.4183'!$E$2:$E$25,MATCH("2024::jama.2024.4183::C017",'C_jama.2024.4183'!$A$2:$A$25,0))="","",INDEX('C_jama.2024.4183'!$E$2:$E$25,MATCH("2024::jama.2024.4183::C017",'C_jama.2024.4183'!$A$2:$A$25,0))),"NOT FROZEN")</x:f>
        <x:v>statistical_results</x:v>
      </x:c>
      <x:c r="D69" s="3" t="str">
        <x:f>IF(Setup!$B$6="primary",IF(AND(INDEX('C_jama.2024.4183'!$D$2:$D$25,MATCH("2024::jama.2024.4183::C017",'C_jama.2024.4183'!$A$2:$A$25,0))="retain",INDEX('C_jama.2024.4183'!$E$2:$E$25,MATCH("2024::jama.2024.4183::C017",'C_jama.2024.4183'!$A$2:$A$25,0))="statistical_results"),IF(INDEX('C_jama.2024.4183'!$H$2:$H$25,MATCH("2024::jama.2024.4183::C017",'C_jama.2024.4183'!$A$2:$A$25,0))="","",INDEX('C_jama.2024.4183'!$H$2:$H$25,MATCH("2024::jama.2024.4183::C017",'C_jama.2024.4183'!$A$2:$A$25,0))),"not_applicable"),"NOT FROZEN")</x:f>
        <x:v>not_applicable</x:v>
      </x:c>
      <x:c r="E69" s="3" t="str">
        <x:f>IF(Setup!$B$6="primary",IF(AND(INDEX('C_jama.2024.4183'!$D$2:$D$25,MATCH("2024::jama.2024.4183::C017",'C_jama.2024.4183'!$A$2:$A$25,0))="retain",INDEX('C_jama.2024.4183'!$E$2:$E$25,MATCH("2024::jama.2024.4183::C017",'C_jama.2024.4183'!$A$2:$A$25,0))="statistical_results"),IF(INDEX('C_jama.2024.4183'!$I$2:$I$25,MATCH("2024::jama.2024.4183::C017",'C_jama.2024.4183'!$A$2:$A$25,0))="","",INDEX('C_jama.2024.4183'!$I$2:$I$25,MATCH("2024::jama.2024.4183::C017",'C_jama.2024.4183'!$A$2:$A$25,0))),"not_applicable"),"NOT FROZEN")</x:f>
        <x:v>not_applicable</x:v>
      </x:c>
      <x:c r="F69" s="3" t="str">
        <x:f>IF(Setup!$B$6="primary",IF(AND(INDEX('C_jama.2024.4183'!$D$2:$D$25,MATCH("2024::jama.2024.4183::C017",'C_jama.2024.4183'!$A$2:$A$25,0))="retain",INDEX('C_jama.2024.4183'!$E$2:$E$25,MATCH("2024::jama.2024.4183::C017",'C_jama.2024.4183'!$A$2:$A$25,0))="statistical_results"),IF(INDEX('C_jama.2024.4183'!$J$2:$J$25,MATCH("2024::jama.2024.4183::C017",'C_jama.2024.4183'!$A$2:$A$25,0))="","",INDEX('C_jama.2024.4183'!$J$2:$J$25,MATCH("2024::jama.2024.4183::C017",'C_jama.2024.4183'!$A$2:$A$25,0))),"not_applicable"),"NOT FROZEN")</x:f>
        <x:v>not_applicable</x:v>
      </x:c>
      <x:c r="G69" s="3" t="str">
        <x:f>IF(Setup!$B$6="primary",IF(AND(INDEX('C_jama.2024.4183'!$D$2:$D$25,MATCH("2024::jama.2024.4183::C017",'C_jama.2024.4183'!$A$2:$A$25,0))="retain",OR(INDEX('C_jama.2024.4183'!$E$2:$E$25,MATCH("2024::jama.2024.4183::C017",'C_jama.2024.4183'!$A$2:$A$25,0))="report_internal_inconsistency",INDEX('C_jama.2024.4183'!$E$2:$E$25,MATCH("2024::jama.2024.4183::C017",'C_jama.2024.4183'!$A$2:$A$25,0))="plan_material")),IF(INDEX('C_jama.2024.4183'!$K$2:$K$25,MATCH("2024::jama.2024.4183::C017",'C_jama.2024.4183'!$A$2:$A$25,0))="","",INDEX('C_jama.2024.4183'!$K$2:$K$25,MATCH("2024::jama.2024.4183::C017",'C_jama.2024.4183'!$A$2:$A$25,0))),"not_applicable"),"NOT FROZEN")</x:f>
        <x:v>not_applicable</x:v>
      </x:c>
      <x:c r="H69" s="3" t="str">
        <x:f>IF(Setup!$B$6="primary",IF(AND(INDEX('C_jama.2024.4183'!$D$2:$D$25,MATCH("2024::jama.2024.4183::C017",'C_jama.2024.4183'!$A$2:$A$25,0))="retain",INDEX('C_jama.2024.4183'!$E$2:$E$25,MATCH("2024::jama.2024.4183::C017",'C_jama.2024.4183'!$A$2:$A$25,0))="protocol_report"),IF(INDEX('C_jama.2024.4183'!$L$2:$L$25,MATCH("2024::jama.2024.4183::C017",'C_jama.2024.4183'!$A$2:$A$25,0))="","",INDEX('C_jama.2024.4183'!$L$2:$L$25,MATCH("2024::jama.2024.4183::C017",'C_jama.2024.4183'!$A$2:$A$25,0))),"not_applicable"),"NOT FROZEN")</x:f>
        <x:v>not_applicable</x:v>
      </x:c>
      <x:c r="I69" s="3" t="str">
        <x:f>IF(Setup!$B$6="primary",IF(INDEX('C_jama.2024.4183'!$R$2:$R$25,MATCH("2024::jama.2024.4183::C017",'C_jama.2024.4183'!$A$2:$A$25,0))="","",INDEX('C_jama.2024.4183'!$R$2:$R$25,MATCH("2024::jama.2024.4183::C017",'C_jama.2024.4183'!$A$2:$A$25,0))),"NOT FROZEN")</x:f>
      </x:c>
      <x:c r="J69" s="3" t="str">
        <x:f>IF(Setup!$B$6="primary",INDEX('C_jama.2024.4183'!$F$2:$F$25,MATCH("2024::jama.2024.4183::C017",'C_jama.2024.4183'!$A$2:$A$25,0)),"NOT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statistical_results
</x:v>
      </x:c>
    </x:row>
    <x:row r="70" ht="70" customHeight="1">
      <x:c r="A70" s="6" t="str">
        <x:f>IF(Setup!$B$6="primary","2024::jama.2024.4183::C018","NOT FROZEN")</x:f>
        <x:v>2024::jama.2024.4183::C018</x:v>
      </x:c>
      <x:c r="B70" s="6" t="str">
        <x:f>IF(Setup!$B$6="primary",IF(INDEX('C_jama.2024.4183'!$D$2:$D$25,MATCH("2024::jama.2024.4183::C018",'C_jama.2024.4183'!$A$2:$A$25,0))="","",INDEX('C_jama.2024.4183'!$D$2:$D$25,MATCH("2024::jama.2024.4183::C018",'C_jama.2024.4183'!$A$2:$A$25,0))),"NOT FROZEN")</x:f>
      </x:c>
      <x:c r="C70" s="6" t="str">
        <x:f>IF(Setup!$B$6="primary",IF(INDEX('C_jama.2024.4183'!$E$2:$E$25,MATCH("2024::jama.2024.4183::C018",'C_jama.2024.4183'!$A$2:$A$25,0))="","",INDEX('C_jama.2024.4183'!$E$2:$E$25,MATCH("2024::jama.2024.4183::C018",'C_jama.2024.4183'!$A$2:$A$25,0))),"NOT FROZEN")</x:f>
        <x:v>statistical_results</x:v>
      </x:c>
      <x:c r="D70" s="6" t="str">
        <x:f>IF(Setup!$B$6="primary",IF(AND(INDEX('C_jama.2024.4183'!$D$2:$D$25,MATCH("2024::jama.2024.4183::C018",'C_jama.2024.4183'!$A$2:$A$25,0))="retain",INDEX('C_jama.2024.4183'!$E$2:$E$25,MATCH("2024::jama.2024.4183::C018",'C_jama.2024.4183'!$A$2:$A$25,0))="statistical_results"),IF(INDEX('C_jama.2024.4183'!$H$2:$H$25,MATCH("2024::jama.2024.4183::C018",'C_jama.2024.4183'!$A$2:$A$25,0))="","",INDEX('C_jama.2024.4183'!$H$2:$H$25,MATCH("2024::jama.2024.4183::C018",'C_jama.2024.4183'!$A$2:$A$25,0))),"not_applicable"),"NOT FROZEN")</x:f>
        <x:v>not_applicable</x:v>
      </x:c>
      <x:c r="E70" s="6" t="str">
        <x:f>IF(Setup!$B$6="primary",IF(AND(INDEX('C_jama.2024.4183'!$D$2:$D$25,MATCH("2024::jama.2024.4183::C018",'C_jama.2024.4183'!$A$2:$A$25,0))="retain",INDEX('C_jama.2024.4183'!$E$2:$E$25,MATCH("2024::jama.2024.4183::C018",'C_jama.2024.4183'!$A$2:$A$25,0))="statistical_results"),IF(INDEX('C_jama.2024.4183'!$I$2:$I$25,MATCH("2024::jama.2024.4183::C018",'C_jama.2024.4183'!$A$2:$A$25,0))="","",INDEX('C_jama.2024.4183'!$I$2:$I$25,MATCH("2024::jama.2024.4183::C018",'C_jama.2024.4183'!$A$2:$A$25,0))),"not_applicable"),"NOT FROZEN")</x:f>
        <x:v>not_applicable</x:v>
      </x:c>
      <x:c r="F70" s="6" t="str">
        <x:f>IF(Setup!$B$6="primary",IF(AND(INDEX('C_jama.2024.4183'!$D$2:$D$25,MATCH("2024::jama.2024.4183::C018",'C_jama.2024.4183'!$A$2:$A$25,0))="retain",INDEX('C_jama.2024.4183'!$E$2:$E$25,MATCH("2024::jama.2024.4183::C018",'C_jama.2024.4183'!$A$2:$A$25,0))="statistical_results"),IF(INDEX('C_jama.2024.4183'!$J$2:$J$25,MATCH("2024::jama.2024.4183::C018",'C_jama.2024.4183'!$A$2:$A$25,0))="","",INDEX('C_jama.2024.4183'!$J$2:$J$25,MATCH("2024::jama.2024.4183::C018",'C_jama.2024.4183'!$A$2:$A$25,0))),"not_applicable"),"NOT FROZEN")</x:f>
        <x:v>not_applicable</x:v>
      </x:c>
      <x:c r="G70" s="6" t="str">
        <x:f>IF(Setup!$B$6="primary",IF(AND(INDEX('C_jama.2024.4183'!$D$2:$D$25,MATCH("2024::jama.2024.4183::C018",'C_jama.2024.4183'!$A$2:$A$25,0))="retain",OR(INDEX('C_jama.2024.4183'!$E$2:$E$25,MATCH("2024::jama.2024.4183::C018",'C_jama.2024.4183'!$A$2:$A$25,0))="report_internal_inconsistency",INDEX('C_jama.2024.4183'!$E$2:$E$25,MATCH("2024::jama.2024.4183::C018",'C_jama.2024.4183'!$A$2:$A$25,0))="plan_material")),IF(INDEX('C_jama.2024.4183'!$K$2:$K$25,MATCH("2024::jama.2024.4183::C018",'C_jama.2024.4183'!$A$2:$A$25,0))="","",INDEX('C_jama.2024.4183'!$K$2:$K$25,MATCH("2024::jama.2024.4183::C018",'C_jama.2024.4183'!$A$2:$A$25,0))),"not_applicable"),"NOT FROZEN")</x:f>
        <x:v>not_applicable</x:v>
      </x:c>
      <x:c r="H70" s="6" t="str">
        <x:f>IF(Setup!$B$6="primary",IF(AND(INDEX('C_jama.2024.4183'!$D$2:$D$25,MATCH("2024::jama.2024.4183::C018",'C_jama.2024.4183'!$A$2:$A$25,0))="retain",INDEX('C_jama.2024.4183'!$E$2:$E$25,MATCH("2024::jama.2024.4183::C018",'C_jama.2024.4183'!$A$2:$A$25,0))="protocol_report"),IF(INDEX('C_jama.2024.4183'!$L$2:$L$25,MATCH("2024::jama.2024.4183::C018",'C_jama.2024.4183'!$A$2:$A$25,0))="","",INDEX('C_jama.2024.4183'!$L$2:$L$25,MATCH("2024::jama.2024.4183::C018",'C_jama.2024.4183'!$A$2:$A$25,0))),"not_applicable"),"NOT FROZEN")</x:f>
        <x:v>not_applicable</x:v>
      </x:c>
      <x:c r="I70" s="6" t="str">
        <x:f>IF(Setup!$B$6="primary",IF(INDEX('C_jama.2024.4183'!$R$2:$R$25,MATCH("2024::jama.2024.4183::C018",'C_jama.2024.4183'!$A$2:$A$25,0))="","",INDEX('C_jama.2024.4183'!$R$2:$R$25,MATCH("2024::jama.2024.4183::C018",'C_jama.2024.4183'!$A$2:$A$25,0))),"NOT FROZEN")</x:f>
      </x:c>
      <x:c r="J70" s="6" t="str">
        <x:f>IF(Setup!$B$6="primary",INDEX('C_jama.2024.4183'!$F$2:$F$25,MATCH("2024::jama.2024.4183::C018",'C_jama.2024.4183'!$A$2:$A$25,0)),"NOT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IF(Setup!$B$6="primary","2024::jama.2024.4183::C019","NOT FROZEN")</x:f>
        <x:v>2024::jama.2024.4183::C019</x:v>
      </x:c>
      <x:c r="B71" s="3" t="str">
        <x:f>IF(Setup!$B$6="primary",IF(INDEX('C_jama.2024.4183'!$D$2:$D$25,MATCH("2024::jama.2024.4183::C019",'C_jama.2024.4183'!$A$2:$A$25,0))="","",INDEX('C_jama.2024.4183'!$D$2:$D$25,MATCH("2024::jama.2024.4183::C019",'C_jama.2024.4183'!$A$2:$A$25,0))),"NOT FROZEN")</x:f>
      </x:c>
      <x:c r="C71" s="3" t="str">
        <x:f>IF(Setup!$B$6="primary",IF(INDEX('C_jama.2024.4183'!$E$2:$E$25,MATCH("2024::jama.2024.4183::C019",'C_jama.2024.4183'!$A$2:$A$25,0))="","",INDEX('C_jama.2024.4183'!$E$2:$E$25,MATCH("2024::jama.2024.4183::C019",'C_jama.2024.4183'!$A$2:$A$25,0))),"NOT FROZEN")</x:f>
        <x:v>report_internal_inconsistency</x:v>
      </x:c>
      <x:c r="D71" s="3" t="str">
        <x:f>IF(Setup!$B$6="primary",IF(AND(INDEX('C_jama.2024.4183'!$D$2:$D$25,MATCH("2024::jama.2024.4183::C019",'C_jama.2024.4183'!$A$2:$A$25,0))="retain",INDEX('C_jama.2024.4183'!$E$2:$E$25,MATCH("2024::jama.2024.4183::C019",'C_jama.2024.4183'!$A$2:$A$25,0))="statistical_results"),IF(INDEX('C_jama.2024.4183'!$H$2:$H$25,MATCH("2024::jama.2024.4183::C019",'C_jama.2024.4183'!$A$2:$A$25,0))="","",INDEX('C_jama.2024.4183'!$H$2:$H$25,MATCH("2024::jama.2024.4183::C019",'C_jama.2024.4183'!$A$2:$A$25,0))),"not_applicable"),"NOT FROZEN")</x:f>
        <x:v>not_applicable</x:v>
      </x:c>
      <x:c r="E71" s="3" t="str">
        <x:f>IF(Setup!$B$6="primary",IF(AND(INDEX('C_jama.2024.4183'!$D$2:$D$25,MATCH("2024::jama.2024.4183::C019",'C_jama.2024.4183'!$A$2:$A$25,0))="retain",INDEX('C_jama.2024.4183'!$E$2:$E$25,MATCH("2024::jama.2024.4183::C019",'C_jama.2024.4183'!$A$2:$A$25,0))="statistical_results"),IF(INDEX('C_jama.2024.4183'!$I$2:$I$25,MATCH("2024::jama.2024.4183::C019",'C_jama.2024.4183'!$A$2:$A$25,0))="","",INDEX('C_jama.2024.4183'!$I$2:$I$25,MATCH("2024::jama.2024.4183::C019",'C_jama.2024.4183'!$A$2:$A$25,0))),"not_applicable"),"NOT FROZEN")</x:f>
        <x:v>not_applicable</x:v>
      </x:c>
      <x:c r="F71" s="3" t="str">
        <x:f>IF(Setup!$B$6="primary",IF(AND(INDEX('C_jama.2024.4183'!$D$2:$D$25,MATCH("2024::jama.2024.4183::C019",'C_jama.2024.4183'!$A$2:$A$25,0))="retain",INDEX('C_jama.2024.4183'!$E$2:$E$25,MATCH("2024::jama.2024.4183::C019",'C_jama.2024.4183'!$A$2:$A$25,0))="statistical_results"),IF(INDEX('C_jama.2024.4183'!$J$2:$J$25,MATCH("2024::jama.2024.4183::C019",'C_jama.2024.4183'!$A$2:$A$25,0))="","",INDEX('C_jama.2024.4183'!$J$2:$J$25,MATCH("2024::jama.2024.4183::C019",'C_jama.2024.4183'!$A$2:$A$25,0))),"not_applicable"),"NOT FROZEN")</x:f>
        <x:v>not_applicable</x:v>
      </x:c>
      <x:c r="G71" s="3" t="str">
        <x:f>IF(Setup!$B$6="primary",IF(AND(INDEX('C_jama.2024.4183'!$D$2:$D$25,MATCH("2024::jama.2024.4183::C019",'C_jama.2024.4183'!$A$2:$A$25,0))="retain",OR(INDEX('C_jama.2024.4183'!$E$2:$E$25,MATCH("2024::jama.2024.4183::C019",'C_jama.2024.4183'!$A$2:$A$25,0))="report_internal_inconsistency",INDEX('C_jama.2024.4183'!$E$2:$E$25,MATCH("2024::jama.2024.4183::C019",'C_jama.2024.4183'!$A$2:$A$25,0))="plan_material")),IF(INDEX('C_jama.2024.4183'!$K$2:$K$25,MATCH("2024::jama.2024.4183::C019",'C_jama.2024.4183'!$A$2:$A$25,0))="","",INDEX('C_jama.2024.4183'!$K$2:$K$25,MATCH("2024::jama.2024.4183::C019",'C_jama.2024.4183'!$A$2:$A$25,0))),"not_applicable"),"NOT FROZEN")</x:f>
        <x:v>not_applicable</x:v>
      </x:c>
      <x:c r="H71" s="3" t="str">
        <x:f>IF(Setup!$B$6="primary",IF(AND(INDEX('C_jama.2024.4183'!$D$2:$D$25,MATCH("2024::jama.2024.4183::C019",'C_jama.2024.4183'!$A$2:$A$25,0))="retain",INDEX('C_jama.2024.4183'!$E$2:$E$25,MATCH("2024::jama.2024.4183::C019",'C_jama.2024.4183'!$A$2:$A$25,0))="protocol_report"),IF(INDEX('C_jama.2024.4183'!$L$2:$L$25,MATCH("2024::jama.2024.4183::C019",'C_jama.2024.4183'!$A$2:$A$25,0))="","",INDEX('C_jama.2024.4183'!$L$2:$L$25,MATCH("2024::jama.2024.4183::C019",'C_jama.2024.4183'!$A$2:$A$25,0))),"not_applicable"),"NOT FROZEN")</x:f>
        <x:v>not_applicable</x:v>
      </x:c>
      <x:c r="I71" s="3" t="str">
        <x:f>IF(Setup!$B$6="primary",IF(INDEX('C_jama.2024.4183'!$R$2:$R$25,MATCH("2024::jama.2024.4183::C019",'C_jama.2024.4183'!$A$2:$A$25,0))="","",INDEX('C_jama.2024.4183'!$R$2:$R$25,MATCH("2024::jama.2024.4183::C019",'C_jama.2024.4183'!$A$2:$A$25,0))),"NOT FROZEN")</x:f>
      </x:c>
      <x:c r="J71" s="3" t="str">
        <x:f>IF(Setup!$B$6="primary",INDEX('C_jama.2024.4183'!$F$2:$F$25,MATCH("2024::jama.2024.4183::C019",'C_jama.2024.4183'!$A$2:$A$25,0)),"NOT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report_internal_inconsistency
</x:v>
      </x:c>
    </x:row>
    <x:row r="72" ht="70" customHeight="1">
      <x:c r="A72" s="6" t="str">
        <x:f>IF(Setup!$B$6="primary","2024::jama.2024.4183::C020","NOT FROZEN")</x:f>
        <x:v>2024::jama.2024.4183::C020</x:v>
      </x:c>
      <x:c r="B72" s="6" t="str">
        <x:f>IF(Setup!$B$6="primary",IF(INDEX('C_jama.2024.4183'!$D$2:$D$25,MATCH("2024::jama.2024.4183::C020",'C_jama.2024.4183'!$A$2:$A$25,0))="","",INDEX('C_jama.2024.4183'!$D$2:$D$25,MATCH("2024::jama.2024.4183::C020",'C_jama.2024.4183'!$A$2:$A$25,0))),"NOT FROZEN")</x:f>
      </x:c>
      <x:c r="C72" s="6" t="str">
        <x:f>IF(Setup!$B$6="primary",IF(INDEX('C_jama.2024.4183'!$E$2:$E$25,MATCH("2024::jama.2024.4183::C020",'C_jama.2024.4183'!$A$2:$A$25,0))="","",INDEX('C_jama.2024.4183'!$E$2:$E$25,MATCH("2024::jama.2024.4183::C020",'C_jama.2024.4183'!$A$2:$A$25,0))),"NOT FROZEN")</x:f>
        <x:v>statistical_results</x:v>
      </x:c>
      <x:c r="D72" s="6" t="str">
        <x:f>IF(Setup!$B$6="primary",IF(AND(INDEX('C_jama.2024.4183'!$D$2:$D$25,MATCH("2024::jama.2024.4183::C020",'C_jama.2024.4183'!$A$2:$A$25,0))="retain",INDEX('C_jama.2024.4183'!$E$2:$E$25,MATCH("2024::jama.2024.4183::C020",'C_jama.2024.4183'!$A$2:$A$25,0))="statistical_results"),IF(INDEX('C_jama.2024.4183'!$H$2:$H$25,MATCH("2024::jama.2024.4183::C020",'C_jama.2024.4183'!$A$2:$A$25,0))="","",INDEX('C_jama.2024.4183'!$H$2:$H$25,MATCH("2024::jama.2024.4183::C020",'C_jama.2024.4183'!$A$2:$A$25,0))),"not_applicable"),"NOT FROZEN")</x:f>
        <x:v>not_applicable</x:v>
      </x:c>
      <x:c r="E72" s="6" t="str">
        <x:f>IF(Setup!$B$6="primary",IF(AND(INDEX('C_jama.2024.4183'!$D$2:$D$25,MATCH("2024::jama.2024.4183::C020",'C_jama.2024.4183'!$A$2:$A$25,0))="retain",INDEX('C_jama.2024.4183'!$E$2:$E$25,MATCH("2024::jama.2024.4183::C020",'C_jama.2024.4183'!$A$2:$A$25,0))="statistical_results"),IF(INDEX('C_jama.2024.4183'!$I$2:$I$25,MATCH("2024::jama.2024.4183::C020",'C_jama.2024.4183'!$A$2:$A$25,0))="","",INDEX('C_jama.2024.4183'!$I$2:$I$25,MATCH("2024::jama.2024.4183::C020",'C_jama.2024.4183'!$A$2:$A$25,0))),"not_applicable"),"NOT FROZEN")</x:f>
        <x:v>not_applicable</x:v>
      </x:c>
      <x:c r="F72" s="6" t="str">
        <x:f>IF(Setup!$B$6="primary",IF(AND(INDEX('C_jama.2024.4183'!$D$2:$D$25,MATCH("2024::jama.2024.4183::C020",'C_jama.2024.4183'!$A$2:$A$25,0))="retain",INDEX('C_jama.2024.4183'!$E$2:$E$25,MATCH("2024::jama.2024.4183::C020",'C_jama.2024.4183'!$A$2:$A$25,0))="statistical_results"),IF(INDEX('C_jama.2024.4183'!$J$2:$J$25,MATCH("2024::jama.2024.4183::C020",'C_jama.2024.4183'!$A$2:$A$25,0))="","",INDEX('C_jama.2024.4183'!$J$2:$J$25,MATCH("2024::jama.2024.4183::C020",'C_jama.2024.4183'!$A$2:$A$25,0))),"not_applicable"),"NOT FROZEN")</x:f>
        <x:v>not_applicable</x:v>
      </x:c>
      <x:c r="G72" s="6" t="str">
        <x:f>IF(Setup!$B$6="primary",IF(AND(INDEX('C_jama.2024.4183'!$D$2:$D$25,MATCH("2024::jama.2024.4183::C020",'C_jama.2024.4183'!$A$2:$A$25,0))="retain",OR(INDEX('C_jama.2024.4183'!$E$2:$E$25,MATCH("2024::jama.2024.4183::C020",'C_jama.2024.4183'!$A$2:$A$25,0))="report_internal_inconsistency",INDEX('C_jama.2024.4183'!$E$2:$E$25,MATCH("2024::jama.2024.4183::C020",'C_jama.2024.4183'!$A$2:$A$25,0))="plan_material")),IF(INDEX('C_jama.2024.4183'!$K$2:$K$25,MATCH("2024::jama.2024.4183::C020",'C_jama.2024.4183'!$A$2:$A$25,0))="","",INDEX('C_jama.2024.4183'!$K$2:$K$25,MATCH("2024::jama.2024.4183::C020",'C_jama.2024.4183'!$A$2:$A$25,0))),"not_applicable"),"NOT FROZEN")</x:f>
        <x:v>not_applicable</x:v>
      </x:c>
      <x:c r="H72" s="6" t="str">
        <x:f>IF(Setup!$B$6="primary",IF(AND(INDEX('C_jama.2024.4183'!$D$2:$D$25,MATCH("2024::jama.2024.4183::C020",'C_jama.2024.4183'!$A$2:$A$25,0))="retain",INDEX('C_jama.2024.4183'!$E$2:$E$25,MATCH("2024::jama.2024.4183::C020",'C_jama.2024.4183'!$A$2:$A$25,0))="protocol_report"),IF(INDEX('C_jama.2024.4183'!$L$2:$L$25,MATCH("2024::jama.2024.4183::C020",'C_jama.2024.4183'!$A$2:$A$25,0))="","",INDEX('C_jama.2024.4183'!$L$2:$L$25,MATCH("2024::jama.2024.4183::C020",'C_jama.2024.4183'!$A$2:$A$25,0))),"not_applicable"),"NOT FROZEN")</x:f>
        <x:v>not_applicable</x:v>
      </x:c>
      <x:c r="I72" s="6" t="str">
        <x:f>IF(Setup!$B$6="primary",IF(INDEX('C_jama.2024.4183'!$R$2:$R$25,MATCH("2024::jama.2024.4183::C020",'C_jama.2024.4183'!$A$2:$A$25,0))="","",INDEX('C_jama.2024.4183'!$R$2:$R$25,MATCH("2024::jama.2024.4183::C020",'C_jama.2024.4183'!$A$2:$A$25,0))),"NOT FROZEN")</x:f>
      </x:c>
      <x:c r="J72" s="6" t="str">
        <x:f>IF(Setup!$B$6="primary",INDEX('C_jama.2024.4183'!$F$2:$F$25,MATCH("2024::jama.2024.4183::C020",'C_jama.2024.4183'!$A$2:$A$25,0)),"NOT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statistical_results
</x:v>
      </x:c>
    </x:row>
    <x:row r="73" ht="70" customHeight="1">
      <x:c r="A73" s="3" t="str">
        <x:f>IF(Setup!$B$6="primary","2024::jama.2024.4183::C021","NOT FROZEN")</x:f>
        <x:v>2024::jama.2024.4183::C021</x:v>
      </x:c>
      <x:c r="B73" s="3" t="str">
        <x:f>IF(Setup!$B$6="primary",IF(INDEX('C_jama.2024.4183'!$D$2:$D$25,MATCH("2024::jama.2024.4183::C021",'C_jama.2024.4183'!$A$2:$A$25,0))="","",INDEX('C_jama.2024.4183'!$D$2:$D$25,MATCH("2024::jama.2024.4183::C021",'C_jama.2024.4183'!$A$2:$A$25,0))),"NOT FROZEN")</x:f>
      </x:c>
      <x:c r="C73" s="3" t="str">
        <x:f>IF(Setup!$B$6="primary",IF(INDEX('C_jama.2024.4183'!$E$2:$E$25,MATCH("2024::jama.2024.4183::C021",'C_jama.2024.4183'!$A$2:$A$25,0))="","",INDEX('C_jama.2024.4183'!$E$2:$E$25,MATCH("2024::jama.2024.4183::C021",'C_jama.2024.4183'!$A$2:$A$25,0))),"NOT FROZEN")</x:f>
        <x:v>report_internal_inconsistency</x:v>
      </x:c>
      <x:c r="D73" s="3" t="str">
        <x:f>IF(Setup!$B$6="primary",IF(AND(INDEX('C_jama.2024.4183'!$D$2:$D$25,MATCH("2024::jama.2024.4183::C021",'C_jama.2024.4183'!$A$2:$A$25,0))="retain",INDEX('C_jama.2024.4183'!$E$2:$E$25,MATCH("2024::jama.2024.4183::C021",'C_jama.2024.4183'!$A$2:$A$25,0))="statistical_results"),IF(INDEX('C_jama.2024.4183'!$H$2:$H$25,MATCH("2024::jama.2024.4183::C021",'C_jama.2024.4183'!$A$2:$A$25,0))="","",INDEX('C_jama.2024.4183'!$H$2:$H$25,MATCH("2024::jama.2024.4183::C021",'C_jama.2024.4183'!$A$2:$A$25,0))),"not_applicable"),"NOT FROZEN")</x:f>
        <x:v>not_applicable</x:v>
      </x:c>
      <x:c r="E73" s="3" t="str">
        <x:f>IF(Setup!$B$6="primary",IF(AND(INDEX('C_jama.2024.4183'!$D$2:$D$25,MATCH("2024::jama.2024.4183::C021",'C_jama.2024.4183'!$A$2:$A$25,0))="retain",INDEX('C_jama.2024.4183'!$E$2:$E$25,MATCH("2024::jama.2024.4183::C021",'C_jama.2024.4183'!$A$2:$A$25,0))="statistical_results"),IF(INDEX('C_jama.2024.4183'!$I$2:$I$25,MATCH("2024::jama.2024.4183::C021",'C_jama.2024.4183'!$A$2:$A$25,0))="","",INDEX('C_jama.2024.4183'!$I$2:$I$25,MATCH("2024::jama.2024.4183::C021",'C_jama.2024.4183'!$A$2:$A$25,0))),"not_applicable"),"NOT FROZEN")</x:f>
        <x:v>not_applicable</x:v>
      </x:c>
      <x:c r="F73" s="3" t="str">
        <x:f>IF(Setup!$B$6="primary",IF(AND(INDEX('C_jama.2024.4183'!$D$2:$D$25,MATCH("2024::jama.2024.4183::C021",'C_jama.2024.4183'!$A$2:$A$25,0))="retain",INDEX('C_jama.2024.4183'!$E$2:$E$25,MATCH("2024::jama.2024.4183::C021",'C_jama.2024.4183'!$A$2:$A$25,0))="statistical_results"),IF(INDEX('C_jama.2024.4183'!$J$2:$J$25,MATCH("2024::jama.2024.4183::C021",'C_jama.2024.4183'!$A$2:$A$25,0))="","",INDEX('C_jama.2024.4183'!$J$2:$J$25,MATCH("2024::jama.2024.4183::C021",'C_jama.2024.4183'!$A$2:$A$25,0))),"not_applicable"),"NOT FROZEN")</x:f>
        <x:v>not_applicable</x:v>
      </x:c>
      <x:c r="G73" s="3" t="str">
        <x:f>IF(Setup!$B$6="primary",IF(AND(INDEX('C_jama.2024.4183'!$D$2:$D$25,MATCH("2024::jama.2024.4183::C021",'C_jama.2024.4183'!$A$2:$A$25,0))="retain",OR(INDEX('C_jama.2024.4183'!$E$2:$E$25,MATCH("2024::jama.2024.4183::C021",'C_jama.2024.4183'!$A$2:$A$25,0))="report_internal_inconsistency",INDEX('C_jama.2024.4183'!$E$2:$E$25,MATCH("2024::jama.2024.4183::C021",'C_jama.2024.4183'!$A$2:$A$25,0))="plan_material")),IF(INDEX('C_jama.2024.4183'!$K$2:$K$25,MATCH("2024::jama.2024.4183::C021",'C_jama.2024.4183'!$A$2:$A$25,0))="","",INDEX('C_jama.2024.4183'!$K$2:$K$25,MATCH("2024::jama.2024.4183::C021",'C_jama.2024.4183'!$A$2:$A$25,0))),"not_applicable"),"NOT FROZEN")</x:f>
        <x:v>not_applicable</x:v>
      </x:c>
      <x:c r="H73" s="3" t="str">
        <x:f>IF(Setup!$B$6="primary",IF(AND(INDEX('C_jama.2024.4183'!$D$2:$D$25,MATCH("2024::jama.2024.4183::C021",'C_jama.2024.4183'!$A$2:$A$25,0))="retain",INDEX('C_jama.2024.4183'!$E$2:$E$25,MATCH("2024::jama.2024.4183::C021",'C_jama.2024.4183'!$A$2:$A$25,0))="protocol_report"),IF(INDEX('C_jama.2024.4183'!$L$2:$L$25,MATCH("2024::jama.2024.4183::C021",'C_jama.2024.4183'!$A$2:$A$25,0))="","",INDEX('C_jama.2024.4183'!$L$2:$L$25,MATCH("2024::jama.2024.4183::C021",'C_jama.2024.4183'!$A$2:$A$25,0))),"not_applicable"),"NOT FROZEN")</x:f>
        <x:v>not_applicable</x:v>
      </x:c>
      <x:c r="I73" s="3" t="str">
        <x:f>IF(Setup!$B$6="primary",IF(INDEX('C_jama.2024.4183'!$R$2:$R$25,MATCH("2024::jama.2024.4183::C021",'C_jama.2024.4183'!$A$2:$A$25,0))="","",INDEX('C_jama.2024.4183'!$R$2:$R$25,MATCH("2024::jama.2024.4183::C021",'C_jama.2024.4183'!$A$2:$A$25,0))),"NOT FROZEN")</x:f>
      </x:c>
      <x:c r="J73" s="3" t="str">
        <x:f>IF(Setup!$B$6="primary",INDEX('C_jama.2024.4183'!$F$2:$F$25,MATCH("2024::jama.2024.4183::C021",'C_jama.2024.4183'!$A$2:$A$25,0)),"NOT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report_internal_inconsistency
</x:v>
      </x:c>
    </x:row>
    <x:row r="74" ht="70" customHeight="1">
      <x:c r="A74" s="6" t="str">
        <x:f>IF(Setup!$B$6="primary","2024::jama.2024.4183::C022","NOT FROZEN")</x:f>
        <x:v>2024::jama.2024.4183::C022</x:v>
      </x:c>
      <x:c r="B74" s="6" t="str">
        <x:f>IF(Setup!$B$6="primary",IF(INDEX('C_jama.2024.4183'!$D$2:$D$25,MATCH("2024::jama.2024.4183::C022",'C_jama.2024.4183'!$A$2:$A$25,0))="","",INDEX('C_jama.2024.4183'!$D$2:$D$25,MATCH("2024::jama.2024.4183::C022",'C_jama.2024.4183'!$A$2:$A$25,0))),"NOT FROZEN")</x:f>
      </x:c>
      <x:c r="C74" s="6" t="str">
        <x:f>IF(Setup!$B$6="primary",IF(INDEX('C_jama.2024.4183'!$E$2:$E$25,MATCH("2024::jama.2024.4183::C022",'C_jama.2024.4183'!$A$2:$A$25,0))="","",INDEX('C_jama.2024.4183'!$E$2:$E$25,MATCH("2024::jama.2024.4183::C022",'C_jama.2024.4183'!$A$2:$A$25,0))),"NOT FROZEN")</x:f>
        <x:v>report_internal_inconsistency</x:v>
      </x:c>
      <x:c r="D74" s="6" t="str">
        <x:f>IF(Setup!$B$6="primary",IF(AND(INDEX('C_jama.2024.4183'!$D$2:$D$25,MATCH("2024::jama.2024.4183::C022",'C_jama.2024.4183'!$A$2:$A$25,0))="retain",INDEX('C_jama.2024.4183'!$E$2:$E$25,MATCH("2024::jama.2024.4183::C022",'C_jama.2024.4183'!$A$2:$A$25,0))="statistical_results"),IF(INDEX('C_jama.2024.4183'!$H$2:$H$25,MATCH("2024::jama.2024.4183::C022",'C_jama.2024.4183'!$A$2:$A$25,0))="","",INDEX('C_jama.2024.4183'!$H$2:$H$25,MATCH("2024::jama.2024.4183::C022",'C_jama.2024.4183'!$A$2:$A$25,0))),"not_applicable"),"NOT FROZEN")</x:f>
        <x:v>not_applicable</x:v>
      </x:c>
      <x:c r="E74" s="6" t="str">
        <x:f>IF(Setup!$B$6="primary",IF(AND(INDEX('C_jama.2024.4183'!$D$2:$D$25,MATCH("2024::jama.2024.4183::C022",'C_jama.2024.4183'!$A$2:$A$25,0))="retain",INDEX('C_jama.2024.4183'!$E$2:$E$25,MATCH("2024::jama.2024.4183::C022",'C_jama.2024.4183'!$A$2:$A$25,0))="statistical_results"),IF(INDEX('C_jama.2024.4183'!$I$2:$I$25,MATCH("2024::jama.2024.4183::C022",'C_jama.2024.4183'!$A$2:$A$25,0))="","",INDEX('C_jama.2024.4183'!$I$2:$I$25,MATCH("2024::jama.2024.4183::C022",'C_jama.2024.4183'!$A$2:$A$25,0))),"not_applicable"),"NOT FROZEN")</x:f>
        <x:v>not_applicable</x:v>
      </x:c>
      <x:c r="F74" s="6" t="str">
        <x:f>IF(Setup!$B$6="primary",IF(AND(INDEX('C_jama.2024.4183'!$D$2:$D$25,MATCH("2024::jama.2024.4183::C022",'C_jama.2024.4183'!$A$2:$A$25,0))="retain",INDEX('C_jama.2024.4183'!$E$2:$E$25,MATCH("2024::jama.2024.4183::C022",'C_jama.2024.4183'!$A$2:$A$25,0))="statistical_results"),IF(INDEX('C_jama.2024.4183'!$J$2:$J$25,MATCH("2024::jama.2024.4183::C022",'C_jama.2024.4183'!$A$2:$A$25,0))="","",INDEX('C_jama.2024.4183'!$J$2:$J$25,MATCH("2024::jama.2024.4183::C022",'C_jama.2024.4183'!$A$2:$A$25,0))),"not_applicable"),"NOT FROZEN")</x:f>
        <x:v>not_applicable</x:v>
      </x:c>
      <x:c r="G74" s="6" t="str">
        <x:f>IF(Setup!$B$6="primary",IF(AND(INDEX('C_jama.2024.4183'!$D$2:$D$25,MATCH("2024::jama.2024.4183::C022",'C_jama.2024.4183'!$A$2:$A$25,0))="retain",OR(INDEX('C_jama.2024.4183'!$E$2:$E$25,MATCH("2024::jama.2024.4183::C022",'C_jama.2024.4183'!$A$2:$A$25,0))="report_internal_inconsistency",INDEX('C_jama.2024.4183'!$E$2:$E$25,MATCH("2024::jama.2024.4183::C022",'C_jama.2024.4183'!$A$2:$A$25,0))="plan_material")),IF(INDEX('C_jama.2024.4183'!$K$2:$K$25,MATCH("2024::jama.2024.4183::C022",'C_jama.2024.4183'!$A$2:$A$25,0))="","",INDEX('C_jama.2024.4183'!$K$2:$K$25,MATCH("2024::jama.2024.4183::C022",'C_jama.2024.4183'!$A$2:$A$25,0))),"not_applicable"),"NOT FROZEN")</x:f>
        <x:v>not_applicable</x:v>
      </x:c>
      <x:c r="H74" s="6" t="str">
        <x:f>IF(Setup!$B$6="primary",IF(AND(INDEX('C_jama.2024.4183'!$D$2:$D$25,MATCH("2024::jama.2024.4183::C022",'C_jama.2024.4183'!$A$2:$A$25,0))="retain",INDEX('C_jama.2024.4183'!$E$2:$E$25,MATCH("2024::jama.2024.4183::C022",'C_jama.2024.4183'!$A$2:$A$25,0))="protocol_report"),IF(INDEX('C_jama.2024.4183'!$L$2:$L$25,MATCH("2024::jama.2024.4183::C022",'C_jama.2024.4183'!$A$2:$A$25,0))="","",INDEX('C_jama.2024.4183'!$L$2:$L$25,MATCH("2024::jama.2024.4183::C022",'C_jama.2024.4183'!$A$2:$A$25,0))),"not_applicable"),"NOT FROZEN")</x:f>
        <x:v>not_applicable</x:v>
      </x:c>
      <x:c r="I74" s="6" t="str">
        <x:f>IF(Setup!$B$6="primary",IF(INDEX('C_jama.2024.4183'!$R$2:$R$25,MATCH("2024::jama.2024.4183::C022",'C_jama.2024.4183'!$A$2:$A$25,0))="","",INDEX('C_jama.2024.4183'!$R$2:$R$25,MATCH("2024::jama.2024.4183::C022",'C_jama.2024.4183'!$A$2:$A$25,0))),"NOT FROZEN")</x:f>
      </x:c>
      <x:c r="J74" s="6" t="str">
        <x:f>IF(Setup!$B$6="primary",INDEX('C_jama.2024.4183'!$F$2:$F$25,MATCH("2024::jama.2024.4183::C022",'C_jama.2024.4183'!$A$2:$A$25,0)),"NOT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report_internal_inconsistency
</x:v>
      </x:c>
    </x:row>
    <x:row r="75" ht="70" customHeight="1">
      <x:c r="A75" s="3" t="str">
        <x:f>IF(Setup!$B$6="primary","2024::jama.2024.4183::C023","NOT FROZEN")</x:f>
        <x:v>2024::jama.2024.4183::C023</x:v>
      </x:c>
      <x:c r="B75" s="3" t="str">
        <x:f>IF(Setup!$B$6="primary",IF(INDEX('C_jama.2024.4183'!$D$2:$D$25,MATCH("2024::jama.2024.4183::C023",'C_jama.2024.4183'!$A$2:$A$25,0))="","",INDEX('C_jama.2024.4183'!$D$2:$D$25,MATCH("2024::jama.2024.4183::C023",'C_jama.2024.4183'!$A$2:$A$25,0))),"NOT FROZEN")</x:f>
      </x:c>
      <x:c r="C75" s="3" t="str">
        <x:f>IF(Setup!$B$6="primary",IF(INDEX('C_jama.2024.4183'!$E$2:$E$25,MATCH("2024::jama.2024.4183::C023",'C_jama.2024.4183'!$A$2:$A$25,0))="","",INDEX('C_jama.2024.4183'!$E$2:$E$25,MATCH("2024::jama.2024.4183::C023",'C_jama.2024.4183'!$A$2:$A$25,0))),"NOT FROZEN")</x:f>
        <x:v>report_internal_inconsistency</x:v>
      </x:c>
      <x:c r="D75" s="3" t="str">
        <x:f>IF(Setup!$B$6="primary",IF(AND(INDEX('C_jama.2024.4183'!$D$2:$D$25,MATCH("2024::jama.2024.4183::C023",'C_jama.2024.4183'!$A$2:$A$25,0))="retain",INDEX('C_jama.2024.4183'!$E$2:$E$25,MATCH("2024::jama.2024.4183::C023",'C_jama.2024.4183'!$A$2:$A$25,0))="statistical_results"),IF(INDEX('C_jama.2024.4183'!$H$2:$H$25,MATCH("2024::jama.2024.4183::C023",'C_jama.2024.4183'!$A$2:$A$25,0))="","",INDEX('C_jama.2024.4183'!$H$2:$H$25,MATCH("2024::jama.2024.4183::C023",'C_jama.2024.4183'!$A$2:$A$25,0))),"not_applicable"),"NOT FROZEN")</x:f>
        <x:v>not_applicable</x:v>
      </x:c>
      <x:c r="E75" s="3" t="str">
        <x:f>IF(Setup!$B$6="primary",IF(AND(INDEX('C_jama.2024.4183'!$D$2:$D$25,MATCH("2024::jama.2024.4183::C023",'C_jama.2024.4183'!$A$2:$A$25,0))="retain",INDEX('C_jama.2024.4183'!$E$2:$E$25,MATCH("2024::jama.2024.4183::C023",'C_jama.2024.4183'!$A$2:$A$25,0))="statistical_results"),IF(INDEX('C_jama.2024.4183'!$I$2:$I$25,MATCH("2024::jama.2024.4183::C023",'C_jama.2024.4183'!$A$2:$A$25,0))="","",INDEX('C_jama.2024.4183'!$I$2:$I$25,MATCH("2024::jama.2024.4183::C023",'C_jama.2024.4183'!$A$2:$A$25,0))),"not_applicable"),"NOT FROZEN")</x:f>
        <x:v>not_applicable</x:v>
      </x:c>
      <x:c r="F75" s="3" t="str">
        <x:f>IF(Setup!$B$6="primary",IF(AND(INDEX('C_jama.2024.4183'!$D$2:$D$25,MATCH("2024::jama.2024.4183::C023",'C_jama.2024.4183'!$A$2:$A$25,0))="retain",INDEX('C_jama.2024.4183'!$E$2:$E$25,MATCH("2024::jama.2024.4183::C023",'C_jama.2024.4183'!$A$2:$A$25,0))="statistical_results"),IF(INDEX('C_jama.2024.4183'!$J$2:$J$25,MATCH("2024::jama.2024.4183::C023",'C_jama.2024.4183'!$A$2:$A$25,0))="","",INDEX('C_jama.2024.4183'!$J$2:$J$25,MATCH("2024::jama.2024.4183::C023",'C_jama.2024.4183'!$A$2:$A$25,0))),"not_applicable"),"NOT FROZEN")</x:f>
        <x:v>not_applicable</x:v>
      </x:c>
      <x:c r="G75" s="3" t="str">
        <x:f>IF(Setup!$B$6="primary",IF(AND(INDEX('C_jama.2024.4183'!$D$2:$D$25,MATCH("2024::jama.2024.4183::C023",'C_jama.2024.4183'!$A$2:$A$25,0))="retain",OR(INDEX('C_jama.2024.4183'!$E$2:$E$25,MATCH("2024::jama.2024.4183::C023",'C_jama.2024.4183'!$A$2:$A$25,0))="report_internal_inconsistency",INDEX('C_jama.2024.4183'!$E$2:$E$25,MATCH("2024::jama.2024.4183::C023",'C_jama.2024.4183'!$A$2:$A$25,0))="plan_material")),IF(INDEX('C_jama.2024.4183'!$K$2:$K$25,MATCH("2024::jama.2024.4183::C023",'C_jama.2024.4183'!$A$2:$A$25,0))="","",INDEX('C_jama.2024.4183'!$K$2:$K$25,MATCH("2024::jama.2024.4183::C023",'C_jama.2024.4183'!$A$2:$A$25,0))),"not_applicable"),"NOT FROZEN")</x:f>
        <x:v>not_applicable</x:v>
      </x:c>
      <x:c r="H75" s="3" t="str">
        <x:f>IF(Setup!$B$6="primary",IF(AND(INDEX('C_jama.2024.4183'!$D$2:$D$25,MATCH("2024::jama.2024.4183::C023",'C_jama.2024.4183'!$A$2:$A$25,0))="retain",INDEX('C_jama.2024.4183'!$E$2:$E$25,MATCH("2024::jama.2024.4183::C023",'C_jama.2024.4183'!$A$2:$A$25,0))="protocol_report"),IF(INDEX('C_jama.2024.4183'!$L$2:$L$25,MATCH("2024::jama.2024.4183::C023",'C_jama.2024.4183'!$A$2:$A$25,0))="","",INDEX('C_jama.2024.4183'!$L$2:$L$25,MATCH("2024::jama.2024.4183::C023",'C_jama.2024.4183'!$A$2:$A$25,0))),"not_applicable"),"NOT FROZEN")</x:f>
        <x:v>not_applicable</x:v>
      </x:c>
      <x:c r="I75" s="3" t="str">
        <x:f>IF(Setup!$B$6="primary",IF(INDEX('C_jama.2024.4183'!$R$2:$R$25,MATCH("2024::jama.2024.4183::C023",'C_jama.2024.4183'!$A$2:$A$25,0))="","",INDEX('C_jama.2024.4183'!$R$2:$R$25,MATCH("2024::jama.2024.4183::C023",'C_jama.2024.4183'!$A$2:$A$25,0))),"NOT FROZEN")</x:f>
      </x:c>
      <x:c r="J75" s="3" t="str">
        <x:f>IF(Setup!$B$6="primary",INDEX('C_jama.2024.4183'!$F$2:$F$25,MATCH("2024::jama.2024.4183::C023",'C_jama.2024.4183'!$A$2:$A$25,0)),"NOT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report_internal_inconsistency
</x:v>
      </x:c>
    </x:row>
    <x:row r="76" ht="70" customHeight="1">
      <x:c r="A76" s="6" t="str">
        <x:f>IF(Setup!$B$6="primary","2024::jama.2024.4183::C024","NOT FROZEN")</x:f>
        <x:v>2024::jama.2024.4183::C024</x:v>
      </x:c>
      <x:c r="B76" s="6" t="str">
        <x:f>IF(Setup!$B$6="primary",IF(INDEX('C_jama.2024.4183'!$D$2:$D$25,MATCH("2024::jama.2024.4183::C024",'C_jama.2024.4183'!$A$2:$A$25,0))="","",INDEX('C_jama.2024.4183'!$D$2:$D$25,MATCH("2024::jama.2024.4183::C024",'C_jama.2024.4183'!$A$2:$A$25,0))),"NOT FROZEN")</x:f>
      </x:c>
      <x:c r="C76" s="6" t="str">
        <x:f>IF(Setup!$B$6="primary",IF(INDEX('C_jama.2024.4183'!$E$2:$E$25,MATCH("2024::jama.2024.4183::C024",'C_jama.2024.4183'!$A$2:$A$25,0))="","",INDEX('C_jama.2024.4183'!$E$2:$E$25,MATCH("2024::jama.2024.4183::C024",'C_jama.2024.4183'!$A$2:$A$25,0))),"NOT FROZEN")</x:f>
        <x:v>statistical_results</x:v>
      </x:c>
      <x:c r="D76" s="6" t="str">
        <x:f>IF(Setup!$B$6="primary",IF(AND(INDEX('C_jama.2024.4183'!$D$2:$D$25,MATCH("2024::jama.2024.4183::C024",'C_jama.2024.4183'!$A$2:$A$25,0))="retain",INDEX('C_jama.2024.4183'!$E$2:$E$25,MATCH("2024::jama.2024.4183::C024",'C_jama.2024.4183'!$A$2:$A$25,0))="statistical_results"),IF(INDEX('C_jama.2024.4183'!$H$2:$H$25,MATCH("2024::jama.2024.4183::C024",'C_jama.2024.4183'!$A$2:$A$25,0))="","",INDEX('C_jama.2024.4183'!$H$2:$H$25,MATCH("2024::jama.2024.4183::C024",'C_jama.2024.4183'!$A$2:$A$25,0))),"not_applicable"),"NOT FROZEN")</x:f>
        <x:v>not_applicable</x:v>
      </x:c>
      <x:c r="E76" s="6" t="str">
        <x:f>IF(Setup!$B$6="primary",IF(AND(INDEX('C_jama.2024.4183'!$D$2:$D$25,MATCH("2024::jama.2024.4183::C024",'C_jama.2024.4183'!$A$2:$A$25,0))="retain",INDEX('C_jama.2024.4183'!$E$2:$E$25,MATCH("2024::jama.2024.4183::C024",'C_jama.2024.4183'!$A$2:$A$25,0))="statistical_results"),IF(INDEX('C_jama.2024.4183'!$I$2:$I$25,MATCH("2024::jama.2024.4183::C024",'C_jama.2024.4183'!$A$2:$A$25,0))="","",INDEX('C_jama.2024.4183'!$I$2:$I$25,MATCH("2024::jama.2024.4183::C024",'C_jama.2024.4183'!$A$2:$A$25,0))),"not_applicable"),"NOT FROZEN")</x:f>
        <x:v>not_applicable</x:v>
      </x:c>
      <x:c r="F76" s="6" t="str">
        <x:f>IF(Setup!$B$6="primary",IF(AND(INDEX('C_jama.2024.4183'!$D$2:$D$25,MATCH("2024::jama.2024.4183::C024",'C_jama.2024.4183'!$A$2:$A$25,0))="retain",INDEX('C_jama.2024.4183'!$E$2:$E$25,MATCH("2024::jama.2024.4183::C024",'C_jama.2024.4183'!$A$2:$A$25,0))="statistical_results"),IF(INDEX('C_jama.2024.4183'!$J$2:$J$25,MATCH("2024::jama.2024.4183::C024",'C_jama.2024.4183'!$A$2:$A$25,0))="","",INDEX('C_jama.2024.4183'!$J$2:$J$25,MATCH("2024::jama.2024.4183::C024",'C_jama.2024.4183'!$A$2:$A$25,0))),"not_applicable"),"NOT FROZEN")</x:f>
        <x:v>not_applicable</x:v>
      </x:c>
      <x:c r="G76" s="6" t="str">
        <x:f>IF(Setup!$B$6="primary",IF(AND(INDEX('C_jama.2024.4183'!$D$2:$D$25,MATCH("2024::jama.2024.4183::C024",'C_jama.2024.4183'!$A$2:$A$25,0))="retain",OR(INDEX('C_jama.2024.4183'!$E$2:$E$25,MATCH("2024::jama.2024.4183::C024",'C_jama.2024.4183'!$A$2:$A$25,0))="report_internal_inconsistency",INDEX('C_jama.2024.4183'!$E$2:$E$25,MATCH("2024::jama.2024.4183::C024",'C_jama.2024.4183'!$A$2:$A$25,0))="plan_material")),IF(INDEX('C_jama.2024.4183'!$K$2:$K$25,MATCH("2024::jama.2024.4183::C024",'C_jama.2024.4183'!$A$2:$A$25,0))="","",INDEX('C_jama.2024.4183'!$K$2:$K$25,MATCH("2024::jama.2024.4183::C024",'C_jama.2024.4183'!$A$2:$A$25,0))),"not_applicable"),"NOT FROZEN")</x:f>
        <x:v>not_applicable</x:v>
      </x:c>
      <x:c r="H76" s="6" t="str">
        <x:f>IF(Setup!$B$6="primary",IF(AND(INDEX('C_jama.2024.4183'!$D$2:$D$25,MATCH("2024::jama.2024.4183::C024",'C_jama.2024.4183'!$A$2:$A$25,0))="retain",INDEX('C_jama.2024.4183'!$E$2:$E$25,MATCH("2024::jama.2024.4183::C024",'C_jama.2024.4183'!$A$2:$A$25,0))="protocol_report"),IF(INDEX('C_jama.2024.4183'!$L$2:$L$25,MATCH("2024::jama.2024.4183::C024",'C_jama.2024.4183'!$A$2:$A$25,0))="","",INDEX('C_jama.2024.4183'!$L$2:$L$25,MATCH("2024::jama.2024.4183::C024",'C_jama.2024.4183'!$A$2:$A$25,0))),"not_applicable"),"NOT FROZEN")</x:f>
        <x:v>not_applicable</x:v>
      </x:c>
      <x:c r="I76" s="6" t="str">
        <x:f>IF(Setup!$B$6="primary",IF(INDEX('C_jama.2024.4183'!$R$2:$R$25,MATCH("2024::jama.2024.4183::C024",'C_jama.2024.4183'!$A$2:$A$25,0))="","",INDEX('C_jama.2024.4183'!$R$2:$R$25,MATCH("2024::jama.2024.4183::C024",'C_jama.2024.4183'!$A$2:$A$25,0))),"NOT FROZEN")</x:f>
      </x:c>
      <x:c r="J76" s="6" t="str">
        <x:f>IF(Setup!$B$6="primary",INDEX('C_jama.2024.4183'!$F$2:$F$25,MATCH("2024::jama.2024.4183::C024",'C_jama.2024.4183'!$A$2:$A$25,0)),"NOT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statistical_results
</x:v>
      </x:c>
    </x:row>
    <x:row r="77" ht="70" customHeight="1">
      <x:c r="A77" s="3" t="str">
        <x:f>IF(Setup!$B$6="primary","2024::jama.2024.6063::C001","NOT FROZEN")</x:f>
        <x:v>2024::jama.2024.6063::C001</x:v>
      </x:c>
      <x:c r="B77" s="3" t="str">
        <x:f>IF(Setup!$B$6="primary",IF(INDEX('C_jama.2024.6063'!$D$2:$D$17,MATCH("2024::jama.2024.6063::C001",'C_jama.2024.6063'!$A$2:$A$17,0))="","",INDEX('C_jama.2024.6063'!$D$2:$D$17,MATCH("2024::jama.2024.6063::C001",'C_jama.2024.6063'!$A$2:$A$17,0))),"NOT FROZEN")</x:f>
      </x:c>
      <x:c r="C77" s="3" t="str">
        <x:f>IF(Setup!$B$6="primary",IF(INDEX('C_jama.2024.6063'!$E$2:$E$17,MATCH("2024::jama.2024.6063::C001",'C_jama.2024.6063'!$A$2:$A$17,0))="","",INDEX('C_jama.2024.6063'!$E$2:$E$17,MATCH("2024::jama.2024.6063::C001",'C_jama.2024.6063'!$A$2:$A$17,0))),"NOT FROZEN")</x:f>
        <x:v>statistical_results</x:v>
      </x:c>
      <x:c r="D77" s="3" t="str">
        <x:f>IF(Setup!$B$6="primary",IF(AND(INDEX('C_jama.2024.6063'!$D$2:$D$17,MATCH("2024::jama.2024.6063::C001",'C_jama.2024.6063'!$A$2:$A$17,0))="retain",INDEX('C_jama.2024.6063'!$E$2:$E$17,MATCH("2024::jama.2024.6063::C001",'C_jama.2024.6063'!$A$2:$A$17,0))="statistical_results"),IF(INDEX('C_jama.2024.6063'!$H$2:$H$17,MATCH("2024::jama.2024.6063::C001",'C_jama.2024.6063'!$A$2:$A$17,0))="","",INDEX('C_jama.2024.6063'!$H$2:$H$17,MATCH("2024::jama.2024.6063::C001",'C_jama.2024.6063'!$A$2:$A$17,0))),"not_applicable"),"NOT FROZEN")</x:f>
        <x:v>not_applicable</x:v>
      </x:c>
      <x:c r="E77" s="3" t="str">
        <x:f>IF(Setup!$B$6="primary",IF(AND(INDEX('C_jama.2024.6063'!$D$2:$D$17,MATCH("2024::jama.2024.6063::C001",'C_jama.2024.6063'!$A$2:$A$17,0))="retain",INDEX('C_jama.2024.6063'!$E$2:$E$17,MATCH("2024::jama.2024.6063::C001",'C_jama.2024.6063'!$A$2:$A$17,0))="statistical_results"),IF(INDEX('C_jama.2024.6063'!$I$2:$I$17,MATCH("2024::jama.2024.6063::C001",'C_jama.2024.6063'!$A$2:$A$17,0))="","",INDEX('C_jama.2024.6063'!$I$2:$I$17,MATCH("2024::jama.2024.6063::C001",'C_jama.2024.6063'!$A$2:$A$17,0))),"not_applicable"),"NOT FROZEN")</x:f>
        <x:v>not_applicable</x:v>
      </x:c>
      <x:c r="F77" s="3" t="str">
        <x:f>IF(Setup!$B$6="primary",IF(AND(INDEX('C_jama.2024.6063'!$D$2:$D$17,MATCH("2024::jama.2024.6063::C001",'C_jama.2024.6063'!$A$2:$A$17,0))="retain",INDEX('C_jama.2024.6063'!$E$2:$E$17,MATCH("2024::jama.2024.6063::C001",'C_jama.2024.6063'!$A$2:$A$17,0))="statistical_results"),IF(INDEX('C_jama.2024.6063'!$J$2:$J$17,MATCH("2024::jama.2024.6063::C001",'C_jama.2024.6063'!$A$2:$A$17,0))="","",INDEX('C_jama.2024.6063'!$J$2:$J$17,MATCH("2024::jama.2024.6063::C001",'C_jama.2024.6063'!$A$2:$A$17,0))),"not_applicable"),"NOT FROZEN")</x:f>
        <x:v>not_applicable</x:v>
      </x:c>
      <x:c r="G77" s="3" t="str">
        <x:f>IF(Setup!$B$6="primary",IF(AND(INDEX('C_jama.2024.6063'!$D$2:$D$17,MATCH("2024::jama.2024.6063::C001",'C_jama.2024.6063'!$A$2:$A$17,0))="retain",OR(INDEX('C_jama.2024.6063'!$E$2:$E$17,MATCH("2024::jama.2024.6063::C001",'C_jama.2024.6063'!$A$2:$A$17,0))="report_internal_inconsistency",INDEX('C_jama.2024.6063'!$E$2:$E$17,MATCH("2024::jama.2024.6063::C001",'C_jama.2024.6063'!$A$2:$A$17,0))="plan_material")),IF(INDEX('C_jama.2024.6063'!$K$2:$K$17,MATCH("2024::jama.2024.6063::C001",'C_jama.2024.6063'!$A$2:$A$17,0))="","",INDEX('C_jama.2024.6063'!$K$2:$K$17,MATCH("2024::jama.2024.6063::C001",'C_jama.2024.6063'!$A$2:$A$17,0))),"not_applicable"),"NOT FROZEN")</x:f>
        <x:v>not_applicable</x:v>
      </x:c>
      <x:c r="H77" s="3" t="str">
        <x:f>IF(Setup!$B$6="primary",IF(AND(INDEX('C_jama.2024.6063'!$D$2:$D$17,MATCH("2024::jama.2024.6063::C001",'C_jama.2024.6063'!$A$2:$A$17,0))="retain",INDEX('C_jama.2024.6063'!$E$2:$E$17,MATCH("2024::jama.2024.6063::C001",'C_jama.2024.6063'!$A$2:$A$17,0))="protocol_report"),IF(INDEX('C_jama.2024.6063'!$L$2:$L$17,MATCH("2024::jama.2024.6063::C001",'C_jama.2024.6063'!$A$2:$A$17,0))="","",INDEX('C_jama.2024.6063'!$L$2:$L$17,MATCH("2024::jama.2024.6063::C001",'C_jama.2024.6063'!$A$2:$A$17,0))),"not_applicable"),"NOT FROZEN")</x:f>
        <x:v>not_applicable</x:v>
      </x:c>
      <x:c r="I77" s="3" t="str">
        <x:f>IF(Setup!$B$6="primary",IF(INDEX('C_jama.2024.6063'!$R$2:$R$17,MATCH("2024::jama.2024.6063::C001",'C_jama.2024.6063'!$A$2:$A$17,0))="","",INDEX('C_jama.2024.6063'!$R$2:$R$17,MATCH("2024::jama.2024.6063::C001",'C_jama.2024.6063'!$A$2:$A$17,0))),"NOT FROZEN")</x:f>
      </x:c>
      <x:c r="J77" s="3" t="str">
        <x:f>IF(Setup!$B$6="primary",INDEX('C_jama.2024.6063'!$F$2:$F$17,MATCH("2024::jama.2024.6063::C001",'C_jama.2024.6063'!$A$2:$A$17,0)),"NOT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statistical_results
</x:v>
      </x:c>
    </x:row>
    <x:row r="78" ht="70" customHeight="1">
      <x:c r="A78" s="6" t="str">
        <x:f>IF(Setup!$B$6="primary","2024::jama.2024.6063::C002","NOT FROZEN")</x:f>
        <x:v>2024::jama.2024.6063::C002</x:v>
      </x:c>
      <x:c r="B78" s="6" t="str">
        <x:f>IF(Setup!$B$6="primary",IF(INDEX('C_jama.2024.6063'!$D$2:$D$17,MATCH("2024::jama.2024.6063::C002",'C_jama.2024.6063'!$A$2:$A$17,0))="","",INDEX('C_jama.2024.6063'!$D$2:$D$17,MATCH("2024::jama.2024.6063::C002",'C_jama.2024.6063'!$A$2:$A$17,0))),"NOT FROZEN")</x:f>
      </x:c>
      <x:c r="C78" s="6" t="str">
        <x:f>IF(Setup!$B$6="primary",IF(INDEX('C_jama.2024.6063'!$E$2:$E$17,MATCH("2024::jama.2024.6063::C002",'C_jama.2024.6063'!$A$2:$A$17,0))="","",INDEX('C_jama.2024.6063'!$E$2:$E$17,MATCH("2024::jama.2024.6063::C002",'C_jama.2024.6063'!$A$2:$A$17,0))),"NOT FROZEN")</x:f>
        <x:v>statistical_results</x:v>
      </x:c>
      <x:c r="D78" s="6" t="str">
        <x:f>IF(Setup!$B$6="primary",IF(AND(INDEX('C_jama.2024.6063'!$D$2:$D$17,MATCH("2024::jama.2024.6063::C002",'C_jama.2024.6063'!$A$2:$A$17,0))="retain",INDEX('C_jama.2024.6063'!$E$2:$E$17,MATCH("2024::jama.2024.6063::C002",'C_jama.2024.6063'!$A$2:$A$17,0))="statistical_results"),IF(INDEX('C_jama.2024.6063'!$H$2:$H$17,MATCH("2024::jama.2024.6063::C002",'C_jama.2024.6063'!$A$2:$A$17,0))="","",INDEX('C_jama.2024.6063'!$H$2:$H$17,MATCH("2024::jama.2024.6063::C002",'C_jama.2024.6063'!$A$2:$A$17,0))),"not_applicable"),"NOT FROZEN")</x:f>
        <x:v>not_applicable</x:v>
      </x:c>
      <x:c r="E78" s="6" t="str">
        <x:f>IF(Setup!$B$6="primary",IF(AND(INDEX('C_jama.2024.6063'!$D$2:$D$17,MATCH("2024::jama.2024.6063::C002",'C_jama.2024.6063'!$A$2:$A$17,0))="retain",INDEX('C_jama.2024.6063'!$E$2:$E$17,MATCH("2024::jama.2024.6063::C002",'C_jama.2024.6063'!$A$2:$A$17,0))="statistical_results"),IF(INDEX('C_jama.2024.6063'!$I$2:$I$17,MATCH("2024::jama.2024.6063::C002",'C_jama.2024.6063'!$A$2:$A$17,0))="","",INDEX('C_jama.2024.6063'!$I$2:$I$17,MATCH("2024::jama.2024.6063::C002",'C_jama.2024.6063'!$A$2:$A$17,0))),"not_applicable"),"NOT FROZEN")</x:f>
        <x:v>not_applicable</x:v>
      </x:c>
      <x:c r="F78" s="6" t="str">
        <x:f>IF(Setup!$B$6="primary",IF(AND(INDEX('C_jama.2024.6063'!$D$2:$D$17,MATCH("2024::jama.2024.6063::C002",'C_jama.2024.6063'!$A$2:$A$17,0))="retain",INDEX('C_jama.2024.6063'!$E$2:$E$17,MATCH("2024::jama.2024.6063::C002",'C_jama.2024.6063'!$A$2:$A$17,0))="statistical_results"),IF(INDEX('C_jama.2024.6063'!$J$2:$J$17,MATCH("2024::jama.2024.6063::C002",'C_jama.2024.6063'!$A$2:$A$17,0))="","",INDEX('C_jama.2024.6063'!$J$2:$J$17,MATCH("2024::jama.2024.6063::C002",'C_jama.2024.6063'!$A$2:$A$17,0))),"not_applicable"),"NOT FROZEN")</x:f>
        <x:v>not_applicable</x:v>
      </x:c>
      <x:c r="G78" s="6" t="str">
        <x:f>IF(Setup!$B$6="primary",IF(AND(INDEX('C_jama.2024.6063'!$D$2:$D$17,MATCH("2024::jama.2024.6063::C002",'C_jama.2024.6063'!$A$2:$A$17,0))="retain",OR(INDEX('C_jama.2024.6063'!$E$2:$E$17,MATCH("2024::jama.2024.6063::C002",'C_jama.2024.6063'!$A$2:$A$17,0))="report_internal_inconsistency",INDEX('C_jama.2024.6063'!$E$2:$E$17,MATCH("2024::jama.2024.6063::C002",'C_jama.2024.6063'!$A$2:$A$17,0))="plan_material")),IF(INDEX('C_jama.2024.6063'!$K$2:$K$17,MATCH("2024::jama.2024.6063::C002",'C_jama.2024.6063'!$A$2:$A$17,0))="","",INDEX('C_jama.2024.6063'!$K$2:$K$17,MATCH("2024::jama.2024.6063::C002",'C_jama.2024.6063'!$A$2:$A$17,0))),"not_applicable"),"NOT FROZEN")</x:f>
        <x:v>not_applicable</x:v>
      </x:c>
      <x:c r="H78" s="6" t="str">
        <x:f>IF(Setup!$B$6="primary",IF(AND(INDEX('C_jama.2024.6063'!$D$2:$D$17,MATCH("2024::jama.2024.6063::C002",'C_jama.2024.6063'!$A$2:$A$17,0))="retain",INDEX('C_jama.2024.6063'!$E$2:$E$17,MATCH("2024::jama.2024.6063::C002",'C_jama.2024.6063'!$A$2:$A$17,0))="protocol_report"),IF(INDEX('C_jama.2024.6063'!$L$2:$L$17,MATCH("2024::jama.2024.6063::C002",'C_jama.2024.6063'!$A$2:$A$17,0))="","",INDEX('C_jama.2024.6063'!$L$2:$L$17,MATCH("2024::jama.2024.6063::C002",'C_jama.2024.6063'!$A$2:$A$17,0))),"not_applicable"),"NOT FROZEN")</x:f>
        <x:v>not_applicable</x:v>
      </x:c>
      <x:c r="I78" s="6" t="str">
        <x:f>IF(Setup!$B$6="primary",IF(INDEX('C_jama.2024.6063'!$R$2:$R$17,MATCH("2024::jama.2024.6063::C002",'C_jama.2024.6063'!$A$2:$A$17,0))="","",INDEX('C_jama.2024.6063'!$R$2:$R$17,MATCH("2024::jama.2024.6063::C002",'C_jama.2024.6063'!$A$2:$A$17,0))),"NOT FROZEN")</x:f>
      </x:c>
      <x:c r="J78" s="6" t="str">
        <x:f>IF(Setup!$B$6="primary",INDEX('C_jama.2024.6063'!$F$2:$F$17,MATCH("2024::jama.2024.6063::C002",'C_jama.2024.6063'!$A$2:$A$17,0)),"NOT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statistical_results
</x:v>
      </x:c>
    </x:row>
    <x:row r="79" ht="70" customHeight="1">
      <x:c r="A79" s="3" t="str">
        <x:f>IF(Setup!$B$6="primary","2024::jama.2024.6063::C003","NOT FROZEN")</x:f>
        <x:v>2024::jama.2024.6063::C003</x:v>
      </x:c>
      <x:c r="B79" s="3" t="str">
        <x:f>IF(Setup!$B$6="primary",IF(INDEX('C_jama.2024.6063'!$D$2:$D$17,MATCH("2024::jama.2024.6063::C003",'C_jama.2024.6063'!$A$2:$A$17,0))="","",INDEX('C_jama.2024.6063'!$D$2:$D$17,MATCH("2024::jama.2024.6063::C003",'C_jama.2024.6063'!$A$2:$A$17,0))),"NOT FROZEN")</x:f>
      </x:c>
      <x:c r="C79" s="3" t="str">
        <x:f>IF(Setup!$B$6="primary",IF(INDEX('C_jama.2024.6063'!$E$2:$E$17,MATCH("2024::jama.2024.6063::C003",'C_jama.2024.6063'!$A$2:$A$17,0))="","",INDEX('C_jama.2024.6063'!$E$2:$E$17,MATCH("2024::jama.2024.6063::C003",'C_jama.2024.6063'!$A$2:$A$17,0))),"NOT FROZEN")</x:f>
        <x:v>statistical_results</x:v>
      </x:c>
      <x:c r="D79" s="3" t="str">
        <x:f>IF(Setup!$B$6="primary",IF(AND(INDEX('C_jama.2024.6063'!$D$2:$D$17,MATCH("2024::jama.2024.6063::C003",'C_jama.2024.6063'!$A$2:$A$17,0))="retain",INDEX('C_jama.2024.6063'!$E$2:$E$17,MATCH("2024::jama.2024.6063::C003",'C_jama.2024.6063'!$A$2:$A$17,0))="statistical_results"),IF(INDEX('C_jama.2024.6063'!$H$2:$H$17,MATCH("2024::jama.2024.6063::C003",'C_jama.2024.6063'!$A$2:$A$17,0))="","",INDEX('C_jama.2024.6063'!$H$2:$H$17,MATCH("2024::jama.2024.6063::C003",'C_jama.2024.6063'!$A$2:$A$17,0))),"not_applicable"),"NOT FROZEN")</x:f>
        <x:v>not_applicable</x:v>
      </x:c>
      <x:c r="E79" s="3" t="str">
        <x:f>IF(Setup!$B$6="primary",IF(AND(INDEX('C_jama.2024.6063'!$D$2:$D$17,MATCH("2024::jama.2024.6063::C003",'C_jama.2024.6063'!$A$2:$A$17,0))="retain",INDEX('C_jama.2024.6063'!$E$2:$E$17,MATCH("2024::jama.2024.6063::C003",'C_jama.2024.6063'!$A$2:$A$17,0))="statistical_results"),IF(INDEX('C_jama.2024.6063'!$I$2:$I$17,MATCH("2024::jama.2024.6063::C003",'C_jama.2024.6063'!$A$2:$A$17,0))="","",INDEX('C_jama.2024.6063'!$I$2:$I$17,MATCH("2024::jama.2024.6063::C003",'C_jama.2024.6063'!$A$2:$A$17,0))),"not_applicable"),"NOT FROZEN")</x:f>
        <x:v>not_applicable</x:v>
      </x:c>
      <x:c r="F79" s="3" t="str">
        <x:f>IF(Setup!$B$6="primary",IF(AND(INDEX('C_jama.2024.6063'!$D$2:$D$17,MATCH("2024::jama.2024.6063::C003",'C_jama.2024.6063'!$A$2:$A$17,0))="retain",INDEX('C_jama.2024.6063'!$E$2:$E$17,MATCH("2024::jama.2024.6063::C003",'C_jama.2024.6063'!$A$2:$A$17,0))="statistical_results"),IF(INDEX('C_jama.2024.6063'!$J$2:$J$17,MATCH("2024::jama.2024.6063::C003",'C_jama.2024.6063'!$A$2:$A$17,0))="","",INDEX('C_jama.2024.6063'!$J$2:$J$17,MATCH("2024::jama.2024.6063::C003",'C_jama.2024.6063'!$A$2:$A$17,0))),"not_applicable"),"NOT FROZEN")</x:f>
        <x:v>not_applicable</x:v>
      </x:c>
      <x:c r="G79" s="3" t="str">
        <x:f>IF(Setup!$B$6="primary",IF(AND(INDEX('C_jama.2024.6063'!$D$2:$D$17,MATCH("2024::jama.2024.6063::C003",'C_jama.2024.6063'!$A$2:$A$17,0))="retain",OR(INDEX('C_jama.2024.6063'!$E$2:$E$17,MATCH("2024::jama.2024.6063::C003",'C_jama.2024.6063'!$A$2:$A$17,0))="report_internal_inconsistency",INDEX('C_jama.2024.6063'!$E$2:$E$17,MATCH("2024::jama.2024.6063::C003",'C_jama.2024.6063'!$A$2:$A$17,0))="plan_material")),IF(INDEX('C_jama.2024.6063'!$K$2:$K$17,MATCH("2024::jama.2024.6063::C003",'C_jama.2024.6063'!$A$2:$A$17,0))="","",INDEX('C_jama.2024.6063'!$K$2:$K$17,MATCH("2024::jama.2024.6063::C003",'C_jama.2024.6063'!$A$2:$A$17,0))),"not_applicable"),"NOT FROZEN")</x:f>
        <x:v>not_applicable</x:v>
      </x:c>
      <x:c r="H79" s="3" t="str">
        <x:f>IF(Setup!$B$6="primary",IF(AND(INDEX('C_jama.2024.6063'!$D$2:$D$17,MATCH("2024::jama.2024.6063::C003",'C_jama.2024.6063'!$A$2:$A$17,0))="retain",INDEX('C_jama.2024.6063'!$E$2:$E$17,MATCH("2024::jama.2024.6063::C003",'C_jama.2024.6063'!$A$2:$A$17,0))="protocol_report"),IF(INDEX('C_jama.2024.6063'!$L$2:$L$17,MATCH("2024::jama.2024.6063::C003",'C_jama.2024.6063'!$A$2:$A$17,0))="","",INDEX('C_jama.2024.6063'!$L$2:$L$17,MATCH("2024::jama.2024.6063::C003",'C_jama.2024.6063'!$A$2:$A$17,0))),"not_applicable"),"NOT FROZEN")</x:f>
        <x:v>not_applicable</x:v>
      </x:c>
      <x:c r="I79" s="3" t="str">
        <x:f>IF(Setup!$B$6="primary",IF(INDEX('C_jama.2024.6063'!$R$2:$R$17,MATCH("2024::jama.2024.6063::C003",'C_jama.2024.6063'!$A$2:$A$17,0))="","",INDEX('C_jama.2024.6063'!$R$2:$R$17,MATCH("2024::jama.2024.6063::C003",'C_jama.2024.6063'!$A$2:$A$17,0))),"NOT FROZEN")</x:f>
      </x:c>
      <x:c r="J79" s="3" t="str">
        <x:f>IF(Setup!$B$6="primary",INDEX('C_jama.2024.6063'!$F$2:$F$17,MATCH("2024::jama.2024.6063::C003",'C_jama.2024.6063'!$A$2:$A$17,0)),"NOT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statistical_results
</x:v>
      </x:c>
    </x:row>
    <x:row r="80" ht="70" customHeight="1">
      <x:c r="A80" s="6" t="str">
        <x:f>IF(Setup!$B$6="primary","2024::jama.2024.6063::C004","NOT FROZEN")</x:f>
        <x:v>2024::jama.2024.6063::C004</x:v>
      </x:c>
      <x:c r="B80" s="6" t="str">
        <x:f>IF(Setup!$B$6="primary",IF(INDEX('C_jama.2024.6063'!$D$2:$D$17,MATCH("2024::jama.2024.6063::C004",'C_jama.2024.6063'!$A$2:$A$17,0))="","",INDEX('C_jama.2024.6063'!$D$2:$D$17,MATCH("2024::jama.2024.6063::C004",'C_jama.2024.6063'!$A$2:$A$17,0))),"NOT FROZEN")</x:f>
      </x:c>
      <x:c r="C80" s="6" t="str">
        <x:f>IF(Setup!$B$6="primary",IF(INDEX('C_jama.2024.6063'!$E$2:$E$17,MATCH("2024::jama.2024.6063::C004",'C_jama.2024.6063'!$A$2:$A$17,0))="","",INDEX('C_jama.2024.6063'!$E$2:$E$17,MATCH("2024::jama.2024.6063::C004",'C_jama.2024.6063'!$A$2:$A$17,0))),"NOT FROZEN")</x:f>
        <x:v>statistical_results</x:v>
      </x:c>
      <x:c r="D80" s="6" t="str">
        <x:f>IF(Setup!$B$6="primary",IF(AND(INDEX('C_jama.2024.6063'!$D$2:$D$17,MATCH("2024::jama.2024.6063::C004",'C_jama.2024.6063'!$A$2:$A$17,0))="retain",INDEX('C_jama.2024.6063'!$E$2:$E$17,MATCH("2024::jama.2024.6063::C004",'C_jama.2024.6063'!$A$2:$A$17,0))="statistical_results"),IF(INDEX('C_jama.2024.6063'!$H$2:$H$17,MATCH("2024::jama.2024.6063::C004",'C_jama.2024.6063'!$A$2:$A$17,0))="","",INDEX('C_jama.2024.6063'!$H$2:$H$17,MATCH("2024::jama.2024.6063::C004",'C_jama.2024.6063'!$A$2:$A$17,0))),"not_applicable"),"NOT FROZEN")</x:f>
        <x:v>not_applicable</x:v>
      </x:c>
      <x:c r="E80" s="6" t="str">
        <x:f>IF(Setup!$B$6="primary",IF(AND(INDEX('C_jama.2024.6063'!$D$2:$D$17,MATCH("2024::jama.2024.6063::C004",'C_jama.2024.6063'!$A$2:$A$17,0))="retain",INDEX('C_jama.2024.6063'!$E$2:$E$17,MATCH("2024::jama.2024.6063::C004",'C_jama.2024.6063'!$A$2:$A$17,0))="statistical_results"),IF(INDEX('C_jama.2024.6063'!$I$2:$I$17,MATCH("2024::jama.2024.6063::C004",'C_jama.2024.6063'!$A$2:$A$17,0))="","",INDEX('C_jama.2024.6063'!$I$2:$I$17,MATCH("2024::jama.2024.6063::C004",'C_jama.2024.6063'!$A$2:$A$17,0))),"not_applicable"),"NOT FROZEN")</x:f>
        <x:v>not_applicable</x:v>
      </x:c>
      <x:c r="F80" s="6" t="str">
        <x:f>IF(Setup!$B$6="primary",IF(AND(INDEX('C_jama.2024.6063'!$D$2:$D$17,MATCH("2024::jama.2024.6063::C004",'C_jama.2024.6063'!$A$2:$A$17,0))="retain",INDEX('C_jama.2024.6063'!$E$2:$E$17,MATCH("2024::jama.2024.6063::C004",'C_jama.2024.6063'!$A$2:$A$17,0))="statistical_results"),IF(INDEX('C_jama.2024.6063'!$J$2:$J$17,MATCH("2024::jama.2024.6063::C004",'C_jama.2024.6063'!$A$2:$A$17,0))="","",INDEX('C_jama.2024.6063'!$J$2:$J$17,MATCH("2024::jama.2024.6063::C004",'C_jama.2024.6063'!$A$2:$A$17,0))),"not_applicable"),"NOT FROZEN")</x:f>
        <x:v>not_applicable</x:v>
      </x:c>
      <x:c r="G80" s="6" t="str">
        <x:f>IF(Setup!$B$6="primary",IF(AND(INDEX('C_jama.2024.6063'!$D$2:$D$17,MATCH("2024::jama.2024.6063::C004",'C_jama.2024.6063'!$A$2:$A$17,0))="retain",OR(INDEX('C_jama.2024.6063'!$E$2:$E$17,MATCH("2024::jama.2024.6063::C004",'C_jama.2024.6063'!$A$2:$A$17,0))="report_internal_inconsistency",INDEX('C_jama.2024.6063'!$E$2:$E$17,MATCH("2024::jama.2024.6063::C004",'C_jama.2024.6063'!$A$2:$A$17,0))="plan_material")),IF(INDEX('C_jama.2024.6063'!$K$2:$K$17,MATCH("2024::jama.2024.6063::C004",'C_jama.2024.6063'!$A$2:$A$17,0))="","",INDEX('C_jama.2024.6063'!$K$2:$K$17,MATCH("2024::jama.2024.6063::C004",'C_jama.2024.6063'!$A$2:$A$17,0))),"not_applicable"),"NOT FROZEN")</x:f>
        <x:v>not_applicable</x:v>
      </x:c>
      <x:c r="H80" s="6" t="str">
        <x:f>IF(Setup!$B$6="primary",IF(AND(INDEX('C_jama.2024.6063'!$D$2:$D$17,MATCH("2024::jama.2024.6063::C004",'C_jama.2024.6063'!$A$2:$A$17,0))="retain",INDEX('C_jama.2024.6063'!$E$2:$E$17,MATCH("2024::jama.2024.6063::C004",'C_jama.2024.6063'!$A$2:$A$17,0))="protocol_report"),IF(INDEX('C_jama.2024.6063'!$L$2:$L$17,MATCH("2024::jama.2024.6063::C004",'C_jama.2024.6063'!$A$2:$A$17,0))="","",INDEX('C_jama.2024.6063'!$L$2:$L$17,MATCH("2024::jama.2024.6063::C004",'C_jama.2024.6063'!$A$2:$A$17,0))),"not_applicable"),"NOT FROZEN")</x:f>
        <x:v>not_applicable</x:v>
      </x:c>
      <x:c r="I80" s="6" t="str">
        <x:f>IF(Setup!$B$6="primary",IF(INDEX('C_jama.2024.6063'!$R$2:$R$17,MATCH("2024::jama.2024.6063::C004",'C_jama.2024.6063'!$A$2:$A$17,0))="","",INDEX('C_jama.2024.6063'!$R$2:$R$17,MATCH("2024::jama.2024.6063::C004",'C_jama.2024.6063'!$A$2:$A$17,0))),"NOT FROZEN")</x:f>
      </x:c>
      <x:c r="J80" s="6" t="str">
        <x:f>IF(Setup!$B$6="primary",INDEX('C_jama.2024.6063'!$F$2:$F$17,MATCH("2024::jama.2024.6063::C004",'C_jama.2024.6063'!$A$2:$A$17,0)),"NOT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IF(Setup!$B$6="primary","2024::jama.2024.6063::C005","NOT FROZEN")</x:f>
        <x:v>2024::jama.2024.6063::C005</x:v>
      </x:c>
      <x:c r="B81" s="3" t="str">
        <x:f>IF(Setup!$B$6="primary",IF(INDEX('C_jama.2024.6063'!$D$2:$D$17,MATCH("2024::jama.2024.6063::C005",'C_jama.2024.6063'!$A$2:$A$17,0))="","",INDEX('C_jama.2024.6063'!$D$2:$D$17,MATCH("2024::jama.2024.6063::C005",'C_jama.2024.6063'!$A$2:$A$17,0))),"NOT FROZEN")</x:f>
      </x:c>
      <x:c r="C81" s="3" t="str">
        <x:f>IF(Setup!$B$6="primary",IF(INDEX('C_jama.2024.6063'!$E$2:$E$17,MATCH("2024::jama.2024.6063::C005",'C_jama.2024.6063'!$A$2:$A$17,0))="","",INDEX('C_jama.2024.6063'!$E$2:$E$17,MATCH("2024::jama.2024.6063::C005",'C_jama.2024.6063'!$A$2:$A$17,0))),"NOT FROZEN")</x:f>
        <x:v>statistical_results</x:v>
      </x:c>
      <x:c r="D81" s="3" t="str">
        <x:f>IF(Setup!$B$6="primary",IF(AND(INDEX('C_jama.2024.6063'!$D$2:$D$17,MATCH("2024::jama.2024.6063::C005",'C_jama.2024.6063'!$A$2:$A$17,0))="retain",INDEX('C_jama.2024.6063'!$E$2:$E$17,MATCH("2024::jama.2024.6063::C005",'C_jama.2024.6063'!$A$2:$A$17,0))="statistical_results"),IF(INDEX('C_jama.2024.6063'!$H$2:$H$17,MATCH("2024::jama.2024.6063::C005",'C_jama.2024.6063'!$A$2:$A$17,0))="","",INDEX('C_jama.2024.6063'!$H$2:$H$17,MATCH("2024::jama.2024.6063::C005",'C_jama.2024.6063'!$A$2:$A$17,0))),"not_applicable"),"NOT FROZEN")</x:f>
        <x:v>not_applicable</x:v>
      </x:c>
      <x:c r="E81" s="3" t="str">
        <x:f>IF(Setup!$B$6="primary",IF(AND(INDEX('C_jama.2024.6063'!$D$2:$D$17,MATCH("2024::jama.2024.6063::C005",'C_jama.2024.6063'!$A$2:$A$17,0))="retain",INDEX('C_jama.2024.6063'!$E$2:$E$17,MATCH("2024::jama.2024.6063::C005",'C_jama.2024.6063'!$A$2:$A$17,0))="statistical_results"),IF(INDEX('C_jama.2024.6063'!$I$2:$I$17,MATCH("2024::jama.2024.6063::C005",'C_jama.2024.6063'!$A$2:$A$17,0))="","",INDEX('C_jama.2024.6063'!$I$2:$I$17,MATCH("2024::jama.2024.6063::C005",'C_jama.2024.6063'!$A$2:$A$17,0))),"not_applicable"),"NOT FROZEN")</x:f>
        <x:v>not_applicable</x:v>
      </x:c>
      <x:c r="F81" s="3" t="str">
        <x:f>IF(Setup!$B$6="primary",IF(AND(INDEX('C_jama.2024.6063'!$D$2:$D$17,MATCH("2024::jama.2024.6063::C005",'C_jama.2024.6063'!$A$2:$A$17,0))="retain",INDEX('C_jama.2024.6063'!$E$2:$E$17,MATCH("2024::jama.2024.6063::C005",'C_jama.2024.6063'!$A$2:$A$17,0))="statistical_results"),IF(INDEX('C_jama.2024.6063'!$J$2:$J$17,MATCH("2024::jama.2024.6063::C005",'C_jama.2024.6063'!$A$2:$A$17,0))="","",INDEX('C_jama.2024.6063'!$J$2:$J$17,MATCH("2024::jama.2024.6063::C005",'C_jama.2024.6063'!$A$2:$A$17,0))),"not_applicable"),"NOT FROZEN")</x:f>
        <x:v>not_applicable</x:v>
      </x:c>
      <x:c r="G81" s="3" t="str">
        <x:f>IF(Setup!$B$6="primary",IF(AND(INDEX('C_jama.2024.6063'!$D$2:$D$17,MATCH("2024::jama.2024.6063::C005",'C_jama.2024.6063'!$A$2:$A$17,0))="retain",OR(INDEX('C_jama.2024.6063'!$E$2:$E$17,MATCH("2024::jama.2024.6063::C005",'C_jama.2024.6063'!$A$2:$A$17,0))="report_internal_inconsistency",INDEX('C_jama.2024.6063'!$E$2:$E$17,MATCH("2024::jama.2024.6063::C005",'C_jama.2024.6063'!$A$2:$A$17,0))="plan_material")),IF(INDEX('C_jama.2024.6063'!$K$2:$K$17,MATCH("2024::jama.2024.6063::C005",'C_jama.2024.6063'!$A$2:$A$17,0))="","",INDEX('C_jama.2024.6063'!$K$2:$K$17,MATCH("2024::jama.2024.6063::C005",'C_jama.2024.6063'!$A$2:$A$17,0))),"not_applicable"),"NOT FROZEN")</x:f>
        <x:v>not_applicable</x:v>
      </x:c>
      <x:c r="H81" s="3" t="str">
        <x:f>IF(Setup!$B$6="primary",IF(AND(INDEX('C_jama.2024.6063'!$D$2:$D$17,MATCH("2024::jama.2024.6063::C005",'C_jama.2024.6063'!$A$2:$A$17,0))="retain",INDEX('C_jama.2024.6063'!$E$2:$E$17,MATCH("2024::jama.2024.6063::C005",'C_jama.2024.6063'!$A$2:$A$17,0))="protocol_report"),IF(INDEX('C_jama.2024.6063'!$L$2:$L$17,MATCH("2024::jama.2024.6063::C005",'C_jama.2024.6063'!$A$2:$A$17,0))="","",INDEX('C_jama.2024.6063'!$L$2:$L$17,MATCH("2024::jama.2024.6063::C005",'C_jama.2024.6063'!$A$2:$A$17,0))),"not_applicable"),"NOT FROZEN")</x:f>
        <x:v>not_applicable</x:v>
      </x:c>
      <x:c r="I81" s="3" t="str">
        <x:f>IF(Setup!$B$6="primary",IF(INDEX('C_jama.2024.6063'!$R$2:$R$17,MATCH("2024::jama.2024.6063::C005",'C_jama.2024.6063'!$A$2:$A$17,0))="","",INDEX('C_jama.2024.6063'!$R$2:$R$17,MATCH("2024::jama.2024.6063::C005",'C_jama.2024.6063'!$A$2:$A$17,0))),"NOT FROZEN")</x:f>
      </x:c>
      <x:c r="J81" s="3" t="str">
        <x:f>IF(Setup!$B$6="primary",INDEX('C_jama.2024.6063'!$F$2:$F$17,MATCH("2024::jama.2024.6063::C005",'C_jama.2024.6063'!$A$2:$A$17,0)),"NOT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statistical_results
</x:v>
      </x:c>
    </x:row>
    <x:row r="82" ht="70" customHeight="1">
      <x:c r="A82" s="6" t="str">
        <x:f>IF(Setup!$B$6="primary","2024::jama.2024.6063::C006","NOT FROZEN")</x:f>
        <x:v>2024::jama.2024.6063::C006</x:v>
      </x:c>
      <x:c r="B82" s="6" t="str">
        <x:f>IF(Setup!$B$6="primary",IF(INDEX('C_jama.2024.6063'!$D$2:$D$17,MATCH("2024::jama.2024.6063::C006",'C_jama.2024.6063'!$A$2:$A$17,0))="","",INDEX('C_jama.2024.6063'!$D$2:$D$17,MATCH("2024::jama.2024.6063::C006",'C_jama.2024.6063'!$A$2:$A$17,0))),"NOT FROZEN")</x:f>
      </x:c>
      <x:c r="C82" s="6" t="str">
        <x:f>IF(Setup!$B$6="primary",IF(INDEX('C_jama.2024.6063'!$E$2:$E$17,MATCH("2024::jama.2024.6063::C006",'C_jama.2024.6063'!$A$2:$A$17,0))="","",INDEX('C_jama.2024.6063'!$E$2:$E$17,MATCH("2024::jama.2024.6063::C006",'C_jama.2024.6063'!$A$2:$A$17,0))),"NOT FROZEN")</x:f>
        <x:v>statistical_results</x:v>
      </x:c>
      <x:c r="D82" s="6" t="str">
        <x:f>IF(Setup!$B$6="primary",IF(AND(INDEX('C_jama.2024.6063'!$D$2:$D$17,MATCH("2024::jama.2024.6063::C006",'C_jama.2024.6063'!$A$2:$A$17,0))="retain",INDEX('C_jama.2024.6063'!$E$2:$E$17,MATCH("2024::jama.2024.6063::C006",'C_jama.2024.6063'!$A$2:$A$17,0))="statistical_results"),IF(INDEX('C_jama.2024.6063'!$H$2:$H$17,MATCH("2024::jama.2024.6063::C006",'C_jama.2024.6063'!$A$2:$A$17,0))="","",INDEX('C_jama.2024.6063'!$H$2:$H$17,MATCH("2024::jama.2024.6063::C006",'C_jama.2024.6063'!$A$2:$A$17,0))),"not_applicable"),"NOT FROZEN")</x:f>
        <x:v>not_applicable</x:v>
      </x:c>
      <x:c r="E82" s="6" t="str">
        <x:f>IF(Setup!$B$6="primary",IF(AND(INDEX('C_jama.2024.6063'!$D$2:$D$17,MATCH("2024::jama.2024.6063::C006",'C_jama.2024.6063'!$A$2:$A$17,0))="retain",INDEX('C_jama.2024.6063'!$E$2:$E$17,MATCH("2024::jama.2024.6063::C006",'C_jama.2024.6063'!$A$2:$A$17,0))="statistical_results"),IF(INDEX('C_jama.2024.6063'!$I$2:$I$17,MATCH("2024::jama.2024.6063::C006",'C_jama.2024.6063'!$A$2:$A$17,0))="","",INDEX('C_jama.2024.6063'!$I$2:$I$17,MATCH("2024::jama.2024.6063::C006",'C_jama.2024.6063'!$A$2:$A$17,0))),"not_applicable"),"NOT FROZEN")</x:f>
        <x:v>not_applicable</x:v>
      </x:c>
      <x:c r="F82" s="6" t="str">
        <x:f>IF(Setup!$B$6="primary",IF(AND(INDEX('C_jama.2024.6063'!$D$2:$D$17,MATCH("2024::jama.2024.6063::C006",'C_jama.2024.6063'!$A$2:$A$17,0))="retain",INDEX('C_jama.2024.6063'!$E$2:$E$17,MATCH("2024::jama.2024.6063::C006",'C_jama.2024.6063'!$A$2:$A$17,0))="statistical_results"),IF(INDEX('C_jama.2024.6063'!$J$2:$J$17,MATCH("2024::jama.2024.6063::C006",'C_jama.2024.6063'!$A$2:$A$17,0))="","",INDEX('C_jama.2024.6063'!$J$2:$J$17,MATCH("2024::jama.2024.6063::C006",'C_jama.2024.6063'!$A$2:$A$17,0))),"not_applicable"),"NOT FROZEN")</x:f>
        <x:v>not_applicable</x:v>
      </x:c>
      <x:c r="G82" s="6" t="str">
        <x:f>IF(Setup!$B$6="primary",IF(AND(INDEX('C_jama.2024.6063'!$D$2:$D$17,MATCH("2024::jama.2024.6063::C006",'C_jama.2024.6063'!$A$2:$A$17,0))="retain",OR(INDEX('C_jama.2024.6063'!$E$2:$E$17,MATCH("2024::jama.2024.6063::C006",'C_jama.2024.6063'!$A$2:$A$17,0))="report_internal_inconsistency",INDEX('C_jama.2024.6063'!$E$2:$E$17,MATCH("2024::jama.2024.6063::C006",'C_jama.2024.6063'!$A$2:$A$17,0))="plan_material")),IF(INDEX('C_jama.2024.6063'!$K$2:$K$17,MATCH("2024::jama.2024.6063::C006",'C_jama.2024.6063'!$A$2:$A$17,0))="","",INDEX('C_jama.2024.6063'!$K$2:$K$17,MATCH("2024::jama.2024.6063::C006",'C_jama.2024.6063'!$A$2:$A$17,0))),"not_applicable"),"NOT FROZEN")</x:f>
        <x:v>not_applicable</x:v>
      </x:c>
      <x:c r="H82" s="6" t="str">
        <x:f>IF(Setup!$B$6="primary",IF(AND(INDEX('C_jama.2024.6063'!$D$2:$D$17,MATCH("2024::jama.2024.6063::C006",'C_jama.2024.6063'!$A$2:$A$17,0))="retain",INDEX('C_jama.2024.6063'!$E$2:$E$17,MATCH("2024::jama.2024.6063::C006",'C_jama.2024.6063'!$A$2:$A$17,0))="protocol_report"),IF(INDEX('C_jama.2024.6063'!$L$2:$L$17,MATCH("2024::jama.2024.6063::C006",'C_jama.2024.6063'!$A$2:$A$17,0))="","",INDEX('C_jama.2024.6063'!$L$2:$L$17,MATCH("2024::jama.2024.6063::C006",'C_jama.2024.6063'!$A$2:$A$17,0))),"not_applicable"),"NOT FROZEN")</x:f>
        <x:v>not_applicable</x:v>
      </x:c>
      <x:c r="I82" s="6" t="str">
        <x:f>IF(Setup!$B$6="primary",IF(INDEX('C_jama.2024.6063'!$R$2:$R$17,MATCH("2024::jama.2024.6063::C006",'C_jama.2024.6063'!$A$2:$A$17,0))="","",INDEX('C_jama.2024.6063'!$R$2:$R$17,MATCH("2024::jama.2024.6063::C006",'C_jama.2024.6063'!$A$2:$A$17,0))),"NOT FROZEN")</x:f>
      </x:c>
      <x:c r="J82" s="6" t="str">
        <x:f>IF(Setup!$B$6="primary",INDEX('C_jama.2024.6063'!$F$2:$F$17,MATCH("2024::jama.2024.6063::C006",'C_jama.2024.6063'!$A$2:$A$17,0)),"NOT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statistical_results
</x:v>
      </x:c>
    </x:row>
    <x:row r="83" ht="70" customHeight="1">
      <x:c r="A83" s="3" t="str">
        <x:f>IF(Setup!$B$6="primary","2024::jama.2024.6063::C007","NOT FROZEN")</x:f>
        <x:v>2024::jama.2024.6063::C007</x:v>
      </x:c>
      <x:c r="B83" s="3" t="str">
        <x:f>IF(Setup!$B$6="primary",IF(INDEX('C_jama.2024.6063'!$D$2:$D$17,MATCH("2024::jama.2024.6063::C007",'C_jama.2024.6063'!$A$2:$A$17,0))="","",INDEX('C_jama.2024.6063'!$D$2:$D$17,MATCH("2024::jama.2024.6063::C007",'C_jama.2024.6063'!$A$2:$A$17,0))),"NOT FROZEN")</x:f>
      </x:c>
      <x:c r="C83" s="3" t="str">
        <x:f>IF(Setup!$B$6="primary",IF(INDEX('C_jama.2024.6063'!$E$2:$E$17,MATCH("2024::jama.2024.6063::C007",'C_jama.2024.6063'!$A$2:$A$17,0))="","",INDEX('C_jama.2024.6063'!$E$2:$E$17,MATCH("2024::jama.2024.6063::C007",'C_jama.2024.6063'!$A$2:$A$17,0))),"NOT FROZEN")</x:f>
        <x:v>statistical_results</x:v>
      </x:c>
      <x:c r="D83" s="3" t="str">
        <x:f>IF(Setup!$B$6="primary",IF(AND(INDEX('C_jama.2024.6063'!$D$2:$D$17,MATCH("2024::jama.2024.6063::C007",'C_jama.2024.6063'!$A$2:$A$17,0))="retain",INDEX('C_jama.2024.6063'!$E$2:$E$17,MATCH("2024::jama.2024.6063::C007",'C_jama.2024.6063'!$A$2:$A$17,0))="statistical_results"),IF(INDEX('C_jama.2024.6063'!$H$2:$H$17,MATCH("2024::jama.2024.6063::C007",'C_jama.2024.6063'!$A$2:$A$17,0))="","",INDEX('C_jama.2024.6063'!$H$2:$H$17,MATCH("2024::jama.2024.6063::C007",'C_jama.2024.6063'!$A$2:$A$17,0))),"not_applicable"),"NOT FROZEN")</x:f>
        <x:v>not_applicable</x:v>
      </x:c>
      <x:c r="E83" s="3" t="str">
        <x:f>IF(Setup!$B$6="primary",IF(AND(INDEX('C_jama.2024.6063'!$D$2:$D$17,MATCH("2024::jama.2024.6063::C007",'C_jama.2024.6063'!$A$2:$A$17,0))="retain",INDEX('C_jama.2024.6063'!$E$2:$E$17,MATCH("2024::jama.2024.6063::C007",'C_jama.2024.6063'!$A$2:$A$17,0))="statistical_results"),IF(INDEX('C_jama.2024.6063'!$I$2:$I$17,MATCH("2024::jama.2024.6063::C007",'C_jama.2024.6063'!$A$2:$A$17,0))="","",INDEX('C_jama.2024.6063'!$I$2:$I$17,MATCH("2024::jama.2024.6063::C007",'C_jama.2024.6063'!$A$2:$A$17,0))),"not_applicable"),"NOT FROZEN")</x:f>
        <x:v>not_applicable</x:v>
      </x:c>
      <x:c r="F83" s="3" t="str">
        <x:f>IF(Setup!$B$6="primary",IF(AND(INDEX('C_jama.2024.6063'!$D$2:$D$17,MATCH("2024::jama.2024.6063::C007",'C_jama.2024.6063'!$A$2:$A$17,0))="retain",INDEX('C_jama.2024.6063'!$E$2:$E$17,MATCH("2024::jama.2024.6063::C007",'C_jama.2024.6063'!$A$2:$A$17,0))="statistical_results"),IF(INDEX('C_jama.2024.6063'!$J$2:$J$17,MATCH("2024::jama.2024.6063::C007",'C_jama.2024.6063'!$A$2:$A$17,0))="","",INDEX('C_jama.2024.6063'!$J$2:$J$17,MATCH("2024::jama.2024.6063::C007",'C_jama.2024.6063'!$A$2:$A$17,0))),"not_applicable"),"NOT FROZEN")</x:f>
        <x:v>not_applicable</x:v>
      </x:c>
      <x:c r="G83" s="3" t="str">
        <x:f>IF(Setup!$B$6="primary",IF(AND(INDEX('C_jama.2024.6063'!$D$2:$D$17,MATCH("2024::jama.2024.6063::C007",'C_jama.2024.6063'!$A$2:$A$17,0))="retain",OR(INDEX('C_jama.2024.6063'!$E$2:$E$17,MATCH("2024::jama.2024.6063::C007",'C_jama.2024.6063'!$A$2:$A$17,0))="report_internal_inconsistency",INDEX('C_jama.2024.6063'!$E$2:$E$17,MATCH("2024::jama.2024.6063::C007",'C_jama.2024.6063'!$A$2:$A$17,0))="plan_material")),IF(INDEX('C_jama.2024.6063'!$K$2:$K$17,MATCH("2024::jama.2024.6063::C007",'C_jama.2024.6063'!$A$2:$A$17,0))="","",INDEX('C_jama.2024.6063'!$K$2:$K$17,MATCH("2024::jama.2024.6063::C007",'C_jama.2024.6063'!$A$2:$A$17,0))),"not_applicable"),"NOT FROZEN")</x:f>
        <x:v>not_applicable</x:v>
      </x:c>
      <x:c r="H83" s="3" t="str">
        <x:f>IF(Setup!$B$6="primary",IF(AND(INDEX('C_jama.2024.6063'!$D$2:$D$17,MATCH("2024::jama.2024.6063::C007",'C_jama.2024.6063'!$A$2:$A$17,0))="retain",INDEX('C_jama.2024.6063'!$E$2:$E$17,MATCH("2024::jama.2024.6063::C007",'C_jama.2024.6063'!$A$2:$A$17,0))="protocol_report"),IF(INDEX('C_jama.2024.6063'!$L$2:$L$17,MATCH("2024::jama.2024.6063::C007",'C_jama.2024.6063'!$A$2:$A$17,0))="","",INDEX('C_jama.2024.6063'!$L$2:$L$17,MATCH("2024::jama.2024.6063::C007",'C_jama.2024.6063'!$A$2:$A$17,0))),"not_applicable"),"NOT FROZEN")</x:f>
        <x:v>not_applicable</x:v>
      </x:c>
      <x:c r="I83" s="3" t="str">
        <x:f>IF(Setup!$B$6="primary",IF(INDEX('C_jama.2024.6063'!$R$2:$R$17,MATCH("2024::jama.2024.6063::C007",'C_jama.2024.6063'!$A$2:$A$17,0))="","",INDEX('C_jama.2024.6063'!$R$2:$R$17,MATCH("2024::jama.2024.6063::C007",'C_jama.2024.6063'!$A$2:$A$17,0))),"NOT FROZEN")</x:f>
      </x:c>
      <x:c r="J83" s="3" t="str">
        <x:f>IF(Setup!$B$6="primary",INDEX('C_jama.2024.6063'!$F$2:$F$17,MATCH("2024::jama.2024.6063::C007",'C_jama.2024.6063'!$A$2:$A$17,0)),"NOT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statistical_results
</x:v>
      </x:c>
    </x:row>
    <x:row r="84" ht="70" customHeight="1">
      <x:c r="A84" s="6" t="str">
        <x:f>IF(Setup!$B$6="primary","2024::jama.2024.6063::C008","NOT FROZEN")</x:f>
        <x:v>2024::jama.2024.6063::C008</x:v>
      </x:c>
      <x:c r="B84" s="6" t="str">
        <x:f>IF(Setup!$B$6="primary",IF(INDEX('C_jama.2024.6063'!$D$2:$D$17,MATCH("2024::jama.2024.6063::C008",'C_jama.2024.6063'!$A$2:$A$17,0))="","",INDEX('C_jama.2024.6063'!$D$2:$D$17,MATCH("2024::jama.2024.6063::C008",'C_jama.2024.6063'!$A$2:$A$17,0))),"NOT FROZEN")</x:f>
      </x:c>
      <x:c r="C84" s="6" t="str">
        <x:f>IF(Setup!$B$6="primary",IF(INDEX('C_jama.2024.6063'!$E$2:$E$17,MATCH("2024::jama.2024.6063::C008",'C_jama.2024.6063'!$A$2:$A$17,0))="","",INDEX('C_jama.2024.6063'!$E$2:$E$17,MATCH("2024::jama.2024.6063::C008",'C_jama.2024.6063'!$A$2:$A$17,0))),"NOT FROZEN")</x:f>
        <x:v>statistical_results</x:v>
      </x:c>
      <x:c r="D84" s="6" t="str">
        <x:f>IF(Setup!$B$6="primary",IF(AND(INDEX('C_jama.2024.6063'!$D$2:$D$17,MATCH("2024::jama.2024.6063::C008",'C_jama.2024.6063'!$A$2:$A$17,0))="retain",INDEX('C_jama.2024.6063'!$E$2:$E$17,MATCH("2024::jama.2024.6063::C008",'C_jama.2024.6063'!$A$2:$A$17,0))="statistical_results"),IF(INDEX('C_jama.2024.6063'!$H$2:$H$17,MATCH("2024::jama.2024.6063::C008",'C_jama.2024.6063'!$A$2:$A$17,0))="","",INDEX('C_jama.2024.6063'!$H$2:$H$17,MATCH("2024::jama.2024.6063::C008",'C_jama.2024.6063'!$A$2:$A$17,0))),"not_applicable"),"NOT FROZEN")</x:f>
        <x:v>not_applicable</x:v>
      </x:c>
      <x:c r="E84" s="6" t="str">
        <x:f>IF(Setup!$B$6="primary",IF(AND(INDEX('C_jama.2024.6063'!$D$2:$D$17,MATCH("2024::jama.2024.6063::C008",'C_jama.2024.6063'!$A$2:$A$17,0))="retain",INDEX('C_jama.2024.6063'!$E$2:$E$17,MATCH("2024::jama.2024.6063::C008",'C_jama.2024.6063'!$A$2:$A$17,0))="statistical_results"),IF(INDEX('C_jama.2024.6063'!$I$2:$I$17,MATCH("2024::jama.2024.6063::C008",'C_jama.2024.6063'!$A$2:$A$17,0))="","",INDEX('C_jama.2024.6063'!$I$2:$I$17,MATCH("2024::jama.2024.6063::C008",'C_jama.2024.6063'!$A$2:$A$17,0))),"not_applicable"),"NOT FROZEN")</x:f>
        <x:v>not_applicable</x:v>
      </x:c>
      <x:c r="F84" s="6" t="str">
        <x:f>IF(Setup!$B$6="primary",IF(AND(INDEX('C_jama.2024.6063'!$D$2:$D$17,MATCH("2024::jama.2024.6063::C008",'C_jama.2024.6063'!$A$2:$A$17,0))="retain",INDEX('C_jama.2024.6063'!$E$2:$E$17,MATCH("2024::jama.2024.6063::C008",'C_jama.2024.6063'!$A$2:$A$17,0))="statistical_results"),IF(INDEX('C_jama.2024.6063'!$J$2:$J$17,MATCH("2024::jama.2024.6063::C008",'C_jama.2024.6063'!$A$2:$A$17,0))="","",INDEX('C_jama.2024.6063'!$J$2:$J$17,MATCH("2024::jama.2024.6063::C008",'C_jama.2024.6063'!$A$2:$A$17,0))),"not_applicable"),"NOT FROZEN")</x:f>
        <x:v>not_applicable</x:v>
      </x:c>
      <x:c r="G84" s="6" t="str">
        <x:f>IF(Setup!$B$6="primary",IF(AND(INDEX('C_jama.2024.6063'!$D$2:$D$17,MATCH("2024::jama.2024.6063::C008",'C_jama.2024.6063'!$A$2:$A$17,0))="retain",OR(INDEX('C_jama.2024.6063'!$E$2:$E$17,MATCH("2024::jama.2024.6063::C008",'C_jama.2024.6063'!$A$2:$A$17,0))="report_internal_inconsistency",INDEX('C_jama.2024.6063'!$E$2:$E$17,MATCH("2024::jama.2024.6063::C008",'C_jama.2024.6063'!$A$2:$A$17,0))="plan_material")),IF(INDEX('C_jama.2024.6063'!$K$2:$K$17,MATCH("2024::jama.2024.6063::C008",'C_jama.2024.6063'!$A$2:$A$17,0))="","",INDEX('C_jama.2024.6063'!$K$2:$K$17,MATCH("2024::jama.2024.6063::C008",'C_jama.2024.6063'!$A$2:$A$17,0))),"not_applicable"),"NOT FROZEN")</x:f>
        <x:v>not_applicable</x:v>
      </x:c>
      <x:c r="H84" s="6" t="str">
        <x:f>IF(Setup!$B$6="primary",IF(AND(INDEX('C_jama.2024.6063'!$D$2:$D$17,MATCH("2024::jama.2024.6063::C008",'C_jama.2024.6063'!$A$2:$A$17,0))="retain",INDEX('C_jama.2024.6063'!$E$2:$E$17,MATCH("2024::jama.2024.6063::C008",'C_jama.2024.6063'!$A$2:$A$17,0))="protocol_report"),IF(INDEX('C_jama.2024.6063'!$L$2:$L$17,MATCH("2024::jama.2024.6063::C008",'C_jama.2024.6063'!$A$2:$A$17,0))="","",INDEX('C_jama.2024.6063'!$L$2:$L$17,MATCH("2024::jama.2024.6063::C008",'C_jama.2024.6063'!$A$2:$A$17,0))),"not_applicable"),"NOT FROZEN")</x:f>
        <x:v>not_applicable</x:v>
      </x:c>
      <x:c r="I84" s="6" t="str">
        <x:f>IF(Setup!$B$6="primary",IF(INDEX('C_jama.2024.6063'!$R$2:$R$17,MATCH("2024::jama.2024.6063::C008",'C_jama.2024.6063'!$A$2:$A$17,0))="","",INDEX('C_jama.2024.6063'!$R$2:$R$17,MATCH("2024::jama.2024.6063::C008",'C_jama.2024.6063'!$A$2:$A$17,0))),"NOT FROZEN")</x:f>
      </x:c>
      <x:c r="J84" s="6" t="str">
        <x:f>IF(Setup!$B$6="primary",INDEX('C_jama.2024.6063'!$F$2:$F$17,MATCH("2024::jama.2024.6063::C008",'C_jama.2024.6063'!$A$2:$A$17,0)),"NOT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statistical_results
</x:v>
      </x:c>
    </x:row>
    <x:row r="85" ht="70" customHeight="1">
      <x:c r="A85" s="3" t="str">
        <x:f>IF(Setup!$B$6="primary","2024::jama.2024.6063::C009","NOT FROZEN")</x:f>
        <x:v>2024::jama.2024.6063::C009</x:v>
      </x:c>
      <x:c r="B85" s="3" t="str">
        <x:f>IF(Setup!$B$6="primary",IF(INDEX('C_jama.2024.6063'!$D$2:$D$17,MATCH("2024::jama.2024.6063::C009",'C_jama.2024.6063'!$A$2:$A$17,0))="","",INDEX('C_jama.2024.6063'!$D$2:$D$17,MATCH("2024::jama.2024.6063::C009",'C_jama.2024.6063'!$A$2:$A$17,0))),"NOT FROZEN")</x:f>
      </x:c>
      <x:c r="C85" s="3" t="str">
        <x:f>IF(Setup!$B$6="primary",IF(INDEX('C_jama.2024.6063'!$E$2:$E$17,MATCH("2024::jama.2024.6063::C009",'C_jama.2024.6063'!$A$2:$A$17,0))="","",INDEX('C_jama.2024.6063'!$E$2:$E$17,MATCH("2024::jama.2024.6063::C009",'C_jama.2024.6063'!$A$2:$A$17,0))),"NOT FROZEN")</x:f>
        <x:v>statistical_results</x:v>
      </x:c>
      <x:c r="D85" s="3" t="str">
        <x:f>IF(Setup!$B$6="primary",IF(AND(INDEX('C_jama.2024.6063'!$D$2:$D$17,MATCH("2024::jama.2024.6063::C009",'C_jama.2024.6063'!$A$2:$A$17,0))="retain",INDEX('C_jama.2024.6063'!$E$2:$E$17,MATCH("2024::jama.2024.6063::C009",'C_jama.2024.6063'!$A$2:$A$17,0))="statistical_results"),IF(INDEX('C_jama.2024.6063'!$H$2:$H$17,MATCH("2024::jama.2024.6063::C009",'C_jama.2024.6063'!$A$2:$A$17,0))="","",INDEX('C_jama.2024.6063'!$H$2:$H$17,MATCH("2024::jama.2024.6063::C009",'C_jama.2024.6063'!$A$2:$A$17,0))),"not_applicable"),"NOT FROZEN")</x:f>
        <x:v>not_applicable</x:v>
      </x:c>
      <x:c r="E85" s="3" t="str">
        <x:f>IF(Setup!$B$6="primary",IF(AND(INDEX('C_jama.2024.6063'!$D$2:$D$17,MATCH("2024::jama.2024.6063::C009",'C_jama.2024.6063'!$A$2:$A$17,0))="retain",INDEX('C_jama.2024.6063'!$E$2:$E$17,MATCH("2024::jama.2024.6063::C009",'C_jama.2024.6063'!$A$2:$A$17,0))="statistical_results"),IF(INDEX('C_jama.2024.6063'!$I$2:$I$17,MATCH("2024::jama.2024.6063::C009",'C_jama.2024.6063'!$A$2:$A$17,0))="","",INDEX('C_jama.2024.6063'!$I$2:$I$17,MATCH("2024::jama.2024.6063::C009",'C_jama.2024.6063'!$A$2:$A$17,0))),"not_applicable"),"NOT FROZEN")</x:f>
        <x:v>not_applicable</x:v>
      </x:c>
      <x:c r="F85" s="3" t="str">
        <x:f>IF(Setup!$B$6="primary",IF(AND(INDEX('C_jama.2024.6063'!$D$2:$D$17,MATCH("2024::jama.2024.6063::C009",'C_jama.2024.6063'!$A$2:$A$17,0))="retain",INDEX('C_jama.2024.6063'!$E$2:$E$17,MATCH("2024::jama.2024.6063::C009",'C_jama.2024.6063'!$A$2:$A$17,0))="statistical_results"),IF(INDEX('C_jama.2024.6063'!$J$2:$J$17,MATCH("2024::jama.2024.6063::C009",'C_jama.2024.6063'!$A$2:$A$17,0))="","",INDEX('C_jama.2024.6063'!$J$2:$J$17,MATCH("2024::jama.2024.6063::C009",'C_jama.2024.6063'!$A$2:$A$17,0))),"not_applicable"),"NOT FROZEN")</x:f>
        <x:v>not_applicable</x:v>
      </x:c>
      <x:c r="G85" s="3" t="str">
        <x:f>IF(Setup!$B$6="primary",IF(AND(INDEX('C_jama.2024.6063'!$D$2:$D$17,MATCH("2024::jama.2024.6063::C009",'C_jama.2024.6063'!$A$2:$A$17,0))="retain",OR(INDEX('C_jama.2024.6063'!$E$2:$E$17,MATCH("2024::jama.2024.6063::C009",'C_jama.2024.6063'!$A$2:$A$17,0))="report_internal_inconsistency",INDEX('C_jama.2024.6063'!$E$2:$E$17,MATCH("2024::jama.2024.6063::C009",'C_jama.2024.6063'!$A$2:$A$17,0))="plan_material")),IF(INDEX('C_jama.2024.6063'!$K$2:$K$17,MATCH("2024::jama.2024.6063::C009",'C_jama.2024.6063'!$A$2:$A$17,0))="","",INDEX('C_jama.2024.6063'!$K$2:$K$17,MATCH("2024::jama.2024.6063::C009",'C_jama.2024.6063'!$A$2:$A$17,0))),"not_applicable"),"NOT FROZEN")</x:f>
        <x:v>not_applicable</x:v>
      </x:c>
      <x:c r="H85" s="3" t="str">
        <x:f>IF(Setup!$B$6="primary",IF(AND(INDEX('C_jama.2024.6063'!$D$2:$D$17,MATCH("2024::jama.2024.6063::C009",'C_jama.2024.6063'!$A$2:$A$17,0))="retain",INDEX('C_jama.2024.6063'!$E$2:$E$17,MATCH("2024::jama.2024.6063::C009",'C_jama.2024.6063'!$A$2:$A$17,0))="protocol_report"),IF(INDEX('C_jama.2024.6063'!$L$2:$L$17,MATCH("2024::jama.2024.6063::C009",'C_jama.2024.6063'!$A$2:$A$17,0))="","",INDEX('C_jama.2024.6063'!$L$2:$L$17,MATCH("2024::jama.2024.6063::C009",'C_jama.2024.6063'!$A$2:$A$17,0))),"not_applicable"),"NOT FROZEN")</x:f>
        <x:v>not_applicable</x:v>
      </x:c>
      <x:c r="I85" s="3" t="str">
        <x:f>IF(Setup!$B$6="primary",IF(INDEX('C_jama.2024.6063'!$R$2:$R$17,MATCH("2024::jama.2024.6063::C009",'C_jama.2024.6063'!$A$2:$A$17,0))="","",INDEX('C_jama.2024.6063'!$R$2:$R$17,MATCH("2024::jama.2024.6063::C009",'C_jama.2024.6063'!$A$2:$A$17,0))),"NOT FROZEN")</x:f>
      </x:c>
      <x:c r="J85" s="3" t="str">
        <x:f>IF(Setup!$B$6="primary",INDEX('C_jama.2024.6063'!$F$2:$F$17,MATCH("2024::jama.2024.6063::C009",'C_jama.2024.6063'!$A$2:$A$17,0)),"NOT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IF(Setup!$B$6="primary","2024::jama.2024.6063::C010","NOT FROZEN")</x:f>
        <x:v>2024::jama.2024.6063::C010</x:v>
      </x:c>
      <x:c r="B86" s="6" t="str">
        <x:f>IF(Setup!$B$6="primary",IF(INDEX('C_jama.2024.6063'!$D$2:$D$17,MATCH("2024::jama.2024.6063::C010",'C_jama.2024.6063'!$A$2:$A$17,0))="","",INDEX('C_jama.2024.6063'!$D$2:$D$17,MATCH("2024::jama.2024.6063::C010",'C_jama.2024.6063'!$A$2:$A$17,0))),"NOT FROZEN")</x:f>
      </x:c>
      <x:c r="C86" s="6" t="str">
        <x:f>IF(Setup!$B$6="primary",IF(INDEX('C_jama.2024.6063'!$E$2:$E$17,MATCH("2024::jama.2024.6063::C010",'C_jama.2024.6063'!$A$2:$A$17,0))="","",INDEX('C_jama.2024.6063'!$E$2:$E$17,MATCH("2024::jama.2024.6063::C010",'C_jama.2024.6063'!$A$2:$A$17,0))),"NOT FROZEN")</x:f>
        <x:v>statistical_results</x:v>
      </x:c>
      <x:c r="D86" s="6" t="str">
        <x:f>IF(Setup!$B$6="primary",IF(AND(INDEX('C_jama.2024.6063'!$D$2:$D$17,MATCH("2024::jama.2024.6063::C010",'C_jama.2024.6063'!$A$2:$A$17,0))="retain",INDEX('C_jama.2024.6063'!$E$2:$E$17,MATCH("2024::jama.2024.6063::C010",'C_jama.2024.6063'!$A$2:$A$17,0))="statistical_results"),IF(INDEX('C_jama.2024.6063'!$H$2:$H$17,MATCH("2024::jama.2024.6063::C010",'C_jama.2024.6063'!$A$2:$A$17,0))="","",INDEX('C_jama.2024.6063'!$H$2:$H$17,MATCH("2024::jama.2024.6063::C010",'C_jama.2024.6063'!$A$2:$A$17,0))),"not_applicable"),"NOT FROZEN")</x:f>
        <x:v>not_applicable</x:v>
      </x:c>
      <x:c r="E86" s="6" t="str">
        <x:f>IF(Setup!$B$6="primary",IF(AND(INDEX('C_jama.2024.6063'!$D$2:$D$17,MATCH("2024::jama.2024.6063::C010",'C_jama.2024.6063'!$A$2:$A$17,0))="retain",INDEX('C_jama.2024.6063'!$E$2:$E$17,MATCH("2024::jama.2024.6063::C010",'C_jama.2024.6063'!$A$2:$A$17,0))="statistical_results"),IF(INDEX('C_jama.2024.6063'!$I$2:$I$17,MATCH("2024::jama.2024.6063::C010",'C_jama.2024.6063'!$A$2:$A$17,0))="","",INDEX('C_jama.2024.6063'!$I$2:$I$17,MATCH("2024::jama.2024.6063::C010",'C_jama.2024.6063'!$A$2:$A$17,0))),"not_applicable"),"NOT FROZEN")</x:f>
        <x:v>not_applicable</x:v>
      </x:c>
      <x:c r="F86" s="6" t="str">
        <x:f>IF(Setup!$B$6="primary",IF(AND(INDEX('C_jama.2024.6063'!$D$2:$D$17,MATCH("2024::jama.2024.6063::C010",'C_jama.2024.6063'!$A$2:$A$17,0))="retain",INDEX('C_jama.2024.6063'!$E$2:$E$17,MATCH("2024::jama.2024.6063::C010",'C_jama.2024.6063'!$A$2:$A$17,0))="statistical_results"),IF(INDEX('C_jama.2024.6063'!$J$2:$J$17,MATCH("2024::jama.2024.6063::C010",'C_jama.2024.6063'!$A$2:$A$17,0))="","",INDEX('C_jama.2024.6063'!$J$2:$J$17,MATCH("2024::jama.2024.6063::C010",'C_jama.2024.6063'!$A$2:$A$17,0))),"not_applicable"),"NOT FROZEN")</x:f>
        <x:v>not_applicable</x:v>
      </x:c>
      <x:c r="G86" s="6" t="str">
        <x:f>IF(Setup!$B$6="primary",IF(AND(INDEX('C_jama.2024.6063'!$D$2:$D$17,MATCH("2024::jama.2024.6063::C010",'C_jama.2024.6063'!$A$2:$A$17,0))="retain",OR(INDEX('C_jama.2024.6063'!$E$2:$E$17,MATCH("2024::jama.2024.6063::C010",'C_jama.2024.6063'!$A$2:$A$17,0))="report_internal_inconsistency",INDEX('C_jama.2024.6063'!$E$2:$E$17,MATCH("2024::jama.2024.6063::C010",'C_jama.2024.6063'!$A$2:$A$17,0))="plan_material")),IF(INDEX('C_jama.2024.6063'!$K$2:$K$17,MATCH("2024::jama.2024.6063::C010",'C_jama.2024.6063'!$A$2:$A$17,0))="","",INDEX('C_jama.2024.6063'!$K$2:$K$17,MATCH("2024::jama.2024.6063::C010",'C_jama.2024.6063'!$A$2:$A$17,0))),"not_applicable"),"NOT FROZEN")</x:f>
        <x:v>not_applicable</x:v>
      </x:c>
      <x:c r="H86" s="6" t="str">
        <x:f>IF(Setup!$B$6="primary",IF(AND(INDEX('C_jama.2024.6063'!$D$2:$D$17,MATCH("2024::jama.2024.6063::C010",'C_jama.2024.6063'!$A$2:$A$17,0))="retain",INDEX('C_jama.2024.6063'!$E$2:$E$17,MATCH("2024::jama.2024.6063::C010",'C_jama.2024.6063'!$A$2:$A$17,0))="protocol_report"),IF(INDEX('C_jama.2024.6063'!$L$2:$L$17,MATCH("2024::jama.2024.6063::C010",'C_jama.2024.6063'!$A$2:$A$17,0))="","",INDEX('C_jama.2024.6063'!$L$2:$L$17,MATCH("2024::jama.2024.6063::C010",'C_jama.2024.6063'!$A$2:$A$17,0))),"not_applicable"),"NOT FROZEN")</x:f>
        <x:v>not_applicable</x:v>
      </x:c>
      <x:c r="I86" s="6" t="str">
        <x:f>IF(Setup!$B$6="primary",IF(INDEX('C_jama.2024.6063'!$R$2:$R$17,MATCH("2024::jama.2024.6063::C010",'C_jama.2024.6063'!$A$2:$A$17,0))="","",INDEX('C_jama.2024.6063'!$R$2:$R$17,MATCH("2024::jama.2024.6063::C010",'C_jama.2024.6063'!$A$2:$A$17,0))),"NOT FROZEN")</x:f>
      </x:c>
      <x:c r="J86" s="6" t="str">
        <x:f>IF(Setup!$B$6="primary",INDEX('C_jama.2024.6063'!$F$2:$F$17,MATCH("2024::jama.2024.6063::C010",'C_jama.2024.6063'!$A$2:$A$17,0)),"NOT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statistical_results
</x:v>
      </x:c>
    </x:row>
    <x:row r="87" ht="70" customHeight="1">
      <x:c r="A87" s="3" t="str">
        <x:f>IF(Setup!$B$6="primary","2024::jama.2024.6063::C011","NOT FROZEN")</x:f>
        <x:v>2024::jama.2024.6063::C011</x:v>
      </x:c>
      <x:c r="B87" s="3" t="str">
        <x:f>IF(Setup!$B$6="primary",IF(INDEX('C_jama.2024.6063'!$D$2:$D$17,MATCH("2024::jama.2024.6063::C011",'C_jama.2024.6063'!$A$2:$A$17,0))="","",INDEX('C_jama.2024.6063'!$D$2:$D$17,MATCH("2024::jama.2024.6063::C011",'C_jama.2024.6063'!$A$2:$A$17,0))),"NOT FROZEN")</x:f>
      </x:c>
      <x:c r="C87" s="3" t="str">
        <x:f>IF(Setup!$B$6="primary",IF(INDEX('C_jama.2024.6063'!$E$2:$E$17,MATCH("2024::jama.2024.6063::C011",'C_jama.2024.6063'!$A$2:$A$17,0))="","",INDEX('C_jama.2024.6063'!$E$2:$E$17,MATCH("2024::jama.2024.6063::C011",'C_jama.2024.6063'!$A$2:$A$17,0))),"NOT FROZEN")</x:f>
        <x:v>statistical_results</x:v>
      </x:c>
      <x:c r="D87" s="3" t="str">
        <x:f>IF(Setup!$B$6="primary",IF(AND(INDEX('C_jama.2024.6063'!$D$2:$D$17,MATCH("2024::jama.2024.6063::C011",'C_jama.2024.6063'!$A$2:$A$17,0))="retain",INDEX('C_jama.2024.6063'!$E$2:$E$17,MATCH("2024::jama.2024.6063::C011",'C_jama.2024.6063'!$A$2:$A$17,0))="statistical_results"),IF(INDEX('C_jama.2024.6063'!$H$2:$H$17,MATCH("2024::jama.2024.6063::C011",'C_jama.2024.6063'!$A$2:$A$17,0))="","",INDEX('C_jama.2024.6063'!$H$2:$H$17,MATCH("2024::jama.2024.6063::C011",'C_jama.2024.6063'!$A$2:$A$17,0))),"not_applicable"),"NOT FROZEN")</x:f>
        <x:v>not_applicable</x:v>
      </x:c>
      <x:c r="E87" s="3" t="str">
        <x:f>IF(Setup!$B$6="primary",IF(AND(INDEX('C_jama.2024.6063'!$D$2:$D$17,MATCH("2024::jama.2024.6063::C011",'C_jama.2024.6063'!$A$2:$A$17,0))="retain",INDEX('C_jama.2024.6063'!$E$2:$E$17,MATCH("2024::jama.2024.6063::C011",'C_jama.2024.6063'!$A$2:$A$17,0))="statistical_results"),IF(INDEX('C_jama.2024.6063'!$I$2:$I$17,MATCH("2024::jama.2024.6063::C011",'C_jama.2024.6063'!$A$2:$A$17,0))="","",INDEX('C_jama.2024.6063'!$I$2:$I$17,MATCH("2024::jama.2024.6063::C011",'C_jama.2024.6063'!$A$2:$A$17,0))),"not_applicable"),"NOT FROZEN")</x:f>
        <x:v>not_applicable</x:v>
      </x:c>
      <x:c r="F87" s="3" t="str">
        <x:f>IF(Setup!$B$6="primary",IF(AND(INDEX('C_jama.2024.6063'!$D$2:$D$17,MATCH("2024::jama.2024.6063::C011",'C_jama.2024.6063'!$A$2:$A$17,0))="retain",INDEX('C_jama.2024.6063'!$E$2:$E$17,MATCH("2024::jama.2024.6063::C011",'C_jama.2024.6063'!$A$2:$A$17,0))="statistical_results"),IF(INDEX('C_jama.2024.6063'!$J$2:$J$17,MATCH("2024::jama.2024.6063::C011",'C_jama.2024.6063'!$A$2:$A$17,0))="","",INDEX('C_jama.2024.6063'!$J$2:$J$17,MATCH("2024::jama.2024.6063::C011",'C_jama.2024.6063'!$A$2:$A$17,0))),"not_applicable"),"NOT FROZEN")</x:f>
        <x:v>not_applicable</x:v>
      </x:c>
      <x:c r="G87" s="3" t="str">
        <x:f>IF(Setup!$B$6="primary",IF(AND(INDEX('C_jama.2024.6063'!$D$2:$D$17,MATCH("2024::jama.2024.6063::C011",'C_jama.2024.6063'!$A$2:$A$17,0))="retain",OR(INDEX('C_jama.2024.6063'!$E$2:$E$17,MATCH("2024::jama.2024.6063::C011",'C_jama.2024.6063'!$A$2:$A$17,0))="report_internal_inconsistency",INDEX('C_jama.2024.6063'!$E$2:$E$17,MATCH("2024::jama.2024.6063::C011",'C_jama.2024.6063'!$A$2:$A$17,0))="plan_material")),IF(INDEX('C_jama.2024.6063'!$K$2:$K$17,MATCH("2024::jama.2024.6063::C011",'C_jama.2024.6063'!$A$2:$A$17,0))="","",INDEX('C_jama.2024.6063'!$K$2:$K$17,MATCH("2024::jama.2024.6063::C011",'C_jama.2024.6063'!$A$2:$A$17,0))),"not_applicable"),"NOT FROZEN")</x:f>
        <x:v>not_applicable</x:v>
      </x:c>
      <x:c r="H87" s="3" t="str">
        <x:f>IF(Setup!$B$6="primary",IF(AND(INDEX('C_jama.2024.6063'!$D$2:$D$17,MATCH("2024::jama.2024.6063::C011",'C_jama.2024.6063'!$A$2:$A$17,0))="retain",INDEX('C_jama.2024.6063'!$E$2:$E$17,MATCH("2024::jama.2024.6063::C011",'C_jama.2024.6063'!$A$2:$A$17,0))="protocol_report"),IF(INDEX('C_jama.2024.6063'!$L$2:$L$17,MATCH("2024::jama.2024.6063::C011",'C_jama.2024.6063'!$A$2:$A$17,0))="","",INDEX('C_jama.2024.6063'!$L$2:$L$17,MATCH("2024::jama.2024.6063::C011",'C_jama.2024.6063'!$A$2:$A$17,0))),"not_applicable"),"NOT FROZEN")</x:f>
        <x:v>not_applicable</x:v>
      </x:c>
      <x:c r="I87" s="3" t="str">
        <x:f>IF(Setup!$B$6="primary",IF(INDEX('C_jama.2024.6063'!$R$2:$R$17,MATCH("2024::jama.2024.6063::C011",'C_jama.2024.6063'!$A$2:$A$17,0))="","",INDEX('C_jama.2024.6063'!$R$2:$R$17,MATCH("2024::jama.2024.6063::C011",'C_jama.2024.6063'!$A$2:$A$17,0))),"NOT FROZEN")</x:f>
      </x:c>
      <x:c r="J87" s="3" t="str">
        <x:f>IF(Setup!$B$6="primary",INDEX('C_jama.2024.6063'!$F$2:$F$17,MATCH("2024::jama.2024.6063::C011",'C_jama.2024.6063'!$A$2:$A$17,0)),"NOT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statistical_results
</x:v>
      </x:c>
    </x:row>
    <x:row r="88" ht="70" customHeight="1">
      <x:c r="A88" s="6" t="str">
        <x:f>IF(Setup!$B$6="primary","2024::jama.2024.6063::C012","NOT FROZEN")</x:f>
        <x:v>2024::jama.2024.6063::C012</x:v>
      </x:c>
      <x:c r="B88" s="6" t="str">
        <x:f>IF(Setup!$B$6="primary",IF(INDEX('C_jama.2024.6063'!$D$2:$D$17,MATCH("2024::jama.2024.6063::C012",'C_jama.2024.6063'!$A$2:$A$17,0))="","",INDEX('C_jama.2024.6063'!$D$2:$D$17,MATCH("2024::jama.2024.6063::C012",'C_jama.2024.6063'!$A$2:$A$17,0))),"NOT FROZEN")</x:f>
      </x:c>
      <x:c r="C88" s="6" t="str">
        <x:f>IF(Setup!$B$6="primary",IF(INDEX('C_jama.2024.6063'!$E$2:$E$17,MATCH("2024::jama.2024.6063::C012",'C_jama.2024.6063'!$A$2:$A$17,0))="","",INDEX('C_jama.2024.6063'!$E$2:$E$17,MATCH("2024::jama.2024.6063::C012",'C_jama.2024.6063'!$A$2:$A$17,0))),"NOT FROZEN")</x:f>
        <x:v>report_internal_inconsistency</x:v>
      </x:c>
      <x:c r="D88" s="6" t="str">
        <x:f>IF(Setup!$B$6="primary",IF(AND(INDEX('C_jama.2024.6063'!$D$2:$D$17,MATCH("2024::jama.2024.6063::C012",'C_jama.2024.6063'!$A$2:$A$17,0))="retain",INDEX('C_jama.2024.6063'!$E$2:$E$17,MATCH("2024::jama.2024.6063::C012",'C_jama.2024.6063'!$A$2:$A$17,0))="statistical_results"),IF(INDEX('C_jama.2024.6063'!$H$2:$H$17,MATCH("2024::jama.2024.6063::C012",'C_jama.2024.6063'!$A$2:$A$17,0))="","",INDEX('C_jama.2024.6063'!$H$2:$H$17,MATCH("2024::jama.2024.6063::C012",'C_jama.2024.6063'!$A$2:$A$17,0))),"not_applicable"),"NOT FROZEN")</x:f>
        <x:v>not_applicable</x:v>
      </x:c>
      <x:c r="E88" s="6" t="str">
        <x:f>IF(Setup!$B$6="primary",IF(AND(INDEX('C_jama.2024.6063'!$D$2:$D$17,MATCH("2024::jama.2024.6063::C012",'C_jama.2024.6063'!$A$2:$A$17,0))="retain",INDEX('C_jama.2024.6063'!$E$2:$E$17,MATCH("2024::jama.2024.6063::C012",'C_jama.2024.6063'!$A$2:$A$17,0))="statistical_results"),IF(INDEX('C_jama.2024.6063'!$I$2:$I$17,MATCH("2024::jama.2024.6063::C012",'C_jama.2024.6063'!$A$2:$A$17,0))="","",INDEX('C_jama.2024.6063'!$I$2:$I$17,MATCH("2024::jama.2024.6063::C012",'C_jama.2024.6063'!$A$2:$A$17,0))),"not_applicable"),"NOT FROZEN")</x:f>
        <x:v>not_applicable</x:v>
      </x:c>
      <x:c r="F88" s="6" t="str">
        <x:f>IF(Setup!$B$6="primary",IF(AND(INDEX('C_jama.2024.6063'!$D$2:$D$17,MATCH("2024::jama.2024.6063::C012",'C_jama.2024.6063'!$A$2:$A$17,0))="retain",INDEX('C_jama.2024.6063'!$E$2:$E$17,MATCH("2024::jama.2024.6063::C012",'C_jama.2024.6063'!$A$2:$A$17,0))="statistical_results"),IF(INDEX('C_jama.2024.6063'!$J$2:$J$17,MATCH("2024::jama.2024.6063::C012",'C_jama.2024.6063'!$A$2:$A$17,0))="","",INDEX('C_jama.2024.6063'!$J$2:$J$17,MATCH("2024::jama.2024.6063::C012",'C_jama.2024.6063'!$A$2:$A$17,0))),"not_applicable"),"NOT FROZEN")</x:f>
        <x:v>not_applicable</x:v>
      </x:c>
      <x:c r="G88" s="6" t="str">
        <x:f>IF(Setup!$B$6="primary",IF(AND(INDEX('C_jama.2024.6063'!$D$2:$D$17,MATCH("2024::jama.2024.6063::C012",'C_jama.2024.6063'!$A$2:$A$17,0))="retain",OR(INDEX('C_jama.2024.6063'!$E$2:$E$17,MATCH("2024::jama.2024.6063::C012",'C_jama.2024.6063'!$A$2:$A$17,0))="report_internal_inconsistency",INDEX('C_jama.2024.6063'!$E$2:$E$17,MATCH("2024::jama.2024.6063::C012",'C_jama.2024.6063'!$A$2:$A$17,0))="plan_material")),IF(INDEX('C_jama.2024.6063'!$K$2:$K$17,MATCH("2024::jama.2024.6063::C012",'C_jama.2024.6063'!$A$2:$A$17,0))="","",INDEX('C_jama.2024.6063'!$K$2:$K$17,MATCH("2024::jama.2024.6063::C012",'C_jama.2024.6063'!$A$2:$A$17,0))),"not_applicable"),"NOT FROZEN")</x:f>
        <x:v>not_applicable</x:v>
      </x:c>
      <x:c r="H88" s="6" t="str">
        <x:f>IF(Setup!$B$6="primary",IF(AND(INDEX('C_jama.2024.6063'!$D$2:$D$17,MATCH("2024::jama.2024.6063::C012",'C_jama.2024.6063'!$A$2:$A$17,0))="retain",INDEX('C_jama.2024.6063'!$E$2:$E$17,MATCH("2024::jama.2024.6063::C012",'C_jama.2024.6063'!$A$2:$A$17,0))="protocol_report"),IF(INDEX('C_jama.2024.6063'!$L$2:$L$17,MATCH("2024::jama.2024.6063::C012",'C_jama.2024.6063'!$A$2:$A$17,0))="","",INDEX('C_jama.2024.6063'!$L$2:$L$17,MATCH("2024::jama.2024.6063::C012",'C_jama.2024.6063'!$A$2:$A$17,0))),"not_applicable"),"NOT FROZEN")</x:f>
        <x:v>not_applicable</x:v>
      </x:c>
      <x:c r="I88" s="6" t="str">
        <x:f>IF(Setup!$B$6="primary",IF(INDEX('C_jama.2024.6063'!$R$2:$R$17,MATCH("2024::jama.2024.6063::C012",'C_jama.2024.6063'!$A$2:$A$17,0))="","",INDEX('C_jama.2024.6063'!$R$2:$R$17,MATCH("2024::jama.2024.6063::C012",'C_jama.2024.6063'!$A$2:$A$17,0))),"NOT FROZEN")</x:f>
      </x:c>
      <x:c r="J88" s="6" t="str">
        <x:f>IF(Setup!$B$6="primary",INDEX('C_jama.2024.6063'!$F$2:$F$17,MATCH("2024::jama.2024.6063::C012",'C_jama.2024.6063'!$A$2:$A$17,0)),"NOT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IF(Setup!$B$6="primary","2024::jama.2024.6063::C013","NOT FROZEN")</x:f>
        <x:v>2024::jama.2024.6063::C013</x:v>
      </x:c>
      <x:c r="B89" s="3" t="str">
        <x:f>IF(Setup!$B$6="primary",IF(INDEX('C_jama.2024.6063'!$D$2:$D$17,MATCH("2024::jama.2024.6063::C013",'C_jama.2024.6063'!$A$2:$A$17,0))="","",INDEX('C_jama.2024.6063'!$D$2:$D$17,MATCH("2024::jama.2024.6063::C013",'C_jama.2024.6063'!$A$2:$A$17,0))),"NOT FROZEN")</x:f>
      </x:c>
      <x:c r="C89" s="3" t="str">
        <x:f>IF(Setup!$B$6="primary",IF(INDEX('C_jama.2024.6063'!$E$2:$E$17,MATCH("2024::jama.2024.6063::C013",'C_jama.2024.6063'!$A$2:$A$17,0))="","",INDEX('C_jama.2024.6063'!$E$2:$E$17,MATCH("2024::jama.2024.6063::C013",'C_jama.2024.6063'!$A$2:$A$17,0))),"NOT FROZEN")</x:f>
        <x:v>report_internal_inconsistency</x:v>
      </x:c>
      <x:c r="D89" s="3" t="str">
        <x:f>IF(Setup!$B$6="primary",IF(AND(INDEX('C_jama.2024.6063'!$D$2:$D$17,MATCH("2024::jama.2024.6063::C013",'C_jama.2024.6063'!$A$2:$A$17,0))="retain",INDEX('C_jama.2024.6063'!$E$2:$E$17,MATCH("2024::jama.2024.6063::C013",'C_jama.2024.6063'!$A$2:$A$17,0))="statistical_results"),IF(INDEX('C_jama.2024.6063'!$H$2:$H$17,MATCH("2024::jama.2024.6063::C013",'C_jama.2024.6063'!$A$2:$A$17,0))="","",INDEX('C_jama.2024.6063'!$H$2:$H$17,MATCH("2024::jama.2024.6063::C013",'C_jama.2024.6063'!$A$2:$A$17,0))),"not_applicable"),"NOT FROZEN")</x:f>
        <x:v>not_applicable</x:v>
      </x:c>
      <x:c r="E89" s="3" t="str">
        <x:f>IF(Setup!$B$6="primary",IF(AND(INDEX('C_jama.2024.6063'!$D$2:$D$17,MATCH("2024::jama.2024.6063::C013",'C_jama.2024.6063'!$A$2:$A$17,0))="retain",INDEX('C_jama.2024.6063'!$E$2:$E$17,MATCH("2024::jama.2024.6063::C013",'C_jama.2024.6063'!$A$2:$A$17,0))="statistical_results"),IF(INDEX('C_jama.2024.6063'!$I$2:$I$17,MATCH("2024::jama.2024.6063::C013",'C_jama.2024.6063'!$A$2:$A$17,0))="","",INDEX('C_jama.2024.6063'!$I$2:$I$17,MATCH("2024::jama.2024.6063::C013",'C_jama.2024.6063'!$A$2:$A$17,0))),"not_applicable"),"NOT FROZEN")</x:f>
        <x:v>not_applicable</x:v>
      </x:c>
      <x:c r="F89" s="3" t="str">
        <x:f>IF(Setup!$B$6="primary",IF(AND(INDEX('C_jama.2024.6063'!$D$2:$D$17,MATCH("2024::jama.2024.6063::C013",'C_jama.2024.6063'!$A$2:$A$17,0))="retain",INDEX('C_jama.2024.6063'!$E$2:$E$17,MATCH("2024::jama.2024.6063::C013",'C_jama.2024.6063'!$A$2:$A$17,0))="statistical_results"),IF(INDEX('C_jama.2024.6063'!$J$2:$J$17,MATCH("2024::jama.2024.6063::C013",'C_jama.2024.6063'!$A$2:$A$17,0))="","",INDEX('C_jama.2024.6063'!$J$2:$J$17,MATCH("2024::jama.2024.6063::C013",'C_jama.2024.6063'!$A$2:$A$17,0))),"not_applicable"),"NOT FROZEN")</x:f>
        <x:v>not_applicable</x:v>
      </x:c>
      <x:c r="G89" s="3" t="str">
        <x:f>IF(Setup!$B$6="primary",IF(AND(INDEX('C_jama.2024.6063'!$D$2:$D$17,MATCH("2024::jama.2024.6063::C013",'C_jama.2024.6063'!$A$2:$A$17,0))="retain",OR(INDEX('C_jama.2024.6063'!$E$2:$E$17,MATCH("2024::jama.2024.6063::C013",'C_jama.2024.6063'!$A$2:$A$17,0))="report_internal_inconsistency",INDEX('C_jama.2024.6063'!$E$2:$E$17,MATCH("2024::jama.2024.6063::C013",'C_jama.2024.6063'!$A$2:$A$17,0))="plan_material")),IF(INDEX('C_jama.2024.6063'!$K$2:$K$17,MATCH("2024::jama.2024.6063::C013",'C_jama.2024.6063'!$A$2:$A$17,0))="","",INDEX('C_jama.2024.6063'!$K$2:$K$17,MATCH("2024::jama.2024.6063::C013",'C_jama.2024.6063'!$A$2:$A$17,0))),"not_applicable"),"NOT FROZEN")</x:f>
        <x:v>not_applicable</x:v>
      </x:c>
      <x:c r="H89" s="3" t="str">
        <x:f>IF(Setup!$B$6="primary",IF(AND(INDEX('C_jama.2024.6063'!$D$2:$D$17,MATCH("2024::jama.2024.6063::C013",'C_jama.2024.6063'!$A$2:$A$17,0))="retain",INDEX('C_jama.2024.6063'!$E$2:$E$17,MATCH("2024::jama.2024.6063::C013",'C_jama.2024.6063'!$A$2:$A$17,0))="protocol_report"),IF(INDEX('C_jama.2024.6063'!$L$2:$L$17,MATCH("2024::jama.2024.6063::C013",'C_jama.2024.6063'!$A$2:$A$17,0))="","",INDEX('C_jama.2024.6063'!$L$2:$L$17,MATCH("2024::jama.2024.6063::C013",'C_jama.2024.6063'!$A$2:$A$17,0))),"not_applicable"),"NOT FROZEN")</x:f>
        <x:v>not_applicable</x:v>
      </x:c>
      <x:c r="I89" s="3" t="str">
        <x:f>IF(Setup!$B$6="primary",IF(INDEX('C_jama.2024.6063'!$R$2:$R$17,MATCH("2024::jama.2024.6063::C013",'C_jama.2024.6063'!$A$2:$A$17,0))="","",INDEX('C_jama.2024.6063'!$R$2:$R$17,MATCH("2024::jama.2024.6063::C013",'C_jama.2024.6063'!$A$2:$A$17,0))),"NOT FROZEN")</x:f>
      </x:c>
      <x:c r="J89" s="3" t="str">
        <x:f>IF(Setup!$B$6="primary",INDEX('C_jama.2024.6063'!$F$2:$F$17,MATCH("2024::jama.2024.6063::C013",'C_jama.2024.6063'!$A$2:$A$17,0)),"NOT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report_internal_inconsistency
</x:v>
      </x:c>
    </x:row>
    <x:row r="90" ht="70" customHeight="1">
      <x:c r="A90" s="6" t="str">
        <x:f>IF(Setup!$B$6="primary","2024::jama.2024.6063::C014","NOT FROZEN")</x:f>
        <x:v>2024::jama.2024.6063::C014</x:v>
      </x:c>
      <x:c r="B90" s="6" t="str">
        <x:f>IF(Setup!$B$6="primary",IF(INDEX('C_jama.2024.6063'!$D$2:$D$17,MATCH("2024::jama.2024.6063::C014",'C_jama.2024.6063'!$A$2:$A$17,0))="","",INDEX('C_jama.2024.6063'!$D$2:$D$17,MATCH("2024::jama.2024.6063::C014",'C_jama.2024.6063'!$A$2:$A$17,0))),"NOT FROZEN")</x:f>
      </x:c>
      <x:c r="C90" s="6" t="str">
        <x:f>IF(Setup!$B$6="primary",IF(INDEX('C_jama.2024.6063'!$E$2:$E$17,MATCH("2024::jama.2024.6063::C014",'C_jama.2024.6063'!$A$2:$A$17,0))="","",INDEX('C_jama.2024.6063'!$E$2:$E$17,MATCH("2024::jama.2024.6063::C014",'C_jama.2024.6063'!$A$2:$A$17,0))),"NOT FROZEN")</x:f>
        <x:v>report_internal_inconsistency</x:v>
      </x:c>
      <x:c r="D90" s="6" t="str">
        <x:f>IF(Setup!$B$6="primary",IF(AND(INDEX('C_jama.2024.6063'!$D$2:$D$17,MATCH("2024::jama.2024.6063::C014",'C_jama.2024.6063'!$A$2:$A$17,0))="retain",INDEX('C_jama.2024.6063'!$E$2:$E$17,MATCH("2024::jama.2024.6063::C014",'C_jama.2024.6063'!$A$2:$A$17,0))="statistical_results"),IF(INDEX('C_jama.2024.6063'!$H$2:$H$17,MATCH("2024::jama.2024.6063::C014",'C_jama.2024.6063'!$A$2:$A$17,0))="","",INDEX('C_jama.2024.6063'!$H$2:$H$17,MATCH("2024::jama.2024.6063::C014",'C_jama.2024.6063'!$A$2:$A$17,0))),"not_applicable"),"NOT FROZEN")</x:f>
        <x:v>not_applicable</x:v>
      </x:c>
      <x:c r="E90" s="6" t="str">
        <x:f>IF(Setup!$B$6="primary",IF(AND(INDEX('C_jama.2024.6063'!$D$2:$D$17,MATCH("2024::jama.2024.6063::C014",'C_jama.2024.6063'!$A$2:$A$17,0))="retain",INDEX('C_jama.2024.6063'!$E$2:$E$17,MATCH("2024::jama.2024.6063::C014",'C_jama.2024.6063'!$A$2:$A$17,0))="statistical_results"),IF(INDEX('C_jama.2024.6063'!$I$2:$I$17,MATCH("2024::jama.2024.6063::C014",'C_jama.2024.6063'!$A$2:$A$17,0))="","",INDEX('C_jama.2024.6063'!$I$2:$I$17,MATCH("2024::jama.2024.6063::C014",'C_jama.2024.6063'!$A$2:$A$17,0))),"not_applicable"),"NOT FROZEN")</x:f>
        <x:v>not_applicable</x:v>
      </x:c>
      <x:c r="F90" s="6" t="str">
        <x:f>IF(Setup!$B$6="primary",IF(AND(INDEX('C_jama.2024.6063'!$D$2:$D$17,MATCH("2024::jama.2024.6063::C014",'C_jama.2024.6063'!$A$2:$A$17,0))="retain",INDEX('C_jama.2024.6063'!$E$2:$E$17,MATCH("2024::jama.2024.6063::C014",'C_jama.2024.6063'!$A$2:$A$17,0))="statistical_results"),IF(INDEX('C_jama.2024.6063'!$J$2:$J$17,MATCH("2024::jama.2024.6063::C014",'C_jama.2024.6063'!$A$2:$A$17,0))="","",INDEX('C_jama.2024.6063'!$J$2:$J$17,MATCH("2024::jama.2024.6063::C014",'C_jama.2024.6063'!$A$2:$A$17,0))),"not_applicable"),"NOT FROZEN")</x:f>
        <x:v>not_applicable</x:v>
      </x:c>
      <x:c r="G90" s="6" t="str">
        <x:f>IF(Setup!$B$6="primary",IF(AND(INDEX('C_jama.2024.6063'!$D$2:$D$17,MATCH("2024::jama.2024.6063::C014",'C_jama.2024.6063'!$A$2:$A$17,0))="retain",OR(INDEX('C_jama.2024.6063'!$E$2:$E$17,MATCH("2024::jama.2024.6063::C014",'C_jama.2024.6063'!$A$2:$A$17,0))="report_internal_inconsistency",INDEX('C_jama.2024.6063'!$E$2:$E$17,MATCH("2024::jama.2024.6063::C014",'C_jama.2024.6063'!$A$2:$A$17,0))="plan_material")),IF(INDEX('C_jama.2024.6063'!$K$2:$K$17,MATCH("2024::jama.2024.6063::C014",'C_jama.2024.6063'!$A$2:$A$17,0))="","",INDEX('C_jama.2024.6063'!$K$2:$K$17,MATCH("2024::jama.2024.6063::C014",'C_jama.2024.6063'!$A$2:$A$17,0))),"not_applicable"),"NOT FROZEN")</x:f>
        <x:v>not_applicable</x:v>
      </x:c>
      <x:c r="H90" s="6" t="str">
        <x:f>IF(Setup!$B$6="primary",IF(AND(INDEX('C_jama.2024.6063'!$D$2:$D$17,MATCH("2024::jama.2024.6063::C014",'C_jama.2024.6063'!$A$2:$A$17,0))="retain",INDEX('C_jama.2024.6063'!$E$2:$E$17,MATCH("2024::jama.2024.6063::C014",'C_jama.2024.6063'!$A$2:$A$17,0))="protocol_report"),IF(INDEX('C_jama.2024.6063'!$L$2:$L$17,MATCH("2024::jama.2024.6063::C014",'C_jama.2024.6063'!$A$2:$A$17,0))="","",INDEX('C_jama.2024.6063'!$L$2:$L$17,MATCH("2024::jama.2024.6063::C014",'C_jama.2024.6063'!$A$2:$A$17,0))),"not_applicable"),"NOT FROZEN")</x:f>
        <x:v>not_applicable</x:v>
      </x:c>
      <x:c r="I90" s="6" t="str">
        <x:f>IF(Setup!$B$6="primary",IF(INDEX('C_jama.2024.6063'!$R$2:$R$17,MATCH("2024::jama.2024.6063::C014",'C_jama.2024.6063'!$A$2:$A$17,0))="","",INDEX('C_jama.2024.6063'!$R$2:$R$17,MATCH("2024::jama.2024.6063::C014",'C_jama.2024.6063'!$A$2:$A$17,0))),"NOT FROZEN")</x:f>
      </x:c>
      <x:c r="J90" s="6" t="str">
        <x:f>IF(Setup!$B$6="primary",INDEX('C_jama.2024.6063'!$F$2:$F$17,MATCH("2024::jama.2024.6063::C014",'C_jama.2024.6063'!$A$2:$A$17,0)),"NOT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report_internal_inconsistency
</x:v>
      </x:c>
    </x:row>
    <x:row r="91" ht="70" customHeight="1">
      <x:c r="A91" s="3" t="str">
        <x:f>IF(Setup!$B$6="primary","2024::jama.2024.6063::C015","NOT FROZEN")</x:f>
        <x:v>2024::jama.2024.6063::C015</x:v>
      </x:c>
      <x:c r="B91" s="3" t="str">
        <x:f>IF(Setup!$B$6="primary",IF(INDEX('C_jama.2024.6063'!$D$2:$D$17,MATCH("2024::jama.2024.6063::C015",'C_jama.2024.6063'!$A$2:$A$17,0))="","",INDEX('C_jama.2024.6063'!$D$2:$D$17,MATCH("2024::jama.2024.6063::C015",'C_jama.2024.6063'!$A$2:$A$17,0))),"NOT FROZEN")</x:f>
      </x:c>
      <x:c r="C91" s="3" t="str">
        <x:f>IF(Setup!$B$6="primary",IF(INDEX('C_jama.2024.6063'!$E$2:$E$17,MATCH("2024::jama.2024.6063::C015",'C_jama.2024.6063'!$A$2:$A$17,0))="","",INDEX('C_jama.2024.6063'!$E$2:$E$17,MATCH("2024::jama.2024.6063::C015",'C_jama.2024.6063'!$A$2:$A$17,0))),"NOT FROZEN")</x:f>
        <x:v>report_internal_inconsistency</x:v>
      </x:c>
      <x:c r="D91" s="3" t="str">
        <x:f>IF(Setup!$B$6="primary",IF(AND(INDEX('C_jama.2024.6063'!$D$2:$D$17,MATCH("2024::jama.2024.6063::C015",'C_jama.2024.6063'!$A$2:$A$17,0))="retain",INDEX('C_jama.2024.6063'!$E$2:$E$17,MATCH("2024::jama.2024.6063::C015",'C_jama.2024.6063'!$A$2:$A$17,0))="statistical_results"),IF(INDEX('C_jama.2024.6063'!$H$2:$H$17,MATCH("2024::jama.2024.6063::C015",'C_jama.2024.6063'!$A$2:$A$17,0))="","",INDEX('C_jama.2024.6063'!$H$2:$H$17,MATCH("2024::jama.2024.6063::C015",'C_jama.2024.6063'!$A$2:$A$17,0))),"not_applicable"),"NOT FROZEN")</x:f>
        <x:v>not_applicable</x:v>
      </x:c>
      <x:c r="E91" s="3" t="str">
        <x:f>IF(Setup!$B$6="primary",IF(AND(INDEX('C_jama.2024.6063'!$D$2:$D$17,MATCH("2024::jama.2024.6063::C015",'C_jama.2024.6063'!$A$2:$A$17,0))="retain",INDEX('C_jama.2024.6063'!$E$2:$E$17,MATCH("2024::jama.2024.6063::C015",'C_jama.2024.6063'!$A$2:$A$17,0))="statistical_results"),IF(INDEX('C_jama.2024.6063'!$I$2:$I$17,MATCH("2024::jama.2024.6063::C015",'C_jama.2024.6063'!$A$2:$A$17,0))="","",INDEX('C_jama.2024.6063'!$I$2:$I$17,MATCH("2024::jama.2024.6063::C015",'C_jama.2024.6063'!$A$2:$A$17,0))),"not_applicable"),"NOT FROZEN")</x:f>
        <x:v>not_applicable</x:v>
      </x:c>
      <x:c r="F91" s="3" t="str">
        <x:f>IF(Setup!$B$6="primary",IF(AND(INDEX('C_jama.2024.6063'!$D$2:$D$17,MATCH("2024::jama.2024.6063::C015",'C_jama.2024.6063'!$A$2:$A$17,0))="retain",INDEX('C_jama.2024.6063'!$E$2:$E$17,MATCH("2024::jama.2024.6063::C015",'C_jama.2024.6063'!$A$2:$A$17,0))="statistical_results"),IF(INDEX('C_jama.2024.6063'!$J$2:$J$17,MATCH("2024::jama.2024.6063::C015",'C_jama.2024.6063'!$A$2:$A$17,0))="","",INDEX('C_jama.2024.6063'!$J$2:$J$17,MATCH("2024::jama.2024.6063::C015",'C_jama.2024.6063'!$A$2:$A$17,0))),"not_applicable"),"NOT FROZEN")</x:f>
        <x:v>not_applicable</x:v>
      </x:c>
      <x:c r="G91" s="3" t="str">
        <x:f>IF(Setup!$B$6="primary",IF(AND(INDEX('C_jama.2024.6063'!$D$2:$D$17,MATCH("2024::jama.2024.6063::C015",'C_jama.2024.6063'!$A$2:$A$17,0))="retain",OR(INDEX('C_jama.2024.6063'!$E$2:$E$17,MATCH("2024::jama.2024.6063::C015",'C_jama.2024.6063'!$A$2:$A$17,0))="report_internal_inconsistency",INDEX('C_jama.2024.6063'!$E$2:$E$17,MATCH("2024::jama.2024.6063::C015",'C_jama.2024.6063'!$A$2:$A$17,0))="plan_material")),IF(INDEX('C_jama.2024.6063'!$K$2:$K$17,MATCH("2024::jama.2024.6063::C015",'C_jama.2024.6063'!$A$2:$A$17,0))="","",INDEX('C_jama.2024.6063'!$K$2:$K$17,MATCH("2024::jama.2024.6063::C015",'C_jama.2024.6063'!$A$2:$A$17,0))),"not_applicable"),"NOT FROZEN")</x:f>
        <x:v>not_applicable</x:v>
      </x:c>
      <x:c r="H91" s="3" t="str">
        <x:f>IF(Setup!$B$6="primary",IF(AND(INDEX('C_jama.2024.6063'!$D$2:$D$17,MATCH("2024::jama.2024.6063::C015",'C_jama.2024.6063'!$A$2:$A$17,0))="retain",INDEX('C_jama.2024.6063'!$E$2:$E$17,MATCH("2024::jama.2024.6063::C015",'C_jama.2024.6063'!$A$2:$A$17,0))="protocol_report"),IF(INDEX('C_jama.2024.6063'!$L$2:$L$17,MATCH("2024::jama.2024.6063::C015",'C_jama.2024.6063'!$A$2:$A$17,0))="","",INDEX('C_jama.2024.6063'!$L$2:$L$17,MATCH("2024::jama.2024.6063::C015",'C_jama.2024.6063'!$A$2:$A$17,0))),"not_applicable"),"NOT FROZEN")</x:f>
        <x:v>not_applicable</x:v>
      </x:c>
      <x:c r="I91" s="3" t="str">
        <x:f>IF(Setup!$B$6="primary",IF(INDEX('C_jama.2024.6063'!$R$2:$R$17,MATCH("2024::jama.2024.6063::C015",'C_jama.2024.6063'!$A$2:$A$17,0))="","",INDEX('C_jama.2024.6063'!$R$2:$R$17,MATCH("2024::jama.2024.6063::C015",'C_jama.2024.6063'!$A$2:$A$17,0))),"NOT FROZEN")</x:f>
      </x:c>
      <x:c r="J91" s="3" t="str">
        <x:f>IF(Setup!$B$6="primary",INDEX('C_jama.2024.6063'!$F$2:$F$17,MATCH("2024::jama.2024.6063::C015",'C_jama.2024.6063'!$A$2:$A$17,0)),"NOT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report_internal_inconsistency
</x:v>
      </x:c>
    </x:row>
    <x:row r="92" ht="70" customHeight="1">
      <x:c r="A92" s="6" t="str">
        <x:f>IF(Setup!$B$6="primary","2024::jama.2024.6063::C016","NOT FROZEN")</x:f>
        <x:v>2024::jama.2024.6063::C016</x:v>
      </x:c>
      <x:c r="B92" s="6" t="str">
        <x:f>IF(Setup!$B$6="primary",IF(INDEX('C_jama.2024.6063'!$D$2:$D$17,MATCH("2024::jama.2024.6063::C016",'C_jama.2024.6063'!$A$2:$A$17,0))="","",INDEX('C_jama.2024.6063'!$D$2:$D$17,MATCH("2024::jama.2024.6063::C016",'C_jama.2024.6063'!$A$2:$A$17,0))),"NOT FROZEN")</x:f>
      </x:c>
      <x:c r="C92" s="6" t="str">
        <x:f>IF(Setup!$B$6="primary",IF(INDEX('C_jama.2024.6063'!$E$2:$E$17,MATCH("2024::jama.2024.6063::C016",'C_jama.2024.6063'!$A$2:$A$17,0))="","",INDEX('C_jama.2024.6063'!$E$2:$E$17,MATCH("2024::jama.2024.6063::C016",'C_jama.2024.6063'!$A$2:$A$17,0))),"NOT FROZEN")</x:f>
        <x:v>report_internal_inconsistency</x:v>
      </x:c>
      <x:c r="D92" s="6" t="str">
        <x:f>IF(Setup!$B$6="primary",IF(AND(INDEX('C_jama.2024.6063'!$D$2:$D$17,MATCH("2024::jama.2024.6063::C016",'C_jama.2024.6063'!$A$2:$A$17,0))="retain",INDEX('C_jama.2024.6063'!$E$2:$E$17,MATCH("2024::jama.2024.6063::C016",'C_jama.2024.6063'!$A$2:$A$17,0))="statistical_results"),IF(INDEX('C_jama.2024.6063'!$H$2:$H$17,MATCH("2024::jama.2024.6063::C016",'C_jama.2024.6063'!$A$2:$A$17,0))="","",INDEX('C_jama.2024.6063'!$H$2:$H$17,MATCH("2024::jama.2024.6063::C016",'C_jama.2024.6063'!$A$2:$A$17,0))),"not_applicable"),"NOT FROZEN")</x:f>
        <x:v>not_applicable</x:v>
      </x:c>
      <x:c r="E92" s="6" t="str">
        <x:f>IF(Setup!$B$6="primary",IF(AND(INDEX('C_jama.2024.6063'!$D$2:$D$17,MATCH("2024::jama.2024.6063::C016",'C_jama.2024.6063'!$A$2:$A$17,0))="retain",INDEX('C_jama.2024.6063'!$E$2:$E$17,MATCH("2024::jama.2024.6063::C016",'C_jama.2024.6063'!$A$2:$A$17,0))="statistical_results"),IF(INDEX('C_jama.2024.6063'!$I$2:$I$17,MATCH("2024::jama.2024.6063::C016",'C_jama.2024.6063'!$A$2:$A$17,0))="","",INDEX('C_jama.2024.6063'!$I$2:$I$17,MATCH("2024::jama.2024.6063::C016",'C_jama.2024.6063'!$A$2:$A$17,0))),"not_applicable"),"NOT FROZEN")</x:f>
        <x:v>not_applicable</x:v>
      </x:c>
      <x:c r="F92" s="6" t="str">
        <x:f>IF(Setup!$B$6="primary",IF(AND(INDEX('C_jama.2024.6063'!$D$2:$D$17,MATCH("2024::jama.2024.6063::C016",'C_jama.2024.6063'!$A$2:$A$17,0))="retain",INDEX('C_jama.2024.6063'!$E$2:$E$17,MATCH("2024::jama.2024.6063::C016",'C_jama.2024.6063'!$A$2:$A$17,0))="statistical_results"),IF(INDEX('C_jama.2024.6063'!$J$2:$J$17,MATCH("2024::jama.2024.6063::C016",'C_jama.2024.6063'!$A$2:$A$17,0))="","",INDEX('C_jama.2024.6063'!$J$2:$J$17,MATCH("2024::jama.2024.6063::C016",'C_jama.2024.6063'!$A$2:$A$17,0))),"not_applicable"),"NOT FROZEN")</x:f>
        <x:v>not_applicable</x:v>
      </x:c>
      <x:c r="G92" s="6" t="str">
        <x:f>IF(Setup!$B$6="primary",IF(AND(INDEX('C_jama.2024.6063'!$D$2:$D$17,MATCH("2024::jama.2024.6063::C016",'C_jama.2024.6063'!$A$2:$A$17,0))="retain",OR(INDEX('C_jama.2024.6063'!$E$2:$E$17,MATCH("2024::jama.2024.6063::C016",'C_jama.2024.6063'!$A$2:$A$17,0))="report_internal_inconsistency",INDEX('C_jama.2024.6063'!$E$2:$E$17,MATCH("2024::jama.2024.6063::C016",'C_jama.2024.6063'!$A$2:$A$17,0))="plan_material")),IF(INDEX('C_jama.2024.6063'!$K$2:$K$17,MATCH("2024::jama.2024.6063::C016",'C_jama.2024.6063'!$A$2:$A$17,0))="","",INDEX('C_jama.2024.6063'!$K$2:$K$17,MATCH("2024::jama.2024.6063::C016",'C_jama.2024.6063'!$A$2:$A$17,0))),"not_applicable"),"NOT FROZEN")</x:f>
        <x:v>not_applicable</x:v>
      </x:c>
      <x:c r="H92" s="6" t="str">
        <x:f>IF(Setup!$B$6="primary",IF(AND(INDEX('C_jama.2024.6063'!$D$2:$D$17,MATCH("2024::jama.2024.6063::C016",'C_jama.2024.6063'!$A$2:$A$17,0))="retain",INDEX('C_jama.2024.6063'!$E$2:$E$17,MATCH("2024::jama.2024.6063::C016",'C_jama.2024.6063'!$A$2:$A$17,0))="protocol_report"),IF(INDEX('C_jama.2024.6063'!$L$2:$L$17,MATCH("2024::jama.2024.6063::C016",'C_jama.2024.6063'!$A$2:$A$17,0))="","",INDEX('C_jama.2024.6063'!$L$2:$L$17,MATCH("2024::jama.2024.6063::C016",'C_jama.2024.6063'!$A$2:$A$17,0))),"not_applicable"),"NOT FROZEN")</x:f>
        <x:v>not_applicable</x:v>
      </x:c>
      <x:c r="I92" s="6" t="str">
        <x:f>IF(Setup!$B$6="primary",IF(INDEX('C_jama.2024.6063'!$R$2:$R$17,MATCH("2024::jama.2024.6063::C016",'C_jama.2024.6063'!$A$2:$A$17,0))="","",INDEX('C_jama.2024.6063'!$R$2:$R$17,MATCH("2024::jama.2024.6063::C016",'C_jama.2024.6063'!$A$2:$A$17,0))),"NOT FROZEN")</x:f>
      </x:c>
      <x:c r="J92" s="6" t="str">
        <x:f>IF(Setup!$B$6="primary",INDEX('C_jama.2024.6063'!$F$2:$F$17,MATCH("2024::jama.2024.6063::C016",'C_jama.2024.6063'!$A$2:$A$17,0)),"NOT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2024</x:v>
      </x:c>
      <x:c r="B2" s="6" t="str">
        <x:v>jama.2024.0318</x:v>
      </x:c>
      <x:c r="C2" s="6" t="str">
        <x:v>2024::jama.2024.0318::C001</x:v>
      </x:c>
      <x:c r="D2" s="6" t="str">
        <x:v>S_W</x:v>
      </x:c>
      <x:c r="E2" s="6" t="n">
        <x:f>Setup!$B$2</x:f>
        <x:v>0</x:v>
      </x:c>
      <x:c r="F2" s="6" t="str">
        <x:f>IF(Setup!$B$4="","",Setup!$B$4)</x:f>
      </x:c>
      <x:c r="G2" s="6" t="str">
        <x:f>IFERROR(INDEX('C_jama.2024.0318'!$G$2:$G$7,MATCH("2024::jama.2024.0318::C001",'C_jama.2024.0318'!$A$2:$A$7,0)),"CHECK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IF(Setup!$B$6="primary","",IFERROR(IF(INDEX('Primary_snapshot'!$B$2:$B$92,MATCH(C2,'Primary_snapshot'!$A$2:$A$92,0))="","",INDEX('Primary_snapshot'!$B$2:$B$92,MATCH(C2,'Primary_snapshot'!$A$2:$A$92,0))),"SNAPSHOT MISSING"))</x:f>
      </x:c>
      <x:c r="L2" s="6" t="str">
        <x:f>IF(Setup!$B$6="primary","",IFERROR(IF(INDEX('Primary_snapshot'!$C$2:$C$92,MATCH(C2,'Primary_snapshot'!$A$2:$A$92,0))="","",INDEX('Primary_snapshot'!$C$2:$C$92,MATCH(C2,'Primary_snapshot'!$A$2:$A$92,0))),"SNAPSHOT MISSING"))</x:f>
      </x:c>
      <x:c r="M2" s="6" t="str">
        <x:f>IF(Setup!$B$6="primary","",IFERROR(IF(INDEX('Primary_snapshot'!$D$2:$D$92,MATCH(C2,'Primary_snapshot'!$A$2:$A$92,0))="","",INDEX('Primary_snapshot'!$D$2:$D$92,MATCH(C2,'Primary_snapshot'!$A$2:$A$92,0))),"SNAPSHOT MISSING"))</x:f>
      </x:c>
      <x:c r="N2" s="6" t="str">
        <x:f>IF(Setup!$B$6="primary","",IFERROR(IF(INDEX('Primary_snapshot'!$E$2:$E$92,MATCH(C2,'Primary_snapshot'!$A$2:$A$92,0))="","",INDEX('Primary_snapshot'!$E$2:$E$92,MATCH(C2,'Primary_snapshot'!$A$2:$A$92,0))),"SNAPSHOT MISSING"))</x:f>
      </x:c>
      <x:c r="O2" s="6" t="str">
        <x:f>IF(Setup!$B$6="primary","",IFERROR(IF(INDEX('Primary_snapshot'!$F$2:$F$92,MATCH(C2,'Primary_snapshot'!$A$2:$A$92,0))="","",INDEX('Primary_snapshot'!$F$2:$F$92,MATCH(C2,'Primary_snapshot'!$A$2:$A$92,0))),"SNAPSHOT MISSING"))</x:f>
      </x:c>
      <x:c r="P2" s="6" t="str">
        <x:f>IF(Setup!$B$6="primary","",IFERROR(IF(INDEX('Primary_snapshot'!$G$2:$G$92,MATCH(C2,'Primary_snapshot'!$A$2:$A$92,0))="","",INDEX('Primary_snapshot'!$G$2:$G$92,MATCH(C2,'Primary_snapshot'!$A$2:$A$92,0))),"SNAPSHOT MISSING"))</x:f>
      </x:c>
      <x:c r="Q2" s="6" t="str">
        <x:f>IF(Setup!$B$6="primary","",IFERROR(IF(INDEX('Primary_snapshot'!$H$2:$H$92,MATCH(C2,'Primary_snapshot'!$A$2:$A$92,0))="","",INDEX('Primary_snapshot'!$H$2:$H$92,MATCH(C2,'Primary_snapshot'!$A$2:$A$92,0))),"SNAPSHOT MISSING"))</x:f>
      </x:c>
      <x:c r="R2" s="6" t="str">
        <x:f>IF(Setup!$B$6="primary","",IFERROR(IF(INDEX('Primary_snapshot'!$I$2:$I$92,MATCH(C2,'Primary_snapshot'!$A$2:$A$92,0))="","",INDEX('Primary_snapshot'!$I$2:$I$92,MATCH(C2,'Primary_snapshot'!$A$2:$A$92,0))),"SNAPSHOT MISSING"))</x:f>
      </x:c>
      <x:c r="S2" s="6" t="str">
        <x:f>IF(INDEX('C_jama.2024.0318'!$D$2:$D$7,MATCH("2024::jama.2024.0318::C001",'C_jama.2024.0318'!$A$2:$A$7,0))="","",INDEX('C_jama.2024.0318'!$D$2:$D$7,MATCH("2024::jama.2024.0318::C001",'C_jama.2024.0318'!$A$2:$A$7,0)))</x:f>
      </x:c>
      <x:c r="T2" s="6" t="str">
        <x:f>IF(INDEX('C_jama.2024.0318'!$E$2:$E$7,MATCH("2024::jama.2024.0318::C001",'C_jama.2024.0318'!$A$2:$A$7,0))="","",INDEX('C_jama.2024.0318'!$E$2:$E$7,MATCH("2024::jama.2024.0318::C001",'C_jama.2024.0318'!$A$2:$A$7,0)))</x:f>
        <x:v>statistical_results</x:v>
      </x:c>
      <x:c r="U2" s="6" t="str">
        <x:f>IF(AND(INDEX('C_jama.2024.0318'!$D$2:$D$7,MATCH("2024::jama.2024.0318::C001",'C_jama.2024.0318'!$A$2:$A$7,0))="retain",INDEX('C_jama.2024.0318'!$E$2:$E$7,MATCH("2024::jama.2024.0318::C001",'C_jama.2024.0318'!$A$2:$A$7,0))="statistical_results"),IF(INDEX('C_jama.2024.0318'!$H$2:$H$7,MATCH("2024::jama.2024.0318::C001",'C_jama.2024.0318'!$A$2:$A$7,0))="","",INDEX('C_jama.2024.0318'!$H$2:$H$7,MATCH("2024::jama.2024.0318::C001",'C_jama.2024.0318'!$A$2:$A$7,0))),"not_applicable")</x:f>
        <x:v>not_applicable</x:v>
      </x:c>
      <x:c r="V2" s="6" t="str">
        <x:f>IF(AND(INDEX('C_jama.2024.0318'!$D$2:$D$7,MATCH("2024::jama.2024.0318::C001",'C_jama.2024.0318'!$A$2:$A$7,0))="retain",INDEX('C_jama.2024.0318'!$E$2:$E$7,MATCH("2024::jama.2024.0318::C001",'C_jama.2024.0318'!$A$2:$A$7,0))="statistical_results"),IF(INDEX('C_jama.2024.0318'!$I$2:$I$7,MATCH("2024::jama.2024.0318::C001",'C_jama.2024.0318'!$A$2:$A$7,0))="","",INDEX('C_jama.2024.0318'!$I$2:$I$7,MATCH("2024::jama.2024.0318::C001",'C_jama.2024.0318'!$A$2:$A$7,0))),"not_applicable")</x:f>
        <x:v>not_applicable</x:v>
      </x:c>
      <x:c r="W2" s="6" t="str">
        <x:f>IF(AND(INDEX('C_jama.2024.0318'!$D$2:$D$7,MATCH("2024::jama.2024.0318::C001",'C_jama.2024.0318'!$A$2:$A$7,0))="retain",INDEX('C_jama.2024.0318'!$E$2:$E$7,MATCH("2024::jama.2024.0318::C001",'C_jama.2024.0318'!$A$2:$A$7,0))="statistical_results"),IF(INDEX('C_jama.2024.0318'!$J$2:$J$7,MATCH("2024::jama.2024.0318::C001",'C_jama.2024.0318'!$A$2:$A$7,0))="","",INDEX('C_jama.2024.0318'!$J$2:$J$7,MATCH("2024::jama.2024.0318::C001",'C_jama.2024.0318'!$A$2:$A$7,0))),"not_applicable")</x:f>
        <x:v>not_applicable</x:v>
      </x:c>
      <x:c r="X2" s="6" t="str">
        <x:f>IF(AND(INDEX('C_jama.2024.0318'!$D$2:$D$7,MATCH("2024::jama.2024.0318::C001",'C_jama.2024.0318'!$A$2:$A$7,0))="retain",OR(INDEX('C_jama.2024.0318'!$E$2:$E$7,MATCH("2024::jama.2024.0318::C001",'C_jama.2024.0318'!$A$2:$A$7,0))="report_internal_inconsistency",INDEX('C_jama.2024.0318'!$E$2:$E$7,MATCH("2024::jama.2024.0318::C001",'C_jama.2024.0318'!$A$2:$A$7,0))="plan_material")),IF(INDEX('C_jama.2024.0318'!$K$2:$K$7,MATCH("2024::jama.2024.0318::C001",'C_jama.2024.0318'!$A$2:$A$7,0))="","",INDEX('C_jama.2024.0318'!$K$2:$K$7,MATCH("2024::jama.2024.0318::C001",'C_jama.2024.0318'!$A$2:$A$7,0))),"not_applicable")</x:f>
        <x:v>not_applicable</x:v>
      </x:c>
      <x:c r="Y2" s="6" t="str">
        <x:f>IF(AND(INDEX('C_jama.2024.0318'!$D$2:$D$7,MATCH("2024::jama.2024.0318::C001",'C_jama.2024.0318'!$A$2:$A$7,0))="retain",INDEX('C_jama.2024.0318'!$E$2:$E$7,MATCH("2024::jama.2024.0318::C001",'C_jama.2024.0318'!$A$2:$A$7,0))="protocol_report"),IF(INDEX('C_jama.2024.0318'!$L$2:$L$7,MATCH("2024::jama.2024.0318::C001",'C_jama.2024.0318'!$A$2:$A$7,0))="","",INDEX('C_jama.2024.0318'!$L$2:$L$7,MATCH("2024::jama.2024.0318::C001",'C_jama.2024.0318'!$A$2:$A$7,0))),"not_applicable")</x:f>
        <x:v>not_applicable</x:v>
      </x:c>
      <x:c r="Z2" s="6" t="str">
        <x:f>IF(INDEX('C_jama.2024.0318'!$R$2:$R$7,MATCH("2024::jama.2024.0318::C001",'C_jama.2024.0318'!$A$2:$A$7,0))="","",INDEX('C_jama.2024.0318'!$R$2:$R$7,MATCH("2024::jama.2024.0318::C001",'C_jama.2024.0318'!$A$2:$A$7,0)))</x:f>
      </x:c>
      <x:c r="AA2" s="6" t="str">
        <x:f>IF(INDEX('C_jama.2024.0318'!$N$2:$N$7,MATCH("2024::jama.2024.0318::C001",'C_jama.2024.0318'!$A$2:$A$7,0))="","",INDEX('C_jama.2024.0318'!$N$2:$N$7,MATCH("2024::jama.2024.0318::C001",'C_jama.2024.0318'!$A$2:$A$7,0)))</x:f>
      </x:c>
      <x:c r="AB2" s="6" t="str">
        <x:f>IF(INDEX('C_jama.2024.0318'!$O$2:$O$7,MATCH("2024::jama.2024.0318::C001",'C_jama.2024.0318'!$A$2:$A$7,0))="","",INDEX('C_jama.2024.0318'!$O$2:$O$7,MATCH("2024::jama.2024.0318::C001",'C_jama.2024.0318'!$A$2:$A$7,0)))</x:f>
      </x:c>
      <x:c r="AC2" s="6" t="str">
        <x:f>IF(INDEX('C_jama.2024.0318'!$P$2:$P$7,MATCH("2024::jama.2024.0318::C001",'C_jama.2024.0318'!$A$2:$A$7,0))="","",INDEX('C_jama.2024.0318'!$P$2:$P$7,MATCH("2024::jama.2024.0318::C001",'C_jama.2024.0318'!$A$2:$A$7,0)))</x:f>
      </x:c>
      <x:c r="AD2" s="6" t="str">
        <x:f>IF(INDEX('C_jama.2024.0318'!$Q$2:$Q$7,MATCH("2024::jama.2024.0318::C001",'C_jama.2024.0318'!$A$2:$A$7,0))="","",INDEX('C_jama.2024.0318'!$Q$2:$Q$7,MATCH("2024::jama.2024.0318::C001",'C_jama.2024.0318'!$A$2:$A$7,0)))</x:f>
      </x:c>
    </x:row>
    <x:row r="3" ht="65" customHeight="1">
      <x:c r="A3" s="3" t="n">
        <x:v>2024</x:v>
      </x:c>
      <x:c r="B3" s="3" t="str">
        <x:v>jama.2024.0318</x:v>
      </x:c>
      <x:c r="C3" s="3" t="str">
        <x:v>2024::jama.2024.0318::C002</x:v>
      </x:c>
      <x:c r="D3" s="3" t="str">
        <x:v>S_W</x:v>
      </x:c>
      <x:c r="E3" s="3" t="n">
        <x:f>Setup!$B$2</x:f>
        <x:v>0</x:v>
      </x:c>
      <x:c r="F3" s="3" t="str">
        <x:f>IF(Setup!$B$4="","",Setup!$B$4)</x:f>
      </x:c>
      <x:c r="G3" s="3" t="str">
        <x:f>IFERROR(INDEX('C_jama.2024.0318'!$G$2:$G$7,MATCH("2024::jama.2024.0318::C002",'C_jama.2024.0318'!$A$2:$A$7,0)),"CHECK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IF(Setup!$B$6="primary","",IFERROR(IF(INDEX('Primary_snapshot'!$B$2:$B$92,MATCH(C3,'Primary_snapshot'!$A$2:$A$92,0))="","",INDEX('Primary_snapshot'!$B$2:$B$92,MATCH(C3,'Primary_snapshot'!$A$2:$A$92,0))),"SNAPSHOT MISSING"))</x:f>
      </x:c>
      <x:c r="L3" s="3" t="str">
        <x:f>IF(Setup!$B$6="primary","",IFERROR(IF(INDEX('Primary_snapshot'!$C$2:$C$92,MATCH(C3,'Primary_snapshot'!$A$2:$A$92,0))="","",INDEX('Primary_snapshot'!$C$2:$C$92,MATCH(C3,'Primary_snapshot'!$A$2:$A$92,0))),"SNAPSHOT MISSING"))</x:f>
      </x:c>
      <x:c r="M3" s="3" t="str">
        <x:f>IF(Setup!$B$6="primary","",IFERROR(IF(INDEX('Primary_snapshot'!$D$2:$D$92,MATCH(C3,'Primary_snapshot'!$A$2:$A$92,0))="","",INDEX('Primary_snapshot'!$D$2:$D$92,MATCH(C3,'Primary_snapshot'!$A$2:$A$92,0))),"SNAPSHOT MISSING"))</x:f>
      </x:c>
      <x:c r="N3" s="3" t="str">
        <x:f>IF(Setup!$B$6="primary","",IFERROR(IF(INDEX('Primary_snapshot'!$E$2:$E$92,MATCH(C3,'Primary_snapshot'!$A$2:$A$92,0))="","",INDEX('Primary_snapshot'!$E$2:$E$92,MATCH(C3,'Primary_snapshot'!$A$2:$A$92,0))),"SNAPSHOT MISSING"))</x:f>
      </x:c>
      <x:c r="O3" s="3" t="str">
        <x:f>IF(Setup!$B$6="primary","",IFERROR(IF(INDEX('Primary_snapshot'!$F$2:$F$92,MATCH(C3,'Primary_snapshot'!$A$2:$A$92,0))="","",INDEX('Primary_snapshot'!$F$2:$F$92,MATCH(C3,'Primary_snapshot'!$A$2:$A$92,0))),"SNAPSHOT MISSING"))</x:f>
      </x:c>
      <x:c r="P3" s="3" t="str">
        <x:f>IF(Setup!$B$6="primary","",IFERROR(IF(INDEX('Primary_snapshot'!$G$2:$G$92,MATCH(C3,'Primary_snapshot'!$A$2:$A$92,0))="","",INDEX('Primary_snapshot'!$G$2:$G$92,MATCH(C3,'Primary_snapshot'!$A$2:$A$92,0))),"SNAPSHOT MISSING"))</x:f>
      </x:c>
      <x:c r="Q3" s="3" t="str">
        <x:f>IF(Setup!$B$6="primary","",IFERROR(IF(INDEX('Primary_snapshot'!$H$2:$H$92,MATCH(C3,'Primary_snapshot'!$A$2:$A$92,0))="","",INDEX('Primary_snapshot'!$H$2:$H$92,MATCH(C3,'Primary_snapshot'!$A$2:$A$92,0))),"SNAPSHOT MISSING"))</x:f>
      </x:c>
      <x:c r="R3" s="3" t="str">
        <x:f>IF(Setup!$B$6="primary","",IFERROR(IF(INDEX('Primary_snapshot'!$I$2:$I$92,MATCH(C3,'Primary_snapshot'!$A$2:$A$92,0))="","",INDEX('Primary_snapshot'!$I$2:$I$92,MATCH(C3,'Primary_snapshot'!$A$2:$A$92,0))),"SNAPSHOT MISSING"))</x:f>
      </x:c>
      <x:c r="S3" s="3" t="str">
        <x:f>IF(INDEX('C_jama.2024.0318'!$D$2:$D$7,MATCH("2024::jama.2024.0318::C002",'C_jama.2024.0318'!$A$2:$A$7,0))="","",INDEX('C_jama.2024.0318'!$D$2:$D$7,MATCH("2024::jama.2024.0318::C002",'C_jama.2024.0318'!$A$2:$A$7,0)))</x:f>
      </x:c>
      <x:c r="T3" s="3" t="str">
        <x:f>IF(INDEX('C_jama.2024.0318'!$E$2:$E$7,MATCH("2024::jama.2024.0318::C002",'C_jama.2024.0318'!$A$2:$A$7,0))="","",INDEX('C_jama.2024.0318'!$E$2:$E$7,MATCH("2024::jama.2024.0318::C002",'C_jama.2024.0318'!$A$2:$A$7,0)))</x:f>
        <x:v>report_internal_inconsistency</x:v>
      </x:c>
      <x:c r="U3" s="3" t="str">
        <x:f>IF(AND(INDEX('C_jama.2024.0318'!$D$2:$D$7,MATCH("2024::jama.2024.0318::C002",'C_jama.2024.0318'!$A$2:$A$7,0))="retain",INDEX('C_jama.2024.0318'!$E$2:$E$7,MATCH("2024::jama.2024.0318::C002",'C_jama.2024.0318'!$A$2:$A$7,0))="statistical_results"),IF(INDEX('C_jama.2024.0318'!$H$2:$H$7,MATCH("2024::jama.2024.0318::C002",'C_jama.2024.0318'!$A$2:$A$7,0))="","",INDEX('C_jama.2024.0318'!$H$2:$H$7,MATCH("2024::jama.2024.0318::C002",'C_jama.2024.0318'!$A$2:$A$7,0))),"not_applicable")</x:f>
        <x:v>not_applicable</x:v>
      </x:c>
      <x:c r="V3" s="3" t="str">
        <x:f>IF(AND(INDEX('C_jama.2024.0318'!$D$2:$D$7,MATCH("2024::jama.2024.0318::C002",'C_jama.2024.0318'!$A$2:$A$7,0))="retain",INDEX('C_jama.2024.0318'!$E$2:$E$7,MATCH("2024::jama.2024.0318::C002",'C_jama.2024.0318'!$A$2:$A$7,0))="statistical_results"),IF(INDEX('C_jama.2024.0318'!$I$2:$I$7,MATCH("2024::jama.2024.0318::C002",'C_jama.2024.0318'!$A$2:$A$7,0))="","",INDEX('C_jama.2024.0318'!$I$2:$I$7,MATCH("2024::jama.2024.0318::C002",'C_jama.2024.0318'!$A$2:$A$7,0))),"not_applicable")</x:f>
        <x:v>not_applicable</x:v>
      </x:c>
      <x:c r="W3" s="3" t="str">
        <x:f>IF(AND(INDEX('C_jama.2024.0318'!$D$2:$D$7,MATCH("2024::jama.2024.0318::C002",'C_jama.2024.0318'!$A$2:$A$7,0))="retain",INDEX('C_jama.2024.0318'!$E$2:$E$7,MATCH("2024::jama.2024.0318::C002",'C_jama.2024.0318'!$A$2:$A$7,0))="statistical_results"),IF(INDEX('C_jama.2024.0318'!$J$2:$J$7,MATCH("2024::jama.2024.0318::C002",'C_jama.2024.0318'!$A$2:$A$7,0))="","",INDEX('C_jama.2024.0318'!$J$2:$J$7,MATCH("2024::jama.2024.0318::C002",'C_jama.2024.0318'!$A$2:$A$7,0))),"not_applicable")</x:f>
        <x:v>not_applicable</x:v>
      </x:c>
      <x:c r="X3" s="3" t="str">
        <x:f>IF(AND(INDEX('C_jama.2024.0318'!$D$2:$D$7,MATCH("2024::jama.2024.0318::C002",'C_jama.2024.0318'!$A$2:$A$7,0))="retain",OR(INDEX('C_jama.2024.0318'!$E$2:$E$7,MATCH("2024::jama.2024.0318::C002",'C_jama.2024.0318'!$A$2:$A$7,0))="report_internal_inconsistency",INDEX('C_jama.2024.0318'!$E$2:$E$7,MATCH("2024::jama.2024.0318::C002",'C_jama.2024.0318'!$A$2:$A$7,0))="plan_material")),IF(INDEX('C_jama.2024.0318'!$K$2:$K$7,MATCH("2024::jama.2024.0318::C002",'C_jama.2024.0318'!$A$2:$A$7,0))="","",INDEX('C_jama.2024.0318'!$K$2:$K$7,MATCH("2024::jama.2024.0318::C002",'C_jama.2024.0318'!$A$2:$A$7,0))),"not_applicable")</x:f>
        <x:v>not_applicable</x:v>
      </x:c>
      <x:c r="Y3" s="3" t="str">
        <x:f>IF(AND(INDEX('C_jama.2024.0318'!$D$2:$D$7,MATCH("2024::jama.2024.0318::C002",'C_jama.2024.0318'!$A$2:$A$7,0))="retain",INDEX('C_jama.2024.0318'!$E$2:$E$7,MATCH("2024::jama.2024.0318::C002",'C_jama.2024.0318'!$A$2:$A$7,0))="protocol_report"),IF(INDEX('C_jama.2024.0318'!$L$2:$L$7,MATCH("2024::jama.2024.0318::C002",'C_jama.2024.0318'!$A$2:$A$7,0))="","",INDEX('C_jama.2024.0318'!$L$2:$L$7,MATCH("2024::jama.2024.0318::C002",'C_jama.2024.0318'!$A$2:$A$7,0))),"not_applicable")</x:f>
        <x:v>not_applicable</x:v>
      </x:c>
      <x:c r="Z3" s="3" t="str">
        <x:f>IF(INDEX('C_jama.2024.0318'!$R$2:$R$7,MATCH("2024::jama.2024.0318::C002",'C_jama.2024.0318'!$A$2:$A$7,0))="","",INDEX('C_jama.2024.0318'!$R$2:$R$7,MATCH("2024::jama.2024.0318::C002",'C_jama.2024.0318'!$A$2:$A$7,0)))</x:f>
      </x:c>
      <x:c r="AA3" s="3" t="str">
        <x:f>IF(INDEX('C_jama.2024.0318'!$N$2:$N$7,MATCH("2024::jama.2024.0318::C002",'C_jama.2024.0318'!$A$2:$A$7,0))="","",INDEX('C_jama.2024.0318'!$N$2:$N$7,MATCH("2024::jama.2024.0318::C002",'C_jama.2024.0318'!$A$2:$A$7,0)))</x:f>
      </x:c>
      <x:c r="AB3" s="3" t="str">
        <x:f>IF(INDEX('C_jama.2024.0318'!$O$2:$O$7,MATCH("2024::jama.2024.0318::C002",'C_jama.2024.0318'!$A$2:$A$7,0))="","",INDEX('C_jama.2024.0318'!$O$2:$O$7,MATCH("2024::jama.2024.0318::C002",'C_jama.2024.0318'!$A$2:$A$7,0)))</x:f>
      </x:c>
      <x:c r="AC3" s="3" t="str">
        <x:f>IF(INDEX('C_jama.2024.0318'!$P$2:$P$7,MATCH("2024::jama.2024.0318::C002",'C_jama.2024.0318'!$A$2:$A$7,0))="","",INDEX('C_jama.2024.0318'!$P$2:$P$7,MATCH("2024::jama.2024.0318::C002",'C_jama.2024.0318'!$A$2:$A$7,0)))</x:f>
      </x:c>
      <x:c r="AD3" s="3" t="str">
        <x:f>IF(INDEX('C_jama.2024.0318'!$Q$2:$Q$7,MATCH("2024::jama.2024.0318::C002",'C_jama.2024.0318'!$A$2:$A$7,0))="","",INDEX('C_jama.2024.0318'!$Q$2:$Q$7,MATCH("2024::jama.2024.0318::C002",'C_jama.2024.0318'!$A$2:$A$7,0)))</x:f>
      </x:c>
    </x:row>
    <x:row r="4" ht="65" customHeight="1">
      <x:c r="A4" s="6" t="n">
        <x:v>2024</x:v>
      </x:c>
      <x:c r="B4" s="6" t="str">
        <x:v>jama.2024.0318</x:v>
      </x:c>
      <x:c r="C4" s="6" t="str">
        <x:v>2024::jama.2024.0318::C003</x:v>
      </x:c>
      <x:c r="D4" s="6" t="str">
        <x:v>S_C</x:v>
      </x:c>
      <x:c r="E4" s="6" t="n">
        <x:f>Setup!$B$2</x:f>
        <x:v>0</x:v>
      </x:c>
      <x:c r="F4" s="6" t="str">
        <x:f>IF(Setup!$B$4="","",Setup!$B$4)</x:f>
      </x:c>
      <x:c r="G4" s="6" t="str">
        <x:f>IFERROR(INDEX('C_jama.2024.0318'!$G$2:$G$7,MATCH("2024::jama.2024.0318::C003",'C_jama.2024.0318'!$A$2:$A$7,0)),"CHECK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IF(Setup!$B$6="primary","",IFERROR(IF(INDEX('Primary_snapshot'!$B$2:$B$92,MATCH(C4,'Primary_snapshot'!$A$2:$A$92,0))="","",INDEX('Primary_snapshot'!$B$2:$B$92,MATCH(C4,'Primary_snapshot'!$A$2:$A$92,0))),"SNAPSHOT MISSING"))</x:f>
      </x:c>
      <x:c r="L4" s="6" t="str">
        <x:f>IF(Setup!$B$6="primary","",IFERROR(IF(INDEX('Primary_snapshot'!$C$2:$C$92,MATCH(C4,'Primary_snapshot'!$A$2:$A$92,0))="","",INDEX('Primary_snapshot'!$C$2:$C$92,MATCH(C4,'Primary_snapshot'!$A$2:$A$92,0))),"SNAPSHOT MISSING"))</x:f>
      </x:c>
      <x:c r="M4" s="6" t="str">
        <x:f>IF(Setup!$B$6="primary","",IFERROR(IF(INDEX('Primary_snapshot'!$D$2:$D$92,MATCH(C4,'Primary_snapshot'!$A$2:$A$92,0))="","",INDEX('Primary_snapshot'!$D$2:$D$92,MATCH(C4,'Primary_snapshot'!$A$2:$A$92,0))),"SNAPSHOT MISSING"))</x:f>
      </x:c>
      <x:c r="N4" s="6" t="str">
        <x:f>IF(Setup!$B$6="primary","",IFERROR(IF(INDEX('Primary_snapshot'!$E$2:$E$92,MATCH(C4,'Primary_snapshot'!$A$2:$A$92,0))="","",INDEX('Primary_snapshot'!$E$2:$E$92,MATCH(C4,'Primary_snapshot'!$A$2:$A$92,0))),"SNAPSHOT MISSING"))</x:f>
      </x:c>
      <x:c r="O4" s="6" t="str">
        <x:f>IF(Setup!$B$6="primary","",IFERROR(IF(INDEX('Primary_snapshot'!$F$2:$F$92,MATCH(C4,'Primary_snapshot'!$A$2:$A$92,0))="","",INDEX('Primary_snapshot'!$F$2:$F$92,MATCH(C4,'Primary_snapshot'!$A$2:$A$92,0))),"SNAPSHOT MISSING"))</x:f>
      </x:c>
      <x:c r="P4" s="6" t="str">
        <x:f>IF(Setup!$B$6="primary","",IFERROR(IF(INDEX('Primary_snapshot'!$G$2:$G$92,MATCH(C4,'Primary_snapshot'!$A$2:$A$92,0))="","",INDEX('Primary_snapshot'!$G$2:$G$92,MATCH(C4,'Primary_snapshot'!$A$2:$A$92,0))),"SNAPSHOT MISSING"))</x:f>
      </x:c>
      <x:c r="Q4" s="6" t="str">
        <x:f>IF(Setup!$B$6="primary","",IFERROR(IF(INDEX('Primary_snapshot'!$H$2:$H$92,MATCH(C4,'Primary_snapshot'!$A$2:$A$92,0))="","",INDEX('Primary_snapshot'!$H$2:$H$92,MATCH(C4,'Primary_snapshot'!$A$2:$A$92,0))),"SNAPSHOT MISSING"))</x:f>
      </x:c>
      <x:c r="R4" s="6" t="str">
        <x:f>IF(Setup!$B$6="primary","",IFERROR(IF(INDEX('Primary_snapshot'!$I$2:$I$92,MATCH(C4,'Primary_snapshot'!$A$2:$A$92,0))="","",INDEX('Primary_snapshot'!$I$2:$I$92,MATCH(C4,'Primary_snapshot'!$A$2:$A$92,0))),"SNAPSHOT MISSING"))</x:f>
      </x:c>
      <x:c r="S4" s="6" t="str">
        <x:f>IF(INDEX('C_jama.2024.0318'!$D$2:$D$7,MATCH("2024::jama.2024.0318::C003",'C_jama.2024.0318'!$A$2:$A$7,0))="","",INDEX('C_jama.2024.0318'!$D$2:$D$7,MATCH("2024::jama.2024.0318::C003",'C_jama.2024.0318'!$A$2:$A$7,0)))</x:f>
      </x:c>
      <x:c r="T4" s="6" t="str">
        <x:f>IF(INDEX('C_jama.2024.0318'!$E$2:$E$7,MATCH("2024::jama.2024.0318::C003",'C_jama.2024.0318'!$A$2:$A$7,0))="","",INDEX('C_jama.2024.0318'!$E$2:$E$7,MATCH("2024::jama.2024.0318::C003",'C_jama.2024.0318'!$A$2:$A$7,0)))</x:f>
        <x:v>report_internal_inconsistency</x:v>
      </x:c>
      <x:c r="U4" s="6" t="str">
        <x:f>IF(AND(INDEX('C_jama.2024.0318'!$D$2:$D$7,MATCH("2024::jama.2024.0318::C003",'C_jama.2024.0318'!$A$2:$A$7,0))="retain",INDEX('C_jama.2024.0318'!$E$2:$E$7,MATCH("2024::jama.2024.0318::C003",'C_jama.2024.0318'!$A$2:$A$7,0))="statistical_results"),IF(INDEX('C_jama.2024.0318'!$H$2:$H$7,MATCH("2024::jama.2024.0318::C003",'C_jama.2024.0318'!$A$2:$A$7,0))="","",INDEX('C_jama.2024.0318'!$H$2:$H$7,MATCH("2024::jama.2024.0318::C003",'C_jama.2024.0318'!$A$2:$A$7,0))),"not_applicable")</x:f>
        <x:v>not_applicable</x:v>
      </x:c>
      <x:c r="V4" s="6" t="str">
        <x:f>IF(AND(INDEX('C_jama.2024.0318'!$D$2:$D$7,MATCH("2024::jama.2024.0318::C003",'C_jama.2024.0318'!$A$2:$A$7,0))="retain",INDEX('C_jama.2024.0318'!$E$2:$E$7,MATCH("2024::jama.2024.0318::C003",'C_jama.2024.0318'!$A$2:$A$7,0))="statistical_results"),IF(INDEX('C_jama.2024.0318'!$I$2:$I$7,MATCH("2024::jama.2024.0318::C003",'C_jama.2024.0318'!$A$2:$A$7,0))="","",INDEX('C_jama.2024.0318'!$I$2:$I$7,MATCH("2024::jama.2024.0318::C003",'C_jama.2024.0318'!$A$2:$A$7,0))),"not_applicable")</x:f>
        <x:v>not_applicable</x:v>
      </x:c>
      <x:c r="W4" s="6" t="str">
        <x:f>IF(AND(INDEX('C_jama.2024.0318'!$D$2:$D$7,MATCH("2024::jama.2024.0318::C003",'C_jama.2024.0318'!$A$2:$A$7,0))="retain",INDEX('C_jama.2024.0318'!$E$2:$E$7,MATCH("2024::jama.2024.0318::C003",'C_jama.2024.0318'!$A$2:$A$7,0))="statistical_results"),IF(INDEX('C_jama.2024.0318'!$J$2:$J$7,MATCH("2024::jama.2024.0318::C003",'C_jama.2024.0318'!$A$2:$A$7,0))="","",INDEX('C_jama.2024.0318'!$J$2:$J$7,MATCH("2024::jama.2024.0318::C003",'C_jama.2024.0318'!$A$2:$A$7,0))),"not_applicable")</x:f>
        <x:v>not_applicable</x:v>
      </x:c>
      <x:c r="X4" s="6" t="str">
        <x:f>IF(AND(INDEX('C_jama.2024.0318'!$D$2:$D$7,MATCH("2024::jama.2024.0318::C003",'C_jama.2024.0318'!$A$2:$A$7,0))="retain",OR(INDEX('C_jama.2024.0318'!$E$2:$E$7,MATCH("2024::jama.2024.0318::C003",'C_jama.2024.0318'!$A$2:$A$7,0))="report_internal_inconsistency",INDEX('C_jama.2024.0318'!$E$2:$E$7,MATCH("2024::jama.2024.0318::C003",'C_jama.2024.0318'!$A$2:$A$7,0))="plan_material")),IF(INDEX('C_jama.2024.0318'!$K$2:$K$7,MATCH("2024::jama.2024.0318::C003",'C_jama.2024.0318'!$A$2:$A$7,0))="","",INDEX('C_jama.2024.0318'!$K$2:$K$7,MATCH("2024::jama.2024.0318::C003",'C_jama.2024.0318'!$A$2:$A$7,0))),"not_applicable")</x:f>
        <x:v>not_applicable</x:v>
      </x:c>
      <x:c r="Y4" s="6" t="str">
        <x:f>IF(AND(INDEX('C_jama.2024.0318'!$D$2:$D$7,MATCH("2024::jama.2024.0318::C003",'C_jama.2024.0318'!$A$2:$A$7,0))="retain",INDEX('C_jama.2024.0318'!$E$2:$E$7,MATCH("2024::jama.2024.0318::C003",'C_jama.2024.0318'!$A$2:$A$7,0))="protocol_report"),IF(INDEX('C_jama.2024.0318'!$L$2:$L$7,MATCH("2024::jama.2024.0318::C003",'C_jama.2024.0318'!$A$2:$A$7,0))="","",INDEX('C_jama.2024.0318'!$L$2:$L$7,MATCH("2024::jama.2024.0318::C003",'C_jama.2024.0318'!$A$2:$A$7,0))),"not_applicable")</x:f>
        <x:v>not_applicable</x:v>
      </x:c>
      <x:c r="Z4" s="6" t="str">
        <x:f>IF(INDEX('C_jama.2024.0318'!$R$2:$R$7,MATCH("2024::jama.2024.0318::C003",'C_jama.2024.0318'!$A$2:$A$7,0))="","",INDEX('C_jama.2024.0318'!$R$2:$R$7,MATCH("2024::jama.2024.0318::C003",'C_jama.2024.0318'!$A$2:$A$7,0)))</x:f>
      </x:c>
      <x:c r="AA4" s="6" t="str">
        <x:f>IF(INDEX('C_jama.2024.0318'!$N$2:$N$7,MATCH("2024::jama.2024.0318::C003",'C_jama.2024.0318'!$A$2:$A$7,0))="","",INDEX('C_jama.2024.0318'!$N$2:$N$7,MATCH("2024::jama.2024.0318::C003",'C_jama.2024.0318'!$A$2:$A$7,0)))</x:f>
      </x:c>
      <x:c r="AB4" s="6" t="str">
        <x:f>IF(INDEX('C_jama.2024.0318'!$O$2:$O$7,MATCH("2024::jama.2024.0318::C003",'C_jama.2024.0318'!$A$2:$A$7,0))="","",INDEX('C_jama.2024.0318'!$O$2:$O$7,MATCH("2024::jama.2024.0318::C003",'C_jama.2024.0318'!$A$2:$A$7,0)))</x:f>
      </x:c>
      <x:c r="AC4" s="6" t="str">
        <x:f>IF(INDEX('C_jama.2024.0318'!$P$2:$P$7,MATCH("2024::jama.2024.0318::C003",'C_jama.2024.0318'!$A$2:$A$7,0))="","",INDEX('C_jama.2024.0318'!$P$2:$P$7,MATCH("2024::jama.2024.0318::C003",'C_jama.2024.0318'!$A$2:$A$7,0)))</x:f>
      </x:c>
      <x:c r="AD4" s="6" t="str">
        <x:f>IF(INDEX('C_jama.2024.0318'!$Q$2:$Q$7,MATCH("2024::jama.2024.0318::C003",'C_jama.2024.0318'!$A$2:$A$7,0))="","",INDEX('C_jama.2024.0318'!$Q$2:$Q$7,MATCH("2024::jama.2024.0318::C003",'C_jama.2024.0318'!$A$2:$A$7,0)))</x:f>
      </x:c>
    </x:row>
    <x:row r="5" ht="65" customHeight="1">
      <x:c r="A5" s="3" t="n">
        <x:v>2024</x:v>
      </x:c>
      <x:c r="B5" s="3" t="str">
        <x:v>jama.2024.0318</x:v>
      </x:c>
      <x:c r="C5" s="3" t="str">
        <x:v>2024::jama.2024.0318::C004</x:v>
      </x:c>
      <x:c r="D5" s="3" t="str">
        <x:v>S_W</x:v>
      </x:c>
      <x:c r="E5" s="3" t="n">
        <x:f>Setup!$B$2</x:f>
        <x:v>0</x:v>
      </x:c>
      <x:c r="F5" s="3" t="str">
        <x:f>IF(Setup!$B$4="","",Setup!$B$4)</x:f>
      </x:c>
      <x:c r="G5" s="3" t="str">
        <x:f>IFERROR(INDEX('C_jama.2024.0318'!$G$2:$G$7,MATCH("2024::jama.2024.0318::C004",'C_jama.2024.0318'!$A$2:$A$7,0)),"CHECK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report_internal_inconsistency</x:v>
      </x:c>
      <x:c r="K5" s="3" t="str">
        <x:f>IF(Setup!$B$6="primary","",IFERROR(IF(INDEX('Primary_snapshot'!$B$2:$B$92,MATCH(C5,'Primary_snapshot'!$A$2:$A$92,0))="","",INDEX('Primary_snapshot'!$B$2:$B$92,MATCH(C5,'Primary_snapshot'!$A$2:$A$92,0))),"SNAPSHOT MISSING"))</x:f>
      </x:c>
      <x:c r="L5" s="3" t="str">
        <x:f>IF(Setup!$B$6="primary","",IFERROR(IF(INDEX('Primary_snapshot'!$C$2:$C$92,MATCH(C5,'Primary_snapshot'!$A$2:$A$92,0))="","",INDEX('Primary_snapshot'!$C$2:$C$92,MATCH(C5,'Primary_snapshot'!$A$2:$A$92,0))),"SNAPSHOT MISSING"))</x:f>
      </x:c>
      <x:c r="M5" s="3" t="str">
        <x:f>IF(Setup!$B$6="primary","",IFERROR(IF(INDEX('Primary_snapshot'!$D$2:$D$92,MATCH(C5,'Primary_snapshot'!$A$2:$A$92,0))="","",INDEX('Primary_snapshot'!$D$2:$D$92,MATCH(C5,'Primary_snapshot'!$A$2:$A$92,0))),"SNAPSHOT MISSING"))</x:f>
      </x:c>
      <x:c r="N5" s="3" t="str">
        <x:f>IF(Setup!$B$6="primary","",IFERROR(IF(INDEX('Primary_snapshot'!$E$2:$E$92,MATCH(C5,'Primary_snapshot'!$A$2:$A$92,0))="","",INDEX('Primary_snapshot'!$E$2:$E$92,MATCH(C5,'Primary_snapshot'!$A$2:$A$92,0))),"SNAPSHOT MISSING"))</x:f>
      </x:c>
      <x:c r="O5" s="3" t="str">
        <x:f>IF(Setup!$B$6="primary","",IFERROR(IF(INDEX('Primary_snapshot'!$F$2:$F$92,MATCH(C5,'Primary_snapshot'!$A$2:$A$92,0))="","",INDEX('Primary_snapshot'!$F$2:$F$92,MATCH(C5,'Primary_snapshot'!$A$2:$A$92,0))),"SNAPSHOT MISSING"))</x:f>
      </x:c>
      <x:c r="P5" s="3" t="str">
        <x:f>IF(Setup!$B$6="primary","",IFERROR(IF(INDEX('Primary_snapshot'!$G$2:$G$92,MATCH(C5,'Primary_snapshot'!$A$2:$A$92,0))="","",INDEX('Primary_snapshot'!$G$2:$G$92,MATCH(C5,'Primary_snapshot'!$A$2:$A$92,0))),"SNAPSHOT MISSING"))</x:f>
      </x:c>
      <x:c r="Q5" s="3" t="str">
        <x:f>IF(Setup!$B$6="primary","",IFERROR(IF(INDEX('Primary_snapshot'!$H$2:$H$92,MATCH(C5,'Primary_snapshot'!$A$2:$A$92,0))="","",INDEX('Primary_snapshot'!$H$2:$H$92,MATCH(C5,'Primary_snapshot'!$A$2:$A$92,0))),"SNAPSHOT MISSING"))</x:f>
      </x:c>
      <x:c r="R5" s="3" t="str">
        <x:f>IF(Setup!$B$6="primary","",IFERROR(IF(INDEX('Primary_snapshot'!$I$2:$I$92,MATCH(C5,'Primary_snapshot'!$A$2:$A$92,0))="","",INDEX('Primary_snapshot'!$I$2:$I$92,MATCH(C5,'Primary_snapshot'!$A$2:$A$92,0))),"SNAPSHOT MISSING"))</x:f>
      </x:c>
      <x:c r="S5" s="3" t="str">
        <x:f>IF(INDEX('C_jama.2024.0318'!$D$2:$D$7,MATCH("2024::jama.2024.0318::C004",'C_jama.2024.0318'!$A$2:$A$7,0))="","",INDEX('C_jama.2024.0318'!$D$2:$D$7,MATCH("2024::jama.2024.0318::C004",'C_jama.2024.0318'!$A$2:$A$7,0)))</x:f>
      </x:c>
      <x:c r="T5" s="3" t="str">
        <x:f>IF(INDEX('C_jama.2024.0318'!$E$2:$E$7,MATCH("2024::jama.2024.0318::C004",'C_jama.2024.0318'!$A$2:$A$7,0))="","",INDEX('C_jama.2024.0318'!$E$2:$E$7,MATCH("2024::jama.2024.0318::C004",'C_jama.2024.0318'!$A$2:$A$7,0)))</x:f>
        <x:v>report_internal_inconsistency</x:v>
      </x:c>
      <x:c r="U5" s="3" t="str">
        <x:f>IF(AND(INDEX('C_jama.2024.0318'!$D$2:$D$7,MATCH("2024::jama.2024.0318::C004",'C_jama.2024.0318'!$A$2:$A$7,0))="retain",INDEX('C_jama.2024.0318'!$E$2:$E$7,MATCH("2024::jama.2024.0318::C004",'C_jama.2024.0318'!$A$2:$A$7,0))="statistical_results"),IF(INDEX('C_jama.2024.0318'!$H$2:$H$7,MATCH("2024::jama.2024.0318::C004",'C_jama.2024.0318'!$A$2:$A$7,0))="","",INDEX('C_jama.2024.0318'!$H$2:$H$7,MATCH("2024::jama.2024.0318::C004",'C_jama.2024.0318'!$A$2:$A$7,0))),"not_applicable")</x:f>
        <x:v>not_applicable</x:v>
      </x:c>
      <x:c r="V5" s="3" t="str">
        <x:f>IF(AND(INDEX('C_jama.2024.0318'!$D$2:$D$7,MATCH("2024::jama.2024.0318::C004",'C_jama.2024.0318'!$A$2:$A$7,0))="retain",INDEX('C_jama.2024.0318'!$E$2:$E$7,MATCH("2024::jama.2024.0318::C004",'C_jama.2024.0318'!$A$2:$A$7,0))="statistical_results"),IF(INDEX('C_jama.2024.0318'!$I$2:$I$7,MATCH("2024::jama.2024.0318::C004",'C_jama.2024.0318'!$A$2:$A$7,0))="","",INDEX('C_jama.2024.0318'!$I$2:$I$7,MATCH("2024::jama.2024.0318::C004",'C_jama.2024.0318'!$A$2:$A$7,0))),"not_applicable")</x:f>
        <x:v>not_applicable</x:v>
      </x:c>
      <x:c r="W5" s="3" t="str">
        <x:f>IF(AND(INDEX('C_jama.2024.0318'!$D$2:$D$7,MATCH("2024::jama.2024.0318::C004",'C_jama.2024.0318'!$A$2:$A$7,0))="retain",INDEX('C_jama.2024.0318'!$E$2:$E$7,MATCH("2024::jama.2024.0318::C004",'C_jama.2024.0318'!$A$2:$A$7,0))="statistical_results"),IF(INDEX('C_jama.2024.0318'!$J$2:$J$7,MATCH("2024::jama.2024.0318::C004",'C_jama.2024.0318'!$A$2:$A$7,0))="","",INDEX('C_jama.2024.0318'!$J$2:$J$7,MATCH("2024::jama.2024.0318::C004",'C_jama.2024.0318'!$A$2:$A$7,0))),"not_applicable")</x:f>
        <x:v>not_applicable</x:v>
      </x:c>
      <x:c r="X5" s="3" t="str">
        <x:f>IF(AND(INDEX('C_jama.2024.0318'!$D$2:$D$7,MATCH("2024::jama.2024.0318::C004",'C_jama.2024.0318'!$A$2:$A$7,0))="retain",OR(INDEX('C_jama.2024.0318'!$E$2:$E$7,MATCH("2024::jama.2024.0318::C004",'C_jama.2024.0318'!$A$2:$A$7,0))="report_internal_inconsistency",INDEX('C_jama.2024.0318'!$E$2:$E$7,MATCH("2024::jama.2024.0318::C004",'C_jama.2024.0318'!$A$2:$A$7,0))="plan_material")),IF(INDEX('C_jama.2024.0318'!$K$2:$K$7,MATCH("2024::jama.2024.0318::C004",'C_jama.2024.0318'!$A$2:$A$7,0))="","",INDEX('C_jama.2024.0318'!$K$2:$K$7,MATCH("2024::jama.2024.0318::C004",'C_jama.2024.0318'!$A$2:$A$7,0))),"not_applicable")</x:f>
        <x:v>not_applicable</x:v>
      </x:c>
      <x:c r="Y5" s="3" t="str">
        <x:f>IF(AND(INDEX('C_jama.2024.0318'!$D$2:$D$7,MATCH("2024::jama.2024.0318::C004",'C_jama.2024.0318'!$A$2:$A$7,0))="retain",INDEX('C_jama.2024.0318'!$E$2:$E$7,MATCH("2024::jama.2024.0318::C004",'C_jama.2024.0318'!$A$2:$A$7,0))="protocol_report"),IF(INDEX('C_jama.2024.0318'!$L$2:$L$7,MATCH("2024::jama.2024.0318::C004",'C_jama.2024.0318'!$A$2:$A$7,0))="","",INDEX('C_jama.2024.0318'!$L$2:$L$7,MATCH("2024::jama.2024.0318::C004",'C_jama.2024.0318'!$A$2:$A$7,0))),"not_applicable")</x:f>
        <x:v>not_applicable</x:v>
      </x:c>
      <x:c r="Z5" s="3" t="str">
        <x:f>IF(INDEX('C_jama.2024.0318'!$R$2:$R$7,MATCH("2024::jama.2024.0318::C004",'C_jama.2024.0318'!$A$2:$A$7,0))="","",INDEX('C_jama.2024.0318'!$R$2:$R$7,MATCH("2024::jama.2024.0318::C004",'C_jama.2024.0318'!$A$2:$A$7,0)))</x:f>
      </x:c>
      <x:c r="AA5" s="3" t="str">
        <x:f>IF(INDEX('C_jama.2024.0318'!$N$2:$N$7,MATCH("2024::jama.2024.0318::C004",'C_jama.2024.0318'!$A$2:$A$7,0))="","",INDEX('C_jama.2024.0318'!$N$2:$N$7,MATCH("2024::jama.2024.0318::C004",'C_jama.2024.0318'!$A$2:$A$7,0)))</x:f>
      </x:c>
      <x:c r="AB5" s="3" t="str">
        <x:f>IF(INDEX('C_jama.2024.0318'!$O$2:$O$7,MATCH("2024::jama.2024.0318::C004",'C_jama.2024.0318'!$A$2:$A$7,0))="","",INDEX('C_jama.2024.0318'!$O$2:$O$7,MATCH("2024::jama.2024.0318::C004",'C_jama.2024.0318'!$A$2:$A$7,0)))</x:f>
      </x:c>
      <x:c r="AC5" s="3" t="str">
        <x:f>IF(INDEX('C_jama.2024.0318'!$P$2:$P$7,MATCH("2024::jama.2024.0318::C004",'C_jama.2024.0318'!$A$2:$A$7,0))="","",INDEX('C_jama.2024.0318'!$P$2:$P$7,MATCH("2024::jama.2024.0318::C004",'C_jama.2024.0318'!$A$2:$A$7,0)))</x:f>
      </x:c>
      <x:c r="AD5" s="3" t="str">
        <x:f>IF(INDEX('C_jama.2024.0318'!$Q$2:$Q$7,MATCH("2024::jama.2024.0318::C004",'C_jama.2024.0318'!$A$2:$A$7,0))="","",INDEX('C_jama.2024.0318'!$Q$2:$Q$7,MATCH("2024::jama.2024.0318::C004",'C_jama.2024.0318'!$A$2:$A$7,0)))</x:f>
      </x:c>
    </x:row>
    <x:row r="6" ht="65" customHeight="1">
      <x:c r="A6" s="6" t="n">
        <x:v>2024</x:v>
      </x:c>
      <x:c r="B6" s="6" t="str">
        <x:v>jama.2024.0318</x:v>
      </x:c>
      <x:c r="C6" s="6" t="str">
        <x:v>2024::jama.2024.0318::C005</x:v>
      </x:c>
      <x:c r="D6" s="6" t="str">
        <x:v>S_W</x:v>
      </x:c>
      <x:c r="E6" s="6" t="n">
        <x:f>Setup!$B$2</x:f>
        <x:v>0</x:v>
      </x:c>
      <x:c r="F6" s="6" t="str">
        <x:f>IF(Setup!$B$4="","",Setup!$B$4)</x:f>
      </x:c>
      <x:c r="G6" s="6" t="str">
        <x:f>IFERROR(INDEX('C_jama.2024.0318'!$G$2:$G$7,MATCH("2024::jama.2024.0318::C005",'C_jama.2024.0318'!$A$2:$A$7,0)),"CHECK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IF(Setup!$B$6="primary","",IFERROR(IF(INDEX('Primary_snapshot'!$B$2:$B$92,MATCH(C6,'Primary_snapshot'!$A$2:$A$92,0))="","",INDEX('Primary_snapshot'!$B$2:$B$92,MATCH(C6,'Primary_snapshot'!$A$2:$A$92,0))),"SNAPSHOT MISSING"))</x:f>
      </x:c>
      <x:c r="L6" s="6" t="str">
        <x:f>IF(Setup!$B$6="primary","",IFERROR(IF(INDEX('Primary_snapshot'!$C$2:$C$92,MATCH(C6,'Primary_snapshot'!$A$2:$A$92,0))="","",INDEX('Primary_snapshot'!$C$2:$C$92,MATCH(C6,'Primary_snapshot'!$A$2:$A$92,0))),"SNAPSHOT MISSING"))</x:f>
      </x:c>
      <x:c r="M6" s="6" t="str">
        <x:f>IF(Setup!$B$6="primary","",IFERROR(IF(INDEX('Primary_snapshot'!$D$2:$D$92,MATCH(C6,'Primary_snapshot'!$A$2:$A$92,0))="","",INDEX('Primary_snapshot'!$D$2:$D$92,MATCH(C6,'Primary_snapshot'!$A$2:$A$92,0))),"SNAPSHOT MISSING"))</x:f>
      </x:c>
      <x:c r="N6" s="6" t="str">
        <x:f>IF(Setup!$B$6="primary","",IFERROR(IF(INDEX('Primary_snapshot'!$E$2:$E$92,MATCH(C6,'Primary_snapshot'!$A$2:$A$92,0))="","",INDEX('Primary_snapshot'!$E$2:$E$92,MATCH(C6,'Primary_snapshot'!$A$2:$A$92,0))),"SNAPSHOT MISSING"))</x:f>
      </x:c>
      <x:c r="O6" s="6" t="str">
        <x:f>IF(Setup!$B$6="primary","",IFERROR(IF(INDEX('Primary_snapshot'!$F$2:$F$92,MATCH(C6,'Primary_snapshot'!$A$2:$A$92,0))="","",INDEX('Primary_snapshot'!$F$2:$F$92,MATCH(C6,'Primary_snapshot'!$A$2:$A$92,0))),"SNAPSHOT MISSING"))</x:f>
      </x:c>
      <x:c r="P6" s="6" t="str">
        <x:f>IF(Setup!$B$6="primary","",IFERROR(IF(INDEX('Primary_snapshot'!$G$2:$G$92,MATCH(C6,'Primary_snapshot'!$A$2:$A$92,0))="","",INDEX('Primary_snapshot'!$G$2:$G$92,MATCH(C6,'Primary_snapshot'!$A$2:$A$92,0))),"SNAPSHOT MISSING"))</x:f>
      </x:c>
      <x:c r="Q6" s="6" t="str">
        <x:f>IF(Setup!$B$6="primary","",IFERROR(IF(INDEX('Primary_snapshot'!$H$2:$H$92,MATCH(C6,'Primary_snapshot'!$A$2:$A$92,0))="","",INDEX('Primary_snapshot'!$H$2:$H$92,MATCH(C6,'Primary_snapshot'!$A$2:$A$92,0))),"SNAPSHOT MISSING"))</x:f>
      </x:c>
      <x:c r="R6" s="6" t="str">
        <x:f>IF(Setup!$B$6="primary","",IFERROR(IF(INDEX('Primary_snapshot'!$I$2:$I$92,MATCH(C6,'Primary_snapshot'!$A$2:$A$92,0))="","",INDEX('Primary_snapshot'!$I$2:$I$92,MATCH(C6,'Primary_snapshot'!$A$2:$A$92,0))),"SNAPSHOT MISSING"))</x:f>
      </x:c>
      <x:c r="S6" s="6" t="str">
        <x:f>IF(INDEX('C_jama.2024.0318'!$D$2:$D$7,MATCH("2024::jama.2024.0318::C005",'C_jama.2024.0318'!$A$2:$A$7,0))="","",INDEX('C_jama.2024.0318'!$D$2:$D$7,MATCH("2024::jama.2024.0318::C005",'C_jama.2024.0318'!$A$2:$A$7,0)))</x:f>
      </x:c>
      <x:c r="T6" s="6" t="str">
        <x:f>IF(INDEX('C_jama.2024.0318'!$E$2:$E$7,MATCH("2024::jama.2024.0318::C005",'C_jama.2024.0318'!$A$2:$A$7,0))="","",INDEX('C_jama.2024.0318'!$E$2:$E$7,MATCH("2024::jama.2024.0318::C005",'C_jama.2024.0318'!$A$2:$A$7,0)))</x:f>
        <x:v>statistical_results</x:v>
      </x:c>
      <x:c r="U6" s="6" t="str">
        <x:f>IF(AND(INDEX('C_jama.2024.0318'!$D$2:$D$7,MATCH("2024::jama.2024.0318::C005",'C_jama.2024.0318'!$A$2:$A$7,0))="retain",INDEX('C_jama.2024.0318'!$E$2:$E$7,MATCH("2024::jama.2024.0318::C005",'C_jama.2024.0318'!$A$2:$A$7,0))="statistical_results"),IF(INDEX('C_jama.2024.0318'!$H$2:$H$7,MATCH("2024::jama.2024.0318::C005",'C_jama.2024.0318'!$A$2:$A$7,0))="","",INDEX('C_jama.2024.0318'!$H$2:$H$7,MATCH("2024::jama.2024.0318::C005",'C_jama.2024.0318'!$A$2:$A$7,0))),"not_applicable")</x:f>
        <x:v>not_applicable</x:v>
      </x:c>
      <x:c r="V6" s="6" t="str">
        <x:f>IF(AND(INDEX('C_jama.2024.0318'!$D$2:$D$7,MATCH("2024::jama.2024.0318::C005",'C_jama.2024.0318'!$A$2:$A$7,0))="retain",INDEX('C_jama.2024.0318'!$E$2:$E$7,MATCH("2024::jama.2024.0318::C005",'C_jama.2024.0318'!$A$2:$A$7,0))="statistical_results"),IF(INDEX('C_jama.2024.0318'!$I$2:$I$7,MATCH("2024::jama.2024.0318::C005",'C_jama.2024.0318'!$A$2:$A$7,0))="","",INDEX('C_jama.2024.0318'!$I$2:$I$7,MATCH("2024::jama.2024.0318::C005",'C_jama.2024.0318'!$A$2:$A$7,0))),"not_applicable")</x:f>
        <x:v>not_applicable</x:v>
      </x:c>
      <x:c r="W6" s="6" t="str">
        <x:f>IF(AND(INDEX('C_jama.2024.0318'!$D$2:$D$7,MATCH("2024::jama.2024.0318::C005",'C_jama.2024.0318'!$A$2:$A$7,0))="retain",INDEX('C_jama.2024.0318'!$E$2:$E$7,MATCH("2024::jama.2024.0318::C005",'C_jama.2024.0318'!$A$2:$A$7,0))="statistical_results"),IF(INDEX('C_jama.2024.0318'!$J$2:$J$7,MATCH("2024::jama.2024.0318::C005",'C_jama.2024.0318'!$A$2:$A$7,0))="","",INDEX('C_jama.2024.0318'!$J$2:$J$7,MATCH("2024::jama.2024.0318::C005",'C_jama.2024.0318'!$A$2:$A$7,0))),"not_applicable")</x:f>
        <x:v>not_applicable</x:v>
      </x:c>
      <x:c r="X6" s="6" t="str">
        <x:f>IF(AND(INDEX('C_jama.2024.0318'!$D$2:$D$7,MATCH("2024::jama.2024.0318::C005",'C_jama.2024.0318'!$A$2:$A$7,0))="retain",OR(INDEX('C_jama.2024.0318'!$E$2:$E$7,MATCH("2024::jama.2024.0318::C005",'C_jama.2024.0318'!$A$2:$A$7,0))="report_internal_inconsistency",INDEX('C_jama.2024.0318'!$E$2:$E$7,MATCH("2024::jama.2024.0318::C005",'C_jama.2024.0318'!$A$2:$A$7,0))="plan_material")),IF(INDEX('C_jama.2024.0318'!$K$2:$K$7,MATCH("2024::jama.2024.0318::C005",'C_jama.2024.0318'!$A$2:$A$7,0))="","",INDEX('C_jama.2024.0318'!$K$2:$K$7,MATCH("2024::jama.2024.0318::C005",'C_jama.2024.0318'!$A$2:$A$7,0))),"not_applicable")</x:f>
        <x:v>not_applicable</x:v>
      </x:c>
      <x:c r="Y6" s="6" t="str">
        <x:f>IF(AND(INDEX('C_jama.2024.0318'!$D$2:$D$7,MATCH("2024::jama.2024.0318::C005",'C_jama.2024.0318'!$A$2:$A$7,0))="retain",INDEX('C_jama.2024.0318'!$E$2:$E$7,MATCH("2024::jama.2024.0318::C005",'C_jama.2024.0318'!$A$2:$A$7,0))="protocol_report"),IF(INDEX('C_jama.2024.0318'!$L$2:$L$7,MATCH("2024::jama.2024.0318::C005",'C_jama.2024.0318'!$A$2:$A$7,0))="","",INDEX('C_jama.2024.0318'!$L$2:$L$7,MATCH("2024::jama.2024.0318::C005",'C_jama.2024.0318'!$A$2:$A$7,0))),"not_applicable")</x:f>
        <x:v>not_applicable</x:v>
      </x:c>
      <x:c r="Z6" s="6" t="str">
        <x:f>IF(INDEX('C_jama.2024.0318'!$R$2:$R$7,MATCH("2024::jama.2024.0318::C005",'C_jama.2024.0318'!$A$2:$A$7,0))="","",INDEX('C_jama.2024.0318'!$R$2:$R$7,MATCH("2024::jama.2024.0318::C005",'C_jama.2024.0318'!$A$2:$A$7,0)))</x:f>
      </x:c>
      <x:c r="AA6" s="6" t="str">
        <x:f>IF(INDEX('C_jama.2024.0318'!$N$2:$N$7,MATCH("2024::jama.2024.0318::C005",'C_jama.2024.0318'!$A$2:$A$7,0))="","",INDEX('C_jama.2024.0318'!$N$2:$N$7,MATCH("2024::jama.2024.0318::C005",'C_jama.2024.0318'!$A$2:$A$7,0)))</x:f>
      </x:c>
      <x:c r="AB6" s="6" t="str">
        <x:f>IF(INDEX('C_jama.2024.0318'!$O$2:$O$7,MATCH("2024::jama.2024.0318::C005",'C_jama.2024.0318'!$A$2:$A$7,0))="","",INDEX('C_jama.2024.0318'!$O$2:$O$7,MATCH("2024::jama.2024.0318::C005",'C_jama.2024.0318'!$A$2:$A$7,0)))</x:f>
      </x:c>
      <x:c r="AC6" s="6" t="str">
        <x:f>IF(INDEX('C_jama.2024.0318'!$P$2:$P$7,MATCH("2024::jama.2024.0318::C005",'C_jama.2024.0318'!$A$2:$A$7,0))="","",INDEX('C_jama.2024.0318'!$P$2:$P$7,MATCH("2024::jama.2024.0318::C005",'C_jama.2024.0318'!$A$2:$A$7,0)))</x:f>
      </x:c>
      <x:c r="AD6" s="6" t="str">
        <x:f>IF(INDEX('C_jama.2024.0318'!$Q$2:$Q$7,MATCH("2024::jama.2024.0318::C005",'C_jama.2024.0318'!$A$2:$A$7,0))="","",INDEX('C_jama.2024.0318'!$Q$2:$Q$7,MATCH("2024::jama.2024.0318::C005",'C_jama.2024.0318'!$A$2:$A$7,0)))</x:f>
      </x:c>
    </x:row>
    <x:row r="7" ht="65" customHeight="1">
      <x:c r="A7" s="3" t="n">
        <x:v>2024</x:v>
      </x:c>
      <x:c r="B7" s="3" t="str">
        <x:v>jama.2024.0318</x:v>
      </x:c>
      <x:c r="C7" s="3" t="str">
        <x:v>2024::jama.2024.0318::C006</x:v>
      </x:c>
      <x:c r="D7" s="3" t="str">
        <x:v>S_C</x:v>
      </x:c>
      <x:c r="E7" s="3" t="n">
        <x:f>Setup!$B$2</x:f>
        <x:v>0</x:v>
      </x:c>
      <x:c r="F7" s="3" t="str">
        <x:f>IF(Setup!$B$4="","",Setup!$B$4)</x:f>
      </x:c>
      <x:c r="G7" s="3" t="str">
        <x:f>IFERROR(INDEX('C_jama.2024.0318'!$G$2:$G$7,MATCH("2024::jama.2024.0318::C006",'C_jama.2024.0318'!$A$2:$A$7,0)),"CHECK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report_internal_inconsistency</x:v>
      </x:c>
      <x:c r="K7" s="3" t="str">
        <x:f>IF(Setup!$B$6="primary","",IFERROR(IF(INDEX('Primary_snapshot'!$B$2:$B$92,MATCH(C7,'Primary_snapshot'!$A$2:$A$92,0))="","",INDEX('Primary_snapshot'!$B$2:$B$92,MATCH(C7,'Primary_snapshot'!$A$2:$A$92,0))),"SNAPSHOT MISSING"))</x:f>
      </x:c>
      <x:c r="L7" s="3" t="str">
        <x:f>IF(Setup!$B$6="primary","",IFERROR(IF(INDEX('Primary_snapshot'!$C$2:$C$92,MATCH(C7,'Primary_snapshot'!$A$2:$A$92,0))="","",INDEX('Primary_snapshot'!$C$2:$C$92,MATCH(C7,'Primary_snapshot'!$A$2:$A$92,0))),"SNAPSHOT MISSING"))</x:f>
      </x:c>
      <x:c r="M7" s="3" t="str">
        <x:f>IF(Setup!$B$6="primary","",IFERROR(IF(INDEX('Primary_snapshot'!$D$2:$D$92,MATCH(C7,'Primary_snapshot'!$A$2:$A$92,0))="","",INDEX('Primary_snapshot'!$D$2:$D$92,MATCH(C7,'Primary_snapshot'!$A$2:$A$92,0))),"SNAPSHOT MISSING"))</x:f>
      </x:c>
      <x:c r="N7" s="3" t="str">
        <x:f>IF(Setup!$B$6="primary","",IFERROR(IF(INDEX('Primary_snapshot'!$E$2:$E$92,MATCH(C7,'Primary_snapshot'!$A$2:$A$92,0))="","",INDEX('Primary_snapshot'!$E$2:$E$92,MATCH(C7,'Primary_snapshot'!$A$2:$A$92,0))),"SNAPSHOT MISSING"))</x:f>
      </x:c>
      <x:c r="O7" s="3" t="str">
        <x:f>IF(Setup!$B$6="primary","",IFERROR(IF(INDEX('Primary_snapshot'!$F$2:$F$92,MATCH(C7,'Primary_snapshot'!$A$2:$A$92,0))="","",INDEX('Primary_snapshot'!$F$2:$F$92,MATCH(C7,'Primary_snapshot'!$A$2:$A$92,0))),"SNAPSHOT MISSING"))</x:f>
      </x:c>
      <x:c r="P7" s="3" t="str">
        <x:f>IF(Setup!$B$6="primary","",IFERROR(IF(INDEX('Primary_snapshot'!$G$2:$G$92,MATCH(C7,'Primary_snapshot'!$A$2:$A$92,0))="","",INDEX('Primary_snapshot'!$G$2:$G$92,MATCH(C7,'Primary_snapshot'!$A$2:$A$92,0))),"SNAPSHOT MISSING"))</x:f>
      </x:c>
      <x:c r="Q7" s="3" t="str">
        <x:f>IF(Setup!$B$6="primary","",IFERROR(IF(INDEX('Primary_snapshot'!$H$2:$H$92,MATCH(C7,'Primary_snapshot'!$A$2:$A$92,0))="","",INDEX('Primary_snapshot'!$H$2:$H$92,MATCH(C7,'Primary_snapshot'!$A$2:$A$92,0))),"SNAPSHOT MISSING"))</x:f>
      </x:c>
      <x:c r="R7" s="3" t="str">
        <x:f>IF(Setup!$B$6="primary","",IFERROR(IF(INDEX('Primary_snapshot'!$I$2:$I$92,MATCH(C7,'Primary_snapshot'!$A$2:$A$92,0))="","",INDEX('Primary_snapshot'!$I$2:$I$92,MATCH(C7,'Primary_snapshot'!$A$2:$A$92,0))),"SNAPSHOT MISSING"))</x:f>
      </x:c>
      <x:c r="S7" s="3" t="str">
        <x:f>IF(INDEX('C_jama.2024.0318'!$D$2:$D$7,MATCH("2024::jama.2024.0318::C006",'C_jama.2024.0318'!$A$2:$A$7,0))="","",INDEX('C_jama.2024.0318'!$D$2:$D$7,MATCH("2024::jama.2024.0318::C006",'C_jama.2024.0318'!$A$2:$A$7,0)))</x:f>
      </x:c>
      <x:c r="T7" s="3" t="str">
        <x:f>IF(INDEX('C_jama.2024.0318'!$E$2:$E$7,MATCH("2024::jama.2024.0318::C006",'C_jama.2024.0318'!$A$2:$A$7,0))="","",INDEX('C_jama.2024.0318'!$E$2:$E$7,MATCH("2024::jama.2024.0318::C006",'C_jama.2024.0318'!$A$2:$A$7,0)))</x:f>
        <x:v>report_internal_inconsistency</x:v>
      </x:c>
      <x:c r="U7" s="3" t="str">
        <x:f>IF(AND(INDEX('C_jama.2024.0318'!$D$2:$D$7,MATCH("2024::jama.2024.0318::C006",'C_jama.2024.0318'!$A$2:$A$7,0))="retain",INDEX('C_jama.2024.0318'!$E$2:$E$7,MATCH("2024::jama.2024.0318::C006",'C_jama.2024.0318'!$A$2:$A$7,0))="statistical_results"),IF(INDEX('C_jama.2024.0318'!$H$2:$H$7,MATCH("2024::jama.2024.0318::C006",'C_jama.2024.0318'!$A$2:$A$7,0))="","",INDEX('C_jama.2024.0318'!$H$2:$H$7,MATCH("2024::jama.2024.0318::C006",'C_jama.2024.0318'!$A$2:$A$7,0))),"not_applicable")</x:f>
        <x:v>not_applicable</x:v>
      </x:c>
      <x:c r="V7" s="3" t="str">
        <x:f>IF(AND(INDEX('C_jama.2024.0318'!$D$2:$D$7,MATCH("2024::jama.2024.0318::C006",'C_jama.2024.0318'!$A$2:$A$7,0))="retain",INDEX('C_jama.2024.0318'!$E$2:$E$7,MATCH("2024::jama.2024.0318::C006",'C_jama.2024.0318'!$A$2:$A$7,0))="statistical_results"),IF(INDEX('C_jama.2024.0318'!$I$2:$I$7,MATCH("2024::jama.2024.0318::C006",'C_jama.2024.0318'!$A$2:$A$7,0))="","",INDEX('C_jama.2024.0318'!$I$2:$I$7,MATCH("2024::jama.2024.0318::C006",'C_jama.2024.0318'!$A$2:$A$7,0))),"not_applicable")</x:f>
        <x:v>not_applicable</x:v>
      </x:c>
      <x:c r="W7" s="3" t="str">
        <x:f>IF(AND(INDEX('C_jama.2024.0318'!$D$2:$D$7,MATCH("2024::jama.2024.0318::C006",'C_jama.2024.0318'!$A$2:$A$7,0))="retain",INDEX('C_jama.2024.0318'!$E$2:$E$7,MATCH("2024::jama.2024.0318::C006",'C_jama.2024.0318'!$A$2:$A$7,0))="statistical_results"),IF(INDEX('C_jama.2024.0318'!$J$2:$J$7,MATCH("2024::jama.2024.0318::C006",'C_jama.2024.0318'!$A$2:$A$7,0))="","",INDEX('C_jama.2024.0318'!$J$2:$J$7,MATCH("2024::jama.2024.0318::C006",'C_jama.2024.0318'!$A$2:$A$7,0))),"not_applicable")</x:f>
        <x:v>not_applicable</x:v>
      </x:c>
      <x:c r="X7" s="3" t="str">
        <x:f>IF(AND(INDEX('C_jama.2024.0318'!$D$2:$D$7,MATCH("2024::jama.2024.0318::C006",'C_jama.2024.0318'!$A$2:$A$7,0))="retain",OR(INDEX('C_jama.2024.0318'!$E$2:$E$7,MATCH("2024::jama.2024.0318::C006",'C_jama.2024.0318'!$A$2:$A$7,0))="report_internal_inconsistency",INDEX('C_jama.2024.0318'!$E$2:$E$7,MATCH("2024::jama.2024.0318::C006",'C_jama.2024.0318'!$A$2:$A$7,0))="plan_material")),IF(INDEX('C_jama.2024.0318'!$K$2:$K$7,MATCH("2024::jama.2024.0318::C006",'C_jama.2024.0318'!$A$2:$A$7,0))="","",INDEX('C_jama.2024.0318'!$K$2:$K$7,MATCH("2024::jama.2024.0318::C006",'C_jama.2024.0318'!$A$2:$A$7,0))),"not_applicable")</x:f>
        <x:v>not_applicable</x:v>
      </x:c>
      <x:c r="Y7" s="3" t="str">
        <x:f>IF(AND(INDEX('C_jama.2024.0318'!$D$2:$D$7,MATCH("2024::jama.2024.0318::C006",'C_jama.2024.0318'!$A$2:$A$7,0))="retain",INDEX('C_jama.2024.0318'!$E$2:$E$7,MATCH("2024::jama.2024.0318::C006",'C_jama.2024.0318'!$A$2:$A$7,0))="protocol_report"),IF(INDEX('C_jama.2024.0318'!$L$2:$L$7,MATCH("2024::jama.2024.0318::C006",'C_jama.2024.0318'!$A$2:$A$7,0))="","",INDEX('C_jama.2024.0318'!$L$2:$L$7,MATCH("2024::jama.2024.0318::C006",'C_jama.2024.0318'!$A$2:$A$7,0))),"not_applicable")</x:f>
        <x:v>not_applicable</x:v>
      </x:c>
      <x:c r="Z7" s="3" t="str">
        <x:f>IF(INDEX('C_jama.2024.0318'!$R$2:$R$7,MATCH("2024::jama.2024.0318::C006",'C_jama.2024.0318'!$A$2:$A$7,0))="","",INDEX('C_jama.2024.0318'!$R$2:$R$7,MATCH("2024::jama.2024.0318::C006",'C_jama.2024.0318'!$A$2:$A$7,0)))</x:f>
      </x:c>
      <x:c r="AA7" s="3" t="str">
        <x:f>IF(INDEX('C_jama.2024.0318'!$N$2:$N$7,MATCH("2024::jama.2024.0318::C006",'C_jama.2024.0318'!$A$2:$A$7,0))="","",INDEX('C_jama.2024.0318'!$N$2:$N$7,MATCH("2024::jama.2024.0318::C006",'C_jama.2024.0318'!$A$2:$A$7,0)))</x:f>
      </x:c>
      <x:c r="AB7" s="3" t="str">
        <x:f>IF(INDEX('C_jama.2024.0318'!$O$2:$O$7,MATCH("2024::jama.2024.0318::C006",'C_jama.2024.0318'!$A$2:$A$7,0))="","",INDEX('C_jama.2024.0318'!$O$2:$O$7,MATCH("2024::jama.2024.0318::C006",'C_jama.2024.0318'!$A$2:$A$7,0)))</x:f>
      </x:c>
      <x:c r="AC7" s="3" t="str">
        <x:f>IF(INDEX('C_jama.2024.0318'!$P$2:$P$7,MATCH("2024::jama.2024.0318::C006",'C_jama.2024.0318'!$A$2:$A$7,0))="","",INDEX('C_jama.2024.0318'!$P$2:$P$7,MATCH("2024::jama.2024.0318::C006",'C_jama.2024.0318'!$A$2:$A$7,0)))</x:f>
      </x:c>
      <x:c r="AD7" s="3" t="str">
        <x:f>IF(INDEX('C_jama.2024.0318'!$Q$2:$Q$7,MATCH("2024::jama.2024.0318::C006",'C_jama.2024.0318'!$A$2:$A$7,0))="","",INDEX('C_jama.2024.0318'!$Q$2:$Q$7,MATCH("2024::jama.2024.0318::C006",'C_jama.2024.0318'!$A$2:$A$7,0)))</x:f>
      </x:c>
    </x:row>
    <x:row r="8" ht="65" customHeight="1">
      <x:c r="A8" s="6" t="n">
        <x:v>2024</x:v>
      </x:c>
      <x:c r="B8" s="6" t="str">
        <x:v>jama.2024.0572</x:v>
      </x:c>
      <x:c r="C8" s="6" t="str">
        <x:v>2024::jama.2024.0572::C001</x:v>
      </x:c>
      <x:c r="D8" s="6" t="str">
        <x:v>S_C</x:v>
      </x:c>
      <x:c r="E8" s="6" t="n">
        <x:f>Setup!$B$2</x:f>
        <x:v>0</x:v>
      </x:c>
      <x:c r="F8" s="6" t="str">
        <x:f>IF(Setup!$B$4="","",Setup!$B$4)</x:f>
      </x:c>
      <x:c r="G8" s="6" t="str">
        <x:f>IFERROR(INDEX('C_jama.2024.0572'!$G$2:$G$3,MATCH("2024::jama.2024.0572::C001",'C_jama.2024.0572'!$A$2:$A$3,0)),"CHECK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report_internal_inconsistency</x:v>
      </x:c>
      <x:c r="K8" s="6" t="str">
        <x:f>IF(Setup!$B$6="primary","",IFERROR(IF(INDEX('Primary_snapshot'!$B$2:$B$92,MATCH(C8,'Primary_snapshot'!$A$2:$A$92,0))="","",INDEX('Primary_snapshot'!$B$2:$B$92,MATCH(C8,'Primary_snapshot'!$A$2:$A$92,0))),"SNAPSHOT MISSING"))</x:f>
      </x:c>
      <x:c r="L8" s="6" t="str">
        <x:f>IF(Setup!$B$6="primary","",IFERROR(IF(INDEX('Primary_snapshot'!$C$2:$C$92,MATCH(C8,'Primary_snapshot'!$A$2:$A$92,0))="","",INDEX('Primary_snapshot'!$C$2:$C$92,MATCH(C8,'Primary_snapshot'!$A$2:$A$92,0))),"SNAPSHOT MISSING"))</x:f>
      </x:c>
      <x:c r="M8" s="6" t="str">
        <x:f>IF(Setup!$B$6="primary","",IFERROR(IF(INDEX('Primary_snapshot'!$D$2:$D$92,MATCH(C8,'Primary_snapshot'!$A$2:$A$92,0))="","",INDEX('Primary_snapshot'!$D$2:$D$92,MATCH(C8,'Primary_snapshot'!$A$2:$A$92,0))),"SNAPSHOT MISSING"))</x:f>
      </x:c>
      <x:c r="N8" s="6" t="str">
        <x:f>IF(Setup!$B$6="primary","",IFERROR(IF(INDEX('Primary_snapshot'!$E$2:$E$92,MATCH(C8,'Primary_snapshot'!$A$2:$A$92,0))="","",INDEX('Primary_snapshot'!$E$2:$E$92,MATCH(C8,'Primary_snapshot'!$A$2:$A$92,0))),"SNAPSHOT MISSING"))</x:f>
      </x:c>
      <x:c r="O8" s="6" t="str">
        <x:f>IF(Setup!$B$6="primary","",IFERROR(IF(INDEX('Primary_snapshot'!$F$2:$F$92,MATCH(C8,'Primary_snapshot'!$A$2:$A$92,0))="","",INDEX('Primary_snapshot'!$F$2:$F$92,MATCH(C8,'Primary_snapshot'!$A$2:$A$92,0))),"SNAPSHOT MISSING"))</x:f>
      </x:c>
      <x:c r="P8" s="6" t="str">
        <x:f>IF(Setup!$B$6="primary","",IFERROR(IF(INDEX('Primary_snapshot'!$G$2:$G$92,MATCH(C8,'Primary_snapshot'!$A$2:$A$92,0))="","",INDEX('Primary_snapshot'!$G$2:$G$92,MATCH(C8,'Primary_snapshot'!$A$2:$A$92,0))),"SNAPSHOT MISSING"))</x:f>
      </x:c>
      <x:c r="Q8" s="6" t="str">
        <x:f>IF(Setup!$B$6="primary","",IFERROR(IF(INDEX('Primary_snapshot'!$H$2:$H$92,MATCH(C8,'Primary_snapshot'!$A$2:$A$92,0))="","",INDEX('Primary_snapshot'!$H$2:$H$92,MATCH(C8,'Primary_snapshot'!$A$2:$A$92,0))),"SNAPSHOT MISSING"))</x:f>
      </x:c>
      <x:c r="R8" s="6" t="str">
        <x:f>IF(Setup!$B$6="primary","",IFERROR(IF(INDEX('Primary_snapshot'!$I$2:$I$92,MATCH(C8,'Primary_snapshot'!$A$2:$A$92,0))="","",INDEX('Primary_snapshot'!$I$2:$I$92,MATCH(C8,'Primary_snapshot'!$A$2:$A$92,0))),"SNAPSHOT MISSING"))</x:f>
      </x:c>
      <x:c r="S8" s="6" t="str">
        <x:f>IF(INDEX('C_jama.2024.0572'!$D$2:$D$3,MATCH("2024::jama.2024.0572::C001",'C_jama.2024.0572'!$A$2:$A$3,0))="","",INDEX('C_jama.2024.0572'!$D$2:$D$3,MATCH("2024::jama.2024.0572::C001",'C_jama.2024.0572'!$A$2:$A$3,0)))</x:f>
      </x:c>
      <x:c r="T8" s="6" t="str">
        <x:f>IF(INDEX('C_jama.2024.0572'!$E$2:$E$3,MATCH("2024::jama.2024.0572::C001",'C_jama.2024.0572'!$A$2:$A$3,0))="","",INDEX('C_jama.2024.0572'!$E$2:$E$3,MATCH("2024::jama.2024.0572::C001",'C_jama.2024.0572'!$A$2:$A$3,0)))</x:f>
        <x:v>report_internal_inconsistency</x:v>
      </x:c>
      <x:c r="U8" s="6" t="str">
        <x:f>IF(AND(INDEX('C_jama.2024.0572'!$D$2:$D$3,MATCH("2024::jama.2024.0572::C001",'C_jama.2024.0572'!$A$2:$A$3,0))="retain",INDEX('C_jama.2024.0572'!$E$2:$E$3,MATCH("2024::jama.2024.0572::C001",'C_jama.2024.0572'!$A$2:$A$3,0))="statistical_results"),IF(INDEX('C_jama.2024.0572'!$H$2:$H$3,MATCH("2024::jama.2024.0572::C001",'C_jama.2024.0572'!$A$2:$A$3,0))="","",INDEX('C_jama.2024.0572'!$H$2:$H$3,MATCH("2024::jama.2024.0572::C001",'C_jama.2024.0572'!$A$2:$A$3,0))),"not_applicable")</x:f>
        <x:v>not_applicable</x:v>
      </x:c>
      <x:c r="V8" s="6" t="str">
        <x:f>IF(AND(INDEX('C_jama.2024.0572'!$D$2:$D$3,MATCH("2024::jama.2024.0572::C001",'C_jama.2024.0572'!$A$2:$A$3,0))="retain",INDEX('C_jama.2024.0572'!$E$2:$E$3,MATCH("2024::jama.2024.0572::C001",'C_jama.2024.0572'!$A$2:$A$3,0))="statistical_results"),IF(INDEX('C_jama.2024.0572'!$I$2:$I$3,MATCH("2024::jama.2024.0572::C001",'C_jama.2024.0572'!$A$2:$A$3,0))="","",INDEX('C_jama.2024.0572'!$I$2:$I$3,MATCH("2024::jama.2024.0572::C001",'C_jama.2024.0572'!$A$2:$A$3,0))),"not_applicable")</x:f>
        <x:v>not_applicable</x:v>
      </x:c>
      <x:c r="W8" s="6" t="str">
        <x:f>IF(AND(INDEX('C_jama.2024.0572'!$D$2:$D$3,MATCH("2024::jama.2024.0572::C001",'C_jama.2024.0572'!$A$2:$A$3,0))="retain",INDEX('C_jama.2024.0572'!$E$2:$E$3,MATCH("2024::jama.2024.0572::C001",'C_jama.2024.0572'!$A$2:$A$3,0))="statistical_results"),IF(INDEX('C_jama.2024.0572'!$J$2:$J$3,MATCH("2024::jama.2024.0572::C001",'C_jama.2024.0572'!$A$2:$A$3,0))="","",INDEX('C_jama.2024.0572'!$J$2:$J$3,MATCH("2024::jama.2024.0572::C001",'C_jama.2024.0572'!$A$2:$A$3,0))),"not_applicable")</x:f>
        <x:v>not_applicable</x:v>
      </x:c>
      <x:c r="X8" s="6" t="str">
        <x:f>IF(AND(INDEX('C_jama.2024.0572'!$D$2:$D$3,MATCH("2024::jama.2024.0572::C001",'C_jama.2024.0572'!$A$2:$A$3,0))="retain",OR(INDEX('C_jama.2024.0572'!$E$2:$E$3,MATCH("2024::jama.2024.0572::C001",'C_jama.2024.0572'!$A$2:$A$3,0))="report_internal_inconsistency",INDEX('C_jama.2024.0572'!$E$2:$E$3,MATCH("2024::jama.2024.0572::C001",'C_jama.2024.0572'!$A$2:$A$3,0))="plan_material")),IF(INDEX('C_jama.2024.0572'!$K$2:$K$3,MATCH("2024::jama.2024.0572::C001",'C_jama.2024.0572'!$A$2:$A$3,0))="","",INDEX('C_jama.2024.0572'!$K$2:$K$3,MATCH("2024::jama.2024.0572::C001",'C_jama.2024.0572'!$A$2:$A$3,0))),"not_applicable")</x:f>
        <x:v>not_applicable</x:v>
      </x:c>
      <x:c r="Y8" s="6" t="str">
        <x:f>IF(AND(INDEX('C_jama.2024.0572'!$D$2:$D$3,MATCH("2024::jama.2024.0572::C001",'C_jama.2024.0572'!$A$2:$A$3,0))="retain",INDEX('C_jama.2024.0572'!$E$2:$E$3,MATCH("2024::jama.2024.0572::C001",'C_jama.2024.0572'!$A$2:$A$3,0))="protocol_report"),IF(INDEX('C_jama.2024.0572'!$L$2:$L$3,MATCH("2024::jama.2024.0572::C001",'C_jama.2024.0572'!$A$2:$A$3,0))="","",INDEX('C_jama.2024.0572'!$L$2:$L$3,MATCH("2024::jama.2024.0572::C001",'C_jama.2024.0572'!$A$2:$A$3,0))),"not_applicable")</x:f>
        <x:v>not_applicable</x:v>
      </x:c>
      <x:c r="Z8" s="6" t="str">
        <x:f>IF(INDEX('C_jama.2024.0572'!$R$2:$R$3,MATCH("2024::jama.2024.0572::C001",'C_jama.2024.0572'!$A$2:$A$3,0))="","",INDEX('C_jama.2024.0572'!$R$2:$R$3,MATCH("2024::jama.2024.0572::C001",'C_jama.2024.0572'!$A$2:$A$3,0)))</x:f>
      </x:c>
      <x:c r="AA8" s="6" t="str">
        <x:f>IF(INDEX('C_jama.2024.0572'!$N$2:$N$3,MATCH("2024::jama.2024.0572::C001",'C_jama.2024.0572'!$A$2:$A$3,0))="","",INDEX('C_jama.2024.0572'!$N$2:$N$3,MATCH("2024::jama.2024.0572::C001",'C_jama.2024.0572'!$A$2:$A$3,0)))</x:f>
      </x:c>
      <x:c r="AB8" s="6" t="str">
        <x:f>IF(INDEX('C_jama.2024.0572'!$O$2:$O$3,MATCH("2024::jama.2024.0572::C001",'C_jama.2024.0572'!$A$2:$A$3,0))="","",INDEX('C_jama.2024.0572'!$O$2:$O$3,MATCH("2024::jama.2024.0572::C001",'C_jama.2024.0572'!$A$2:$A$3,0)))</x:f>
      </x:c>
      <x:c r="AC8" s="6" t="str">
        <x:f>IF(INDEX('C_jama.2024.0572'!$P$2:$P$3,MATCH("2024::jama.2024.0572::C001",'C_jama.2024.0572'!$A$2:$A$3,0))="","",INDEX('C_jama.2024.0572'!$P$2:$P$3,MATCH("2024::jama.2024.0572::C001",'C_jama.2024.0572'!$A$2:$A$3,0)))</x:f>
      </x:c>
      <x:c r="AD8" s="6" t="str">
        <x:f>IF(INDEX('C_jama.2024.0572'!$Q$2:$Q$3,MATCH("2024::jama.2024.0572::C001",'C_jama.2024.0572'!$A$2:$A$3,0))="","",INDEX('C_jama.2024.0572'!$Q$2:$Q$3,MATCH("2024::jama.2024.0572::C001",'C_jama.2024.0572'!$A$2:$A$3,0)))</x:f>
      </x:c>
    </x:row>
    <x:row r="9" ht="65" customHeight="1">
      <x:c r="A9" s="3" t="n">
        <x:v>2024</x:v>
      </x:c>
      <x:c r="B9" s="3" t="str">
        <x:v>jama.2024.0572</x:v>
      </x:c>
      <x:c r="C9" s="3" t="str">
        <x:v>2024::jama.2024.0572::C002</x:v>
      </x:c>
      <x:c r="D9" s="3" t="str">
        <x:v>S_W</x:v>
      </x:c>
      <x:c r="E9" s="3" t="n">
        <x:f>Setup!$B$2</x:f>
        <x:v>0</x:v>
      </x:c>
      <x:c r="F9" s="3" t="str">
        <x:f>IF(Setup!$B$4="","",Setup!$B$4)</x:f>
      </x:c>
      <x:c r="G9" s="3" t="str">
        <x:f>IFERROR(INDEX('C_jama.2024.0572'!$G$2:$G$3,MATCH("2024::jama.2024.0572::C002",'C_jama.2024.0572'!$A$2:$A$3,0)),"CHECK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report_internal_inconsistency</x:v>
      </x:c>
      <x:c r="K9" s="3" t="str">
        <x:f>IF(Setup!$B$6="primary","",IFERROR(IF(INDEX('Primary_snapshot'!$B$2:$B$92,MATCH(C9,'Primary_snapshot'!$A$2:$A$92,0))="","",INDEX('Primary_snapshot'!$B$2:$B$92,MATCH(C9,'Primary_snapshot'!$A$2:$A$92,0))),"SNAPSHOT MISSING"))</x:f>
      </x:c>
      <x:c r="L9" s="3" t="str">
        <x:f>IF(Setup!$B$6="primary","",IFERROR(IF(INDEX('Primary_snapshot'!$C$2:$C$92,MATCH(C9,'Primary_snapshot'!$A$2:$A$92,0))="","",INDEX('Primary_snapshot'!$C$2:$C$92,MATCH(C9,'Primary_snapshot'!$A$2:$A$92,0))),"SNAPSHOT MISSING"))</x:f>
      </x:c>
      <x:c r="M9" s="3" t="str">
        <x:f>IF(Setup!$B$6="primary","",IFERROR(IF(INDEX('Primary_snapshot'!$D$2:$D$92,MATCH(C9,'Primary_snapshot'!$A$2:$A$92,0))="","",INDEX('Primary_snapshot'!$D$2:$D$92,MATCH(C9,'Primary_snapshot'!$A$2:$A$92,0))),"SNAPSHOT MISSING"))</x:f>
      </x:c>
      <x:c r="N9" s="3" t="str">
        <x:f>IF(Setup!$B$6="primary","",IFERROR(IF(INDEX('Primary_snapshot'!$E$2:$E$92,MATCH(C9,'Primary_snapshot'!$A$2:$A$92,0))="","",INDEX('Primary_snapshot'!$E$2:$E$92,MATCH(C9,'Primary_snapshot'!$A$2:$A$92,0))),"SNAPSHOT MISSING"))</x:f>
      </x:c>
      <x:c r="O9" s="3" t="str">
        <x:f>IF(Setup!$B$6="primary","",IFERROR(IF(INDEX('Primary_snapshot'!$F$2:$F$92,MATCH(C9,'Primary_snapshot'!$A$2:$A$92,0))="","",INDEX('Primary_snapshot'!$F$2:$F$92,MATCH(C9,'Primary_snapshot'!$A$2:$A$92,0))),"SNAPSHOT MISSING"))</x:f>
      </x:c>
      <x:c r="P9" s="3" t="str">
        <x:f>IF(Setup!$B$6="primary","",IFERROR(IF(INDEX('Primary_snapshot'!$G$2:$G$92,MATCH(C9,'Primary_snapshot'!$A$2:$A$92,0))="","",INDEX('Primary_snapshot'!$G$2:$G$92,MATCH(C9,'Primary_snapshot'!$A$2:$A$92,0))),"SNAPSHOT MISSING"))</x:f>
      </x:c>
      <x:c r="Q9" s="3" t="str">
        <x:f>IF(Setup!$B$6="primary","",IFERROR(IF(INDEX('Primary_snapshot'!$H$2:$H$92,MATCH(C9,'Primary_snapshot'!$A$2:$A$92,0))="","",INDEX('Primary_snapshot'!$H$2:$H$92,MATCH(C9,'Primary_snapshot'!$A$2:$A$92,0))),"SNAPSHOT MISSING"))</x:f>
      </x:c>
      <x:c r="R9" s="3" t="str">
        <x:f>IF(Setup!$B$6="primary","",IFERROR(IF(INDEX('Primary_snapshot'!$I$2:$I$92,MATCH(C9,'Primary_snapshot'!$A$2:$A$92,0))="","",INDEX('Primary_snapshot'!$I$2:$I$92,MATCH(C9,'Primary_snapshot'!$A$2:$A$92,0))),"SNAPSHOT MISSING"))</x:f>
      </x:c>
      <x:c r="S9" s="3" t="str">
        <x:f>IF(INDEX('C_jama.2024.0572'!$D$2:$D$3,MATCH("2024::jama.2024.0572::C002",'C_jama.2024.0572'!$A$2:$A$3,0))="","",INDEX('C_jama.2024.0572'!$D$2:$D$3,MATCH("2024::jama.2024.0572::C002",'C_jama.2024.0572'!$A$2:$A$3,0)))</x:f>
      </x:c>
      <x:c r="T9" s="3" t="str">
        <x:f>IF(INDEX('C_jama.2024.0572'!$E$2:$E$3,MATCH("2024::jama.2024.0572::C002",'C_jama.2024.0572'!$A$2:$A$3,0))="","",INDEX('C_jama.2024.0572'!$E$2:$E$3,MATCH("2024::jama.2024.0572::C002",'C_jama.2024.0572'!$A$2:$A$3,0)))</x:f>
        <x:v>report_internal_inconsistency</x:v>
      </x:c>
      <x:c r="U9" s="3" t="str">
        <x:f>IF(AND(INDEX('C_jama.2024.0572'!$D$2:$D$3,MATCH("2024::jama.2024.0572::C002",'C_jama.2024.0572'!$A$2:$A$3,0))="retain",INDEX('C_jama.2024.0572'!$E$2:$E$3,MATCH("2024::jama.2024.0572::C002",'C_jama.2024.0572'!$A$2:$A$3,0))="statistical_results"),IF(INDEX('C_jama.2024.0572'!$H$2:$H$3,MATCH("2024::jama.2024.0572::C002",'C_jama.2024.0572'!$A$2:$A$3,0))="","",INDEX('C_jama.2024.0572'!$H$2:$H$3,MATCH("2024::jama.2024.0572::C002",'C_jama.2024.0572'!$A$2:$A$3,0))),"not_applicable")</x:f>
        <x:v>not_applicable</x:v>
      </x:c>
      <x:c r="V9" s="3" t="str">
        <x:f>IF(AND(INDEX('C_jama.2024.0572'!$D$2:$D$3,MATCH("2024::jama.2024.0572::C002",'C_jama.2024.0572'!$A$2:$A$3,0))="retain",INDEX('C_jama.2024.0572'!$E$2:$E$3,MATCH("2024::jama.2024.0572::C002",'C_jama.2024.0572'!$A$2:$A$3,0))="statistical_results"),IF(INDEX('C_jama.2024.0572'!$I$2:$I$3,MATCH("2024::jama.2024.0572::C002",'C_jama.2024.0572'!$A$2:$A$3,0))="","",INDEX('C_jama.2024.0572'!$I$2:$I$3,MATCH("2024::jama.2024.0572::C002",'C_jama.2024.0572'!$A$2:$A$3,0))),"not_applicable")</x:f>
        <x:v>not_applicable</x:v>
      </x:c>
      <x:c r="W9" s="3" t="str">
        <x:f>IF(AND(INDEX('C_jama.2024.0572'!$D$2:$D$3,MATCH("2024::jama.2024.0572::C002",'C_jama.2024.0572'!$A$2:$A$3,0))="retain",INDEX('C_jama.2024.0572'!$E$2:$E$3,MATCH("2024::jama.2024.0572::C002",'C_jama.2024.0572'!$A$2:$A$3,0))="statistical_results"),IF(INDEX('C_jama.2024.0572'!$J$2:$J$3,MATCH("2024::jama.2024.0572::C002",'C_jama.2024.0572'!$A$2:$A$3,0))="","",INDEX('C_jama.2024.0572'!$J$2:$J$3,MATCH("2024::jama.2024.0572::C002",'C_jama.2024.0572'!$A$2:$A$3,0))),"not_applicable")</x:f>
        <x:v>not_applicable</x:v>
      </x:c>
      <x:c r="X9" s="3" t="str">
        <x:f>IF(AND(INDEX('C_jama.2024.0572'!$D$2:$D$3,MATCH("2024::jama.2024.0572::C002",'C_jama.2024.0572'!$A$2:$A$3,0))="retain",OR(INDEX('C_jama.2024.0572'!$E$2:$E$3,MATCH("2024::jama.2024.0572::C002",'C_jama.2024.0572'!$A$2:$A$3,0))="report_internal_inconsistency",INDEX('C_jama.2024.0572'!$E$2:$E$3,MATCH("2024::jama.2024.0572::C002",'C_jama.2024.0572'!$A$2:$A$3,0))="plan_material")),IF(INDEX('C_jama.2024.0572'!$K$2:$K$3,MATCH("2024::jama.2024.0572::C002",'C_jama.2024.0572'!$A$2:$A$3,0))="","",INDEX('C_jama.2024.0572'!$K$2:$K$3,MATCH("2024::jama.2024.0572::C002",'C_jama.2024.0572'!$A$2:$A$3,0))),"not_applicable")</x:f>
        <x:v>not_applicable</x:v>
      </x:c>
      <x:c r="Y9" s="3" t="str">
        <x:f>IF(AND(INDEX('C_jama.2024.0572'!$D$2:$D$3,MATCH("2024::jama.2024.0572::C002",'C_jama.2024.0572'!$A$2:$A$3,0))="retain",INDEX('C_jama.2024.0572'!$E$2:$E$3,MATCH("2024::jama.2024.0572::C002",'C_jama.2024.0572'!$A$2:$A$3,0))="protocol_report"),IF(INDEX('C_jama.2024.0572'!$L$2:$L$3,MATCH("2024::jama.2024.0572::C002",'C_jama.2024.0572'!$A$2:$A$3,0))="","",INDEX('C_jama.2024.0572'!$L$2:$L$3,MATCH("2024::jama.2024.0572::C002",'C_jama.2024.0572'!$A$2:$A$3,0))),"not_applicable")</x:f>
        <x:v>not_applicable</x:v>
      </x:c>
      <x:c r="Z9" s="3" t="str">
        <x:f>IF(INDEX('C_jama.2024.0572'!$R$2:$R$3,MATCH("2024::jama.2024.0572::C002",'C_jama.2024.0572'!$A$2:$A$3,0))="","",INDEX('C_jama.2024.0572'!$R$2:$R$3,MATCH("2024::jama.2024.0572::C002",'C_jama.2024.0572'!$A$2:$A$3,0)))</x:f>
      </x:c>
      <x:c r="AA9" s="3" t="str">
        <x:f>IF(INDEX('C_jama.2024.0572'!$N$2:$N$3,MATCH("2024::jama.2024.0572::C002",'C_jama.2024.0572'!$A$2:$A$3,0))="","",INDEX('C_jama.2024.0572'!$N$2:$N$3,MATCH("2024::jama.2024.0572::C002",'C_jama.2024.0572'!$A$2:$A$3,0)))</x:f>
      </x:c>
      <x:c r="AB9" s="3" t="str">
        <x:f>IF(INDEX('C_jama.2024.0572'!$O$2:$O$3,MATCH("2024::jama.2024.0572::C002",'C_jama.2024.0572'!$A$2:$A$3,0))="","",INDEX('C_jama.2024.0572'!$O$2:$O$3,MATCH("2024::jama.2024.0572::C002",'C_jama.2024.0572'!$A$2:$A$3,0)))</x:f>
      </x:c>
      <x:c r="AC9" s="3" t="str">
        <x:f>IF(INDEX('C_jama.2024.0572'!$P$2:$P$3,MATCH("2024::jama.2024.0572::C002",'C_jama.2024.0572'!$A$2:$A$3,0))="","",INDEX('C_jama.2024.0572'!$P$2:$P$3,MATCH("2024::jama.2024.0572::C002",'C_jama.2024.0572'!$A$2:$A$3,0)))</x:f>
      </x:c>
      <x:c r="AD9" s="3" t="str">
        <x:f>IF(INDEX('C_jama.2024.0572'!$Q$2:$Q$3,MATCH("2024::jama.2024.0572::C002",'C_jama.2024.0572'!$A$2:$A$3,0))="","",INDEX('C_jama.2024.0572'!$Q$2:$Q$3,MATCH("2024::jama.2024.0572::C002",'C_jama.2024.0572'!$A$2:$A$3,0)))</x:f>
      </x:c>
    </x:row>
    <x:row r="10" ht="65" customHeight="1">
      <x:c r="A10" s="6" t="n">
        <x:v>2024</x:v>
      </x:c>
      <x:c r="B10" s="6" t="str">
        <x:v>jama.2024.11057</x:v>
      </x:c>
      <x:c r="C10" s="6" t="str">
        <x:v>2024::jama.2024.11057::C001</x:v>
      </x:c>
      <x:c r="D10" s="6" t="str">
        <x:v>P_R</x:v>
      </x:c>
      <x:c r="E10" s="6" t="n">
        <x:f>Setup!$B$2</x:f>
        <x:v>0</x:v>
      </x:c>
      <x:c r="F10" s="6" t="str">
        <x:f>IF(Setup!$B$4="","",Setup!$B$4)</x:f>
      </x:c>
      <x:c r="G10" s="6" t="str">
        <x:f>IFERROR(INDEX('C_jama.2024.11057'!$G$2:$G$4,MATCH("2024::jama.2024.11057::C001",'C_jama.2024.11057'!$A$2:$A$4,0)),"CHECK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protocol_report</x:v>
      </x:c>
      <x:c r="K10" s="6" t="str">
        <x:f>IF(Setup!$B$6="primary","",IFERROR(IF(INDEX('Primary_snapshot'!$B$2:$B$92,MATCH(C10,'Primary_snapshot'!$A$2:$A$92,0))="","",INDEX('Primary_snapshot'!$B$2:$B$92,MATCH(C10,'Primary_snapshot'!$A$2:$A$92,0))),"SNAPSHOT MISSING"))</x:f>
      </x:c>
      <x:c r="L10" s="6" t="str">
        <x:f>IF(Setup!$B$6="primary","",IFERROR(IF(INDEX('Primary_snapshot'!$C$2:$C$92,MATCH(C10,'Primary_snapshot'!$A$2:$A$92,0))="","",INDEX('Primary_snapshot'!$C$2:$C$92,MATCH(C10,'Primary_snapshot'!$A$2:$A$92,0))),"SNAPSHOT MISSING"))</x:f>
      </x:c>
      <x:c r="M10" s="6" t="str">
        <x:f>IF(Setup!$B$6="primary","",IFERROR(IF(INDEX('Primary_snapshot'!$D$2:$D$92,MATCH(C10,'Primary_snapshot'!$A$2:$A$92,0))="","",INDEX('Primary_snapshot'!$D$2:$D$92,MATCH(C10,'Primary_snapshot'!$A$2:$A$92,0))),"SNAPSHOT MISSING"))</x:f>
      </x:c>
      <x:c r="N10" s="6" t="str">
        <x:f>IF(Setup!$B$6="primary","",IFERROR(IF(INDEX('Primary_snapshot'!$E$2:$E$92,MATCH(C10,'Primary_snapshot'!$A$2:$A$92,0))="","",INDEX('Primary_snapshot'!$E$2:$E$92,MATCH(C10,'Primary_snapshot'!$A$2:$A$92,0))),"SNAPSHOT MISSING"))</x:f>
      </x:c>
      <x:c r="O10" s="6" t="str">
        <x:f>IF(Setup!$B$6="primary","",IFERROR(IF(INDEX('Primary_snapshot'!$F$2:$F$92,MATCH(C10,'Primary_snapshot'!$A$2:$A$92,0))="","",INDEX('Primary_snapshot'!$F$2:$F$92,MATCH(C10,'Primary_snapshot'!$A$2:$A$92,0))),"SNAPSHOT MISSING"))</x:f>
      </x:c>
      <x:c r="P10" s="6" t="str">
        <x:f>IF(Setup!$B$6="primary","",IFERROR(IF(INDEX('Primary_snapshot'!$G$2:$G$92,MATCH(C10,'Primary_snapshot'!$A$2:$A$92,0))="","",INDEX('Primary_snapshot'!$G$2:$G$92,MATCH(C10,'Primary_snapshot'!$A$2:$A$92,0))),"SNAPSHOT MISSING"))</x:f>
      </x:c>
      <x:c r="Q10" s="6" t="str">
        <x:f>IF(Setup!$B$6="primary","",IFERROR(IF(INDEX('Primary_snapshot'!$H$2:$H$92,MATCH(C10,'Primary_snapshot'!$A$2:$A$92,0))="","",INDEX('Primary_snapshot'!$H$2:$H$92,MATCH(C10,'Primary_snapshot'!$A$2:$A$92,0))),"SNAPSHOT MISSING"))</x:f>
      </x:c>
      <x:c r="R10" s="6" t="str">
        <x:f>IF(Setup!$B$6="primary","",IFERROR(IF(INDEX('Primary_snapshot'!$I$2:$I$92,MATCH(C10,'Primary_snapshot'!$A$2:$A$92,0))="","",INDEX('Primary_snapshot'!$I$2:$I$92,MATCH(C10,'Primary_snapshot'!$A$2:$A$92,0))),"SNAPSHOT MISSING"))</x:f>
      </x:c>
      <x:c r="S10" s="6" t="str">
        <x:f>IF(INDEX('C_jama.2024.11057'!$D$2:$D$4,MATCH("2024::jama.2024.11057::C001",'C_jama.2024.11057'!$A$2:$A$4,0))="","",INDEX('C_jama.2024.11057'!$D$2:$D$4,MATCH("2024::jama.2024.11057::C001",'C_jama.2024.11057'!$A$2:$A$4,0)))</x:f>
      </x:c>
      <x:c r="T10" s="6" t="str">
        <x:f>IF(INDEX('C_jama.2024.11057'!$E$2:$E$4,MATCH("2024::jama.2024.11057::C001",'C_jama.2024.11057'!$A$2:$A$4,0))="","",INDEX('C_jama.2024.11057'!$E$2:$E$4,MATCH("2024::jama.2024.11057::C001",'C_jama.2024.11057'!$A$2:$A$4,0)))</x:f>
        <x:v>protocol_report</x:v>
      </x:c>
      <x:c r="U10" s="6" t="str">
        <x:f>IF(AND(INDEX('C_jama.2024.11057'!$D$2:$D$4,MATCH("2024::jama.2024.11057::C001",'C_jama.2024.11057'!$A$2:$A$4,0))="retain",INDEX('C_jama.2024.11057'!$E$2:$E$4,MATCH("2024::jama.2024.11057::C001",'C_jama.2024.11057'!$A$2:$A$4,0))="statistical_results"),IF(INDEX('C_jama.2024.11057'!$H$2:$H$4,MATCH("2024::jama.2024.11057::C001",'C_jama.2024.11057'!$A$2:$A$4,0))="","",INDEX('C_jama.2024.11057'!$H$2:$H$4,MATCH("2024::jama.2024.11057::C001",'C_jama.2024.11057'!$A$2:$A$4,0))),"not_applicable")</x:f>
        <x:v>not_applicable</x:v>
      </x:c>
      <x:c r="V10" s="6" t="str">
        <x:f>IF(AND(INDEX('C_jama.2024.11057'!$D$2:$D$4,MATCH("2024::jama.2024.11057::C001",'C_jama.2024.11057'!$A$2:$A$4,0))="retain",INDEX('C_jama.2024.11057'!$E$2:$E$4,MATCH("2024::jama.2024.11057::C001",'C_jama.2024.11057'!$A$2:$A$4,0))="statistical_results"),IF(INDEX('C_jama.2024.11057'!$I$2:$I$4,MATCH("2024::jama.2024.11057::C001",'C_jama.2024.11057'!$A$2:$A$4,0))="","",INDEX('C_jama.2024.11057'!$I$2:$I$4,MATCH("2024::jama.2024.11057::C001",'C_jama.2024.11057'!$A$2:$A$4,0))),"not_applicable")</x:f>
        <x:v>not_applicable</x:v>
      </x:c>
      <x:c r="W10" s="6" t="str">
        <x:f>IF(AND(INDEX('C_jama.2024.11057'!$D$2:$D$4,MATCH("2024::jama.2024.11057::C001",'C_jama.2024.11057'!$A$2:$A$4,0))="retain",INDEX('C_jama.2024.11057'!$E$2:$E$4,MATCH("2024::jama.2024.11057::C001",'C_jama.2024.11057'!$A$2:$A$4,0))="statistical_results"),IF(INDEX('C_jama.2024.11057'!$J$2:$J$4,MATCH("2024::jama.2024.11057::C001",'C_jama.2024.11057'!$A$2:$A$4,0))="","",INDEX('C_jama.2024.11057'!$J$2:$J$4,MATCH("2024::jama.2024.11057::C001",'C_jama.2024.11057'!$A$2:$A$4,0))),"not_applicable")</x:f>
        <x:v>not_applicable</x:v>
      </x:c>
      <x:c r="X10" s="6" t="str">
        <x:f>IF(AND(INDEX('C_jama.2024.11057'!$D$2:$D$4,MATCH("2024::jama.2024.11057::C001",'C_jama.2024.11057'!$A$2:$A$4,0))="retain",OR(INDEX('C_jama.2024.11057'!$E$2:$E$4,MATCH("2024::jama.2024.11057::C001",'C_jama.2024.11057'!$A$2:$A$4,0))="report_internal_inconsistency",INDEX('C_jama.2024.11057'!$E$2:$E$4,MATCH("2024::jama.2024.11057::C001",'C_jama.2024.11057'!$A$2:$A$4,0))="plan_material")),IF(INDEX('C_jama.2024.11057'!$K$2:$K$4,MATCH("2024::jama.2024.11057::C001",'C_jama.2024.11057'!$A$2:$A$4,0))="","",INDEX('C_jama.2024.11057'!$K$2:$K$4,MATCH("2024::jama.2024.11057::C001",'C_jama.2024.11057'!$A$2:$A$4,0))),"not_applicable")</x:f>
        <x:v>not_applicable</x:v>
      </x:c>
      <x:c r="Y10" s="6" t="str">
        <x:f>IF(AND(INDEX('C_jama.2024.11057'!$D$2:$D$4,MATCH("2024::jama.2024.11057::C001",'C_jama.2024.11057'!$A$2:$A$4,0))="retain",INDEX('C_jama.2024.11057'!$E$2:$E$4,MATCH("2024::jama.2024.11057::C001",'C_jama.2024.11057'!$A$2:$A$4,0))="protocol_report"),IF(INDEX('C_jama.2024.11057'!$L$2:$L$4,MATCH("2024::jama.2024.11057::C001",'C_jama.2024.11057'!$A$2:$A$4,0))="","",INDEX('C_jama.2024.11057'!$L$2:$L$4,MATCH("2024::jama.2024.11057::C001",'C_jama.2024.11057'!$A$2:$A$4,0))),"not_applicable")</x:f>
        <x:v>not_applicable</x:v>
      </x:c>
      <x:c r="Z10" s="6" t="str">
        <x:f>IF(INDEX('C_jama.2024.11057'!$R$2:$R$4,MATCH("2024::jama.2024.11057::C001",'C_jama.2024.11057'!$A$2:$A$4,0))="","",INDEX('C_jama.2024.11057'!$R$2:$R$4,MATCH("2024::jama.2024.11057::C001",'C_jama.2024.11057'!$A$2:$A$4,0)))</x:f>
      </x:c>
      <x:c r="AA10" s="6" t="str">
        <x:f>IF(INDEX('C_jama.2024.11057'!$N$2:$N$4,MATCH("2024::jama.2024.11057::C001",'C_jama.2024.11057'!$A$2:$A$4,0))="","",INDEX('C_jama.2024.11057'!$N$2:$N$4,MATCH("2024::jama.2024.11057::C001",'C_jama.2024.11057'!$A$2:$A$4,0)))</x:f>
      </x:c>
      <x:c r="AB10" s="6" t="str">
        <x:f>IF(INDEX('C_jama.2024.11057'!$O$2:$O$4,MATCH("2024::jama.2024.11057::C001",'C_jama.2024.11057'!$A$2:$A$4,0))="","",INDEX('C_jama.2024.11057'!$O$2:$O$4,MATCH("2024::jama.2024.11057::C001",'C_jama.2024.11057'!$A$2:$A$4,0)))</x:f>
      </x:c>
      <x:c r="AC10" s="6" t="str">
        <x:f>IF(INDEX('C_jama.2024.11057'!$P$2:$P$4,MATCH("2024::jama.2024.11057::C001",'C_jama.2024.11057'!$A$2:$A$4,0))="","",INDEX('C_jama.2024.11057'!$P$2:$P$4,MATCH("2024::jama.2024.11057::C001",'C_jama.2024.11057'!$A$2:$A$4,0)))</x:f>
      </x:c>
      <x:c r="AD10" s="6" t="str">
        <x:f>IF(INDEX('C_jama.2024.11057'!$Q$2:$Q$4,MATCH("2024::jama.2024.11057::C001",'C_jama.2024.11057'!$A$2:$A$4,0))="","",INDEX('C_jama.2024.11057'!$Q$2:$Q$4,MATCH("2024::jama.2024.11057::C001",'C_jama.2024.11057'!$A$2:$A$4,0)))</x:f>
      </x:c>
    </x:row>
    <x:row r="11" ht="65" customHeight="1">
      <x:c r="A11" s="3" t="n">
        <x:v>2024</x:v>
      </x:c>
      <x:c r="B11" s="3" t="str">
        <x:v>jama.2024.11057</x:v>
      </x:c>
      <x:c r="C11" s="3" t="str">
        <x:v>2024::jama.2024.11057::C002</x:v>
      </x:c>
      <x:c r="D11" s="3" t="str">
        <x:v>S_W</x:v>
      </x:c>
      <x:c r="E11" s="3" t="n">
        <x:f>Setup!$B$2</x:f>
        <x:v>0</x:v>
      </x:c>
      <x:c r="F11" s="3" t="str">
        <x:f>IF(Setup!$B$4="","",Setup!$B$4)</x:f>
      </x:c>
      <x:c r="G11" s="3" t="str">
        <x:f>IFERROR(INDEX('C_jama.2024.11057'!$G$2:$G$4,MATCH("2024::jama.2024.11057::C002",'C_jama.2024.11057'!$A$2:$A$4,0)),"CHECK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report_internal_inconsistency</x:v>
      </x:c>
      <x:c r="K11" s="3" t="str">
        <x:f>IF(Setup!$B$6="primary","",IFERROR(IF(INDEX('Primary_snapshot'!$B$2:$B$92,MATCH(C11,'Primary_snapshot'!$A$2:$A$92,0))="","",INDEX('Primary_snapshot'!$B$2:$B$92,MATCH(C11,'Primary_snapshot'!$A$2:$A$92,0))),"SNAPSHOT MISSING"))</x:f>
      </x:c>
      <x:c r="L11" s="3" t="str">
        <x:f>IF(Setup!$B$6="primary","",IFERROR(IF(INDEX('Primary_snapshot'!$C$2:$C$92,MATCH(C11,'Primary_snapshot'!$A$2:$A$92,0))="","",INDEX('Primary_snapshot'!$C$2:$C$92,MATCH(C11,'Primary_snapshot'!$A$2:$A$92,0))),"SNAPSHOT MISSING"))</x:f>
      </x:c>
      <x:c r="M11" s="3" t="str">
        <x:f>IF(Setup!$B$6="primary","",IFERROR(IF(INDEX('Primary_snapshot'!$D$2:$D$92,MATCH(C11,'Primary_snapshot'!$A$2:$A$92,0))="","",INDEX('Primary_snapshot'!$D$2:$D$92,MATCH(C11,'Primary_snapshot'!$A$2:$A$92,0))),"SNAPSHOT MISSING"))</x:f>
      </x:c>
      <x:c r="N11" s="3" t="str">
        <x:f>IF(Setup!$B$6="primary","",IFERROR(IF(INDEX('Primary_snapshot'!$E$2:$E$92,MATCH(C11,'Primary_snapshot'!$A$2:$A$92,0))="","",INDEX('Primary_snapshot'!$E$2:$E$92,MATCH(C11,'Primary_snapshot'!$A$2:$A$92,0))),"SNAPSHOT MISSING"))</x:f>
      </x:c>
      <x:c r="O11" s="3" t="str">
        <x:f>IF(Setup!$B$6="primary","",IFERROR(IF(INDEX('Primary_snapshot'!$F$2:$F$92,MATCH(C11,'Primary_snapshot'!$A$2:$A$92,0))="","",INDEX('Primary_snapshot'!$F$2:$F$92,MATCH(C11,'Primary_snapshot'!$A$2:$A$92,0))),"SNAPSHOT MISSING"))</x:f>
      </x:c>
      <x:c r="P11" s="3" t="str">
        <x:f>IF(Setup!$B$6="primary","",IFERROR(IF(INDEX('Primary_snapshot'!$G$2:$G$92,MATCH(C11,'Primary_snapshot'!$A$2:$A$92,0))="","",INDEX('Primary_snapshot'!$G$2:$G$92,MATCH(C11,'Primary_snapshot'!$A$2:$A$92,0))),"SNAPSHOT MISSING"))</x:f>
      </x:c>
      <x:c r="Q11" s="3" t="str">
        <x:f>IF(Setup!$B$6="primary","",IFERROR(IF(INDEX('Primary_snapshot'!$H$2:$H$92,MATCH(C11,'Primary_snapshot'!$A$2:$A$92,0))="","",INDEX('Primary_snapshot'!$H$2:$H$92,MATCH(C11,'Primary_snapshot'!$A$2:$A$92,0))),"SNAPSHOT MISSING"))</x:f>
      </x:c>
      <x:c r="R11" s="3" t="str">
        <x:f>IF(Setup!$B$6="primary","",IFERROR(IF(INDEX('Primary_snapshot'!$I$2:$I$92,MATCH(C11,'Primary_snapshot'!$A$2:$A$92,0))="","",INDEX('Primary_snapshot'!$I$2:$I$92,MATCH(C11,'Primary_snapshot'!$A$2:$A$92,0))),"SNAPSHOT MISSING"))</x:f>
      </x:c>
      <x:c r="S11" s="3" t="str">
        <x:f>IF(INDEX('C_jama.2024.11057'!$D$2:$D$4,MATCH("2024::jama.2024.11057::C002",'C_jama.2024.11057'!$A$2:$A$4,0))="","",INDEX('C_jama.2024.11057'!$D$2:$D$4,MATCH("2024::jama.2024.11057::C002",'C_jama.2024.11057'!$A$2:$A$4,0)))</x:f>
      </x:c>
      <x:c r="T11" s="3" t="str">
        <x:f>IF(INDEX('C_jama.2024.11057'!$E$2:$E$4,MATCH("2024::jama.2024.11057::C002",'C_jama.2024.11057'!$A$2:$A$4,0))="","",INDEX('C_jama.2024.11057'!$E$2:$E$4,MATCH("2024::jama.2024.11057::C002",'C_jama.2024.11057'!$A$2:$A$4,0)))</x:f>
        <x:v>report_internal_inconsistency</x:v>
      </x:c>
      <x:c r="U11" s="3" t="str">
        <x:f>IF(AND(INDEX('C_jama.2024.11057'!$D$2:$D$4,MATCH("2024::jama.2024.11057::C002",'C_jama.2024.11057'!$A$2:$A$4,0))="retain",INDEX('C_jama.2024.11057'!$E$2:$E$4,MATCH("2024::jama.2024.11057::C002",'C_jama.2024.11057'!$A$2:$A$4,0))="statistical_results"),IF(INDEX('C_jama.2024.11057'!$H$2:$H$4,MATCH("2024::jama.2024.11057::C002",'C_jama.2024.11057'!$A$2:$A$4,0))="","",INDEX('C_jama.2024.11057'!$H$2:$H$4,MATCH("2024::jama.2024.11057::C002",'C_jama.2024.11057'!$A$2:$A$4,0))),"not_applicable")</x:f>
        <x:v>not_applicable</x:v>
      </x:c>
      <x:c r="V11" s="3" t="str">
        <x:f>IF(AND(INDEX('C_jama.2024.11057'!$D$2:$D$4,MATCH("2024::jama.2024.11057::C002",'C_jama.2024.11057'!$A$2:$A$4,0))="retain",INDEX('C_jama.2024.11057'!$E$2:$E$4,MATCH("2024::jama.2024.11057::C002",'C_jama.2024.11057'!$A$2:$A$4,0))="statistical_results"),IF(INDEX('C_jama.2024.11057'!$I$2:$I$4,MATCH("2024::jama.2024.11057::C002",'C_jama.2024.11057'!$A$2:$A$4,0))="","",INDEX('C_jama.2024.11057'!$I$2:$I$4,MATCH("2024::jama.2024.11057::C002",'C_jama.2024.11057'!$A$2:$A$4,0))),"not_applicable")</x:f>
        <x:v>not_applicable</x:v>
      </x:c>
      <x:c r="W11" s="3" t="str">
        <x:f>IF(AND(INDEX('C_jama.2024.11057'!$D$2:$D$4,MATCH("2024::jama.2024.11057::C002",'C_jama.2024.11057'!$A$2:$A$4,0))="retain",INDEX('C_jama.2024.11057'!$E$2:$E$4,MATCH("2024::jama.2024.11057::C002",'C_jama.2024.11057'!$A$2:$A$4,0))="statistical_results"),IF(INDEX('C_jama.2024.11057'!$J$2:$J$4,MATCH("2024::jama.2024.11057::C002",'C_jama.2024.11057'!$A$2:$A$4,0))="","",INDEX('C_jama.2024.11057'!$J$2:$J$4,MATCH("2024::jama.2024.11057::C002",'C_jama.2024.11057'!$A$2:$A$4,0))),"not_applicable")</x:f>
        <x:v>not_applicable</x:v>
      </x:c>
      <x:c r="X11" s="3" t="str">
        <x:f>IF(AND(INDEX('C_jama.2024.11057'!$D$2:$D$4,MATCH("2024::jama.2024.11057::C002",'C_jama.2024.11057'!$A$2:$A$4,0))="retain",OR(INDEX('C_jama.2024.11057'!$E$2:$E$4,MATCH("2024::jama.2024.11057::C002",'C_jama.2024.11057'!$A$2:$A$4,0))="report_internal_inconsistency",INDEX('C_jama.2024.11057'!$E$2:$E$4,MATCH("2024::jama.2024.11057::C002",'C_jama.2024.11057'!$A$2:$A$4,0))="plan_material")),IF(INDEX('C_jama.2024.11057'!$K$2:$K$4,MATCH("2024::jama.2024.11057::C002",'C_jama.2024.11057'!$A$2:$A$4,0))="","",INDEX('C_jama.2024.11057'!$K$2:$K$4,MATCH("2024::jama.2024.11057::C002",'C_jama.2024.11057'!$A$2:$A$4,0))),"not_applicable")</x:f>
        <x:v>not_applicable</x:v>
      </x:c>
      <x:c r="Y11" s="3" t="str">
        <x:f>IF(AND(INDEX('C_jama.2024.11057'!$D$2:$D$4,MATCH("2024::jama.2024.11057::C002",'C_jama.2024.11057'!$A$2:$A$4,0))="retain",INDEX('C_jama.2024.11057'!$E$2:$E$4,MATCH("2024::jama.2024.11057::C002",'C_jama.2024.11057'!$A$2:$A$4,0))="protocol_report"),IF(INDEX('C_jama.2024.11057'!$L$2:$L$4,MATCH("2024::jama.2024.11057::C002",'C_jama.2024.11057'!$A$2:$A$4,0))="","",INDEX('C_jama.2024.11057'!$L$2:$L$4,MATCH("2024::jama.2024.11057::C002",'C_jama.2024.11057'!$A$2:$A$4,0))),"not_applicable")</x:f>
        <x:v>not_applicable</x:v>
      </x:c>
      <x:c r="Z11" s="3" t="str">
        <x:f>IF(INDEX('C_jama.2024.11057'!$R$2:$R$4,MATCH("2024::jama.2024.11057::C002",'C_jama.2024.11057'!$A$2:$A$4,0))="","",INDEX('C_jama.2024.11057'!$R$2:$R$4,MATCH("2024::jama.2024.11057::C002",'C_jama.2024.11057'!$A$2:$A$4,0)))</x:f>
      </x:c>
      <x:c r="AA11" s="3" t="str">
        <x:f>IF(INDEX('C_jama.2024.11057'!$N$2:$N$4,MATCH("2024::jama.2024.11057::C002",'C_jama.2024.11057'!$A$2:$A$4,0))="","",INDEX('C_jama.2024.11057'!$N$2:$N$4,MATCH("2024::jama.2024.11057::C002",'C_jama.2024.11057'!$A$2:$A$4,0)))</x:f>
      </x:c>
      <x:c r="AB11" s="3" t="str">
        <x:f>IF(INDEX('C_jama.2024.11057'!$O$2:$O$4,MATCH("2024::jama.2024.11057::C002",'C_jama.2024.11057'!$A$2:$A$4,0))="","",INDEX('C_jama.2024.11057'!$O$2:$O$4,MATCH("2024::jama.2024.11057::C002",'C_jama.2024.11057'!$A$2:$A$4,0)))</x:f>
      </x:c>
      <x:c r="AC11" s="3" t="str">
        <x:f>IF(INDEX('C_jama.2024.11057'!$P$2:$P$4,MATCH("2024::jama.2024.11057::C002",'C_jama.2024.11057'!$A$2:$A$4,0))="","",INDEX('C_jama.2024.11057'!$P$2:$P$4,MATCH("2024::jama.2024.11057::C002",'C_jama.2024.11057'!$A$2:$A$4,0)))</x:f>
      </x:c>
      <x:c r="AD11" s="3" t="str">
        <x:f>IF(INDEX('C_jama.2024.11057'!$Q$2:$Q$4,MATCH("2024::jama.2024.11057::C002",'C_jama.2024.11057'!$A$2:$A$4,0))="","",INDEX('C_jama.2024.11057'!$Q$2:$Q$4,MATCH("2024::jama.2024.11057::C002",'C_jama.2024.11057'!$A$2:$A$4,0)))</x:f>
      </x:c>
    </x:row>
    <x:row r="12" ht="65" customHeight="1">
      <x:c r="A12" s="6" t="n">
        <x:v>2024</x:v>
      </x:c>
      <x:c r="B12" s="6" t="str">
        <x:v>jama.2024.11057</x:v>
      </x:c>
      <x:c r="C12" s="6" t="str">
        <x:v>2024::jama.2024.11057::C003</x:v>
      </x:c>
      <x:c r="D12" s="6" t="str">
        <x:v>S_W</x:v>
      </x:c>
      <x:c r="E12" s="6" t="n">
        <x:f>Setup!$B$2</x:f>
        <x:v>0</x:v>
      </x:c>
      <x:c r="F12" s="6" t="str">
        <x:f>IF(Setup!$B$4="","",Setup!$B$4)</x:f>
      </x:c>
      <x:c r="G12" s="6" t="str">
        <x:f>IFERROR(INDEX('C_jama.2024.11057'!$G$2:$G$4,MATCH("2024::jama.2024.11057::C003",'C_jama.2024.11057'!$A$2:$A$4,0)),"CHECK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IF(Setup!$B$6="primary","",IFERROR(IF(INDEX('Primary_snapshot'!$B$2:$B$92,MATCH(C12,'Primary_snapshot'!$A$2:$A$92,0))="","",INDEX('Primary_snapshot'!$B$2:$B$92,MATCH(C12,'Primary_snapshot'!$A$2:$A$92,0))),"SNAPSHOT MISSING"))</x:f>
      </x:c>
      <x:c r="L12" s="6" t="str">
        <x:f>IF(Setup!$B$6="primary","",IFERROR(IF(INDEX('Primary_snapshot'!$C$2:$C$92,MATCH(C12,'Primary_snapshot'!$A$2:$A$92,0))="","",INDEX('Primary_snapshot'!$C$2:$C$92,MATCH(C12,'Primary_snapshot'!$A$2:$A$92,0))),"SNAPSHOT MISSING"))</x:f>
      </x:c>
      <x:c r="M12" s="6" t="str">
        <x:f>IF(Setup!$B$6="primary","",IFERROR(IF(INDEX('Primary_snapshot'!$D$2:$D$92,MATCH(C12,'Primary_snapshot'!$A$2:$A$92,0))="","",INDEX('Primary_snapshot'!$D$2:$D$92,MATCH(C12,'Primary_snapshot'!$A$2:$A$92,0))),"SNAPSHOT MISSING"))</x:f>
      </x:c>
      <x:c r="N12" s="6" t="str">
        <x:f>IF(Setup!$B$6="primary","",IFERROR(IF(INDEX('Primary_snapshot'!$E$2:$E$92,MATCH(C12,'Primary_snapshot'!$A$2:$A$92,0))="","",INDEX('Primary_snapshot'!$E$2:$E$92,MATCH(C12,'Primary_snapshot'!$A$2:$A$92,0))),"SNAPSHOT MISSING"))</x:f>
      </x:c>
      <x:c r="O12" s="6" t="str">
        <x:f>IF(Setup!$B$6="primary","",IFERROR(IF(INDEX('Primary_snapshot'!$F$2:$F$92,MATCH(C12,'Primary_snapshot'!$A$2:$A$92,0))="","",INDEX('Primary_snapshot'!$F$2:$F$92,MATCH(C12,'Primary_snapshot'!$A$2:$A$92,0))),"SNAPSHOT MISSING"))</x:f>
      </x:c>
      <x:c r="P12" s="6" t="str">
        <x:f>IF(Setup!$B$6="primary","",IFERROR(IF(INDEX('Primary_snapshot'!$G$2:$G$92,MATCH(C12,'Primary_snapshot'!$A$2:$A$92,0))="","",INDEX('Primary_snapshot'!$G$2:$G$92,MATCH(C12,'Primary_snapshot'!$A$2:$A$92,0))),"SNAPSHOT MISSING"))</x:f>
      </x:c>
      <x:c r="Q12" s="6" t="str">
        <x:f>IF(Setup!$B$6="primary","",IFERROR(IF(INDEX('Primary_snapshot'!$H$2:$H$92,MATCH(C12,'Primary_snapshot'!$A$2:$A$92,0))="","",INDEX('Primary_snapshot'!$H$2:$H$92,MATCH(C12,'Primary_snapshot'!$A$2:$A$92,0))),"SNAPSHOT MISSING"))</x:f>
      </x:c>
      <x:c r="R12" s="6" t="str">
        <x:f>IF(Setup!$B$6="primary","",IFERROR(IF(INDEX('Primary_snapshot'!$I$2:$I$92,MATCH(C12,'Primary_snapshot'!$A$2:$A$92,0))="","",INDEX('Primary_snapshot'!$I$2:$I$92,MATCH(C12,'Primary_snapshot'!$A$2:$A$92,0))),"SNAPSHOT MISSING"))</x:f>
      </x:c>
      <x:c r="S12" s="6" t="str">
        <x:f>IF(INDEX('C_jama.2024.11057'!$D$2:$D$4,MATCH("2024::jama.2024.11057::C003",'C_jama.2024.11057'!$A$2:$A$4,0))="","",INDEX('C_jama.2024.11057'!$D$2:$D$4,MATCH("2024::jama.2024.11057::C003",'C_jama.2024.11057'!$A$2:$A$4,0)))</x:f>
      </x:c>
      <x:c r="T12" s="6" t="str">
        <x:f>IF(INDEX('C_jama.2024.11057'!$E$2:$E$4,MATCH("2024::jama.2024.11057::C003",'C_jama.2024.11057'!$A$2:$A$4,0))="","",INDEX('C_jama.2024.11057'!$E$2:$E$4,MATCH("2024::jama.2024.11057::C003",'C_jama.2024.11057'!$A$2:$A$4,0)))</x:f>
        <x:v>report_internal_inconsistency</x:v>
      </x:c>
      <x:c r="U12" s="6" t="str">
        <x:f>IF(AND(INDEX('C_jama.2024.11057'!$D$2:$D$4,MATCH("2024::jama.2024.11057::C003",'C_jama.2024.11057'!$A$2:$A$4,0))="retain",INDEX('C_jama.2024.11057'!$E$2:$E$4,MATCH("2024::jama.2024.11057::C003",'C_jama.2024.11057'!$A$2:$A$4,0))="statistical_results"),IF(INDEX('C_jama.2024.11057'!$H$2:$H$4,MATCH("2024::jama.2024.11057::C003",'C_jama.2024.11057'!$A$2:$A$4,0))="","",INDEX('C_jama.2024.11057'!$H$2:$H$4,MATCH("2024::jama.2024.11057::C003",'C_jama.2024.11057'!$A$2:$A$4,0))),"not_applicable")</x:f>
        <x:v>not_applicable</x:v>
      </x:c>
      <x:c r="V12" s="6" t="str">
        <x:f>IF(AND(INDEX('C_jama.2024.11057'!$D$2:$D$4,MATCH("2024::jama.2024.11057::C003",'C_jama.2024.11057'!$A$2:$A$4,0))="retain",INDEX('C_jama.2024.11057'!$E$2:$E$4,MATCH("2024::jama.2024.11057::C003",'C_jama.2024.11057'!$A$2:$A$4,0))="statistical_results"),IF(INDEX('C_jama.2024.11057'!$I$2:$I$4,MATCH("2024::jama.2024.11057::C003",'C_jama.2024.11057'!$A$2:$A$4,0))="","",INDEX('C_jama.2024.11057'!$I$2:$I$4,MATCH("2024::jama.2024.11057::C003",'C_jama.2024.11057'!$A$2:$A$4,0))),"not_applicable")</x:f>
        <x:v>not_applicable</x:v>
      </x:c>
      <x:c r="W12" s="6" t="str">
        <x:f>IF(AND(INDEX('C_jama.2024.11057'!$D$2:$D$4,MATCH("2024::jama.2024.11057::C003",'C_jama.2024.11057'!$A$2:$A$4,0))="retain",INDEX('C_jama.2024.11057'!$E$2:$E$4,MATCH("2024::jama.2024.11057::C003",'C_jama.2024.11057'!$A$2:$A$4,0))="statistical_results"),IF(INDEX('C_jama.2024.11057'!$J$2:$J$4,MATCH("2024::jama.2024.11057::C003",'C_jama.2024.11057'!$A$2:$A$4,0))="","",INDEX('C_jama.2024.11057'!$J$2:$J$4,MATCH("2024::jama.2024.11057::C003",'C_jama.2024.11057'!$A$2:$A$4,0))),"not_applicable")</x:f>
        <x:v>not_applicable</x:v>
      </x:c>
      <x:c r="X12" s="6" t="str">
        <x:f>IF(AND(INDEX('C_jama.2024.11057'!$D$2:$D$4,MATCH("2024::jama.2024.11057::C003",'C_jama.2024.11057'!$A$2:$A$4,0))="retain",OR(INDEX('C_jama.2024.11057'!$E$2:$E$4,MATCH("2024::jama.2024.11057::C003",'C_jama.2024.11057'!$A$2:$A$4,0))="report_internal_inconsistency",INDEX('C_jama.2024.11057'!$E$2:$E$4,MATCH("2024::jama.2024.11057::C003",'C_jama.2024.11057'!$A$2:$A$4,0))="plan_material")),IF(INDEX('C_jama.2024.11057'!$K$2:$K$4,MATCH("2024::jama.2024.11057::C003",'C_jama.2024.11057'!$A$2:$A$4,0))="","",INDEX('C_jama.2024.11057'!$K$2:$K$4,MATCH("2024::jama.2024.11057::C003",'C_jama.2024.11057'!$A$2:$A$4,0))),"not_applicable")</x:f>
        <x:v>not_applicable</x:v>
      </x:c>
      <x:c r="Y12" s="6" t="str">
        <x:f>IF(AND(INDEX('C_jama.2024.11057'!$D$2:$D$4,MATCH("2024::jama.2024.11057::C003",'C_jama.2024.11057'!$A$2:$A$4,0))="retain",INDEX('C_jama.2024.11057'!$E$2:$E$4,MATCH("2024::jama.2024.11057::C003",'C_jama.2024.11057'!$A$2:$A$4,0))="protocol_report"),IF(INDEX('C_jama.2024.11057'!$L$2:$L$4,MATCH("2024::jama.2024.11057::C003",'C_jama.2024.11057'!$A$2:$A$4,0))="","",INDEX('C_jama.2024.11057'!$L$2:$L$4,MATCH("2024::jama.2024.11057::C003",'C_jama.2024.11057'!$A$2:$A$4,0))),"not_applicable")</x:f>
        <x:v>not_applicable</x:v>
      </x:c>
      <x:c r="Z12" s="6" t="str">
        <x:f>IF(INDEX('C_jama.2024.11057'!$R$2:$R$4,MATCH("2024::jama.2024.11057::C003",'C_jama.2024.11057'!$A$2:$A$4,0))="","",INDEX('C_jama.2024.11057'!$R$2:$R$4,MATCH("2024::jama.2024.11057::C003",'C_jama.2024.11057'!$A$2:$A$4,0)))</x:f>
      </x:c>
      <x:c r="AA12" s="6" t="str">
        <x:f>IF(INDEX('C_jama.2024.11057'!$N$2:$N$4,MATCH("2024::jama.2024.11057::C003",'C_jama.2024.11057'!$A$2:$A$4,0))="","",INDEX('C_jama.2024.11057'!$N$2:$N$4,MATCH("2024::jama.2024.11057::C003",'C_jama.2024.11057'!$A$2:$A$4,0)))</x:f>
      </x:c>
      <x:c r="AB12" s="6" t="str">
        <x:f>IF(INDEX('C_jama.2024.11057'!$O$2:$O$4,MATCH("2024::jama.2024.11057::C003",'C_jama.2024.11057'!$A$2:$A$4,0))="","",INDEX('C_jama.2024.11057'!$O$2:$O$4,MATCH("2024::jama.2024.11057::C003",'C_jama.2024.11057'!$A$2:$A$4,0)))</x:f>
      </x:c>
      <x:c r="AC12" s="6" t="str">
        <x:f>IF(INDEX('C_jama.2024.11057'!$P$2:$P$4,MATCH("2024::jama.2024.11057::C003",'C_jama.2024.11057'!$A$2:$A$4,0))="","",INDEX('C_jama.2024.11057'!$P$2:$P$4,MATCH("2024::jama.2024.11057::C003",'C_jama.2024.11057'!$A$2:$A$4,0)))</x:f>
      </x:c>
      <x:c r="AD12" s="6" t="str">
        <x:f>IF(INDEX('C_jama.2024.11057'!$Q$2:$Q$4,MATCH("2024::jama.2024.11057::C003",'C_jama.2024.11057'!$A$2:$A$4,0))="","",INDEX('C_jama.2024.11057'!$Q$2:$Q$4,MATCH("2024::jama.2024.11057::C003",'C_jama.2024.11057'!$A$2:$A$4,0)))</x:f>
      </x:c>
    </x:row>
    <x:row r="13" ht="65" customHeight="1">
      <x:c r="A13" s="3" t="n">
        <x:v>2024</x:v>
      </x:c>
      <x:c r="B13" s="3" t="str">
        <x:v>jama.2024.12829</x:v>
      </x:c>
      <x:c r="C13" s="3" t="str">
        <x:v>2024::jama.2024.12829::C001</x:v>
      </x:c>
      <x:c r="D13" s="3" t="str">
        <x:v>S_W</x:v>
      </x:c>
      <x:c r="E13" s="3" t="n">
        <x:f>Setup!$B$2</x:f>
        <x:v>0</x:v>
      </x:c>
      <x:c r="F13" s="3" t="str">
        <x:f>IF(Setup!$B$4="","",Setup!$B$4)</x:f>
      </x:c>
      <x:c r="G13" s="3" t="str">
        <x:f>IFERROR(INDEX('C_jama.2024.12829'!$G$2:$G$18,MATCH("2024::jama.2024.12829::C001",'C_jama.2024.12829'!$A$2:$A$18,0)),"CHECK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statistical_results</x:v>
      </x:c>
      <x:c r="K13" s="3" t="str">
        <x:f>IF(Setup!$B$6="primary","",IFERROR(IF(INDEX('Primary_snapshot'!$B$2:$B$92,MATCH(C13,'Primary_snapshot'!$A$2:$A$92,0))="","",INDEX('Primary_snapshot'!$B$2:$B$92,MATCH(C13,'Primary_snapshot'!$A$2:$A$92,0))),"SNAPSHOT MISSING"))</x:f>
      </x:c>
      <x:c r="L13" s="3" t="str">
        <x:f>IF(Setup!$B$6="primary","",IFERROR(IF(INDEX('Primary_snapshot'!$C$2:$C$92,MATCH(C13,'Primary_snapshot'!$A$2:$A$92,0))="","",INDEX('Primary_snapshot'!$C$2:$C$92,MATCH(C13,'Primary_snapshot'!$A$2:$A$92,0))),"SNAPSHOT MISSING"))</x:f>
      </x:c>
      <x:c r="M13" s="3" t="str">
        <x:f>IF(Setup!$B$6="primary","",IFERROR(IF(INDEX('Primary_snapshot'!$D$2:$D$92,MATCH(C13,'Primary_snapshot'!$A$2:$A$92,0))="","",INDEX('Primary_snapshot'!$D$2:$D$92,MATCH(C13,'Primary_snapshot'!$A$2:$A$92,0))),"SNAPSHOT MISSING"))</x:f>
      </x:c>
      <x:c r="N13" s="3" t="str">
        <x:f>IF(Setup!$B$6="primary","",IFERROR(IF(INDEX('Primary_snapshot'!$E$2:$E$92,MATCH(C13,'Primary_snapshot'!$A$2:$A$92,0))="","",INDEX('Primary_snapshot'!$E$2:$E$92,MATCH(C13,'Primary_snapshot'!$A$2:$A$92,0))),"SNAPSHOT MISSING"))</x:f>
      </x:c>
      <x:c r="O13" s="3" t="str">
        <x:f>IF(Setup!$B$6="primary","",IFERROR(IF(INDEX('Primary_snapshot'!$F$2:$F$92,MATCH(C13,'Primary_snapshot'!$A$2:$A$92,0))="","",INDEX('Primary_snapshot'!$F$2:$F$92,MATCH(C13,'Primary_snapshot'!$A$2:$A$92,0))),"SNAPSHOT MISSING"))</x:f>
      </x:c>
      <x:c r="P13" s="3" t="str">
        <x:f>IF(Setup!$B$6="primary","",IFERROR(IF(INDEX('Primary_snapshot'!$G$2:$G$92,MATCH(C13,'Primary_snapshot'!$A$2:$A$92,0))="","",INDEX('Primary_snapshot'!$G$2:$G$92,MATCH(C13,'Primary_snapshot'!$A$2:$A$92,0))),"SNAPSHOT MISSING"))</x:f>
      </x:c>
      <x:c r="Q13" s="3" t="str">
        <x:f>IF(Setup!$B$6="primary","",IFERROR(IF(INDEX('Primary_snapshot'!$H$2:$H$92,MATCH(C13,'Primary_snapshot'!$A$2:$A$92,0))="","",INDEX('Primary_snapshot'!$H$2:$H$92,MATCH(C13,'Primary_snapshot'!$A$2:$A$92,0))),"SNAPSHOT MISSING"))</x:f>
      </x:c>
      <x:c r="R13" s="3" t="str">
        <x:f>IF(Setup!$B$6="primary","",IFERROR(IF(INDEX('Primary_snapshot'!$I$2:$I$92,MATCH(C13,'Primary_snapshot'!$A$2:$A$92,0))="","",INDEX('Primary_snapshot'!$I$2:$I$92,MATCH(C13,'Primary_snapshot'!$A$2:$A$92,0))),"SNAPSHOT MISSING"))</x:f>
      </x:c>
      <x:c r="S13" s="3" t="str">
        <x:f>IF(INDEX('C_jama.2024.12829'!$D$2:$D$18,MATCH("2024::jama.2024.12829::C001",'C_jama.2024.12829'!$A$2:$A$18,0))="","",INDEX('C_jama.2024.12829'!$D$2:$D$18,MATCH("2024::jama.2024.12829::C001",'C_jama.2024.12829'!$A$2:$A$18,0)))</x:f>
      </x:c>
      <x:c r="T13" s="3" t="str">
        <x:f>IF(INDEX('C_jama.2024.12829'!$E$2:$E$18,MATCH("2024::jama.2024.12829::C001",'C_jama.2024.12829'!$A$2:$A$18,0))="","",INDEX('C_jama.2024.12829'!$E$2:$E$18,MATCH("2024::jama.2024.12829::C001",'C_jama.2024.12829'!$A$2:$A$18,0)))</x:f>
        <x:v>statistical_results</x:v>
      </x:c>
      <x:c r="U13" s="3" t="str">
        <x:f>IF(AND(INDEX('C_jama.2024.12829'!$D$2:$D$18,MATCH("2024::jama.2024.12829::C001",'C_jama.2024.12829'!$A$2:$A$18,0))="retain",INDEX('C_jama.2024.12829'!$E$2:$E$18,MATCH("2024::jama.2024.12829::C001",'C_jama.2024.12829'!$A$2:$A$18,0))="statistical_results"),IF(INDEX('C_jama.2024.12829'!$H$2:$H$18,MATCH("2024::jama.2024.12829::C001",'C_jama.2024.12829'!$A$2:$A$18,0))="","",INDEX('C_jama.2024.12829'!$H$2:$H$18,MATCH("2024::jama.2024.12829::C001",'C_jama.2024.12829'!$A$2:$A$18,0))),"not_applicable")</x:f>
        <x:v>not_applicable</x:v>
      </x:c>
      <x:c r="V13" s="3" t="str">
        <x:f>IF(AND(INDEX('C_jama.2024.12829'!$D$2:$D$18,MATCH("2024::jama.2024.12829::C001",'C_jama.2024.12829'!$A$2:$A$18,0))="retain",INDEX('C_jama.2024.12829'!$E$2:$E$18,MATCH("2024::jama.2024.12829::C001",'C_jama.2024.12829'!$A$2:$A$18,0))="statistical_results"),IF(INDEX('C_jama.2024.12829'!$I$2:$I$18,MATCH("2024::jama.2024.12829::C001",'C_jama.2024.12829'!$A$2:$A$18,0))="","",INDEX('C_jama.2024.12829'!$I$2:$I$18,MATCH("2024::jama.2024.12829::C001",'C_jama.2024.12829'!$A$2:$A$18,0))),"not_applicable")</x:f>
        <x:v>not_applicable</x:v>
      </x:c>
      <x:c r="W13" s="3" t="str">
        <x:f>IF(AND(INDEX('C_jama.2024.12829'!$D$2:$D$18,MATCH("2024::jama.2024.12829::C001",'C_jama.2024.12829'!$A$2:$A$18,0))="retain",INDEX('C_jama.2024.12829'!$E$2:$E$18,MATCH("2024::jama.2024.12829::C001",'C_jama.2024.12829'!$A$2:$A$18,0))="statistical_results"),IF(INDEX('C_jama.2024.12829'!$J$2:$J$18,MATCH("2024::jama.2024.12829::C001",'C_jama.2024.12829'!$A$2:$A$18,0))="","",INDEX('C_jama.2024.12829'!$J$2:$J$18,MATCH("2024::jama.2024.12829::C001",'C_jama.2024.12829'!$A$2:$A$18,0))),"not_applicable")</x:f>
        <x:v>not_applicable</x:v>
      </x:c>
      <x:c r="X13" s="3" t="str">
        <x:f>IF(AND(INDEX('C_jama.2024.12829'!$D$2:$D$18,MATCH("2024::jama.2024.12829::C001",'C_jama.2024.12829'!$A$2:$A$18,0))="retain",OR(INDEX('C_jama.2024.12829'!$E$2:$E$18,MATCH("2024::jama.2024.12829::C001",'C_jama.2024.12829'!$A$2:$A$18,0))="report_internal_inconsistency",INDEX('C_jama.2024.12829'!$E$2:$E$18,MATCH("2024::jama.2024.12829::C001",'C_jama.2024.12829'!$A$2:$A$18,0))="plan_material")),IF(INDEX('C_jama.2024.12829'!$K$2:$K$18,MATCH("2024::jama.2024.12829::C001",'C_jama.2024.12829'!$A$2:$A$18,0))="","",INDEX('C_jama.2024.12829'!$K$2:$K$18,MATCH("2024::jama.2024.12829::C001",'C_jama.2024.12829'!$A$2:$A$18,0))),"not_applicable")</x:f>
        <x:v>not_applicable</x:v>
      </x:c>
      <x:c r="Y13" s="3" t="str">
        <x:f>IF(AND(INDEX('C_jama.2024.12829'!$D$2:$D$18,MATCH("2024::jama.2024.12829::C001",'C_jama.2024.12829'!$A$2:$A$18,0))="retain",INDEX('C_jama.2024.12829'!$E$2:$E$18,MATCH("2024::jama.2024.12829::C001",'C_jama.2024.12829'!$A$2:$A$18,0))="protocol_report"),IF(INDEX('C_jama.2024.12829'!$L$2:$L$18,MATCH("2024::jama.2024.12829::C001",'C_jama.2024.12829'!$A$2:$A$18,0))="","",INDEX('C_jama.2024.12829'!$L$2:$L$18,MATCH("2024::jama.2024.12829::C001",'C_jama.2024.12829'!$A$2:$A$18,0))),"not_applicable")</x:f>
        <x:v>not_applicable</x:v>
      </x:c>
      <x:c r="Z13" s="3" t="str">
        <x:f>IF(INDEX('C_jama.2024.12829'!$R$2:$R$18,MATCH("2024::jama.2024.12829::C001",'C_jama.2024.12829'!$A$2:$A$18,0))="","",INDEX('C_jama.2024.12829'!$R$2:$R$18,MATCH("2024::jama.2024.12829::C001",'C_jama.2024.12829'!$A$2:$A$18,0)))</x:f>
      </x:c>
      <x:c r="AA13" s="3" t="str">
        <x:f>IF(INDEX('C_jama.2024.12829'!$N$2:$N$18,MATCH("2024::jama.2024.12829::C001",'C_jama.2024.12829'!$A$2:$A$18,0))="","",INDEX('C_jama.2024.12829'!$N$2:$N$18,MATCH("2024::jama.2024.12829::C001",'C_jama.2024.12829'!$A$2:$A$18,0)))</x:f>
      </x:c>
      <x:c r="AB13" s="3" t="str">
        <x:f>IF(INDEX('C_jama.2024.12829'!$O$2:$O$18,MATCH("2024::jama.2024.12829::C001",'C_jama.2024.12829'!$A$2:$A$18,0))="","",INDEX('C_jama.2024.12829'!$O$2:$O$18,MATCH("2024::jama.2024.12829::C001",'C_jama.2024.12829'!$A$2:$A$18,0)))</x:f>
      </x:c>
      <x:c r="AC13" s="3" t="str">
        <x:f>IF(INDEX('C_jama.2024.12829'!$P$2:$P$18,MATCH("2024::jama.2024.12829::C001",'C_jama.2024.12829'!$A$2:$A$18,0))="","",INDEX('C_jama.2024.12829'!$P$2:$P$18,MATCH("2024::jama.2024.12829::C001",'C_jama.2024.12829'!$A$2:$A$18,0)))</x:f>
      </x:c>
      <x:c r="AD13" s="3" t="str">
        <x:f>IF(INDEX('C_jama.2024.12829'!$Q$2:$Q$18,MATCH("2024::jama.2024.12829::C001",'C_jama.2024.12829'!$A$2:$A$18,0))="","",INDEX('C_jama.2024.12829'!$Q$2:$Q$18,MATCH("2024::jama.2024.12829::C001",'C_jama.2024.12829'!$A$2:$A$18,0)))</x:f>
      </x:c>
    </x:row>
    <x:row r="14" ht="65" customHeight="1">
      <x:c r="A14" s="6" t="n">
        <x:v>2024</x:v>
      </x:c>
      <x:c r="B14" s="6" t="str">
        <x:v>jama.2024.12829</x:v>
      </x:c>
      <x:c r="C14" s="6" t="str">
        <x:v>2024::jama.2024.12829::C002</x:v>
      </x:c>
      <x:c r="D14" s="6" t="str">
        <x:v>S_W</x:v>
      </x:c>
      <x:c r="E14" s="6" t="n">
        <x:f>Setup!$B$2</x:f>
        <x:v>0</x:v>
      </x:c>
      <x:c r="F14" s="6" t="str">
        <x:f>IF(Setup!$B$4="","",Setup!$B$4)</x:f>
      </x:c>
      <x:c r="G14" s="6" t="str">
        <x:f>IFERROR(INDEX('C_jama.2024.12829'!$G$2:$G$18,MATCH("2024::jama.2024.12829::C002",'C_jama.2024.12829'!$A$2:$A$18,0)),"CHECK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statistical_results</x:v>
      </x:c>
      <x:c r="K14" s="6" t="str">
        <x:f>IF(Setup!$B$6="primary","",IFERROR(IF(INDEX('Primary_snapshot'!$B$2:$B$92,MATCH(C14,'Primary_snapshot'!$A$2:$A$92,0))="","",INDEX('Primary_snapshot'!$B$2:$B$92,MATCH(C14,'Primary_snapshot'!$A$2:$A$92,0))),"SNAPSHOT MISSING"))</x:f>
      </x:c>
      <x:c r="L14" s="6" t="str">
        <x:f>IF(Setup!$B$6="primary","",IFERROR(IF(INDEX('Primary_snapshot'!$C$2:$C$92,MATCH(C14,'Primary_snapshot'!$A$2:$A$92,0))="","",INDEX('Primary_snapshot'!$C$2:$C$92,MATCH(C14,'Primary_snapshot'!$A$2:$A$92,0))),"SNAPSHOT MISSING"))</x:f>
      </x:c>
      <x:c r="M14" s="6" t="str">
        <x:f>IF(Setup!$B$6="primary","",IFERROR(IF(INDEX('Primary_snapshot'!$D$2:$D$92,MATCH(C14,'Primary_snapshot'!$A$2:$A$92,0))="","",INDEX('Primary_snapshot'!$D$2:$D$92,MATCH(C14,'Primary_snapshot'!$A$2:$A$92,0))),"SNAPSHOT MISSING"))</x:f>
      </x:c>
      <x:c r="N14" s="6" t="str">
        <x:f>IF(Setup!$B$6="primary","",IFERROR(IF(INDEX('Primary_snapshot'!$E$2:$E$92,MATCH(C14,'Primary_snapshot'!$A$2:$A$92,0))="","",INDEX('Primary_snapshot'!$E$2:$E$92,MATCH(C14,'Primary_snapshot'!$A$2:$A$92,0))),"SNAPSHOT MISSING"))</x:f>
      </x:c>
      <x:c r="O14" s="6" t="str">
        <x:f>IF(Setup!$B$6="primary","",IFERROR(IF(INDEX('Primary_snapshot'!$F$2:$F$92,MATCH(C14,'Primary_snapshot'!$A$2:$A$92,0))="","",INDEX('Primary_snapshot'!$F$2:$F$92,MATCH(C14,'Primary_snapshot'!$A$2:$A$92,0))),"SNAPSHOT MISSING"))</x:f>
      </x:c>
      <x:c r="P14" s="6" t="str">
        <x:f>IF(Setup!$B$6="primary","",IFERROR(IF(INDEX('Primary_snapshot'!$G$2:$G$92,MATCH(C14,'Primary_snapshot'!$A$2:$A$92,0))="","",INDEX('Primary_snapshot'!$G$2:$G$92,MATCH(C14,'Primary_snapshot'!$A$2:$A$92,0))),"SNAPSHOT MISSING"))</x:f>
      </x:c>
      <x:c r="Q14" s="6" t="str">
        <x:f>IF(Setup!$B$6="primary","",IFERROR(IF(INDEX('Primary_snapshot'!$H$2:$H$92,MATCH(C14,'Primary_snapshot'!$A$2:$A$92,0))="","",INDEX('Primary_snapshot'!$H$2:$H$92,MATCH(C14,'Primary_snapshot'!$A$2:$A$92,0))),"SNAPSHOT MISSING"))</x:f>
      </x:c>
      <x:c r="R14" s="6" t="str">
        <x:f>IF(Setup!$B$6="primary","",IFERROR(IF(INDEX('Primary_snapshot'!$I$2:$I$92,MATCH(C14,'Primary_snapshot'!$A$2:$A$92,0))="","",INDEX('Primary_snapshot'!$I$2:$I$92,MATCH(C14,'Primary_snapshot'!$A$2:$A$92,0))),"SNAPSHOT MISSING"))</x:f>
      </x:c>
      <x:c r="S14" s="6" t="str">
        <x:f>IF(INDEX('C_jama.2024.12829'!$D$2:$D$18,MATCH("2024::jama.2024.12829::C002",'C_jama.2024.12829'!$A$2:$A$18,0))="","",INDEX('C_jama.2024.12829'!$D$2:$D$18,MATCH("2024::jama.2024.12829::C002",'C_jama.2024.12829'!$A$2:$A$18,0)))</x:f>
      </x:c>
      <x:c r="T14" s="6" t="str">
        <x:f>IF(INDEX('C_jama.2024.12829'!$E$2:$E$18,MATCH("2024::jama.2024.12829::C002",'C_jama.2024.12829'!$A$2:$A$18,0))="","",INDEX('C_jama.2024.12829'!$E$2:$E$18,MATCH("2024::jama.2024.12829::C002",'C_jama.2024.12829'!$A$2:$A$18,0)))</x:f>
        <x:v>statistical_results</x:v>
      </x:c>
      <x:c r="U14" s="6" t="str">
        <x:f>IF(AND(INDEX('C_jama.2024.12829'!$D$2:$D$18,MATCH("2024::jama.2024.12829::C002",'C_jama.2024.12829'!$A$2:$A$18,0))="retain",INDEX('C_jama.2024.12829'!$E$2:$E$18,MATCH("2024::jama.2024.12829::C002",'C_jama.2024.12829'!$A$2:$A$18,0))="statistical_results"),IF(INDEX('C_jama.2024.12829'!$H$2:$H$18,MATCH("2024::jama.2024.12829::C002",'C_jama.2024.12829'!$A$2:$A$18,0))="","",INDEX('C_jama.2024.12829'!$H$2:$H$18,MATCH("2024::jama.2024.12829::C002",'C_jama.2024.12829'!$A$2:$A$18,0))),"not_applicable")</x:f>
        <x:v>not_applicable</x:v>
      </x:c>
      <x:c r="V14" s="6" t="str">
        <x:f>IF(AND(INDEX('C_jama.2024.12829'!$D$2:$D$18,MATCH("2024::jama.2024.12829::C002",'C_jama.2024.12829'!$A$2:$A$18,0))="retain",INDEX('C_jama.2024.12829'!$E$2:$E$18,MATCH("2024::jama.2024.12829::C002",'C_jama.2024.12829'!$A$2:$A$18,0))="statistical_results"),IF(INDEX('C_jama.2024.12829'!$I$2:$I$18,MATCH("2024::jama.2024.12829::C002",'C_jama.2024.12829'!$A$2:$A$18,0))="","",INDEX('C_jama.2024.12829'!$I$2:$I$18,MATCH("2024::jama.2024.12829::C002",'C_jama.2024.12829'!$A$2:$A$18,0))),"not_applicable")</x:f>
        <x:v>not_applicable</x:v>
      </x:c>
      <x:c r="W14" s="6" t="str">
        <x:f>IF(AND(INDEX('C_jama.2024.12829'!$D$2:$D$18,MATCH("2024::jama.2024.12829::C002",'C_jama.2024.12829'!$A$2:$A$18,0))="retain",INDEX('C_jama.2024.12829'!$E$2:$E$18,MATCH("2024::jama.2024.12829::C002",'C_jama.2024.12829'!$A$2:$A$18,0))="statistical_results"),IF(INDEX('C_jama.2024.12829'!$J$2:$J$18,MATCH("2024::jama.2024.12829::C002",'C_jama.2024.12829'!$A$2:$A$18,0))="","",INDEX('C_jama.2024.12829'!$J$2:$J$18,MATCH("2024::jama.2024.12829::C002",'C_jama.2024.12829'!$A$2:$A$18,0))),"not_applicable")</x:f>
        <x:v>not_applicable</x:v>
      </x:c>
      <x:c r="X14" s="6" t="str">
        <x:f>IF(AND(INDEX('C_jama.2024.12829'!$D$2:$D$18,MATCH("2024::jama.2024.12829::C002",'C_jama.2024.12829'!$A$2:$A$18,0))="retain",OR(INDEX('C_jama.2024.12829'!$E$2:$E$18,MATCH("2024::jama.2024.12829::C002",'C_jama.2024.12829'!$A$2:$A$18,0))="report_internal_inconsistency",INDEX('C_jama.2024.12829'!$E$2:$E$18,MATCH("2024::jama.2024.12829::C002",'C_jama.2024.12829'!$A$2:$A$18,0))="plan_material")),IF(INDEX('C_jama.2024.12829'!$K$2:$K$18,MATCH("2024::jama.2024.12829::C002",'C_jama.2024.12829'!$A$2:$A$18,0))="","",INDEX('C_jama.2024.12829'!$K$2:$K$18,MATCH("2024::jama.2024.12829::C002",'C_jama.2024.12829'!$A$2:$A$18,0))),"not_applicable")</x:f>
        <x:v>not_applicable</x:v>
      </x:c>
      <x:c r="Y14" s="6" t="str">
        <x:f>IF(AND(INDEX('C_jama.2024.12829'!$D$2:$D$18,MATCH("2024::jama.2024.12829::C002",'C_jama.2024.12829'!$A$2:$A$18,0))="retain",INDEX('C_jama.2024.12829'!$E$2:$E$18,MATCH("2024::jama.2024.12829::C002",'C_jama.2024.12829'!$A$2:$A$18,0))="protocol_report"),IF(INDEX('C_jama.2024.12829'!$L$2:$L$18,MATCH("2024::jama.2024.12829::C002",'C_jama.2024.12829'!$A$2:$A$18,0))="","",INDEX('C_jama.2024.12829'!$L$2:$L$18,MATCH("2024::jama.2024.12829::C002",'C_jama.2024.12829'!$A$2:$A$18,0))),"not_applicable")</x:f>
        <x:v>not_applicable</x:v>
      </x:c>
      <x:c r="Z14" s="6" t="str">
        <x:f>IF(INDEX('C_jama.2024.12829'!$R$2:$R$18,MATCH("2024::jama.2024.12829::C002",'C_jama.2024.12829'!$A$2:$A$18,0))="","",INDEX('C_jama.2024.12829'!$R$2:$R$18,MATCH("2024::jama.2024.12829::C002",'C_jama.2024.12829'!$A$2:$A$18,0)))</x:f>
      </x:c>
      <x:c r="AA14" s="6" t="str">
        <x:f>IF(INDEX('C_jama.2024.12829'!$N$2:$N$18,MATCH("2024::jama.2024.12829::C002",'C_jama.2024.12829'!$A$2:$A$18,0))="","",INDEX('C_jama.2024.12829'!$N$2:$N$18,MATCH("2024::jama.2024.12829::C002",'C_jama.2024.12829'!$A$2:$A$18,0)))</x:f>
      </x:c>
      <x:c r="AB14" s="6" t="str">
        <x:f>IF(INDEX('C_jama.2024.12829'!$O$2:$O$18,MATCH("2024::jama.2024.12829::C002",'C_jama.2024.12829'!$A$2:$A$18,0))="","",INDEX('C_jama.2024.12829'!$O$2:$O$18,MATCH("2024::jama.2024.12829::C002",'C_jama.2024.12829'!$A$2:$A$18,0)))</x:f>
      </x:c>
      <x:c r="AC14" s="6" t="str">
        <x:f>IF(INDEX('C_jama.2024.12829'!$P$2:$P$18,MATCH("2024::jama.2024.12829::C002",'C_jama.2024.12829'!$A$2:$A$18,0))="","",INDEX('C_jama.2024.12829'!$P$2:$P$18,MATCH("2024::jama.2024.12829::C002",'C_jama.2024.12829'!$A$2:$A$18,0)))</x:f>
      </x:c>
      <x:c r="AD14" s="6" t="str">
        <x:f>IF(INDEX('C_jama.2024.12829'!$Q$2:$Q$18,MATCH("2024::jama.2024.12829::C002",'C_jama.2024.12829'!$A$2:$A$18,0))="","",INDEX('C_jama.2024.12829'!$Q$2:$Q$18,MATCH("2024::jama.2024.12829::C002",'C_jama.2024.12829'!$A$2:$A$18,0)))</x:f>
      </x:c>
    </x:row>
    <x:row r="15" ht="65" customHeight="1">
      <x:c r="A15" s="3" t="n">
        <x:v>2024</x:v>
      </x:c>
      <x:c r="B15" s="3" t="str">
        <x:v>jama.2024.12829</x:v>
      </x:c>
      <x:c r="C15" s="3" t="str">
        <x:v>2024::jama.2024.12829::C003</x:v>
      </x:c>
      <x:c r="D15" s="3" t="str">
        <x:v>S_W</x:v>
      </x:c>
      <x:c r="E15" s="3" t="n">
        <x:f>Setup!$B$2</x:f>
        <x:v>0</x:v>
      </x:c>
      <x:c r="F15" s="3" t="str">
        <x:f>IF(Setup!$B$4="","",Setup!$B$4)</x:f>
      </x:c>
      <x:c r="G15" s="3" t="str">
        <x:f>IFERROR(INDEX('C_jama.2024.12829'!$G$2:$G$18,MATCH("2024::jama.2024.12829::C003",'C_jama.2024.12829'!$A$2:$A$18,0)),"CHECK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IF(Setup!$B$6="primary","",IFERROR(IF(INDEX('Primary_snapshot'!$B$2:$B$92,MATCH(C15,'Primary_snapshot'!$A$2:$A$92,0))="","",INDEX('Primary_snapshot'!$B$2:$B$92,MATCH(C15,'Primary_snapshot'!$A$2:$A$92,0))),"SNAPSHOT MISSING"))</x:f>
      </x:c>
      <x:c r="L15" s="3" t="str">
        <x:f>IF(Setup!$B$6="primary","",IFERROR(IF(INDEX('Primary_snapshot'!$C$2:$C$92,MATCH(C15,'Primary_snapshot'!$A$2:$A$92,0))="","",INDEX('Primary_snapshot'!$C$2:$C$92,MATCH(C15,'Primary_snapshot'!$A$2:$A$92,0))),"SNAPSHOT MISSING"))</x:f>
      </x:c>
      <x:c r="M15" s="3" t="str">
        <x:f>IF(Setup!$B$6="primary","",IFERROR(IF(INDEX('Primary_snapshot'!$D$2:$D$92,MATCH(C15,'Primary_snapshot'!$A$2:$A$92,0))="","",INDEX('Primary_snapshot'!$D$2:$D$92,MATCH(C15,'Primary_snapshot'!$A$2:$A$92,0))),"SNAPSHOT MISSING"))</x:f>
      </x:c>
      <x:c r="N15" s="3" t="str">
        <x:f>IF(Setup!$B$6="primary","",IFERROR(IF(INDEX('Primary_snapshot'!$E$2:$E$92,MATCH(C15,'Primary_snapshot'!$A$2:$A$92,0))="","",INDEX('Primary_snapshot'!$E$2:$E$92,MATCH(C15,'Primary_snapshot'!$A$2:$A$92,0))),"SNAPSHOT MISSING"))</x:f>
      </x:c>
      <x:c r="O15" s="3" t="str">
        <x:f>IF(Setup!$B$6="primary","",IFERROR(IF(INDEX('Primary_snapshot'!$F$2:$F$92,MATCH(C15,'Primary_snapshot'!$A$2:$A$92,0))="","",INDEX('Primary_snapshot'!$F$2:$F$92,MATCH(C15,'Primary_snapshot'!$A$2:$A$92,0))),"SNAPSHOT MISSING"))</x:f>
      </x:c>
      <x:c r="P15" s="3" t="str">
        <x:f>IF(Setup!$B$6="primary","",IFERROR(IF(INDEX('Primary_snapshot'!$G$2:$G$92,MATCH(C15,'Primary_snapshot'!$A$2:$A$92,0))="","",INDEX('Primary_snapshot'!$G$2:$G$92,MATCH(C15,'Primary_snapshot'!$A$2:$A$92,0))),"SNAPSHOT MISSING"))</x:f>
      </x:c>
      <x:c r="Q15" s="3" t="str">
        <x:f>IF(Setup!$B$6="primary","",IFERROR(IF(INDEX('Primary_snapshot'!$H$2:$H$92,MATCH(C15,'Primary_snapshot'!$A$2:$A$92,0))="","",INDEX('Primary_snapshot'!$H$2:$H$92,MATCH(C15,'Primary_snapshot'!$A$2:$A$92,0))),"SNAPSHOT MISSING"))</x:f>
      </x:c>
      <x:c r="R15" s="3" t="str">
        <x:f>IF(Setup!$B$6="primary","",IFERROR(IF(INDEX('Primary_snapshot'!$I$2:$I$92,MATCH(C15,'Primary_snapshot'!$A$2:$A$92,0))="","",INDEX('Primary_snapshot'!$I$2:$I$92,MATCH(C15,'Primary_snapshot'!$A$2:$A$92,0))),"SNAPSHOT MISSING"))</x:f>
      </x:c>
      <x:c r="S15" s="3" t="str">
        <x:f>IF(INDEX('C_jama.2024.12829'!$D$2:$D$18,MATCH("2024::jama.2024.12829::C003",'C_jama.2024.12829'!$A$2:$A$18,0))="","",INDEX('C_jama.2024.12829'!$D$2:$D$18,MATCH("2024::jama.2024.12829::C003",'C_jama.2024.12829'!$A$2:$A$18,0)))</x:f>
      </x:c>
      <x:c r="T15" s="3" t="str">
        <x:f>IF(INDEX('C_jama.2024.12829'!$E$2:$E$18,MATCH("2024::jama.2024.12829::C003",'C_jama.2024.12829'!$A$2:$A$18,0))="","",INDEX('C_jama.2024.12829'!$E$2:$E$18,MATCH("2024::jama.2024.12829::C003",'C_jama.2024.12829'!$A$2:$A$18,0)))</x:f>
        <x:v>statistical_results</x:v>
      </x:c>
      <x:c r="U15" s="3" t="str">
        <x:f>IF(AND(INDEX('C_jama.2024.12829'!$D$2:$D$18,MATCH("2024::jama.2024.12829::C003",'C_jama.2024.12829'!$A$2:$A$18,0))="retain",INDEX('C_jama.2024.12829'!$E$2:$E$18,MATCH("2024::jama.2024.12829::C003",'C_jama.2024.12829'!$A$2:$A$18,0))="statistical_results"),IF(INDEX('C_jama.2024.12829'!$H$2:$H$18,MATCH("2024::jama.2024.12829::C003",'C_jama.2024.12829'!$A$2:$A$18,0))="","",INDEX('C_jama.2024.12829'!$H$2:$H$18,MATCH("2024::jama.2024.12829::C003",'C_jama.2024.12829'!$A$2:$A$18,0))),"not_applicable")</x:f>
        <x:v>not_applicable</x:v>
      </x:c>
      <x:c r="V15" s="3" t="str">
        <x:f>IF(AND(INDEX('C_jama.2024.12829'!$D$2:$D$18,MATCH("2024::jama.2024.12829::C003",'C_jama.2024.12829'!$A$2:$A$18,0))="retain",INDEX('C_jama.2024.12829'!$E$2:$E$18,MATCH("2024::jama.2024.12829::C003",'C_jama.2024.12829'!$A$2:$A$18,0))="statistical_results"),IF(INDEX('C_jama.2024.12829'!$I$2:$I$18,MATCH("2024::jama.2024.12829::C003",'C_jama.2024.12829'!$A$2:$A$18,0))="","",INDEX('C_jama.2024.12829'!$I$2:$I$18,MATCH("2024::jama.2024.12829::C003",'C_jama.2024.12829'!$A$2:$A$18,0))),"not_applicable")</x:f>
        <x:v>not_applicable</x:v>
      </x:c>
      <x:c r="W15" s="3" t="str">
        <x:f>IF(AND(INDEX('C_jama.2024.12829'!$D$2:$D$18,MATCH("2024::jama.2024.12829::C003",'C_jama.2024.12829'!$A$2:$A$18,0))="retain",INDEX('C_jama.2024.12829'!$E$2:$E$18,MATCH("2024::jama.2024.12829::C003",'C_jama.2024.12829'!$A$2:$A$18,0))="statistical_results"),IF(INDEX('C_jama.2024.12829'!$J$2:$J$18,MATCH("2024::jama.2024.12829::C003",'C_jama.2024.12829'!$A$2:$A$18,0))="","",INDEX('C_jama.2024.12829'!$J$2:$J$18,MATCH("2024::jama.2024.12829::C003",'C_jama.2024.12829'!$A$2:$A$18,0))),"not_applicable")</x:f>
        <x:v>not_applicable</x:v>
      </x:c>
      <x:c r="X15" s="3" t="str">
        <x:f>IF(AND(INDEX('C_jama.2024.12829'!$D$2:$D$18,MATCH("2024::jama.2024.12829::C003",'C_jama.2024.12829'!$A$2:$A$18,0))="retain",OR(INDEX('C_jama.2024.12829'!$E$2:$E$18,MATCH("2024::jama.2024.12829::C003",'C_jama.2024.12829'!$A$2:$A$18,0))="report_internal_inconsistency",INDEX('C_jama.2024.12829'!$E$2:$E$18,MATCH("2024::jama.2024.12829::C003",'C_jama.2024.12829'!$A$2:$A$18,0))="plan_material")),IF(INDEX('C_jama.2024.12829'!$K$2:$K$18,MATCH("2024::jama.2024.12829::C003",'C_jama.2024.12829'!$A$2:$A$18,0))="","",INDEX('C_jama.2024.12829'!$K$2:$K$18,MATCH("2024::jama.2024.12829::C003",'C_jama.2024.12829'!$A$2:$A$18,0))),"not_applicable")</x:f>
        <x:v>not_applicable</x:v>
      </x:c>
      <x:c r="Y15" s="3" t="str">
        <x:f>IF(AND(INDEX('C_jama.2024.12829'!$D$2:$D$18,MATCH("2024::jama.2024.12829::C003",'C_jama.2024.12829'!$A$2:$A$18,0))="retain",INDEX('C_jama.2024.12829'!$E$2:$E$18,MATCH("2024::jama.2024.12829::C003",'C_jama.2024.12829'!$A$2:$A$18,0))="protocol_report"),IF(INDEX('C_jama.2024.12829'!$L$2:$L$18,MATCH("2024::jama.2024.12829::C003",'C_jama.2024.12829'!$A$2:$A$18,0))="","",INDEX('C_jama.2024.12829'!$L$2:$L$18,MATCH("2024::jama.2024.12829::C003",'C_jama.2024.12829'!$A$2:$A$18,0))),"not_applicable")</x:f>
        <x:v>not_applicable</x:v>
      </x:c>
      <x:c r="Z15" s="3" t="str">
        <x:f>IF(INDEX('C_jama.2024.12829'!$R$2:$R$18,MATCH("2024::jama.2024.12829::C003",'C_jama.2024.12829'!$A$2:$A$18,0))="","",INDEX('C_jama.2024.12829'!$R$2:$R$18,MATCH("2024::jama.2024.12829::C003",'C_jama.2024.12829'!$A$2:$A$18,0)))</x:f>
      </x:c>
      <x:c r="AA15" s="3" t="str">
        <x:f>IF(INDEX('C_jama.2024.12829'!$N$2:$N$18,MATCH("2024::jama.2024.12829::C003",'C_jama.2024.12829'!$A$2:$A$18,0))="","",INDEX('C_jama.2024.12829'!$N$2:$N$18,MATCH("2024::jama.2024.12829::C003",'C_jama.2024.12829'!$A$2:$A$18,0)))</x:f>
      </x:c>
      <x:c r="AB15" s="3" t="str">
        <x:f>IF(INDEX('C_jama.2024.12829'!$O$2:$O$18,MATCH("2024::jama.2024.12829::C003",'C_jama.2024.12829'!$A$2:$A$18,0))="","",INDEX('C_jama.2024.12829'!$O$2:$O$18,MATCH("2024::jama.2024.12829::C003",'C_jama.2024.12829'!$A$2:$A$18,0)))</x:f>
      </x:c>
      <x:c r="AC15" s="3" t="str">
        <x:f>IF(INDEX('C_jama.2024.12829'!$P$2:$P$18,MATCH("2024::jama.2024.12829::C003",'C_jama.2024.12829'!$A$2:$A$18,0))="","",INDEX('C_jama.2024.12829'!$P$2:$P$18,MATCH("2024::jama.2024.12829::C003",'C_jama.2024.12829'!$A$2:$A$18,0)))</x:f>
      </x:c>
      <x:c r="AD15" s="3" t="str">
        <x:f>IF(INDEX('C_jama.2024.12829'!$Q$2:$Q$18,MATCH("2024::jama.2024.12829::C003",'C_jama.2024.12829'!$A$2:$A$18,0))="","",INDEX('C_jama.2024.12829'!$Q$2:$Q$18,MATCH("2024::jama.2024.12829::C003",'C_jama.2024.12829'!$A$2:$A$18,0)))</x:f>
      </x:c>
    </x:row>
    <x:row r="16" ht="65" customHeight="1">
      <x:c r="A16" s="6" t="n">
        <x:v>2024</x:v>
      </x:c>
      <x:c r="B16" s="6" t="str">
        <x:v>jama.2024.12829</x:v>
      </x:c>
      <x:c r="C16" s="6" t="str">
        <x:v>2024::jama.2024.12829::C004</x:v>
      </x:c>
      <x:c r="D16" s="6" t="str">
        <x:v>S_W</x:v>
      </x:c>
      <x:c r="E16" s="6" t="n">
        <x:f>Setup!$B$2</x:f>
        <x:v>0</x:v>
      </x:c>
      <x:c r="F16" s="6" t="str">
        <x:f>IF(Setup!$B$4="","",Setup!$B$4)</x:f>
      </x:c>
      <x:c r="G16" s="6" t="str">
        <x:f>IFERROR(INDEX('C_jama.2024.12829'!$G$2:$G$18,MATCH("2024::jama.2024.12829::C004",'C_jama.2024.12829'!$A$2:$A$18,0)),"CHECK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statistical_results</x:v>
      </x:c>
      <x:c r="K16" s="6" t="str">
        <x:f>IF(Setup!$B$6="primary","",IFERROR(IF(INDEX('Primary_snapshot'!$B$2:$B$92,MATCH(C16,'Primary_snapshot'!$A$2:$A$92,0))="","",INDEX('Primary_snapshot'!$B$2:$B$92,MATCH(C16,'Primary_snapshot'!$A$2:$A$92,0))),"SNAPSHOT MISSING"))</x:f>
      </x:c>
      <x:c r="L16" s="6" t="str">
        <x:f>IF(Setup!$B$6="primary","",IFERROR(IF(INDEX('Primary_snapshot'!$C$2:$C$92,MATCH(C16,'Primary_snapshot'!$A$2:$A$92,0))="","",INDEX('Primary_snapshot'!$C$2:$C$92,MATCH(C16,'Primary_snapshot'!$A$2:$A$92,0))),"SNAPSHOT MISSING"))</x:f>
      </x:c>
      <x:c r="M16" s="6" t="str">
        <x:f>IF(Setup!$B$6="primary","",IFERROR(IF(INDEX('Primary_snapshot'!$D$2:$D$92,MATCH(C16,'Primary_snapshot'!$A$2:$A$92,0))="","",INDEX('Primary_snapshot'!$D$2:$D$92,MATCH(C16,'Primary_snapshot'!$A$2:$A$92,0))),"SNAPSHOT MISSING"))</x:f>
      </x:c>
      <x:c r="N16" s="6" t="str">
        <x:f>IF(Setup!$B$6="primary","",IFERROR(IF(INDEX('Primary_snapshot'!$E$2:$E$92,MATCH(C16,'Primary_snapshot'!$A$2:$A$92,0))="","",INDEX('Primary_snapshot'!$E$2:$E$92,MATCH(C16,'Primary_snapshot'!$A$2:$A$92,0))),"SNAPSHOT MISSING"))</x:f>
      </x:c>
      <x:c r="O16" s="6" t="str">
        <x:f>IF(Setup!$B$6="primary","",IFERROR(IF(INDEX('Primary_snapshot'!$F$2:$F$92,MATCH(C16,'Primary_snapshot'!$A$2:$A$92,0))="","",INDEX('Primary_snapshot'!$F$2:$F$92,MATCH(C16,'Primary_snapshot'!$A$2:$A$92,0))),"SNAPSHOT MISSING"))</x:f>
      </x:c>
      <x:c r="P16" s="6" t="str">
        <x:f>IF(Setup!$B$6="primary","",IFERROR(IF(INDEX('Primary_snapshot'!$G$2:$G$92,MATCH(C16,'Primary_snapshot'!$A$2:$A$92,0))="","",INDEX('Primary_snapshot'!$G$2:$G$92,MATCH(C16,'Primary_snapshot'!$A$2:$A$92,0))),"SNAPSHOT MISSING"))</x:f>
      </x:c>
      <x:c r="Q16" s="6" t="str">
        <x:f>IF(Setup!$B$6="primary","",IFERROR(IF(INDEX('Primary_snapshot'!$H$2:$H$92,MATCH(C16,'Primary_snapshot'!$A$2:$A$92,0))="","",INDEX('Primary_snapshot'!$H$2:$H$92,MATCH(C16,'Primary_snapshot'!$A$2:$A$92,0))),"SNAPSHOT MISSING"))</x:f>
      </x:c>
      <x:c r="R16" s="6" t="str">
        <x:f>IF(Setup!$B$6="primary","",IFERROR(IF(INDEX('Primary_snapshot'!$I$2:$I$92,MATCH(C16,'Primary_snapshot'!$A$2:$A$92,0))="","",INDEX('Primary_snapshot'!$I$2:$I$92,MATCH(C16,'Primary_snapshot'!$A$2:$A$92,0))),"SNAPSHOT MISSING"))</x:f>
      </x:c>
      <x:c r="S16" s="6" t="str">
        <x:f>IF(INDEX('C_jama.2024.12829'!$D$2:$D$18,MATCH("2024::jama.2024.12829::C004",'C_jama.2024.12829'!$A$2:$A$18,0))="","",INDEX('C_jama.2024.12829'!$D$2:$D$18,MATCH("2024::jama.2024.12829::C004",'C_jama.2024.12829'!$A$2:$A$18,0)))</x:f>
      </x:c>
      <x:c r="T16" s="6" t="str">
        <x:f>IF(INDEX('C_jama.2024.12829'!$E$2:$E$18,MATCH("2024::jama.2024.12829::C004",'C_jama.2024.12829'!$A$2:$A$18,0))="","",INDEX('C_jama.2024.12829'!$E$2:$E$18,MATCH("2024::jama.2024.12829::C004",'C_jama.2024.12829'!$A$2:$A$18,0)))</x:f>
        <x:v>statistical_results</x:v>
      </x:c>
      <x:c r="U16" s="6" t="str">
        <x:f>IF(AND(INDEX('C_jama.2024.12829'!$D$2:$D$18,MATCH("2024::jama.2024.12829::C004",'C_jama.2024.12829'!$A$2:$A$18,0))="retain",INDEX('C_jama.2024.12829'!$E$2:$E$18,MATCH("2024::jama.2024.12829::C004",'C_jama.2024.12829'!$A$2:$A$18,0))="statistical_results"),IF(INDEX('C_jama.2024.12829'!$H$2:$H$18,MATCH("2024::jama.2024.12829::C004",'C_jama.2024.12829'!$A$2:$A$18,0))="","",INDEX('C_jama.2024.12829'!$H$2:$H$18,MATCH("2024::jama.2024.12829::C004",'C_jama.2024.12829'!$A$2:$A$18,0))),"not_applicable")</x:f>
        <x:v>not_applicable</x:v>
      </x:c>
      <x:c r="V16" s="6" t="str">
        <x:f>IF(AND(INDEX('C_jama.2024.12829'!$D$2:$D$18,MATCH("2024::jama.2024.12829::C004",'C_jama.2024.12829'!$A$2:$A$18,0))="retain",INDEX('C_jama.2024.12829'!$E$2:$E$18,MATCH("2024::jama.2024.12829::C004",'C_jama.2024.12829'!$A$2:$A$18,0))="statistical_results"),IF(INDEX('C_jama.2024.12829'!$I$2:$I$18,MATCH("2024::jama.2024.12829::C004",'C_jama.2024.12829'!$A$2:$A$18,0))="","",INDEX('C_jama.2024.12829'!$I$2:$I$18,MATCH("2024::jama.2024.12829::C004",'C_jama.2024.12829'!$A$2:$A$18,0))),"not_applicable")</x:f>
        <x:v>not_applicable</x:v>
      </x:c>
      <x:c r="W16" s="6" t="str">
        <x:f>IF(AND(INDEX('C_jama.2024.12829'!$D$2:$D$18,MATCH("2024::jama.2024.12829::C004",'C_jama.2024.12829'!$A$2:$A$18,0))="retain",INDEX('C_jama.2024.12829'!$E$2:$E$18,MATCH("2024::jama.2024.12829::C004",'C_jama.2024.12829'!$A$2:$A$18,0))="statistical_results"),IF(INDEX('C_jama.2024.12829'!$J$2:$J$18,MATCH("2024::jama.2024.12829::C004",'C_jama.2024.12829'!$A$2:$A$18,0))="","",INDEX('C_jama.2024.12829'!$J$2:$J$18,MATCH("2024::jama.2024.12829::C004",'C_jama.2024.12829'!$A$2:$A$18,0))),"not_applicable")</x:f>
        <x:v>not_applicable</x:v>
      </x:c>
      <x:c r="X16" s="6" t="str">
        <x:f>IF(AND(INDEX('C_jama.2024.12829'!$D$2:$D$18,MATCH("2024::jama.2024.12829::C004",'C_jama.2024.12829'!$A$2:$A$18,0))="retain",OR(INDEX('C_jama.2024.12829'!$E$2:$E$18,MATCH("2024::jama.2024.12829::C004",'C_jama.2024.12829'!$A$2:$A$18,0))="report_internal_inconsistency",INDEX('C_jama.2024.12829'!$E$2:$E$18,MATCH("2024::jama.2024.12829::C004",'C_jama.2024.12829'!$A$2:$A$18,0))="plan_material")),IF(INDEX('C_jama.2024.12829'!$K$2:$K$18,MATCH("2024::jama.2024.12829::C004",'C_jama.2024.12829'!$A$2:$A$18,0))="","",INDEX('C_jama.2024.12829'!$K$2:$K$18,MATCH("2024::jama.2024.12829::C004",'C_jama.2024.12829'!$A$2:$A$18,0))),"not_applicable")</x:f>
        <x:v>not_applicable</x:v>
      </x:c>
      <x:c r="Y16" s="6" t="str">
        <x:f>IF(AND(INDEX('C_jama.2024.12829'!$D$2:$D$18,MATCH("2024::jama.2024.12829::C004",'C_jama.2024.12829'!$A$2:$A$18,0))="retain",INDEX('C_jama.2024.12829'!$E$2:$E$18,MATCH("2024::jama.2024.12829::C004",'C_jama.2024.12829'!$A$2:$A$18,0))="protocol_report"),IF(INDEX('C_jama.2024.12829'!$L$2:$L$18,MATCH("2024::jama.2024.12829::C004",'C_jama.2024.12829'!$A$2:$A$18,0))="","",INDEX('C_jama.2024.12829'!$L$2:$L$18,MATCH("2024::jama.2024.12829::C004",'C_jama.2024.12829'!$A$2:$A$18,0))),"not_applicable")</x:f>
        <x:v>not_applicable</x:v>
      </x:c>
      <x:c r="Z16" s="6" t="str">
        <x:f>IF(INDEX('C_jama.2024.12829'!$R$2:$R$18,MATCH("2024::jama.2024.12829::C004",'C_jama.2024.12829'!$A$2:$A$18,0))="","",INDEX('C_jama.2024.12829'!$R$2:$R$18,MATCH("2024::jama.2024.12829::C004",'C_jama.2024.12829'!$A$2:$A$18,0)))</x:f>
      </x:c>
      <x:c r="AA16" s="6" t="str">
        <x:f>IF(INDEX('C_jama.2024.12829'!$N$2:$N$18,MATCH("2024::jama.2024.12829::C004",'C_jama.2024.12829'!$A$2:$A$18,0))="","",INDEX('C_jama.2024.12829'!$N$2:$N$18,MATCH("2024::jama.2024.12829::C004",'C_jama.2024.12829'!$A$2:$A$18,0)))</x:f>
      </x:c>
      <x:c r="AB16" s="6" t="str">
        <x:f>IF(INDEX('C_jama.2024.12829'!$O$2:$O$18,MATCH("2024::jama.2024.12829::C004",'C_jama.2024.12829'!$A$2:$A$18,0))="","",INDEX('C_jama.2024.12829'!$O$2:$O$18,MATCH("2024::jama.2024.12829::C004",'C_jama.2024.12829'!$A$2:$A$18,0)))</x:f>
      </x:c>
      <x:c r="AC16" s="6" t="str">
        <x:f>IF(INDEX('C_jama.2024.12829'!$P$2:$P$18,MATCH("2024::jama.2024.12829::C004",'C_jama.2024.12829'!$A$2:$A$18,0))="","",INDEX('C_jama.2024.12829'!$P$2:$P$18,MATCH("2024::jama.2024.12829::C004",'C_jama.2024.12829'!$A$2:$A$18,0)))</x:f>
      </x:c>
      <x:c r="AD16" s="6" t="str">
        <x:f>IF(INDEX('C_jama.2024.12829'!$Q$2:$Q$18,MATCH("2024::jama.2024.12829::C004",'C_jama.2024.12829'!$A$2:$A$18,0))="","",INDEX('C_jama.2024.12829'!$Q$2:$Q$18,MATCH("2024::jama.2024.12829::C004",'C_jama.2024.12829'!$A$2:$A$18,0)))</x:f>
      </x:c>
    </x:row>
    <x:row r="17" ht="65" customHeight="1">
      <x:c r="A17" s="3" t="n">
        <x:v>2024</x:v>
      </x:c>
      <x:c r="B17" s="3" t="str">
        <x:v>jama.2024.12829</x:v>
      </x:c>
      <x:c r="C17" s="3" t="str">
        <x:v>2024::jama.2024.12829::C005</x:v>
      </x:c>
      <x:c r="D17" s="3" t="str">
        <x:v>S_W</x:v>
      </x:c>
      <x:c r="E17" s="3" t="n">
        <x:f>Setup!$B$2</x:f>
        <x:v>0</x:v>
      </x:c>
      <x:c r="F17" s="3" t="str">
        <x:f>IF(Setup!$B$4="","",Setup!$B$4)</x:f>
      </x:c>
      <x:c r="G17" s="3" t="str">
        <x:f>IFERROR(INDEX('C_jama.2024.12829'!$G$2:$G$18,MATCH("2024::jama.2024.12829::C005",'C_jama.2024.12829'!$A$2:$A$18,0)),"CHECK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statistical_results</x:v>
      </x:c>
      <x:c r="K17" s="3" t="str">
        <x:f>IF(Setup!$B$6="primary","",IFERROR(IF(INDEX('Primary_snapshot'!$B$2:$B$92,MATCH(C17,'Primary_snapshot'!$A$2:$A$92,0))="","",INDEX('Primary_snapshot'!$B$2:$B$92,MATCH(C17,'Primary_snapshot'!$A$2:$A$92,0))),"SNAPSHOT MISSING"))</x:f>
      </x:c>
      <x:c r="L17" s="3" t="str">
        <x:f>IF(Setup!$B$6="primary","",IFERROR(IF(INDEX('Primary_snapshot'!$C$2:$C$92,MATCH(C17,'Primary_snapshot'!$A$2:$A$92,0))="","",INDEX('Primary_snapshot'!$C$2:$C$92,MATCH(C17,'Primary_snapshot'!$A$2:$A$92,0))),"SNAPSHOT MISSING"))</x:f>
      </x:c>
      <x:c r="M17" s="3" t="str">
        <x:f>IF(Setup!$B$6="primary","",IFERROR(IF(INDEX('Primary_snapshot'!$D$2:$D$92,MATCH(C17,'Primary_snapshot'!$A$2:$A$92,0))="","",INDEX('Primary_snapshot'!$D$2:$D$92,MATCH(C17,'Primary_snapshot'!$A$2:$A$92,0))),"SNAPSHOT MISSING"))</x:f>
      </x:c>
      <x:c r="N17" s="3" t="str">
        <x:f>IF(Setup!$B$6="primary","",IFERROR(IF(INDEX('Primary_snapshot'!$E$2:$E$92,MATCH(C17,'Primary_snapshot'!$A$2:$A$92,0))="","",INDEX('Primary_snapshot'!$E$2:$E$92,MATCH(C17,'Primary_snapshot'!$A$2:$A$92,0))),"SNAPSHOT MISSING"))</x:f>
      </x:c>
      <x:c r="O17" s="3" t="str">
        <x:f>IF(Setup!$B$6="primary","",IFERROR(IF(INDEX('Primary_snapshot'!$F$2:$F$92,MATCH(C17,'Primary_snapshot'!$A$2:$A$92,0))="","",INDEX('Primary_snapshot'!$F$2:$F$92,MATCH(C17,'Primary_snapshot'!$A$2:$A$92,0))),"SNAPSHOT MISSING"))</x:f>
      </x:c>
      <x:c r="P17" s="3" t="str">
        <x:f>IF(Setup!$B$6="primary","",IFERROR(IF(INDEX('Primary_snapshot'!$G$2:$G$92,MATCH(C17,'Primary_snapshot'!$A$2:$A$92,0))="","",INDEX('Primary_snapshot'!$G$2:$G$92,MATCH(C17,'Primary_snapshot'!$A$2:$A$92,0))),"SNAPSHOT MISSING"))</x:f>
      </x:c>
      <x:c r="Q17" s="3" t="str">
        <x:f>IF(Setup!$B$6="primary","",IFERROR(IF(INDEX('Primary_snapshot'!$H$2:$H$92,MATCH(C17,'Primary_snapshot'!$A$2:$A$92,0))="","",INDEX('Primary_snapshot'!$H$2:$H$92,MATCH(C17,'Primary_snapshot'!$A$2:$A$92,0))),"SNAPSHOT MISSING"))</x:f>
      </x:c>
      <x:c r="R17" s="3" t="str">
        <x:f>IF(Setup!$B$6="primary","",IFERROR(IF(INDEX('Primary_snapshot'!$I$2:$I$92,MATCH(C17,'Primary_snapshot'!$A$2:$A$92,0))="","",INDEX('Primary_snapshot'!$I$2:$I$92,MATCH(C17,'Primary_snapshot'!$A$2:$A$92,0))),"SNAPSHOT MISSING"))</x:f>
      </x:c>
      <x:c r="S17" s="3" t="str">
        <x:f>IF(INDEX('C_jama.2024.12829'!$D$2:$D$18,MATCH("2024::jama.2024.12829::C005",'C_jama.2024.12829'!$A$2:$A$18,0))="","",INDEX('C_jama.2024.12829'!$D$2:$D$18,MATCH("2024::jama.2024.12829::C005",'C_jama.2024.12829'!$A$2:$A$18,0)))</x:f>
      </x:c>
      <x:c r="T17" s="3" t="str">
        <x:f>IF(INDEX('C_jama.2024.12829'!$E$2:$E$18,MATCH("2024::jama.2024.12829::C005",'C_jama.2024.12829'!$A$2:$A$18,0))="","",INDEX('C_jama.2024.12829'!$E$2:$E$18,MATCH("2024::jama.2024.12829::C005",'C_jama.2024.12829'!$A$2:$A$18,0)))</x:f>
        <x:v>statistical_results</x:v>
      </x:c>
      <x:c r="U17" s="3" t="str">
        <x:f>IF(AND(INDEX('C_jama.2024.12829'!$D$2:$D$18,MATCH("2024::jama.2024.12829::C005",'C_jama.2024.12829'!$A$2:$A$18,0))="retain",INDEX('C_jama.2024.12829'!$E$2:$E$18,MATCH("2024::jama.2024.12829::C005",'C_jama.2024.12829'!$A$2:$A$18,0))="statistical_results"),IF(INDEX('C_jama.2024.12829'!$H$2:$H$18,MATCH("2024::jama.2024.12829::C005",'C_jama.2024.12829'!$A$2:$A$18,0))="","",INDEX('C_jama.2024.12829'!$H$2:$H$18,MATCH("2024::jama.2024.12829::C005",'C_jama.2024.12829'!$A$2:$A$18,0))),"not_applicable")</x:f>
        <x:v>not_applicable</x:v>
      </x:c>
      <x:c r="V17" s="3" t="str">
        <x:f>IF(AND(INDEX('C_jama.2024.12829'!$D$2:$D$18,MATCH("2024::jama.2024.12829::C005",'C_jama.2024.12829'!$A$2:$A$18,0))="retain",INDEX('C_jama.2024.12829'!$E$2:$E$18,MATCH("2024::jama.2024.12829::C005",'C_jama.2024.12829'!$A$2:$A$18,0))="statistical_results"),IF(INDEX('C_jama.2024.12829'!$I$2:$I$18,MATCH("2024::jama.2024.12829::C005",'C_jama.2024.12829'!$A$2:$A$18,0))="","",INDEX('C_jama.2024.12829'!$I$2:$I$18,MATCH("2024::jama.2024.12829::C005",'C_jama.2024.12829'!$A$2:$A$18,0))),"not_applicable")</x:f>
        <x:v>not_applicable</x:v>
      </x:c>
      <x:c r="W17" s="3" t="str">
        <x:f>IF(AND(INDEX('C_jama.2024.12829'!$D$2:$D$18,MATCH("2024::jama.2024.12829::C005",'C_jama.2024.12829'!$A$2:$A$18,0))="retain",INDEX('C_jama.2024.12829'!$E$2:$E$18,MATCH("2024::jama.2024.12829::C005",'C_jama.2024.12829'!$A$2:$A$18,0))="statistical_results"),IF(INDEX('C_jama.2024.12829'!$J$2:$J$18,MATCH("2024::jama.2024.12829::C005",'C_jama.2024.12829'!$A$2:$A$18,0))="","",INDEX('C_jama.2024.12829'!$J$2:$J$18,MATCH("2024::jama.2024.12829::C005",'C_jama.2024.12829'!$A$2:$A$18,0))),"not_applicable")</x:f>
        <x:v>not_applicable</x:v>
      </x:c>
      <x:c r="X17" s="3" t="str">
        <x:f>IF(AND(INDEX('C_jama.2024.12829'!$D$2:$D$18,MATCH("2024::jama.2024.12829::C005",'C_jama.2024.12829'!$A$2:$A$18,0))="retain",OR(INDEX('C_jama.2024.12829'!$E$2:$E$18,MATCH("2024::jama.2024.12829::C005",'C_jama.2024.12829'!$A$2:$A$18,0))="report_internal_inconsistency",INDEX('C_jama.2024.12829'!$E$2:$E$18,MATCH("2024::jama.2024.12829::C005",'C_jama.2024.12829'!$A$2:$A$18,0))="plan_material")),IF(INDEX('C_jama.2024.12829'!$K$2:$K$18,MATCH("2024::jama.2024.12829::C005",'C_jama.2024.12829'!$A$2:$A$18,0))="","",INDEX('C_jama.2024.12829'!$K$2:$K$18,MATCH("2024::jama.2024.12829::C005",'C_jama.2024.12829'!$A$2:$A$18,0))),"not_applicable")</x:f>
        <x:v>not_applicable</x:v>
      </x:c>
      <x:c r="Y17" s="3" t="str">
        <x:f>IF(AND(INDEX('C_jama.2024.12829'!$D$2:$D$18,MATCH("2024::jama.2024.12829::C005",'C_jama.2024.12829'!$A$2:$A$18,0))="retain",INDEX('C_jama.2024.12829'!$E$2:$E$18,MATCH("2024::jama.2024.12829::C005",'C_jama.2024.12829'!$A$2:$A$18,0))="protocol_report"),IF(INDEX('C_jama.2024.12829'!$L$2:$L$18,MATCH("2024::jama.2024.12829::C005",'C_jama.2024.12829'!$A$2:$A$18,0))="","",INDEX('C_jama.2024.12829'!$L$2:$L$18,MATCH("2024::jama.2024.12829::C005",'C_jama.2024.12829'!$A$2:$A$18,0))),"not_applicable")</x:f>
        <x:v>not_applicable</x:v>
      </x:c>
      <x:c r="Z17" s="3" t="str">
        <x:f>IF(INDEX('C_jama.2024.12829'!$R$2:$R$18,MATCH("2024::jama.2024.12829::C005",'C_jama.2024.12829'!$A$2:$A$18,0))="","",INDEX('C_jama.2024.12829'!$R$2:$R$18,MATCH("2024::jama.2024.12829::C005",'C_jama.2024.12829'!$A$2:$A$18,0)))</x:f>
      </x:c>
      <x:c r="AA17" s="3" t="str">
        <x:f>IF(INDEX('C_jama.2024.12829'!$N$2:$N$18,MATCH("2024::jama.2024.12829::C005",'C_jama.2024.12829'!$A$2:$A$18,0))="","",INDEX('C_jama.2024.12829'!$N$2:$N$18,MATCH("2024::jama.2024.12829::C005",'C_jama.2024.12829'!$A$2:$A$18,0)))</x:f>
      </x:c>
      <x:c r="AB17" s="3" t="str">
        <x:f>IF(INDEX('C_jama.2024.12829'!$O$2:$O$18,MATCH("2024::jama.2024.12829::C005",'C_jama.2024.12829'!$A$2:$A$18,0))="","",INDEX('C_jama.2024.12829'!$O$2:$O$18,MATCH("2024::jama.2024.12829::C005",'C_jama.2024.12829'!$A$2:$A$18,0)))</x:f>
      </x:c>
      <x:c r="AC17" s="3" t="str">
        <x:f>IF(INDEX('C_jama.2024.12829'!$P$2:$P$18,MATCH("2024::jama.2024.12829::C005",'C_jama.2024.12829'!$A$2:$A$18,0))="","",INDEX('C_jama.2024.12829'!$P$2:$P$18,MATCH("2024::jama.2024.12829::C005",'C_jama.2024.12829'!$A$2:$A$18,0)))</x:f>
      </x:c>
      <x:c r="AD17" s="3" t="str">
        <x:f>IF(INDEX('C_jama.2024.12829'!$Q$2:$Q$18,MATCH("2024::jama.2024.12829::C005",'C_jama.2024.12829'!$A$2:$A$18,0))="","",INDEX('C_jama.2024.12829'!$Q$2:$Q$18,MATCH("2024::jama.2024.12829::C005",'C_jama.2024.12829'!$A$2:$A$18,0)))</x:f>
      </x:c>
    </x:row>
    <x:row r="18" ht="65" customHeight="1">
      <x:c r="A18" s="6" t="n">
        <x:v>2024</x:v>
      </x:c>
      <x:c r="B18" s="6" t="str">
        <x:v>jama.2024.12829</x:v>
      </x:c>
      <x:c r="C18" s="6" t="str">
        <x:v>2024::jama.2024.12829::C006</x:v>
      </x:c>
      <x:c r="D18" s="6" t="str">
        <x:v>S_W</x:v>
      </x:c>
      <x:c r="E18" s="6" t="n">
        <x:f>Setup!$B$2</x:f>
        <x:v>0</x:v>
      </x:c>
      <x:c r="F18" s="6" t="str">
        <x:f>IF(Setup!$B$4="","",Setup!$B$4)</x:f>
      </x:c>
      <x:c r="G18" s="6" t="str">
        <x:f>IFERROR(INDEX('C_jama.2024.12829'!$G$2:$G$18,MATCH("2024::jama.2024.12829::C006",'C_jama.2024.12829'!$A$2:$A$18,0)),"CHECK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IF(Setup!$B$6="primary","",IFERROR(IF(INDEX('Primary_snapshot'!$B$2:$B$92,MATCH(C18,'Primary_snapshot'!$A$2:$A$92,0))="","",INDEX('Primary_snapshot'!$B$2:$B$92,MATCH(C18,'Primary_snapshot'!$A$2:$A$92,0))),"SNAPSHOT MISSING"))</x:f>
      </x:c>
      <x:c r="L18" s="6" t="str">
        <x:f>IF(Setup!$B$6="primary","",IFERROR(IF(INDEX('Primary_snapshot'!$C$2:$C$92,MATCH(C18,'Primary_snapshot'!$A$2:$A$92,0))="","",INDEX('Primary_snapshot'!$C$2:$C$92,MATCH(C18,'Primary_snapshot'!$A$2:$A$92,0))),"SNAPSHOT MISSING"))</x:f>
      </x:c>
      <x:c r="M18" s="6" t="str">
        <x:f>IF(Setup!$B$6="primary","",IFERROR(IF(INDEX('Primary_snapshot'!$D$2:$D$92,MATCH(C18,'Primary_snapshot'!$A$2:$A$92,0))="","",INDEX('Primary_snapshot'!$D$2:$D$92,MATCH(C18,'Primary_snapshot'!$A$2:$A$92,0))),"SNAPSHOT MISSING"))</x:f>
      </x:c>
      <x:c r="N18" s="6" t="str">
        <x:f>IF(Setup!$B$6="primary","",IFERROR(IF(INDEX('Primary_snapshot'!$E$2:$E$92,MATCH(C18,'Primary_snapshot'!$A$2:$A$92,0))="","",INDEX('Primary_snapshot'!$E$2:$E$92,MATCH(C18,'Primary_snapshot'!$A$2:$A$92,0))),"SNAPSHOT MISSING"))</x:f>
      </x:c>
      <x:c r="O18" s="6" t="str">
        <x:f>IF(Setup!$B$6="primary","",IFERROR(IF(INDEX('Primary_snapshot'!$F$2:$F$92,MATCH(C18,'Primary_snapshot'!$A$2:$A$92,0))="","",INDEX('Primary_snapshot'!$F$2:$F$92,MATCH(C18,'Primary_snapshot'!$A$2:$A$92,0))),"SNAPSHOT MISSING"))</x:f>
      </x:c>
      <x:c r="P18" s="6" t="str">
        <x:f>IF(Setup!$B$6="primary","",IFERROR(IF(INDEX('Primary_snapshot'!$G$2:$G$92,MATCH(C18,'Primary_snapshot'!$A$2:$A$92,0))="","",INDEX('Primary_snapshot'!$G$2:$G$92,MATCH(C18,'Primary_snapshot'!$A$2:$A$92,0))),"SNAPSHOT MISSING"))</x:f>
      </x:c>
      <x:c r="Q18" s="6" t="str">
        <x:f>IF(Setup!$B$6="primary","",IFERROR(IF(INDEX('Primary_snapshot'!$H$2:$H$92,MATCH(C18,'Primary_snapshot'!$A$2:$A$92,0))="","",INDEX('Primary_snapshot'!$H$2:$H$92,MATCH(C18,'Primary_snapshot'!$A$2:$A$92,0))),"SNAPSHOT MISSING"))</x:f>
      </x:c>
      <x:c r="R18" s="6" t="str">
        <x:f>IF(Setup!$B$6="primary","",IFERROR(IF(INDEX('Primary_snapshot'!$I$2:$I$92,MATCH(C18,'Primary_snapshot'!$A$2:$A$92,0))="","",INDEX('Primary_snapshot'!$I$2:$I$92,MATCH(C18,'Primary_snapshot'!$A$2:$A$92,0))),"SNAPSHOT MISSING"))</x:f>
      </x:c>
      <x:c r="S18" s="6" t="str">
        <x:f>IF(INDEX('C_jama.2024.12829'!$D$2:$D$18,MATCH("2024::jama.2024.12829::C006",'C_jama.2024.12829'!$A$2:$A$18,0))="","",INDEX('C_jama.2024.12829'!$D$2:$D$18,MATCH("2024::jama.2024.12829::C006",'C_jama.2024.12829'!$A$2:$A$18,0)))</x:f>
      </x:c>
      <x:c r="T18" s="6" t="str">
        <x:f>IF(INDEX('C_jama.2024.12829'!$E$2:$E$18,MATCH("2024::jama.2024.12829::C006",'C_jama.2024.12829'!$A$2:$A$18,0))="","",INDEX('C_jama.2024.12829'!$E$2:$E$18,MATCH("2024::jama.2024.12829::C006",'C_jama.2024.12829'!$A$2:$A$18,0)))</x:f>
        <x:v>statistical_results</x:v>
      </x:c>
      <x:c r="U18" s="6" t="str">
        <x:f>IF(AND(INDEX('C_jama.2024.12829'!$D$2:$D$18,MATCH("2024::jama.2024.12829::C006",'C_jama.2024.12829'!$A$2:$A$18,0))="retain",INDEX('C_jama.2024.12829'!$E$2:$E$18,MATCH("2024::jama.2024.12829::C006",'C_jama.2024.12829'!$A$2:$A$18,0))="statistical_results"),IF(INDEX('C_jama.2024.12829'!$H$2:$H$18,MATCH("2024::jama.2024.12829::C006",'C_jama.2024.12829'!$A$2:$A$18,0))="","",INDEX('C_jama.2024.12829'!$H$2:$H$18,MATCH("2024::jama.2024.12829::C006",'C_jama.2024.12829'!$A$2:$A$18,0))),"not_applicable")</x:f>
        <x:v>not_applicable</x:v>
      </x:c>
      <x:c r="V18" s="6" t="str">
        <x:f>IF(AND(INDEX('C_jama.2024.12829'!$D$2:$D$18,MATCH("2024::jama.2024.12829::C006",'C_jama.2024.12829'!$A$2:$A$18,0))="retain",INDEX('C_jama.2024.12829'!$E$2:$E$18,MATCH("2024::jama.2024.12829::C006",'C_jama.2024.12829'!$A$2:$A$18,0))="statistical_results"),IF(INDEX('C_jama.2024.12829'!$I$2:$I$18,MATCH("2024::jama.2024.12829::C006",'C_jama.2024.12829'!$A$2:$A$18,0))="","",INDEX('C_jama.2024.12829'!$I$2:$I$18,MATCH("2024::jama.2024.12829::C006",'C_jama.2024.12829'!$A$2:$A$18,0))),"not_applicable")</x:f>
        <x:v>not_applicable</x:v>
      </x:c>
      <x:c r="W18" s="6" t="str">
        <x:f>IF(AND(INDEX('C_jama.2024.12829'!$D$2:$D$18,MATCH("2024::jama.2024.12829::C006",'C_jama.2024.12829'!$A$2:$A$18,0))="retain",INDEX('C_jama.2024.12829'!$E$2:$E$18,MATCH("2024::jama.2024.12829::C006",'C_jama.2024.12829'!$A$2:$A$18,0))="statistical_results"),IF(INDEX('C_jama.2024.12829'!$J$2:$J$18,MATCH("2024::jama.2024.12829::C006",'C_jama.2024.12829'!$A$2:$A$18,0))="","",INDEX('C_jama.2024.12829'!$J$2:$J$18,MATCH("2024::jama.2024.12829::C006",'C_jama.2024.12829'!$A$2:$A$18,0))),"not_applicable")</x:f>
        <x:v>not_applicable</x:v>
      </x:c>
      <x:c r="X18" s="6" t="str">
        <x:f>IF(AND(INDEX('C_jama.2024.12829'!$D$2:$D$18,MATCH("2024::jama.2024.12829::C006",'C_jama.2024.12829'!$A$2:$A$18,0))="retain",OR(INDEX('C_jama.2024.12829'!$E$2:$E$18,MATCH("2024::jama.2024.12829::C006",'C_jama.2024.12829'!$A$2:$A$18,0))="report_internal_inconsistency",INDEX('C_jama.2024.12829'!$E$2:$E$18,MATCH("2024::jama.2024.12829::C006",'C_jama.2024.12829'!$A$2:$A$18,0))="plan_material")),IF(INDEX('C_jama.2024.12829'!$K$2:$K$18,MATCH("2024::jama.2024.12829::C006",'C_jama.2024.12829'!$A$2:$A$18,0))="","",INDEX('C_jama.2024.12829'!$K$2:$K$18,MATCH("2024::jama.2024.12829::C006",'C_jama.2024.12829'!$A$2:$A$18,0))),"not_applicable")</x:f>
        <x:v>not_applicable</x:v>
      </x:c>
      <x:c r="Y18" s="6" t="str">
        <x:f>IF(AND(INDEX('C_jama.2024.12829'!$D$2:$D$18,MATCH("2024::jama.2024.12829::C006",'C_jama.2024.12829'!$A$2:$A$18,0))="retain",INDEX('C_jama.2024.12829'!$E$2:$E$18,MATCH("2024::jama.2024.12829::C006",'C_jama.2024.12829'!$A$2:$A$18,0))="protocol_report"),IF(INDEX('C_jama.2024.12829'!$L$2:$L$18,MATCH("2024::jama.2024.12829::C006",'C_jama.2024.12829'!$A$2:$A$18,0))="","",INDEX('C_jama.2024.12829'!$L$2:$L$18,MATCH("2024::jama.2024.12829::C006",'C_jama.2024.12829'!$A$2:$A$18,0))),"not_applicable")</x:f>
        <x:v>not_applicable</x:v>
      </x:c>
      <x:c r="Z18" s="6" t="str">
        <x:f>IF(INDEX('C_jama.2024.12829'!$R$2:$R$18,MATCH("2024::jama.2024.12829::C006",'C_jama.2024.12829'!$A$2:$A$18,0))="","",INDEX('C_jama.2024.12829'!$R$2:$R$18,MATCH("2024::jama.2024.12829::C006",'C_jama.2024.12829'!$A$2:$A$18,0)))</x:f>
      </x:c>
      <x:c r="AA18" s="6" t="str">
        <x:f>IF(INDEX('C_jama.2024.12829'!$N$2:$N$18,MATCH("2024::jama.2024.12829::C006",'C_jama.2024.12829'!$A$2:$A$18,0))="","",INDEX('C_jama.2024.12829'!$N$2:$N$18,MATCH("2024::jama.2024.12829::C006",'C_jama.2024.12829'!$A$2:$A$18,0)))</x:f>
      </x:c>
      <x:c r="AB18" s="6" t="str">
        <x:f>IF(INDEX('C_jama.2024.12829'!$O$2:$O$18,MATCH("2024::jama.2024.12829::C006",'C_jama.2024.12829'!$A$2:$A$18,0))="","",INDEX('C_jama.2024.12829'!$O$2:$O$18,MATCH("2024::jama.2024.12829::C006",'C_jama.2024.12829'!$A$2:$A$18,0)))</x:f>
      </x:c>
      <x:c r="AC18" s="6" t="str">
        <x:f>IF(INDEX('C_jama.2024.12829'!$P$2:$P$18,MATCH("2024::jama.2024.12829::C006",'C_jama.2024.12829'!$A$2:$A$18,0))="","",INDEX('C_jama.2024.12829'!$P$2:$P$18,MATCH("2024::jama.2024.12829::C006",'C_jama.2024.12829'!$A$2:$A$18,0)))</x:f>
      </x:c>
      <x:c r="AD18" s="6" t="str">
        <x:f>IF(INDEX('C_jama.2024.12829'!$Q$2:$Q$18,MATCH("2024::jama.2024.12829::C006",'C_jama.2024.12829'!$A$2:$A$18,0))="","",INDEX('C_jama.2024.12829'!$Q$2:$Q$18,MATCH("2024::jama.2024.12829::C006",'C_jama.2024.12829'!$A$2:$A$18,0)))</x:f>
      </x:c>
    </x:row>
    <x:row r="19" ht="65" customHeight="1">
      <x:c r="A19" s="3" t="n">
        <x:v>2024</x:v>
      </x:c>
      <x:c r="B19" s="3" t="str">
        <x:v>jama.2024.12829</x:v>
      </x:c>
      <x:c r="C19" s="3" t="str">
        <x:v>2024::jama.2024.12829::C007</x:v>
      </x:c>
      <x:c r="D19" s="3" t="str">
        <x:v>S_W</x:v>
      </x:c>
      <x:c r="E19" s="3" t="n">
        <x:f>Setup!$B$2</x:f>
        <x:v>0</x:v>
      </x:c>
      <x:c r="F19" s="3" t="str">
        <x:f>IF(Setup!$B$4="","",Setup!$B$4)</x:f>
      </x:c>
      <x:c r="G19" s="3" t="str">
        <x:f>IFERROR(INDEX('C_jama.2024.12829'!$G$2:$G$18,MATCH("2024::jama.2024.12829::C007",'C_jama.2024.12829'!$A$2:$A$18,0)),"CHECK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statistical_results</x:v>
      </x:c>
      <x:c r="K19" s="3" t="str">
        <x:f>IF(Setup!$B$6="primary","",IFERROR(IF(INDEX('Primary_snapshot'!$B$2:$B$92,MATCH(C19,'Primary_snapshot'!$A$2:$A$92,0))="","",INDEX('Primary_snapshot'!$B$2:$B$92,MATCH(C19,'Primary_snapshot'!$A$2:$A$92,0))),"SNAPSHOT MISSING"))</x:f>
      </x:c>
      <x:c r="L19" s="3" t="str">
        <x:f>IF(Setup!$B$6="primary","",IFERROR(IF(INDEX('Primary_snapshot'!$C$2:$C$92,MATCH(C19,'Primary_snapshot'!$A$2:$A$92,0))="","",INDEX('Primary_snapshot'!$C$2:$C$92,MATCH(C19,'Primary_snapshot'!$A$2:$A$92,0))),"SNAPSHOT MISSING"))</x:f>
      </x:c>
      <x:c r="M19" s="3" t="str">
        <x:f>IF(Setup!$B$6="primary","",IFERROR(IF(INDEX('Primary_snapshot'!$D$2:$D$92,MATCH(C19,'Primary_snapshot'!$A$2:$A$92,0))="","",INDEX('Primary_snapshot'!$D$2:$D$92,MATCH(C19,'Primary_snapshot'!$A$2:$A$92,0))),"SNAPSHOT MISSING"))</x:f>
      </x:c>
      <x:c r="N19" s="3" t="str">
        <x:f>IF(Setup!$B$6="primary","",IFERROR(IF(INDEX('Primary_snapshot'!$E$2:$E$92,MATCH(C19,'Primary_snapshot'!$A$2:$A$92,0))="","",INDEX('Primary_snapshot'!$E$2:$E$92,MATCH(C19,'Primary_snapshot'!$A$2:$A$92,0))),"SNAPSHOT MISSING"))</x:f>
      </x:c>
      <x:c r="O19" s="3" t="str">
        <x:f>IF(Setup!$B$6="primary","",IFERROR(IF(INDEX('Primary_snapshot'!$F$2:$F$92,MATCH(C19,'Primary_snapshot'!$A$2:$A$92,0))="","",INDEX('Primary_snapshot'!$F$2:$F$92,MATCH(C19,'Primary_snapshot'!$A$2:$A$92,0))),"SNAPSHOT MISSING"))</x:f>
      </x:c>
      <x:c r="P19" s="3" t="str">
        <x:f>IF(Setup!$B$6="primary","",IFERROR(IF(INDEX('Primary_snapshot'!$G$2:$G$92,MATCH(C19,'Primary_snapshot'!$A$2:$A$92,0))="","",INDEX('Primary_snapshot'!$G$2:$G$92,MATCH(C19,'Primary_snapshot'!$A$2:$A$92,0))),"SNAPSHOT MISSING"))</x:f>
      </x:c>
      <x:c r="Q19" s="3" t="str">
        <x:f>IF(Setup!$B$6="primary","",IFERROR(IF(INDEX('Primary_snapshot'!$H$2:$H$92,MATCH(C19,'Primary_snapshot'!$A$2:$A$92,0))="","",INDEX('Primary_snapshot'!$H$2:$H$92,MATCH(C19,'Primary_snapshot'!$A$2:$A$92,0))),"SNAPSHOT MISSING"))</x:f>
      </x:c>
      <x:c r="R19" s="3" t="str">
        <x:f>IF(Setup!$B$6="primary","",IFERROR(IF(INDEX('Primary_snapshot'!$I$2:$I$92,MATCH(C19,'Primary_snapshot'!$A$2:$A$92,0))="","",INDEX('Primary_snapshot'!$I$2:$I$92,MATCH(C19,'Primary_snapshot'!$A$2:$A$92,0))),"SNAPSHOT MISSING"))</x:f>
      </x:c>
      <x:c r="S19" s="3" t="str">
        <x:f>IF(INDEX('C_jama.2024.12829'!$D$2:$D$18,MATCH("2024::jama.2024.12829::C007",'C_jama.2024.12829'!$A$2:$A$18,0))="","",INDEX('C_jama.2024.12829'!$D$2:$D$18,MATCH("2024::jama.2024.12829::C007",'C_jama.2024.12829'!$A$2:$A$18,0)))</x:f>
      </x:c>
      <x:c r="T19" s="3" t="str">
        <x:f>IF(INDEX('C_jama.2024.12829'!$E$2:$E$18,MATCH("2024::jama.2024.12829::C007",'C_jama.2024.12829'!$A$2:$A$18,0))="","",INDEX('C_jama.2024.12829'!$E$2:$E$18,MATCH("2024::jama.2024.12829::C007",'C_jama.2024.12829'!$A$2:$A$18,0)))</x:f>
        <x:v>statistical_results</x:v>
      </x:c>
      <x:c r="U19" s="3" t="str">
        <x:f>IF(AND(INDEX('C_jama.2024.12829'!$D$2:$D$18,MATCH("2024::jama.2024.12829::C007",'C_jama.2024.12829'!$A$2:$A$18,0))="retain",INDEX('C_jama.2024.12829'!$E$2:$E$18,MATCH("2024::jama.2024.12829::C007",'C_jama.2024.12829'!$A$2:$A$18,0))="statistical_results"),IF(INDEX('C_jama.2024.12829'!$H$2:$H$18,MATCH("2024::jama.2024.12829::C007",'C_jama.2024.12829'!$A$2:$A$18,0))="","",INDEX('C_jama.2024.12829'!$H$2:$H$18,MATCH("2024::jama.2024.12829::C007",'C_jama.2024.12829'!$A$2:$A$18,0))),"not_applicable")</x:f>
        <x:v>not_applicable</x:v>
      </x:c>
      <x:c r="V19" s="3" t="str">
        <x:f>IF(AND(INDEX('C_jama.2024.12829'!$D$2:$D$18,MATCH("2024::jama.2024.12829::C007",'C_jama.2024.12829'!$A$2:$A$18,0))="retain",INDEX('C_jama.2024.12829'!$E$2:$E$18,MATCH("2024::jama.2024.12829::C007",'C_jama.2024.12829'!$A$2:$A$18,0))="statistical_results"),IF(INDEX('C_jama.2024.12829'!$I$2:$I$18,MATCH("2024::jama.2024.12829::C007",'C_jama.2024.12829'!$A$2:$A$18,0))="","",INDEX('C_jama.2024.12829'!$I$2:$I$18,MATCH("2024::jama.2024.12829::C007",'C_jama.2024.12829'!$A$2:$A$18,0))),"not_applicable")</x:f>
        <x:v>not_applicable</x:v>
      </x:c>
      <x:c r="W19" s="3" t="str">
        <x:f>IF(AND(INDEX('C_jama.2024.12829'!$D$2:$D$18,MATCH("2024::jama.2024.12829::C007",'C_jama.2024.12829'!$A$2:$A$18,0))="retain",INDEX('C_jama.2024.12829'!$E$2:$E$18,MATCH("2024::jama.2024.12829::C007",'C_jama.2024.12829'!$A$2:$A$18,0))="statistical_results"),IF(INDEX('C_jama.2024.12829'!$J$2:$J$18,MATCH("2024::jama.2024.12829::C007",'C_jama.2024.12829'!$A$2:$A$18,0))="","",INDEX('C_jama.2024.12829'!$J$2:$J$18,MATCH("2024::jama.2024.12829::C007",'C_jama.2024.12829'!$A$2:$A$18,0))),"not_applicable")</x:f>
        <x:v>not_applicable</x:v>
      </x:c>
      <x:c r="X19" s="3" t="str">
        <x:f>IF(AND(INDEX('C_jama.2024.12829'!$D$2:$D$18,MATCH("2024::jama.2024.12829::C007",'C_jama.2024.12829'!$A$2:$A$18,0))="retain",OR(INDEX('C_jama.2024.12829'!$E$2:$E$18,MATCH("2024::jama.2024.12829::C007",'C_jama.2024.12829'!$A$2:$A$18,0))="report_internal_inconsistency",INDEX('C_jama.2024.12829'!$E$2:$E$18,MATCH("2024::jama.2024.12829::C007",'C_jama.2024.12829'!$A$2:$A$18,0))="plan_material")),IF(INDEX('C_jama.2024.12829'!$K$2:$K$18,MATCH("2024::jama.2024.12829::C007",'C_jama.2024.12829'!$A$2:$A$18,0))="","",INDEX('C_jama.2024.12829'!$K$2:$K$18,MATCH("2024::jama.2024.12829::C007",'C_jama.2024.12829'!$A$2:$A$18,0))),"not_applicable")</x:f>
        <x:v>not_applicable</x:v>
      </x:c>
      <x:c r="Y19" s="3" t="str">
        <x:f>IF(AND(INDEX('C_jama.2024.12829'!$D$2:$D$18,MATCH("2024::jama.2024.12829::C007",'C_jama.2024.12829'!$A$2:$A$18,0))="retain",INDEX('C_jama.2024.12829'!$E$2:$E$18,MATCH("2024::jama.2024.12829::C007",'C_jama.2024.12829'!$A$2:$A$18,0))="protocol_report"),IF(INDEX('C_jama.2024.12829'!$L$2:$L$18,MATCH("2024::jama.2024.12829::C007",'C_jama.2024.12829'!$A$2:$A$18,0))="","",INDEX('C_jama.2024.12829'!$L$2:$L$18,MATCH("2024::jama.2024.12829::C007",'C_jama.2024.12829'!$A$2:$A$18,0))),"not_applicable")</x:f>
        <x:v>not_applicable</x:v>
      </x:c>
      <x:c r="Z19" s="3" t="str">
        <x:f>IF(INDEX('C_jama.2024.12829'!$R$2:$R$18,MATCH("2024::jama.2024.12829::C007",'C_jama.2024.12829'!$A$2:$A$18,0))="","",INDEX('C_jama.2024.12829'!$R$2:$R$18,MATCH("2024::jama.2024.12829::C007",'C_jama.2024.12829'!$A$2:$A$18,0)))</x:f>
      </x:c>
      <x:c r="AA19" s="3" t="str">
        <x:f>IF(INDEX('C_jama.2024.12829'!$N$2:$N$18,MATCH("2024::jama.2024.12829::C007",'C_jama.2024.12829'!$A$2:$A$18,0))="","",INDEX('C_jama.2024.12829'!$N$2:$N$18,MATCH("2024::jama.2024.12829::C007",'C_jama.2024.12829'!$A$2:$A$18,0)))</x:f>
      </x:c>
      <x:c r="AB19" s="3" t="str">
        <x:f>IF(INDEX('C_jama.2024.12829'!$O$2:$O$18,MATCH("2024::jama.2024.12829::C007",'C_jama.2024.12829'!$A$2:$A$18,0))="","",INDEX('C_jama.2024.12829'!$O$2:$O$18,MATCH("2024::jama.2024.12829::C007",'C_jama.2024.12829'!$A$2:$A$18,0)))</x:f>
      </x:c>
      <x:c r="AC19" s="3" t="str">
        <x:f>IF(INDEX('C_jama.2024.12829'!$P$2:$P$18,MATCH("2024::jama.2024.12829::C007",'C_jama.2024.12829'!$A$2:$A$18,0))="","",INDEX('C_jama.2024.12829'!$P$2:$P$18,MATCH("2024::jama.2024.12829::C007",'C_jama.2024.12829'!$A$2:$A$18,0)))</x:f>
      </x:c>
      <x:c r="AD19" s="3" t="str">
        <x:f>IF(INDEX('C_jama.2024.12829'!$Q$2:$Q$18,MATCH("2024::jama.2024.12829::C007",'C_jama.2024.12829'!$A$2:$A$18,0))="","",INDEX('C_jama.2024.12829'!$Q$2:$Q$18,MATCH("2024::jama.2024.12829::C007",'C_jama.2024.12829'!$A$2:$A$18,0)))</x:f>
      </x:c>
    </x:row>
    <x:row r="20" ht="65" customHeight="1">
      <x:c r="A20" s="6" t="n">
        <x:v>2024</x:v>
      </x:c>
      <x:c r="B20" s="6" t="str">
        <x:v>jama.2024.12829</x:v>
      </x:c>
      <x:c r="C20" s="6" t="str">
        <x:v>2024::jama.2024.12829::C008</x:v>
      </x:c>
      <x:c r="D20" s="6" t="str">
        <x:v>S_W</x:v>
      </x:c>
      <x:c r="E20" s="6" t="n">
        <x:f>Setup!$B$2</x:f>
        <x:v>0</x:v>
      </x:c>
      <x:c r="F20" s="6" t="str">
        <x:f>IF(Setup!$B$4="","",Setup!$B$4)</x:f>
      </x:c>
      <x:c r="G20" s="6" t="str">
        <x:f>IFERROR(INDEX('C_jama.2024.12829'!$G$2:$G$18,MATCH("2024::jama.2024.12829::C008",'C_jama.2024.12829'!$A$2:$A$18,0)),"CHECK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IF(Setup!$B$6="primary","",IFERROR(IF(INDEX('Primary_snapshot'!$B$2:$B$92,MATCH(C20,'Primary_snapshot'!$A$2:$A$92,0))="","",INDEX('Primary_snapshot'!$B$2:$B$92,MATCH(C20,'Primary_snapshot'!$A$2:$A$92,0))),"SNAPSHOT MISSING"))</x:f>
      </x:c>
      <x:c r="L20" s="6" t="str">
        <x:f>IF(Setup!$B$6="primary","",IFERROR(IF(INDEX('Primary_snapshot'!$C$2:$C$92,MATCH(C20,'Primary_snapshot'!$A$2:$A$92,0))="","",INDEX('Primary_snapshot'!$C$2:$C$92,MATCH(C20,'Primary_snapshot'!$A$2:$A$92,0))),"SNAPSHOT MISSING"))</x:f>
      </x:c>
      <x:c r="M20" s="6" t="str">
        <x:f>IF(Setup!$B$6="primary","",IFERROR(IF(INDEX('Primary_snapshot'!$D$2:$D$92,MATCH(C20,'Primary_snapshot'!$A$2:$A$92,0))="","",INDEX('Primary_snapshot'!$D$2:$D$92,MATCH(C20,'Primary_snapshot'!$A$2:$A$92,0))),"SNAPSHOT MISSING"))</x:f>
      </x:c>
      <x:c r="N20" s="6" t="str">
        <x:f>IF(Setup!$B$6="primary","",IFERROR(IF(INDEX('Primary_snapshot'!$E$2:$E$92,MATCH(C20,'Primary_snapshot'!$A$2:$A$92,0))="","",INDEX('Primary_snapshot'!$E$2:$E$92,MATCH(C20,'Primary_snapshot'!$A$2:$A$92,0))),"SNAPSHOT MISSING"))</x:f>
      </x:c>
      <x:c r="O20" s="6" t="str">
        <x:f>IF(Setup!$B$6="primary","",IFERROR(IF(INDEX('Primary_snapshot'!$F$2:$F$92,MATCH(C20,'Primary_snapshot'!$A$2:$A$92,0))="","",INDEX('Primary_snapshot'!$F$2:$F$92,MATCH(C20,'Primary_snapshot'!$A$2:$A$92,0))),"SNAPSHOT MISSING"))</x:f>
      </x:c>
      <x:c r="P20" s="6" t="str">
        <x:f>IF(Setup!$B$6="primary","",IFERROR(IF(INDEX('Primary_snapshot'!$G$2:$G$92,MATCH(C20,'Primary_snapshot'!$A$2:$A$92,0))="","",INDEX('Primary_snapshot'!$G$2:$G$92,MATCH(C20,'Primary_snapshot'!$A$2:$A$92,0))),"SNAPSHOT MISSING"))</x:f>
      </x:c>
      <x:c r="Q20" s="6" t="str">
        <x:f>IF(Setup!$B$6="primary","",IFERROR(IF(INDEX('Primary_snapshot'!$H$2:$H$92,MATCH(C20,'Primary_snapshot'!$A$2:$A$92,0))="","",INDEX('Primary_snapshot'!$H$2:$H$92,MATCH(C20,'Primary_snapshot'!$A$2:$A$92,0))),"SNAPSHOT MISSING"))</x:f>
      </x:c>
      <x:c r="R20" s="6" t="str">
        <x:f>IF(Setup!$B$6="primary","",IFERROR(IF(INDEX('Primary_snapshot'!$I$2:$I$92,MATCH(C20,'Primary_snapshot'!$A$2:$A$92,0))="","",INDEX('Primary_snapshot'!$I$2:$I$92,MATCH(C20,'Primary_snapshot'!$A$2:$A$92,0))),"SNAPSHOT MISSING"))</x:f>
      </x:c>
      <x:c r="S20" s="6" t="str">
        <x:f>IF(INDEX('C_jama.2024.12829'!$D$2:$D$18,MATCH("2024::jama.2024.12829::C008",'C_jama.2024.12829'!$A$2:$A$18,0))="","",INDEX('C_jama.2024.12829'!$D$2:$D$18,MATCH("2024::jama.2024.12829::C008",'C_jama.2024.12829'!$A$2:$A$18,0)))</x:f>
      </x:c>
      <x:c r="T20" s="6" t="str">
        <x:f>IF(INDEX('C_jama.2024.12829'!$E$2:$E$18,MATCH("2024::jama.2024.12829::C008",'C_jama.2024.12829'!$A$2:$A$18,0))="","",INDEX('C_jama.2024.12829'!$E$2:$E$18,MATCH("2024::jama.2024.12829::C008",'C_jama.2024.12829'!$A$2:$A$18,0)))</x:f>
        <x:v>statistical_results</x:v>
      </x:c>
      <x:c r="U20" s="6" t="str">
        <x:f>IF(AND(INDEX('C_jama.2024.12829'!$D$2:$D$18,MATCH("2024::jama.2024.12829::C008",'C_jama.2024.12829'!$A$2:$A$18,0))="retain",INDEX('C_jama.2024.12829'!$E$2:$E$18,MATCH("2024::jama.2024.12829::C008",'C_jama.2024.12829'!$A$2:$A$18,0))="statistical_results"),IF(INDEX('C_jama.2024.12829'!$H$2:$H$18,MATCH("2024::jama.2024.12829::C008",'C_jama.2024.12829'!$A$2:$A$18,0))="","",INDEX('C_jama.2024.12829'!$H$2:$H$18,MATCH("2024::jama.2024.12829::C008",'C_jama.2024.12829'!$A$2:$A$18,0))),"not_applicable")</x:f>
        <x:v>not_applicable</x:v>
      </x:c>
      <x:c r="V20" s="6" t="str">
        <x:f>IF(AND(INDEX('C_jama.2024.12829'!$D$2:$D$18,MATCH("2024::jama.2024.12829::C008",'C_jama.2024.12829'!$A$2:$A$18,0))="retain",INDEX('C_jama.2024.12829'!$E$2:$E$18,MATCH("2024::jama.2024.12829::C008",'C_jama.2024.12829'!$A$2:$A$18,0))="statistical_results"),IF(INDEX('C_jama.2024.12829'!$I$2:$I$18,MATCH("2024::jama.2024.12829::C008",'C_jama.2024.12829'!$A$2:$A$18,0))="","",INDEX('C_jama.2024.12829'!$I$2:$I$18,MATCH("2024::jama.2024.12829::C008",'C_jama.2024.12829'!$A$2:$A$18,0))),"not_applicable")</x:f>
        <x:v>not_applicable</x:v>
      </x:c>
      <x:c r="W20" s="6" t="str">
        <x:f>IF(AND(INDEX('C_jama.2024.12829'!$D$2:$D$18,MATCH("2024::jama.2024.12829::C008",'C_jama.2024.12829'!$A$2:$A$18,0))="retain",INDEX('C_jama.2024.12829'!$E$2:$E$18,MATCH("2024::jama.2024.12829::C008",'C_jama.2024.12829'!$A$2:$A$18,0))="statistical_results"),IF(INDEX('C_jama.2024.12829'!$J$2:$J$18,MATCH("2024::jama.2024.12829::C008",'C_jama.2024.12829'!$A$2:$A$18,0))="","",INDEX('C_jama.2024.12829'!$J$2:$J$18,MATCH("2024::jama.2024.12829::C008",'C_jama.2024.12829'!$A$2:$A$18,0))),"not_applicable")</x:f>
        <x:v>not_applicable</x:v>
      </x:c>
      <x:c r="X20" s="6" t="str">
        <x:f>IF(AND(INDEX('C_jama.2024.12829'!$D$2:$D$18,MATCH("2024::jama.2024.12829::C008",'C_jama.2024.12829'!$A$2:$A$18,0))="retain",OR(INDEX('C_jama.2024.12829'!$E$2:$E$18,MATCH("2024::jama.2024.12829::C008",'C_jama.2024.12829'!$A$2:$A$18,0))="report_internal_inconsistency",INDEX('C_jama.2024.12829'!$E$2:$E$18,MATCH("2024::jama.2024.12829::C008",'C_jama.2024.12829'!$A$2:$A$18,0))="plan_material")),IF(INDEX('C_jama.2024.12829'!$K$2:$K$18,MATCH("2024::jama.2024.12829::C008",'C_jama.2024.12829'!$A$2:$A$18,0))="","",INDEX('C_jama.2024.12829'!$K$2:$K$18,MATCH("2024::jama.2024.12829::C008",'C_jama.2024.12829'!$A$2:$A$18,0))),"not_applicable")</x:f>
        <x:v>not_applicable</x:v>
      </x:c>
      <x:c r="Y20" s="6" t="str">
        <x:f>IF(AND(INDEX('C_jama.2024.12829'!$D$2:$D$18,MATCH("2024::jama.2024.12829::C008",'C_jama.2024.12829'!$A$2:$A$18,0))="retain",INDEX('C_jama.2024.12829'!$E$2:$E$18,MATCH("2024::jama.2024.12829::C008",'C_jama.2024.12829'!$A$2:$A$18,0))="protocol_report"),IF(INDEX('C_jama.2024.12829'!$L$2:$L$18,MATCH("2024::jama.2024.12829::C008",'C_jama.2024.12829'!$A$2:$A$18,0))="","",INDEX('C_jama.2024.12829'!$L$2:$L$18,MATCH("2024::jama.2024.12829::C008",'C_jama.2024.12829'!$A$2:$A$18,0))),"not_applicable")</x:f>
        <x:v>not_applicable</x:v>
      </x:c>
      <x:c r="Z20" s="6" t="str">
        <x:f>IF(INDEX('C_jama.2024.12829'!$R$2:$R$18,MATCH("2024::jama.2024.12829::C008",'C_jama.2024.12829'!$A$2:$A$18,0))="","",INDEX('C_jama.2024.12829'!$R$2:$R$18,MATCH("2024::jama.2024.12829::C008",'C_jama.2024.12829'!$A$2:$A$18,0)))</x:f>
      </x:c>
      <x:c r="AA20" s="6" t="str">
        <x:f>IF(INDEX('C_jama.2024.12829'!$N$2:$N$18,MATCH("2024::jama.2024.12829::C008",'C_jama.2024.12829'!$A$2:$A$18,0))="","",INDEX('C_jama.2024.12829'!$N$2:$N$18,MATCH("2024::jama.2024.12829::C008",'C_jama.2024.12829'!$A$2:$A$18,0)))</x:f>
      </x:c>
      <x:c r="AB20" s="6" t="str">
        <x:f>IF(INDEX('C_jama.2024.12829'!$O$2:$O$18,MATCH("2024::jama.2024.12829::C008",'C_jama.2024.12829'!$A$2:$A$18,0))="","",INDEX('C_jama.2024.12829'!$O$2:$O$18,MATCH("2024::jama.2024.12829::C008",'C_jama.2024.12829'!$A$2:$A$18,0)))</x:f>
      </x:c>
      <x:c r="AC20" s="6" t="str">
        <x:f>IF(INDEX('C_jama.2024.12829'!$P$2:$P$18,MATCH("2024::jama.2024.12829::C008",'C_jama.2024.12829'!$A$2:$A$18,0))="","",INDEX('C_jama.2024.12829'!$P$2:$P$18,MATCH("2024::jama.2024.12829::C008",'C_jama.2024.12829'!$A$2:$A$18,0)))</x:f>
      </x:c>
      <x:c r="AD20" s="6" t="str">
        <x:f>IF(INDEX('C_jama.2024.12829'!$Q$2:$Q$18,MATCH("2024::jama.2024.12829::C008",'C_jama.2024.12829'!$A$2:$A$18,0))="","",INDEX('C_jama.2024.12829'!$Q$2:$Q$18,MATCH("2024::jama.2024.12829::C008",'C_jama.2024.12829'!$A$2:$A$18,0)))</x:f>
      </x:c>
    </x:row>
    <x:row r="21" ht="65" customHeight="1">
      <x:c r="A21" s="3" t="n">
        <x:v>2024</x:v>
      </x:c>
      <x:c r="B21" s="3" t="str">
        <x:v>jama.2024.12829</x:v>
      </x:c>
      <x:c r="C21" s="3" t="str">
        <x:v>2024::jama.2024.12829::C009</x:v>
      </x:c>
      <x:c r="D21" s="3" t="str">
        <x:v>P_R</x:v>
      </x:c>
      <x:c r="E21" s="3" t="n">
        <x:f>Setup!$B$2</x:f>
        <x:v>0</x:v>
      </x:c>
      <x:c r="F21" s="3" t="str">
        <x:f>IF(Setup!$B$4="","",Setup!$B$4)</x:f>
      </x:c>
      <x:c r="G21" s="3" t="str">
        <x:f>IFERROR(INDEX('C_jama.2024.12829'!$G$2:$G$18,MATCH("2024::jama.2024.12829::C009",'C_jama.2024.12829'!$A$2:$A$18,0)),"CHECK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protocol_report</x:v>
      </x:c>
      <x:c r="K21" s="3" t="str">
        <x:f>IF(Setup!$B$6="primary","",IFERROR(IF(INDEX('Primary_snapshot'!$B$2:$B$92,MATCH(C21,'Primary_snapshot'!$A$2:$A$92,0))="","",INDEX('Primary_snapshot'!$B$2:$B$92,MATCH(C21,'Primary_snapshot'!$A$2:$A$92,0))),"SNAPSHOT MISSING"))</x:f>
      </x:c>
      <x:c r="L21" s="3" t="str">
        <x:f>IF(Setup!$B$6="primary","",IFERROR(IF(INDEX('Primary_snapshot'!$C$2:$C$92,MATCH(C21,'Primary_snapshot'!$A$2:$A$92,0))="","",INDEX('Primary_snapshot'!$C$2:$C$92,MATCH(C21,'Primary_snapshot'!$A$2:$A$92,0))),"SNAPSHOT MISSING"))</x:f>
      </x:c>
      <x:c r="M21" s="3" t="str">
        <x:f>IF(Setup!$B$6="primary","",IFERROR(IF(INDEX('Primary_snapshot'!$D$2:$D$92,MATCH(C21,'Primary_snapshot'!$A$2:$A$92,0))="","",INDEX('Primary_snapshot'!$D$2:$D$92,MATCH(C21,'Primary_snapshot'!$A$2:$A$92,0))),"SNAPSHOT MISSING"))</x:f>
      </x:c>
      <x:c r="N21" s="3" t="str">
        <x:f>IF(Setup!$B$6="primary","",IFERROR(IF(INDEX('Primary_snapshot'!$E$2:$E$92,MATCH(C21,'Primary_snapshot'!$A$2:$A$92,0))="","",INDEX('Primary_snapshot'!$E$2:$E$92,MATCH(C21,'Primary_snapshot'!$A$2:$A$92,0))),"SNAPSHOT MISSING"))</x:f>
      </x:c>
      <x:c r="O21" s="3" t="str">
        <x:f>IF(Setup!$B$6="primary","",IFERROR(IF(INDEX('Primary_snapshot'!$F$2:$F$92,MATCH(C21,'Primary_snapshot'!$A$2:$A$92,0))="","",INDEX('Primary_snapshot'!$F$2:$F$92,MATCH(C21,'Primary_snapshot'!$A$2:$A$92,0))),"SNAPSHOT MISSING"))</x:f>
      </x:c>
      <x:c r="P21" s="3" t="str">
        <x:f>IF(Setup!$B$6="primary","",IFERROR(IF(INDEX('Primary_snapshot'!$G$2:$G$92,MATCH(C21,'Primary_snapshot'!$A$2:$A$92,0))="","",INDEX('Primary_snapshot'!$G$2:$G$92,MATCH(C21,'Primary_snapshot'!$A$2:$A$92,0))),"SNAPSHOT MISSING"))</x:f>
      </x:c>
      <x:c r="Q21" s="3" t="str">
        <x:f>IF(Setup!$B$6="primary","",IFERROR(IF(INDEX('Primary_snapshot'!$H$2:$H$92,MATCH(C21,'Primary_snapshot'!$A$2:$A$92,0))="","",INDEX('Primary_snapshot'!$H$2:$H$92,MATCH(C21,'Primary_snapshot'!$A$2:$A$92,0))),"SNAPSHOT MISSING"))</x:f>
      </x:c>
      <x:c r="R21" s="3" t="str">
        <x:f>IF(Setup!$B$6="primary","",IFERROR(IF(INDEX('Primary_snapshot'!$I$2:$I$92,MATCH(C21,'Primary_snapshot'!$A$2:$A$92,0))="","",INDEX('Primary_snapshot'!$I$2:$I$92,MATCH(C21,'Primary_snapshot'!$A$2:$A$92,0))),"SNAPSHOT MISSING"))</x:f>
      </x:c>
      <x:c r="S21" s="3" t="str">
        <x:f>IF(INDEX('C_jama.2024.12829'!$D$2:$D$18,MATCH("2024::jama.2024.12829::C009",'C_jama.2024.12829'!$A$2:$A$18,0))="","",INDEX('C_jama.2024.12829'!$D$2:$D$18,MATCH("2024::jama.2024.12829::C009",'C_jama.2024.12829'!$A$2:$A$18,0)))</x:f>
      </x:c>
      <x:c r="T21" s="3" t="str">
        <x:f>IF(INDEX('C_jama.2024.12829'!$E$2:$E$18,MATCH("2024::jama.2024.12829::C009",'C_jama.2024.12829'!$A$2:$A$18,0))="","",INDEX('C_jama.2024.12829'!$E$2:$E$18,MATCH("2024::jama.2024.12829::C009",'C_jama.2024.12829'!$A$2:$A$18,0)))</x:f>
        <x:v>protocol_report</x:v>
      </x:c>
      <x:c r="U21" s="3" t="str">
        <x:f>IF(AND(INDEX('C_jama.2024.12829'!$D$2:$D$18,MATCH("2024::jama.2024.12829::C009",'C_jama.2024.12829'!$A$2:$A$18,0))="retain",INDEX('C_jama.2024.12829'!$E$2:$E$18,MATCH("2024::jama.2024.12829::C009",'C_jama.2024.12829'!$A$2:$A$18,0))="statistical_results"),IF(INDEX('C_jama.2024.12829'!$H$2:$H$18,MATCH("2024::jama.2024.12829::C009",'C_jama.2024.12829'!$A$2:$A$18,0))="","",INDEX('C_jama.2024.12829'!$H$2:$H$18,MATCH("2024::jama.2024.12829::C009",'C_jama.2024.12829'!$A$2:$A$18,0))),"not_applicable")</x:f>
        <x:v>not_applicable</x:v>
      </x:c>
      <x:c r="V21" s="3" t="str">
        <x:f>IF(AND(INDEX('C_jama.2024.12829'!$D$2:$D$18,MATCH("2024::jama.2024.12829::C009",'C_jama.2024.12829'!$A$2:$A$18,0))="retain",INDEX('C_jama.2024.12829'!$E$2:$E$18,MATCH("2024::jama.2024.12829::C009",'C_jama.2024.12829'!$A$2:$A$18,0))="statistical_results"),IF(INDEX('C_jama.2024.12829'!$I$2:$I$18,MATCH("2024::jama.2024.12829::C009",'C_jama.2024.12829'!$A$2:$A$18,0))="","",INDEX('C_jama.2024.12829'!$I$2:$I$18,MATCH("2024::jama.2024.12829::C009",'C_jama.2024.12829'!$A$2:$A$18,0))),"not_applicable")</x:f>
        <x:v>not_applicable</x:v>
      </x:c>
      <x:c r="W21" s="3" t="str">
        <x:f>IF(AND(INDEX('C_jama.2024.12829'!$D$2:$D$18,MATCH("2024::jama.2024.12829::C009",'C_jama.2024.12829'!$A$2:$A$18,0))="retain",INDEX('C_jama.2024.12829'!$E$2:$E$18,MATCH("2024::jama.2024.12829::C009",'C_jama.2024.12829'!$A$2:$A$18,0))="statistical_results"),IF(INDEX('C_jama.2024.12829'!$J$2:$J$18,MATCH("2024::jama.2024.12829::C009",'C_jama.2024.12829'!$A$2:$A$18,0))="","",INDEX('C_jama.2024.12829'!$J$2:$J$18,MATCH("2024::jama.2024.12829::C009",'C_jama.2024.12829'!$A$2:$A$18,0))),"not_applicable")</x:f>
        <x:v>not_applicable</x:v>
      </x:c>
      <x:c r="X21" s="3" t="str">
        <x:f>IF(AND(INDEX('C_jama.2024.12829'!$D$2:$D$18,MATCH("2024::jama.2024.12829::C009",'C_jama.2024.12829'!$A$2:$A$18,0))="retain",OR(INDEX('C_jama.2024.12829'!$E$2:$E$18,MATCH("2024::jama.2024.12829::C009",'C_jama.2024.12829'!$A$2:$A$18,0))="report_internal_inconsistency",INDEX('C_jama.2024.12829'!$E$2:$E$18,MATCH("2024::jama.2024.12829::C009",'C_jama.2024.12829'!$A$2:$A$18,0))="plan_material")),IF(INDEX('C_jama.2024.12829'!$K$2:$K$18,MATCH("2024::jama.2024.12829::C009",'C_jama.2024.12829'!$A$2:$A$18,0))="","",INDEX('C_jama.2024.12829'!$K$2:$K$18,MATCH("2024::jama.2024.12829::C009",'C_jama.2024.12829'!$A$2:$A$18,0))),"not_applicable")</x:f>
        <x:v>not_applicable</x:v>
      </x:c>
      <x:c r="Y21" s="3" t="str">
        <x:f>IF(AND(INDEX('C_jama.2024.12829'!$D$2:$D$18,MATCH("2024::jama.2024.12829::C009",'C_jama.2024.12829'!$A$2:$A$18,0))="retain",INDEX('C_jama.2024.12829'!$E$2:$E$18,MATCH("2024::jama.2024.12829::C009",'C_jama.2024.12829'!$A$2:$A$18,0))="protocol_report"),IF(INDEX('C_jama.2024.12829'!$L$2:$L$18,MATCH("2024::jama.2024.12829::C009",'C_jama.2024.12829'!$A$2:$A$18,0))="","",INDEX('C_jama.2024.12829'!$L$2:$L$18,MATCH("2024::jama.2024.12829::C009",'C_jama.2024.12829'!$A$2:$A$18,0))),"not_applicable")</x:f>
        <x:v>not_applicable</x:v>
      </x:c>
      <x:c r="Z21" s="3" t="str">
        <x:f>IF(INDEX('C_jama.2024.12829'!$R$2:$R$18,MATCH("2024::jama.2024.12829::C009",'C_jama.2024.12829'!$A$2:$A$18,0))="","",INDEX('C_jama.2024.12829'!$R$2:$R$18,MATCH("2024::jama.2024.12829::C009",'C_jama.2024.12829'!$A$2:$A$18,0)))</x:f>
      </x:c>
      <x:c r="AA21" s="3" t="str">
        <x:f>IF(INDEX('C_jama.2024.12829'!$N$2:$N$18,MATCH("2024::jama.2024.12829::C009",'C_jama.2024.12829'!$A$2:$A$18,0))="","",INDEX('C_jama.2024.12829'!$N$2:$N$18,MATCH("2024::jama.2024.12829::C009",'C_jama.2024.12829'!$A$2:$A$18,0)))</x:f>
      </x:c>
      <x:c r="AB21" s="3" t="str">
        <x:f>IF(INDEX('C_jama.2024.12829'!$O$2:$O$18,MATCH("2024::jama.2024.12829::C009",'C_jama.2024.12829'!$A$2:$A$18,0))="","",INDEX('C_jama.2024.12829'!$O$2:$O$18,MATCH("2024::jama.2024.12829::C009",'C_jama.2024.12829'!$A$2:$A$18,0)))</x:f>
      </x:c>
      <x:c r="AC21" s="3" t="str">
        <x:f>IF(INDEX('C_jama.2024.12829'!$P$2:$P$18,MATCH("2024::jama.2024.12829::C009",'C_jama.2024.12829'!$A$2:$A$18,0))="","",INDEX('C_jama.2024.12829'!$P$2:$P$18,MATCH("2024::jama.2024.12829::C009",'C_jama.2024.12829'!$A$2:$A$18,0)))</x:f>
      </x:c>
      <x:c r="AD21" s="3" t="str">
        <x:f>IF(INDEX('C_jama.2024.12829'!$Q$2:$Q$18,MATCH("2024::jama.2024.12829::C009",'C_jama.2024.12829'!$A$2:$A$18,0))="","",INDEX('C_jama.2024.12829'!$Q$2:$Q$18,MATCH("2024::jama.2024.12829::C009",'C_jama.2024.12829'!$A$2:$A$18,0)))</x:f>
      </x:c>
    </x:row>
    <x:row r="22" ht="65" customHeight="1">
      <x:c r="A22" s="6" t="n">
        <x:v>2024</x:v>
      </x:c>
      <x:c r="B22" s="6" t="str">
        <x:v>jama.2024.12829</x:v>
      </x:c>
      <x:c r="C22" s="6" t="str">
        <x:v>2024::jama.2024.12829::C010</x:v>
      </x:c>
      <x:c r="D22" s="6" t="str">
        <x:v>P_P</x:v>
      </x:c>
      <x:c r="E22" s="6" t="n">
        <x:f>Setup!$B$2</x:f>
        <x:v>0</x:v>
      </x:c>
      <x:c r="F22" s="6" t="str">
        <x:f>IF(Setup!$B$4="","",Setup!$B$4)</x:f>
      </x:c>
      <x:c r="G22" s="6" t="str">
        <x:f>IFERROR(INDEX('C_jama.2024.12829'!$G$2:$G$18,MATCH("2024::jama.2024.12829::C010",'C_jama.2024.12829'!$A$2:$A$18,0)),"CHECK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plan_material</x:v>
      </x:c>
      <x:c r="K22" s="6" t="str">
        <x:f>IF(Setup!$B$6="primary","",IFERROR(IF(INDEX('Primary_snapshot'!$B$2:$B$92,MATCH(C22,'Primary_snapshot'!$A$2:$A$92,0))="","",INDEX('Primary_snapshot'!$B$2:$B$92,MATCH(C22,'Primary_snapshot'!$A$2:$A$92,0))),"SNAPSHOT MISSING"))</x:f>
      </x:c>
      <x:c r="L22" s="6" t="str">
        <x:f>IF(Setup!$B$6="primary","",IFERROR(IF(INDEX('Primary_snapshot'!$C$2:$C$92,MATCH(C22,'Primary_snapshot'!$A$2:$A$92,0))="","",INDEX('Primary_snapshot'!$C$2:$C$92,MATCH(C22,'Primary_snapshot'!$A$2:$A$92,0))),"SNAPSHOT MISSING"))</x:f>
      </x:c>
      <x:c r="M22" s="6" t="str">
        <x:f>IF(Setup!$B$6="primary","",IFERROR(IF(INDEX('Primary_snapshot'!$D$2:$D$92,MATCH(C22,'Primary_snapshot'!$A$2:$A$92,0))="","",INDEX('Primary_snapshot'!$D$2:$D$92,MATCH(C22,'Primary_snapshot'!$A$2:$A$92,0))),"SNAPSHOT MISSING"))</x:f>
      </x:c>
      <x:c r="N22" s="6" t="str">
        <x:f>IF(Setup!$B$6="primary","",IFERROR(IF(INDEX('Primary_snapshot'!$E$2:$E$92,MATCH(C22,'Primary_snapshot'!$A$2:$A$92,0))="","",INDEX('Primary_snapshot'!$E$2:$E$92,MATCH(C22,'Primary_snapshot'!$A$2:$A$92,0))),"SNAPSHOT MISSING"))</x:f>
      </x:c>
      <x:c r="O22" s="6" t="str">
        <x:f>IF(Setup!$B$6="primary","",IFERROR(IF(INDEX('Primary_snapshot'!$F$2:$F$92,MATCH(C22,'Primary_snapshot'!$A$2:$A$92,0))="","",INDEX('Primary_snapshot'!$F$2:$F$92,MATCH(C22,'Primary_snapshot'!$A$2:$A$92,0))),"SNAPSHOT MISSING"))</x:f>
      </x:c>
      <x:c r="P22" s="6" t="str">
        <x:f>IF(Setup!$B$6="primary","",IFERROR(IF(INDEX('Primary_snapshot'!$G$2:$G$92,MATCH(C22,'Primary_snapshot'!$A$2:$A$92,0))="","",INDEX('Primary_snapshot'!$G$2:$G$92,MATCH(C22,'Primary_snapshot'!$A$2:$A$92,0))),"SNAPSHOT MISSING"))</x:f>
      </x:c>
      <x:c r="Q22" s="6" t="str">
        <x:f>IF(Setup!$B$6="primary","",IFERROR(IF(INDEX('Primary_snapshot'!$H$2:$H$92,MATCH(C22,'Primary_snapshot'!$A$2:$A$92,0))="","",INDEX('Primary_snapshot'!$H$2:$H$92,MATCH(C22,'Primary_snapshot'!$A$2:$A$92,0))),"SNAPSHOT MISSING"))</x:f>
      </x:c>
      <x:c r="R22" s="6" t="str">
        <x:f>IF(Setup!$B$6="primary","",IFERROR(IF(INDEX('Primary_snapshot'!$I$2:$I$92,MATCH(C22,'Primary_snapshot'!$A$2:$A$92,0))="","",INDEX('Primary_snapshot'!$I$2:$I$92,MATCH(C22,'Primary_snapshot'!$A$2:$A$92,0))),"SNAPSHOT MISSING"))</x:f>
      </x:c>
      <x:c r="S22" s="6" t="str">
        <x:f>IF(INDEX('C_jama.2024.12829'!$D$2:$D$18,MATCH("2024::jama.2024.12829::C010",'C_jama.2024.12829'!$A$2:$A$18,0))="","",INDEX('C_jama.2024.12829'!$D$2:$D$18,MATCH("2024::jama.2024.12829::C010",'C_jama.2024.12829'!$A$2:$A$18,0)))</x:f>
      </x:c>
      <x:c r="T22" s="6" t="str">
        <x:f>IF(INDEX('C_jama.2024.12829'!$E$2:$E$18,MATCH("2024::jama.2024.12829::C010",'C_jama.2024.12829'!$A$2:$A$18,0))="","",INDEX('C_jama.2024.12829'!$E$2:$E$18,MATCH("2024::jama.2024.12829::C010",'C_jama.2024.12829'!$A$2:$A$18,0)))</x:f>
        <x:v>plan_material</x:v>
      </x:c>
      <x:c r="U22" s="6" t="str">
        <x:f>IF(AND(INDEX('C_jama.2024.12829'!$D$2:$D$18,MATCH("2024::jama.2024.12829::C010",'C_jama.2024.12829'!$A$2:$A$18,0))="retain",INDEX('C_jama.2024.12829'!$E$2:$E$18,MATCH("2024::jama.2024.12829::C010",'C_jama.2024.12829'!$A$2:$A$18,0))="statistical_results"),IF(INDEX('C_jama.2024.12829'!$H$2:$H$18,MATCH("2024::jama.2024.12829::C010",'C_jama.2024.12829'!$A$2:$A$18,0))="","",INDEX('C_jama.2024.12829'!$H$2:$H$18,MATCH("2024::jama.2024.12829::C010",'C_jama.2024.12829'!$A$2:$A$18,0))),"not_applicable")</x:f>
        <x:v>not_applicable</x:v>
      </x:c>
      <x:c r="V22" s="6" t="str">
        <x:f>IF(AND(INDEX('C_jama.2024.12829'!$D$2:$D$18,MATCH("2024::jama.2024.12829::C010",'C_jama.2024.12829'!$A$2:$A$18,0))="retain",INDEX('C_jama.2024.12829'!$E$2:$E$18,MATCH("2024::jama.2024.12829::C010",'C_jama.2024.12829'!$A$2:$A$18,0))="statistical_results"),IF(INDEX('C_jama.2024.12829'!$I$2:$I$18,MATCH("2024::jama.2024.12829::C010",'C_jama.2024.12829'!$A$2:$A$18,0))="","",INDEX('C_jama.2024.12829'!$I$2:$I$18,MATCH("2024::jama.2024.12829::C010",'C_jama.2024.12829'!$A$2:$A$18,0))),"not_applicable")</x:f>
        <x:v>not_applicable</x:v>
      </x:c>
      <x:c r="W22" s="6" t="str">
        <x:f>IF(AND(INDEX('C_jama.2024.12829'!$D$2:$D$18,MATCH("2024::jama.2024.12829::C010",'C_jama.2024.12829'!$A$2:$A$18,0))="retain",INDEX('C_jama.2024.12829'!$E$2:$E$18,MATCH("2024::jama.2024.12829::C010",'C_jama.2024.12829'!$A$2:$A$18,0))="statistical_results"),IF(INDEX('C_jama.2024.12829'!$J$2:$J$18,MATCH("2024::jama.2024.12829::C010",'C_jama.2024.12829'!$A$2:$A$18,0))="","",INDEX('C_jama.2024.12829'!$J$2:$J$18,MATCH("2024::jama.2024.12829::C010",'C_jama.2024.12829'!$A$2:$A$18,0))),"not_applicable")</x:f>
        <x:v>not_applicable</x:v>
      </x:c>
      <x:c r="X22" s="6" t="str">
        <x:f>IF(AND(INDEX('C_jama.2024.12829'!$D$2:$D$18,MATCH("2024::jama.2024.12829::C010",'C_jama.2024.12829'!$A$2:$A$18,0))="retain",OR(INDEX('C_jama.2024.12829'!$E$2:$E$18,MATCH("2024::jama.2024.12829::C010",'C_jama.2024.12829'!$A$2:$A$18,0))="report_internal_inconsistency",INDEX('C_jama.2024.12829'!$E$2:$E$18,MATCH("2024::jama.2024.12829::C010",'C_jama.2024.12829'!$A$2:$A$18,0))="plan_material")),IF(INDEX('C_jama.2024.12829'!$K$2:$K$18,MATCH("2024::jama.2024.12829::C010",'C_jama.2024.12829'!$A$2:$A$18,0))="","",INDEX('C_jama.2024.12829'!$K$2:$K$18,MATCH("2024::jama.2024.12829::C010",'C_jama.2024.12829'!$A$2:$A$18,0))),"not_applicable")</x:f>
        <x:v>not_applicable</x:v>
      </x:c>
      <x:c r="Y22" s="6" t="str">
        <x:f>IF(AND(INDEX('C_jama.2024.12829'!$D$2:$D$18,MATCH("2024::jama.2024.12829::C010",'C_jama.2024.12829'!$A$2:$A$18,0))="retain",INDEX('C_jama.2024.12829'!$E$2:$E$18,MATCH("2024::jama.2024.12829::C010",'C_jama.2024.12829'!$A$2:$A$18,0))="protocol_report"),IF(INDEX('C_jama.2024.12829'!$L$2:$L$18,MATCH("2024::jama.2024.12829::C010",'C_jama.2024.12829'!$A$2:$A$18,0))="","",INDEX('C_jama.2024.12829'!$L$2:$L$18,MATCH("2024::jama.2024.12829::C010",'C_jama.2024.12829'!$A$2:$A$18,0))),"not_applicable")</x:f>
        <x:v>not_applicable</x:v>
      </x:c>
      <x:c r="Z22" s="6" t="str">
        <x:f>IF(INDEX('C_jama.2024.12829'!$R$2:$R$18,MATCH("2024::jama.2024.12829::C010",'C_jama.2024.12829'!$A$2:$A$18,0))="","",INDEX('C_jama.2024.12829'!$R$2:$R$18,MATCH("2024::jama.2024.12829::C010",'C_jama.2024.12829'!$A$2:$A$18,0)))</x:f>
      </x:c>
      <x:c r="AA22" s="6" t="str">
        <x:f>IF(INDEX('C_jama.2024.12829'!$N$2:$N$18,MATCH("2024::jama.2024.12829::C010",'C_jama.2024.12829'!$A$2:$A$18,0))="","",INDEX('C_jama.2024.12829'!$N$2:$N$18,MATCH("2024::jama.2024.12829::C010",'C_jama.2024.12829'!$A$2:$A$18,0)))</x:f>
      </x:c>
      <x:c r="AB22" s="6" t="str">
        <x:f>IF(INDEX('C_jama.2024.12829'!$O$2:$O$18,MATCH("2024::jama.2024.12829::C010",'C_jama.2024.12829'!$A$2:$A$18,0))="","",INDEX('C_jama.2024.12829'!$O$2:$O$18,MATCH("2024::jama.2024.12829::C010",'C_jama.2024.12829'!$A$2:$A$18,0)))</x:f>
      </x:c>
      <x:c r="AC22" s="6" t="str">
        <x:f>IF(INDEX('C_jama.2024.12829'!$P$2:$P$18,MATCH("2024::jama.2024.12829::C010",'C_jama.2024.12829'!$A$2:$A$18,0))="","",INDEX('C_jama.2024.12829'!$P$2:$P$18,MATCH("2024::jama.2024.12829::C010",'C_jama.2024.12829'!$A$2:$A$18,0)))</x:f>
      </x:c>
      <x:c r="AD22" s="6" t="str">
        <x:f>IF(INDEX('C_jama.2024.12829'!$Q$2:$Q$18,MATCH("2024::jama.2024.12829::C010",'C_jama.2024.12829'!$A$2:$A$18,0))="","",INDEX('C_jama.2024.12829'!$Q$2:$Q$18,MATCH("2024::jama.2024.12829::C010",'C_jama.2024.12829'!$A$2:$A$18,0)))</x:f>
      </x:c>
    </x:row>
    <x:row r="23" ht="65" customHeight="1">
      <x:c r="A23" s="3" t="n">
        <x:v>2024</x:v>
      </x:c>
      <x:c r="B23" s="3" t="str">
        <x:v>jama.2024.12829</x:v>
      </x:c>
      <x:c r="C23" s="3" t="str">
        <x:v>2024::jama.2024.12829::C011</x:v>
      </x:c>
      <x:c r="D23" s="3" t="str">
        <x:v>S_W</x:v>
      </x:c>
      <x:c r="E23" s="3" t="n">
        <x:f>Setup!$B$2</x:f>
        <x:v>0</x:v>
      </x:c>
      <x:c r="F23" s="3" t="str">
        <x:f>IF(Setup!$B$4="","",Setup!$B$4)</x:f>
      </x:c>
      <x:c r="G23" s="3" t="str">
        <x:f>IFERROR(INDEX('C_jama.2024.12829'!$G$2:$G$18,MATCH("2024::jama.2024.12829::C011",'C_jama.2024.12829'!$A$2:$A$18,0)),"CHECK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IF(Setup!$B$6="primary","",IFERROR(IF(INDEX('Primary_snapshot'!$B$2:$B$92,MATCH(C23,'Primary_snapshot'!$A$2:$A$92,0))="","",INDEX('Primary_snapshot'!$B$2:$B$92,MATCH(C23,'Primary_snapshot'!$A$2:$A$92,0))),"SNAPSHOT MISSING"))</x:f>
      </x:c>
      <x:c r="L23" s="3" t="str">
        <x:f>IF(Setup!$B$6="primary","",IFERROR(IF(INDEX('Primary_snapshot'!$C$2:$C$92,MATCH(C23,'Primary_snapshot'!$A$2:$A$92,0))="","",INDEX('Primary_snapshot'!$C$2:$C$92,MATCH(C23,'Primary_snapshot'!$A$2:$A$92,0))),"SNAPSHOT MISSING"))</x:f>
      </x:c>
      <x:c r="M23" s="3" t="str">
        <x:f>IF(Setup!$B$6="primary","",IFERROR(IF(INDEX('Primary_snapshot'!$D$2:$D$92,MATCH(C23,'Primary_snapshot'!$A$2:$A$92,0))="","",INDEX('Primary_snapshot'!$D$2:$D$92,MATCH(C23,'Primary_snapshot'!$A$2:$A$92,0))),"SNAPSHOT MISSING"))</x:f>
      </x:c>
      <x:c r="N23" s="3" t="str">
        <x:f>IF(Setup!$B$6="primary","",IFERROR(IF(INDEX('Primary_snapshot'!$E$2:$E$92,MATCH(C23,'Primary_snapshot'!$A$2:$A$92,0))="","",INDEX('Primary_snapshot'!$E$2:$E$92,MATCH(C23,'Primary_snapshot'!$A$2:$A$92,0))),"SNAPSHOT MISSING"))</x:f>
      </x:c>
      <x:c r="O23" s="3" t="str">
        <x:f>IF(Setup!$B$6="primary","",IFERROR(IF(INDEX('Primary_snapshot'!$F$2:$F$92,MATCH(C23,'Primary_snapshot'!$A$2:$A$92,0))="","",INDEX('Primary_snapshot'!$F$2:$F$92,MATCH(C23,'Primary_snapshot'!$A$2:$A$92,0))),"SNAPSHOT MISSING"))</x:f>
      </x:c>
      <x:c r="P23" s="3" t="str">
        <x:f>IF(Setup!$B$6="primary","",IFERROR(IF(INDEX('Primary_snapshot'!$G$2:$G$92,MATCH(C23,'Primary_snapshot'!$A$2:$A$92,0))="","",INDEX('Primary_snapshot'!$G$2:$G$92,MATCH(C23,'Primary_snapshot'!$A$2:$A$92,0))),"SNAPSHOT MISSING"))</x:f>
      </x:c>
      <x:c r="Q23" s="3" t="str">
        <x:f>IF(Setup!$B$6="primary","",IFERROR(IF(INDEX('Primary_snapshot'!$H$2:$H$92,MATCH(C23,'Primary_snapshot'!$A$2:$A$92,0))="","",INDEX('Primary_snapshot'!$H$2:$H$92,MATCH(C23,'Primary_snapshot'!$A$2:$A$92,0))),"SNAPSHOT MISSING"))</x:f>
      </x:c>
      <x:c r="R23" s="3" t="str">
        <x:f>IF(Setup!$B$6="primary","",IFERROR(IF(INDEX('Primary_snapshot'!$I$2:$I$92,MATCH(C23,'Primary_snapshot'!$A$2:$A$92,0))="","",INDEX('Primary_snapshot'!$I$2:$I$92,MATCH(C23,'Primary_snapshot'!$A$2:$A$92,0))),"SNAPSHOT MISSING"))</x:f>
      </x:c>
      <x:c r="S23" s="3" t="str">
        <x:f>IF(INDEX('C_jama.2024.12829'!$D$2:$D$18,MATCH("2024::jama.2024.12829::C011",'C_jama.2024.12829'!$A$2:$A$18,0))="","",INDEX('C_jama.2024.12829'!$D$2:$D$18,MATCH("2024::jama.2024.12829::C011",'C_jama.2024.12829'!$A$2:$A$18,0)))</x:f>
      </x:c>
      <x:c r="T23" s="3" t="str">
        <x:f>IF(INDEX('C_jama.2024.12829'!$E$2:$E$18,MATCH("2024::jama.2024.12829::C011",'C_jama.2024.12829'!$A$2:$A$18,0))="","",INDEX('C_jama.2024.12829'!$E$2:$E$18,MATCH("2024::jama.2024.12829::C011",'C_jama.2024.12829'!$A$2:$A$18,0)))</x:f>
        <x:v>statistical_results</x:v>
      </x:c>
      <x:c r="U23" s="3" t="str">
        <x:f>IF(AND(INDEX('C_jama.2024.12829'!$D$2:$D$18,MATCH("2024::jama.2024.12829::C011",'C_jama.2024.12829'!$A$2:$A$18,0))="retain",INDEX('C_jama.2024.12829'!$E$2:$E$18,MATCH("2024::jama.2024.12829::C011",'C_jama.2024.12829'!$A$2:$A$18,0))="statistical_results"),IF(INDEX('C_jama.2024.12829'!$H$2:$H$18,MATCH("2024::jama.2024.12829::C011",'C_jama.2024.12829'!$A$2:$A$18,0))="","",INDEX('C_jama.2024.12829'!$H$2:$H$18,MATCH("2024::jama.2024.12829::C011",'C_jama.2024.12829'!$A$2:$A$18,0))),"not_applicable")</x:f>
        <x:v>not_applicable</x:v>
      </x:c>
      <x:c r="V23" s="3" t="str">
        <x:f>IF(AND(INDEX('C_jama.2024.12829'!$D$2:$D$18,MATCH("2024::jama.2024.12829::C011",'C_jama.2024.12829'!$A$2:$A$18,0))="retain",INDEX('C_jama.2024.12829'!$E$2:$E$18,MATCH("2024::jama.2024.12829::C011",'C_jama.2024.12829'!$A$2:$A$18,0))="statistical_results"),IF(INDEX('C_jama.2024.12829'!$I$2:$I$18,MATCH("2024::jama.2024.12829::C011",'C_jama.2024.12829'!$A$2:$A$18,0))="","",INDEX('C_jama.2024.12829'!$I$2:$I$18,MATCH("2024::jama.2024.12829::C011",'C_jama.2024.12829'!$A$2:$A$18,0))),"not_applicable")</x:f>
        <x:v>not_applicable</x:v>
      </x:c>
      <x:c r="W23" s="3" t="str">
        <x:f>IF(AND(INDEX('C_jama.2024.12829'!$D$2:$D$18,MATCH("2024::jama.2024.12829::C011",'C_jama.2024.12829'!$A$2:$A$18,0))="retain",INDEX('C_jama.2024.12829'!$E$2:$E$18,MATCH("2024::jama.2024.12829::C011",'C_jama.2024.12829'!$A$2:$A$18,0))="statistical_results"),IF(INDEX('C_jama.2024.12829'!$J$2:$J$18,MATCH("2024::jama.2024.12829::C011",'C_jama.2024.12829'!$A$2:$A$18,0))="","",INDEX('C_jama.2024.12829'!$J$2:$J$18,MATCH("2024::jama.2024.12829::C011",'C_jama.2024.12829'!$A$2:$A$18,0))),"not_applicable")</x:f>
        <x:v>not_applicable</x:v>
      </x:c>
      <x:c r="X23" s="3" t="str">
        <x:f>IF(AND(INDEX('C_jama.2024.12829'!$D$2:$D$18,MATCH("2024::jama.2024.12829::C011",'C_jama.2024.12829'!$A$2:$A$18,0))="retain",OR(INDEX('C_jama.2024.12829'!$E$2:$E$18,MATCH("2024::jama.2024.12829::C011",'C_jama.2024.12829'!$A$2:$A$18,0))="report_internal_inconsistency",INDEX('C_jama.2024.12829'!$E$2:$E$18,MATCH("2024::jama.2024.12829::C011",'C_jama.2024.12829'!$A$2:$A$18,0))="plan_material")),IF(INDEX('C_jama.2024.12829'!$K$2:$K$18,MATCH("2024::jama.2024.12829::C011",'C_jama.2024.12829'!$A$2:$A$18,0))="","",INDEX('C_jama.2024.12829'!$K$2:$K$18,MATCH("2024::jama.2024.12829::C011",'C_jama.2024.12829'!$A$2:$A$18,0))),"not_applicable")</x:f>
        <x:v>not_applicable</x:v>
      </x:c>
      <x:c r="Y23" s="3" t="str">
        <x:f>IF(AND(INDEX('C_jama.2024.12829'!$D$2:$D$18,MATCH("2024::jama.2024.12829::C011",'C_jama.2024.12829'!$A$2:$A$18,0))="retain",INDEX('C_jama.2024.12829'!$E$2:$E$18,MATCH("2024::jama.2024.12829::C011",'C_jama.2024.12829'!$A$2:$A$18,0))="protocol_report"),IF(INDEX('C_jama.2024.12829'!$L$2:$L$18,MATCH("2024::jama.2024.12829::C011",'C_jama.2024.12829'!$A$2:$A$18,0))="","",INDEX('C_jama.2024.12829'!$L$2:$L$18,MATCH("2024::jama.2024.12829::C011",'C_jama.2024.12829'!$A$2:$A$18,0))),"not_applicable")</x:f>
        <x:v>not_applicable</x:v>
      </x:c>
      <x:c r="Z23" s="3" t="str">
        <x:f>IF(INDEX('C_jama.2024.12829'!$R$2:$R$18,MATCH("2024::jama.2024.12829::C011",'C_jama.2024.12829'!$A$2:$A$18,0))="","",INDEX('C_jama.2024.12829'!$R$2:$R$18,MATCH("2024::jama.2024.12829::C011",'C_jama.2024.12829'!$A$2:$A$18,0)))</x:f>
      </x:c>
      <x:c r="AA23" s="3" t="str">
        <x:f>IF(INDEX('C_jama.2024.12829'!$N$2:$N$18,MATCH("2024::jama.2024.12829::C011",'C_jama.2024.12829'!$A$2:$A$18,0))="","",INDEX('C_jama.2024.12829'!$N$2:$N$18,MATCH("2024::jama.2024.12829::C011",'C_jama.2024.12829'!$A$2:$A$18,0)))</x:f>
      </x:c>
      <x:c r="AB23" s="3" t="str">
        <x:f>IF(INDEX('C_jama.2024.12829'!$O$2:$O$18,MATCH("2024::jama.2024.12829::C011",'C_jama.2024.12829'!$A$2:$A$18,0))="","",INDEX('C_jama.2024.12829'!$O$2:$O$18,MATCH("2024::jama.2024.12829::C011",'C_jama.2024.12829'!$A$2:$A$18,0)))</x:f>
      </x:c>
      <x:c r="AC23" s="3" t="str">
        <x:f>IF(INDEX('C_jama.2024.12829'!$P$2:$P$18,MATCH("2024::jama.2024.12829::C011",'C_jama.2024.12829'!$A$2:$A$18,0))="","",INDEX('C_jama.2024.12829'!$P$2:$P$18,MATCH("2024::jama.2024.12829::C011",'C_jama.2024.12829'!$A$2:$A$18,0)))</x:f>
      </x:c>
      <x:c r="AD23" s="3" t="str">
        <x:f>IF(INDEX('C_jama.2024.12829'!$Q$2:$Q$18,MATCH("2024::jama.2024.12829::C011",'C_jama.2024.12829'!$A$2:$A$18,0))="","",INDEX('C_jama.2024.12829'!$Q$2:$Q$18,MATCH("2024::jama.2024.12829::C011",'C_jama.2024.12829'!$A$2:$A$18,0)))</x:f>
      </x:c>
    </x:row>
    <x:row r="24" ht="65" customHeight="1">
      <x:c r="A24" s="6" t="n">
        <x:v>2024</x:v>
      </x:c>
      <x:c r="B24" s="6" t="str">
        <x:v>jama.2024.12829</x:v>
      </x:c>
      <x:c r="C24" s="6" t="str">
        <x:v>2024::jama.2024.12829::C012</x:v>
      </x:c>
      <x:c r="D24" s="6" t="str">
        <x:v>S_W</x:v>
      </x:c>
      <x:c r="E24" s="6" t="n">
        <x:f>Setup!$B$2</x:f>
        <x:v>0</x:v>
      </x:c>
      <x:c r="F24" s="6" t="str">
        <x:f>IF(Setup!$B$4="","",Setup!$B$4)</x:f>
      </x:c>
      <x:c r="G24" s="6" t="str">
        <x:f>IFERROR(INDEX('C_jama.2024.12829'!$G$2:$G$18,MATCH("2024::jama.2024.12829::C012",'C_jama.2024.12829'!$A$2:$A$18,0)),"CHECK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report_internal_inconsistency</x:v>
      </x:c>
      <x:c r="K24" s="6" t="str">
        <x:f>IF(Setup!$B$6="primary","",IFERROR(IF(INDEX('Primary_snapshot'!$B$2:$B$92,MATCH(C24,'Primary_snapshot'!$A$2:$A$92,0))="","",INDEX('Primary_snapshot'!$B$2:$B$92,MATCH(C24,'Primary_snapshot'!$A$2:$A$92,0))),"SNAPSHOT MISSING"))</x:f>
      </x:c>
      <x:c r="L24" s="6" t="str">
        <x:f>IF(Setup!$B$6="primary","",IFERROR(IF(INDEX('Primary_snapshot'!$C$2:$C$92,MATCH(C24,'Primary_snapshot'!$A$2:$A$92,0))="","",INDEX('Primary_snapshot'!$C$2:$C$92,MATCH(C24,'Primary_snapshot'!$A$2:$A$92,0))),"SNAPSHOT MISSING"))</x:f>
      </x:c>
      <x:c r="M24" s="6" t="str">
        <x:f>IF(Setup!$B$6="primary","",IFERROR(IF(INDEX('Primary_snapshot'!$D$2:$D$92,MATCH(C24,'Primary_snapshot'!$A$2:$A$92,0))="","",INDEX('Primary_snapshot'!$D$2:$D$92,MATCH(C24,'Primary_snapshot'!$A$2:$A$92,0))),"SNAPSHOT MISSING"))</x:f>
      </x:c>
      <x:c r="N24" s="6" t="str">
        <x:f>IF(Setup!$B$6="primary","",IFERROR(IF(INDEX('Primary_snapshot'!$E$2:$E$92,MATCH(C24,'Primary_snapshot'!$A$2:$A$92,0))="","",INDEX('Primary_snapshot'!$E$2:$E$92,MATCH(C24,'Primary_snapshot'!$A$2:$A$92,0))),"SNAPSHOT MISSING"))</x:f>
      </x:c>
      <x:c r="O24" s="6" t="str">
        <x:f>IF(Setup!$B$6="primary","",IFERROR(IF(INDEX('Primary_snapshot'!$F$2:$F$92,MATCH(C24,'Primary_snapshot'!$A$2:$A$92,0))="","",INDEX('Primary_snapshot'!$F$2:$F$92,MATCH(C24,'Primary_snapshot'!$A$2:$A$92,0))),"SNAPSHOT MISSING"))</x:f>
      </x:c>
      <x:c r="P24" s="6" t="str">
        <x:f>IF(Setup!$B$6="primary","",IFERROR(IF(INDEX('Primary_snapshot'!$G$2:$G$92,MATCH(C24,'Primary_snapshot'!$A$2:$A$92,0))="","",INDEX('Primary_snapshot'!$G$2:$G$92,MATCH(C24,'Primary_snapshot'!$A$2:$A$92,0))),"SNAPSHOT MISSING"))</x:f>
      </x:c>
      <x:c r="Q24" s="6" t="str">
        <x:f>IF(Setup!$B$6="primary","",IFERROR(IF(INDEX('Primary_snapshot'!$H$2:$H$92,MATCH(C24,'Primary_snapshot'!$A$2:$A$92,0))="","",INDEX('Primary_snapshot'!$H$2:$H$92,MATCH(C24,'Primary_snapshot'!$A$2:$A$92,0))),"SNAPSHOT MISSING"))</x:f>
      </x:c>
      <x:c r="R24" s="6" t="str">
        <x:f>IF(Setup!$B$6="primary","",IFERROR(IF(INDEX('Primary_snapshot'!$I$2:$I$92,MATCH(C24,'Primary_snapshot'!$A$2:$A$92,0))="","",INDEX('Primary_snapshot'!$I$2:$I$92,MATCH(C24,'Primary_snapshot'!$A$2:$A$92,0))),"SNAPSHOT MISSING"))</x:f>
      </x:c>
      <x:c r="S24" s="6" t="str">
        <x:f>IF(INDEX('C_jama.2024.12829'!$D$2:$D$18,MATCH("2024::jama.2024.12829::C012",'C_jama.2024.12829'!$A$2:$A$18,0))="","",INDEX('C_jama.2024.12829'!$D$2:$D$18,MATCH("2024::jama.2024.12829::C012",'C_jama.2024.12829'!$A$2:$A$18,0)))</x:f>
      </x:c>
      <x:c r="T24" s="6" t="str">
        <x:f>IF(INDEX('C_jama.2024.12829'!$E$2:$E$18,MATCH("2024::jama.2024.12829::C012",'C_jama.2024.12829'!$A$2:$A$18,0))="","",INDEX('C_jama.2024.12829'!$E$2:$E$18,MATCH("2024::jama.2024.12829::C012",'C_jama.2024.12829'!$A$2:$A$18,0)))</x:f>
        <x:v>report_internal_inconsistency</x:v>
      </x:c>
      <x:c r="U24" s="6" t="str">
        <x:f>IF(AND(INDEX('C_jama.2024.12829'!$D$2:$D$18,MATCH("2024::jama.2024.12829::C012",'C_jama.2024.12829'!$A$2:$A$18,0))="retain",INDEX('C_jama.2024.12829'!$E$2:$E$18,MATCH("2024::jama.2024.12829::C012",'C_jama.2024.12829'!$A$2:$A$18,0))="statistical_results"),IF(INDEX('C_jama.2024.12829'!$H$2:$H$18,MATCH("2024::jama.2024.12829::C012",'C_jama.2024.12829'!$A$2:$A$18,0))="","",INDEX('C_jama.2024.12829'!$H$2:$H$18,MATCH("2024::jama.2024.12829::C012",'C_jama.2024.12829'!$A$2:$A$18,0))),"not_applicable")</x:f>
        <x:v>not_applicable</x:v>
      </x:c>
      <x:c r="V24" s="6" t="str">
        <x:f>IF(AND(INDEX('C_jama.2024.12829'!$D$2:$D$18,MATCH("2024::jama.2024.12829::C012",'C_jama.2024.12829'!$A$2:$A$18,0))="retain",INDEX('C_jama.2024.12829'!$E$2:$E$18,MATCH("2024::jama.2024.12829::C012",'C_jama.2024.12829'!$A$2:$A$18,0))="statistical_results"),IF(INDEX('C_jama.2024.12829'!$I$2:$I$18,MATCH("2024::jama.2024.12829::C012",'C_jama.2024.12829'!$A$2:$A$18,0))="","",INDEX('C_jama.2024.12829'!$I$2:$I$18,MATCH("2024::jama.2024.12829::C012",'C_jama.2024.12829'!$A$2:$A$18,0))),"not_applicable")</x:f>
        <x:v>not_applicable</x:v>
      </x:c>
      <x:c r="W24" s="6" t="str">
        <x:f>IF(AND(INDEX('C_jama.2024.12829'!$D$2:$D$18,MATCH("2024::jama.2024.12829::C012",'C_jama.2024.12829'!$A$2:$A$18,0))="retain",INDEX('C_jama.2024.12829'!$E$2:$E$18,MATCH("2024::jama.2024.12829::C012",'C_jama.2024.12829'!$A$2:$A$18,0))="statistical_results"),IF(INDEX('C_jama.2024.12829'!$J$2:$J$18,MATCH("2024::jama.2024.12829::C012",'C_jama.2024.12829'!$A$2:$A$18,0))="","",INDEX('C_jama.2024.12829'!$J$2:$J$18,MATCH("2024::jama.2024.12829::C012",'C_jama.2024.12829'!$A$2:$A$18,0))),"not_applicable")</x:f>
        <x:v>not_applicable</x:v>
      </x:c>
      <x:c r="X24" s="6" t="str">
        <x:f>IF(AND(INDEX('C_jama.2024.12829'!$D$2:$D$18,MATCH("2024::jama.2024.12829::C012",'C_jama.2024.12829'!$A$2:$A$18,0))="retain",OR(INDEX('C_jama.2024.12829'!$E$2:$E$18,MATCH("2024::jama.2024.12829::C012",'C_jama.2024.12829'!$A$2:$A$18,0))="report_internal_inconsistency",INDEX('C_jama.2024.12829'!$E$2:$E$18,MATCH("2024::jama.2024.12829::C012",'C_jama.2024.12829'!$A$2:$A$18,0))="plan_material")),IF(INDEX('C_jama.2024.12829'!$K$2:$K$18,MATCH("2024::jama.2024.12829::C012",'C_jama.2024.12829'!$A$2:$A$18,0))="","",INDEX('C_jama.2024.12829'!$K$2:$K$18,MATCH("2024::jama.2024.12829::C012",'C_jama.2024.12829'!$A$2:$A$18,0))),"not_applicable")</x:f>
        <x:v>not_applicable</x:v>
      </x:c>
      <x:c r="Y24" s="6" t="str">
        <x:f>IF(AND(INDEX('C_jama.2024.12829'!$D$2:$D$18,MATCH("2024::jama.2024.12829::C012",'C_jama.2024.12829'!$A$2:$A$18,0))="retain",INDEX('C_jama.2024.12829'!$E$2:$E$18,MATCH("2024::jama.2024.12829::C012",'C_jama.2024.12829'!$A$2:$A$18,0))="protocol_report"),IF(INDEX('C_jama.2024.12829'!$L$2:$L$18,MATCH("2024::jama.2024.12829::C012",'C_jama.2024.12829'!$A$2:$A$18,0))="","",INDEX('C_jama.2024.12829'!$L$2:$L$18,MATCH("2024::jama.2024.12829::C012",'C_jama.2024.12829'!$A$2:$A$18,0))),"not_applicable")</x:f>
        <x:v>not_applicable</x:v>
      </x:c>
      <x:c r="Z24" s="6" t="str">
        <x:f>IF(INDEX('C_jama.2024.12829'!$R$2:$R$18,MATCH("2024::jama.2024.12829::C012",'C_jama.2024.12829'!$A$2:$A$18,0))="","",INDEX('C_jama.2024.12829'!$R$2:$R$18,MATCH("2024::jama.2024.12829::C012",'C_jama.2024.12829'!$A$2:$A$18,0)))</x:f>
      </x:c>
      <x:c r="AA24" s="6" t="str">
        <x:f>IF(INDEX('C_jama.2024.12829'!$N$2:$N$18,MATCH("2024::jama.2024.12829::C012",'C_jama.2024.12829'!$A$2:$A$18,0))="","",INDEX('C_jama.2024.12829'!$N$2:$N$18,MATCH("2024::jama.2024.12829::C012",'C_jama.2024.12829'!$A$2:$A$18,0)))</x:f>
      </x:c>
      <x:c r="AB24" s="6" t="str">
        <x:f>IF(INDEX('C_jama.2024.12829'!$O$2:$O$18,MATCH("2024::jama.2024.12829::C012",'C_jama.2024.12829'!$A$2:$A$18,0))="","",INDEX('C_jama.2024.12829'!$O$2:$O$18,MATCH("2024::jama.2024.12829::C012",'C_jama.2024.12829'!$A$2:$A$18,0)))</x:f>
      </x:c>
      <x:c r="AC24" s="6" t="str">
        <x:f>IF(INDEX('C_jama.2024.12829'!$P$2:$P$18,MATCH("2024::jama.2024.12829::C012",'C_jama.2024.12829'!$A$2:$A$18,0))="","",INDEX('C_jama.2024.12829'!$P$2:$P$18,MATCH("2024::jama.2024.12829::C012",'C_jama.2024.12829'!$A$2:$A$18,0)))</x:f>
      </x:c>
      <x:c r="AD24" s="6" t="str">
        <x:f>IF(INDEX('C_jama.2024.12829'!$Q$2:$Q$18,MATCH("2024::jama.2024.12829::C012",'C_jama.2024.12829'!$A$2:$A$18,0))="","",INDEX('C_jama.2024.12829'!$Q$2:$Q$18,MATCH("2024::jama.2024.12829::C012",'C_jama.2024.12829'!$A$2:$A$18,0)))</x:f>
      </x:c>
    </x:row>
    <x:row r="25" ht="65" customHeight="1">
      <x:c r="A25" s="3" t="n">
        <x:v>2024</x:v>
      </x:c>
      <x:c r="B25" s="3" t="str">
        <x:v>jama.2024.12829</x:v>
      </x:c>
      <x:c r="C25" s="3" t="str">
        <x:v>2024::jama.2024.12829::C013</x:v>
      </x:c>
      <x:c r="D25" s="3" t="str">
        <x:v>P_P</x:v>
      </x:c>
      <x:c r="E25" s="3" t="n">
        <x:f>Setup!$B$2</x:f>
        <x:v>0</x:v>
      </x:c>
      <x:c r="F25" s="3" t="str">
        <x:f>IF(Setup!$B$4="","",Setup!$B$4)</x:f>
      </x:c>
      <x:c r="G25" s="3" t="str">
        <x:f>IFERROR(INDEX('C_jama.2024.12829'!$G$2:$G$18,MATCH("2024::jama.2024.12829::C013",'C_jama.2024.12829'!$A$2:$A$18,0)),"CHECK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plan_material</x:v>
      </x:c>
      <x:c r="K25" s="3" t="str">
        <x:f>IF(Setup!$B$6="primary","",IFERROR(IF(INDEX('Primary_snapshot'!$B$2:$B$92,MATCH(C25,'Primary_snapshot'!$A$2:$A$92,0))="","",INDEX('Primary_snapshot'!$B$2:$B$92,MATCH(C25,'Primary_snapshot'!$A$2:$A$92,0))),"SNAPSHOT MISSING"))</x:f>
      </x:c>
      <x:c r="L25" s="3" t="str">
        <x:f>IF(Setup!$B$6="primary","",IFERROR(IF(INDEX('Primary_snapshot'!$C$2:$C$92,MATCH(C25,'Primary_snapshot'!$A$2:$A$92,0))="","",INDEX('Primary_snapshot'!$C$2:$C$92,MATCH(C25,'Primary_snapshot'!$A$2:$A$92,0))),"SNAPSHOT MISSING"))</x:f>
      </x:c>
      <x:c r="M25" s="3" t="str">
        <x:f>IF(Setup!$B$6="primary","",IFERROR(IF(INDEX('Primary_snapshot'!$D$2:$D$92,MATCH(C25,'Primary_snapshot'!$A$2:$A$92,0))="","",INDEX('Primary_snapshot'!$D$2:$D$92,MATCH(C25,'Primary_snapshot'!$A$2:$A$92,0))),"SNAPSHOT MISSING"))</x:f>
      </x:c>
      <x:c r="N25" s="3" t="str">
        <x:f>IF(Setup!$B$6="primary","",IFERROR(IF(INDEX('Primary_snapshot'!$E$2:$E$92,MATCH(C25,'Primary_snapshot'!$A$2:$A$92,0))="","",INDEX('Primary_snapshot'!$E$2:$E$92,MATCH(C25,'Primary_snapshot'!$A$2:$A$92,0))),"SNAPSHOT MISSING"))</x:f>
      </x:c>
      <x:c r="O25" s="3" t="str">
        <x:f>IF(Setup!$B$6="primary","",IFERROR(IF(INDEX('Primary_snapshot'!$F$2:$F$92,MATCH(C25,'Primary_snapshot'!$A$2:$A$92,0))="","",INDEX('Primary_snapshot'!$F$2:$F$92,MATCH(C25,'Primary_snapshot'!$A$2:$A$92,0))),"SNAPSHOT MISSING"))</x:f>
      </x:c>
      <x:c r="P25" s="3" t="str">
        <x:f>IF(Setup!$B$6="primary","",IFERROR(IF(INDEX('Primary_snapshot'!$G$2:$G$92,MATCH(C25,'Primary_snapshot'!$A$2:$A$92,0))="","",INDEX('Primary_snapshot'!$G$2:$G$92,MATCH(C25,'Primary_snapshot'!$A$2:$A$92,0))),"SNAPSHOT MISSING"))</x:f>
      </x:c>
      <x:c r="Q25" s="3" t="str">
        <x:f>IF(Setup!$B$6="primary","",IFERROR(IF(INDEX('Primary_snapshot'!$H$2:$H$92,MATCH(C25,'Primary_snapshot'!$A$2:$A$92,0))="","",INDEX('Primary_snapshot'!$H$2:$H$92,MATCH(C25,'Primary_snapshot'!$A$2:$A$92,0))),"SNAPSHOT MISSING"))</x:f>
      </x:c>
      <x:c r="R25" s="3" t="str">
        <x:f>IF(Setup!$B$6="primary","",IFERROR(IF(INDEX('Primary_snapshot'!$I$2:$I$92,MATCH(C25,'Primary_snapshot'!$A$2:$A$92,0))="","",INDEX('Primary_snapshot'!$I$2:$I$92,MATCH(C25,'Primary_snapshot'!$A$2:$A$92,0))),"SNAPSHOT MISSING"))</x:f>
      </x:c>
      <x:c r="S25" s="3" t="str">
        <x:f>IF(INDEX('C_jama.2024.12829'!$D$2:$D$18,MATCH("2024::jama.2024.12829::C013",'C_jama.2024.12829'!$A$2:$A$18,0))="","",INDEX('C_jama.2024.12829'!$D$2:$D$18,MATCH("2024::jama.2024.12829::C013",'C_jama.2024.12829'!$A$2:$A$18,0)))</x:f>
      </x:c>
      <x:c r="T25" s="3" t="str">
        <x:f>IF(INDEX('C_jama.2024.12829'!$E$2:$E$18,MATCH("2024::jama.2024.12829::C013",'C_jama.2024.12829'!$A$2:$A$18,0))="","",INDEX('C_jama.2024.12829'!$E$2:$E$18,MATCH("2024::jama.2024.12829::C013",'C_jama.2024.12829'!$A$2:$A$18,0)))</x:f>
        <x:v>plan_material</x:v>
      </x:c>
      <x:c r="U25" s="3" t="str">
        <x:f>IF(AND(INDEX('C_jama.2024.12829'!$D$2:$D$18,MATCH("2024::jama.2024.12829::C013",'C_jama.2024.12829'!$A$2:$A$18,0))="retain",INDEX('C_jama.2024.12829'!$E$2:$E$18,MATCH("2024::jama.2024.12829::C013",'C_jama.2024.12829'!$A$2:$A$18,0))="statistical_results"),IF(INDEX('C_jama.2024.12829'!$H$2:$H$18,MATCH("2024::jama.2024.12829::C013",'C_jama.2024.12829'!$A$2:$A$18,0))="","",INDEX('C_jama.2024.12829'!$H$2:$H$18,MATCH("2024::jama.2024.12829::C013",'C_jama.2024.12829'!$A$2:$A$18,0))),"not_applicable")</x:f>
        <x:v>not_applicable</x:v>
      </x:c>
      <x:c r="V25" s="3" t="str">
        <x:f>IF(AND(INDEX('C_jama.2024.12829'!$D$2:$D$18,MATCH("2024::jama.2024.12829::C013",'C_jama.2024.12829'!$A$2:$A$18,0))="retain",INDEX('C_jama.2024.12829'!$E$2:$E$18,MATCH("2024::jama.2024.12829::C013",'C_jama.2024.12829'!$A$2:$A$18,0))="statistical_results"),IF(INDEX('C_jama.2024.12829'!$I$2:$I$18,MATCH("2024::jama.2024.12829::C013",'C_jama.2024.12829'!$A$2:$A$18,0))="","",INDEX('C_jama.2024.12829'!$I$2:$I$18,MATCH("2024::jama.2024.12829::C013",'C_jama.2024.12829'!$A$2:$A$18,0))),"not_applicable")</x:f>
        <x:v>not_applicable</x:v>
      </x:c>
      <x:c r="W25" s="3" t="str">
        <x:f>IF(AND(INDEX('C_jama.2024.12829'!$D$2:$D$18,MATCH("2024::jama.2024.12829::C013",'C_jama.2024.12829'!$A$2:$A$18,0))="retain",INDEX('C_jama.2024.12829'!$E$2:$E$18,MATCH("2024::jama.2024.12829::C013",'C_jama.2024.12829'!$A$2:$A$18,0))="statistical_results"),IF(INDEX('C_jama.2024.12829'!$J$2:$J$18,MATCH("2024::jama.2024.12829::C013",'C_jama.2024.12829'!$A$2:$A$18,0))="","",INDEX('C_jama.2024.12829'!$J$2:$J$18,MATCH("2024::jama.2024.12829::C013",'C_jama.2024.12829'!$A$2:$A$18,0))),"not_applicable")</x:f>
        <x:v>not_applicable</x:v>
      </x:c>
      <x:c r="X25" s="3" t="str">
        <x:f>IF(AND(INDEX('C_jama.2024.12829'!$D$2:$D$18,MATCH("2024::jama.2024.12829::C013",'C_jama.2024.12829'!$A$2:$A$18,0))="retain",OR(INDEX('C_jama.2024.12829'!$E$2:$E$18,MATCH("2024::jama.2024.12829::C013",'C_jama.2024.12829'!$A$2:$A$18,0))="report_internal_inconsistency",INDEX('C_jama.2024.12829'!$E$2:$E$18,MATCH("2024::jama.2024.12829::C013",'C_jama.2024.12829'!$A$2:$A$18,0))="plan_material")),IF(INDEX('C_jama.2024.12829'!$K$2:$K$18,MATCH("2024::jama.2024.12829::C013",'C_jama.2024.12829'!$A$2:$A$18,0))="","",INDEX('C_jama.2024.12829'!$K$2:$K$18,MATCH("2024::jama.2024.12829::C013",'C_jama.2024.12829'!$A$2:$A$18,0))),"not_applicable")</x:f>
        <x:v>not_applicable</x:v>
      </x:c>
      <x:c r="Y25" s="3" t="str">
        <x:f>IF(AND(INDEX('C_jama.2024.12829'!$D$2:$D$18,MATCH("2024::jama.2024.12829::C013",'C_jama.2024.12829'!$A$2:$A$18,0))="retain",INDEX('C_jama.2024.12829'!$E$2:$E$18,MATCH("2024::jama.2024.12829::C013",'C_jama.2024.12829'!$A$2:$A$18,0))="protocol_report"),IF(INDEX('C_jama.2024.12829'!$L$2:$L$18,MATCH("2024::jama.2024.12829::C013",'C_jama.2024.12829'!$A$2:$A$18,0))="","",INDEX('C_jama.2024.12829'!$L$2:$L$18,MATCH("2024::jama.2024.12829::C013",'C_jama.2024.12829'!$A$2:$A$18,0))),"not_applicable")</x:f>
        <x:v>not_applicable</x:v>
      </x:c>
      <x:c r="Z25" s="3" t="str">
        <x:f>IF(INDEX('C_jama.2024.12829'!$R$2:$R$18,MATCH("2024::jama.2024.12829::C013",'C_jama.2024.12829'!$A$2:$A$18,0))="","",INDEX('C_jama.2024.12829'!$R$2:$R$18,MATCH("2024::jama.2024.12829::C013",'C_jama.2024.12829'!$A$2:$A$18,0)))</x:f>
      </x:c>
      <x:c r="AA25" s="3" t="str">
        <x:f>IF(INDEX('C_jama.2024.12829'!$N$2:$N$18,MATCH("2024::jama.2024.12829::C013",'C_jama.2024.12829'!$A$2:$A$18,0))="","",INDEX('C_jama.2024.12829'!$N$2:$N$18,MATCH("2024::jama.2024.12829::C013",'C_jama.2024.12829'!$A$2:$A$18,0)))</x:f>
      </x:c>
      <x:c r="AB25" s="3" t="str">
        <x:f>IF(INDEX('C_jama.2024.12829'!$O$2:$O$18,MATCH("2024::jama.2024.12829::C013",'C_jama.2024.12829'!$A$2:$A$18,0))="","",INDEX('C_jama.2024.12829'!$O$2:$O$18,MATCH("2024::jama.2024.12829::C013",'C_jama.2024.12829'!$A$2:$A$18,0)))</x:f>
      </x:c>
      <x:c r="AC25" s="3" t="str">
        <x:f>IF(INDEX('C_jama.2024.12829'!$P$2:$P$18,MATCH("2024::jama.2024.12829::C013",'C_jama.2024.12829'!$A$2:$A$18,0))="","",INDEX('C_jama.2024.12829'!$P$2:$P$18,MATCH("2024::jama.2024.12829::C013",'C_jama.2024.12829'!$A$2:$A$18,0)))</x:f>
      </x:c>
      <x:c r="AD25" s="3" t="str">
        <x:f>IF(INDEX('C_jama.2024.12829'!$Q$2:$Q$18,MATCH("2024::jama.2024.12829::C013",'C_jama.2024.12829'!$A$2:$A$18,0))="","",INDEX('C_jama.2024.12829'!$Q$2:$Q$18,MATCH("2024::jama.2024.12829::C013",'C_jama.2024.12829'!$A$2:$A$18,0)))</x:f>
      </x:c>
    </x:row>
    <x:row r="26" ht="65" customHeight="1">
      <x:c r="A26" s="6" t="n">
        <x:v>2024</x:v>
      </x:c>
      <x:c r="B26" s="6" t="str">
        <x:v>jama.2024.12829</x:v>
      </x:c>
      <x:c r="C26" s="6" t="str">
        <x:v>2024::jama.2024.12829::C014</x:v>
      </x:c>
      <x:c r="D26" s="6" t="str">
        <x:v>S_W</x:v>
      </x:c>
      <x:c r="E26" s="6" t="n">
        <x:f>Setup!$B$2</x:f>
        <x:v>0</x:v>
      </x:c>
      <x:c r="F26" s="6" t="str">
        <x:f>IF(Setup!$B$4="","",Setup!$B$4)</x:f>
      </x:c>
      <x:c r="G26" s="6" t="str">
        <x:f>IFERROR(INDEX('C_jama.2024.12829'!$G$2:$G$18,MATCH("2024::jama.2024.12829::C014",'C_jama.2024.12829'!$A$2:$A$18,0)),"CHECK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IF(Setup!$B$6="primary","",IFERROR(IF(INDEX('Primary_snapshot'!$B$2:$B$92,MATCH(C26,'Primary_snapshot'!$A$2:$A$92,0))="","",INDEX('Primary_snapshot'!$B$2:$B$92,MATCH(C26,'Primary_snapshot'!$A$2:$A$92,0))),"SNAPSHOT MISSING"))</x:f>
      </x:c>
      <x:c r="L26" s="6" t="str">
        <x:f>IF(Setup!$B$6="primary","",IFERROR(IF(INDEX('Primary_snapshot'!$C$2:$C$92,MATCH(C26,'Primary_snapshot'!$A$2:$A$92,0))="","",INDEX('Primary_snapshot'!$C$2:$C$92,MATCH(C26,'Primary_snapshot'!$A$2:$A$92,0))),"SNAPSHOT MISSING"))</x:f>
      </x:c>
      <x:c r="M26" s="6" t="str">
        <x:f>IF(Setup!$B$6="primary","",IFERROR(IF(INDEX('Primary_snapshot'!$D$2:$D$92,MATCH(C26,'Primary_snapshot'!$A$2:$A$92,0))="","",INDEX('Primary_snapshot'!$D$2:$D$92,MATCH(C26,'Primary_snapshot'!$A$2:$A$92,0))),"SNAPSHOT MISSING"))</x:f>
      </x:c>
      <x:c r="N26" s="6" t="str">
        <x:f>IF(Setup!$B$6="primary","",IFERROR(IF(INDEX('Primary_snapshot'!$E$2:$E$92,MATCH(C26,'Primary_snapshot'!$A$2:$A$92,0))="","",INDEX('Primary_snapshot'!$E$2:$E$92,MATCH(C26,'Primary_snapshot'!$A$2:$A$92,0))),"SNAPSHOT MISSING"))</x:f>
      </x:c>
      <x:c r="O26" s="6" t="str">
        <x:f>IF(Setup!$B$6="primary","",IFERROR(IF(INDEX('Primary_snapshot'!$F$2:$F$92,MATCH(C26,'Primary_snapshot'!$A$2:$A$92,0))="","",INDEX('Primary_snapshot'!$F$2:$F$92,MATCH(C26,'Primary_snapshot'!$A$2:$A$92,0))),"SNAPSHOT MISSING"))</x:f>
      </x:c>
      <x:c r="P26" s="6" t="str">
        <x:f>IF(Setup!$B$6="primary","",IFERROR(IF(INDEX('Primary_snapshot'!$G$2:$G$92,MATCH(C26,'Primary_snapshot'!$A$2:$A$92,0))="","",INDEX('Primary_snapshot'!$G$2:$G$92,MATCH(C26,'Primary_snapshot'!$A$2:$A$92,0))),"SNAPSHOT MISSING"))</x:f>
      </x:c>
      <x:c r="Q26" s="6" t="str">
        <x:f>IF(Setup!$B$6="primary","",IFERROR(IF(INDEX('Primary_snapshot'!$H$2:$H$92,MATCH(C26,'Primary_snapshot'!$A$2:$A$92,0))="","",INDEX('Primary_snapshot'!$H$2:$H$92,MATCH(C26,'Primary_snapshot'!$A$2:$A$92,0))),"SNAPSHOT MISSING"))</x:f>
      </x:c>
      <x:c r="R26" s="6" t="str">
        <x:f>IF(Setup!$B$6="primary","",IFERROR(IF(INDEX('Primary_snapshot'!$I$2:$I$92,MATCH(C26,'Primary_snapshot'!$A$2:$A$92,0))="","",INDEX('Primary_snapshot'!$I$2:$I$92,MATCH(C26,'Primary_snapshot'!$A$2:$A$92,0))),"SNAPSHOT MISSING"))</x:f>
      </x:c>
      <x:c r="S26" s="6" t="str">
        <x:f>IF(INDEX('C_jama.2024.12829'!$D$2:$D$18,MATCH("2024::jama.2024.12829::C014",'C_jama.2024.12829'!$A$2:$A$18,0))="","",INDEX('C_jama.2024.12829'!$D$2:$D$18,MATCH("2024::jama.2024.12829::C014",'C_jama.2024.12829'!$A$2:$A$18,0)))</x:f>
      </x:c>
      <x:c r="T26" s="6" t="str">
        <x:f>IF(INDEX('C_jama.2024.12829'!$E$2:$E$18,MATCH("2024::jama.2024.12829::C014",'C_jama.2024.12829'!$A$2:$A$18,0))="","",INDEX('C_jama.2024.12829'!$E$2:$E$18,MATCH("2024::jama.2024.12829::C014",'C_jama.2024.12829'!$A$2:$A$18,0)))</x:f>
        <x:v>statistical_results</x:v>
      </x:c>
      <x:c r="U26" s="6" t="str">
        <x:f>IF(AND(INDEX('C_jama.2024.12829'!$D$2:$D$18,MATCH("2024::jama.2024.12829::C014",'C_jama.2024.12829'!$A$2:$A$18,0))="retain",INDEX('C_jama.2024.12829'!$E$2:$E$18,MATCH("2024::jama.2024.12829::C014",'C_jama.2024.12829'!$A$2:$A$18,0))="statistical_results"),IF(INDEX('C_jama.2024.12829'!$H$2:$H$18,MATCH("2024::jama.2024.12829::C014",'C_jama.2024.12829'!$A$2:$A$18,0))="","",INDEX('C_jama.2024.12829'!$H$2:$H$18,MATCH("2024::jama.2024.12829::C014",'C_jama.2024.12829'!$A$2:$A$18,0))),"not_applicable")</x:f>
        <x:v>not_applicable</x:v>
      </x:c>
      <x:c r="V26" s="6" t="str">
        <x:f>IF(AND(INDEX('C_jama.2024.12829'!$D$2:$D$18,MATCH("2024::jama.2024.12829::C014",'C_jama.2024.12829'!$A$2:$A$18,0))="retain",INDEX('C_jama.2024.12829'!$E$2:$E$18,MATCH("2024::jama.2024.12829::C014",'C_jama.2024.12829'!$A$2:$A$18,0))="statistical_results"),IF(INDEX('C_jama.2024.12829'!$I$2:$I$18,MATCH("2024::jama.2024.12829::C014",'C_jama.2024.12829'!$A$2:$A$18,0))="","",INDEX('C_jama.2024.12829'!$I$2:$I$18,MATCH("2024::jama.2024.12829::C014",'C_jama.2024.12829'!$A$2:$A$18,0))),"not_applicable")</x:f>
        <x:v>not_applicable</x:v>
      </x:c>
      <x:c r="W26" s="6" t="str">
        <x:f>IF(AND(INDEX('C_jama.2024.12829'!$D$2:$D$18,MATCH("2024::jama.2024.12829::C014",'C_jama.2024.12829'!$A$2:$A$18,0))="retain",INDEX('C_jama.2024.12829'!$E$2:$E$18,MATCH("2024::jama.2024.12829::C014",'C_jama.2024.12829'!$A$2:$A$18,0))="statistical_results"),IF(INDEX('C_jama.2024.12829'!$J$2:$J$18,MATCH("2024::jama.2024.12829::C014",'C_jama.2024.12829'!$A$2:$A$18,0))="","",INDEX('C_jama.2024.12829'!$J$2:$J$18,MATCH("2024::jama.2024.12829::C014",'C_jama.2024.12829'!$A$2:$A$18,0))),"not_applicable")</x:f>
        <x:v>not_applicable</x:v>
      </x:c>
      <x:c r="X26" s="6" t="str">
        <x:f>IF(AND(INDEX('C_jama.2024.12829'!$D$2:$D$18,MATCH("2024::jama.2024.12829::C014",'C_jama.2024.12829'!$A$2:$A$18,0))="retain",OR(INDEX('C_jama.2024.12829'!$E$2:$E$18,MATCH("2024::jama.2024.12829::C014",'C_jama.2024.12829'!$A$2:$A$18,0))="report_internal_inconsistency",INDEX('C_jama.2024.12829'!$E$2:$E$18,MATCH("2024::jama.2024.12829::C014",'C_jama.2024.12829'!$A$2:$A$18,0))="plan_material")),IF(INDEX('C_jama.2024.12829'!$K$2:$K$18,MATCH("2024::jama.2024.12829::C014",'C_jama.2024.12829'!$A$2:$A$18,0))="","",INDEX('C_jama.2024.12829'!$K$2:$K$18,MATCH("2024::jama.2024.12829::C014",'C_jama.2024.12829'!$A$2:$A$18,0))),"not_applicable")</x:f>
        <x:v>not_applicable</x:v>
      </x:c>
      <x:c r="Y26" s="6" t="str">
        <x:f>IF(AND(INDEX('C_jama.2024.12829'!$D$2:$D$18,MATCH("2024::jama.2024.12829::C014",'C_jama.2024.12829'!$A$2:$A$18,0))="retain",INDEX('C_jama.2024.12829'!$E$2:$E$18,MATCH("2024::jama.2024.12829::C014",'C_jama.2024.12829'!$A$2:$A$18,0))="protocol_report"),IF(INDEX('C_jama.2024.12829'!$L$2:$L$18,MATCH("2024::jama.2024.12829::C014",'C_jama.2024.12829'!$A$2:$A$18,0))="","",INDEX('C_jama.2024.12829'!$L$2:$L$18,MATCH("2024::jama.2024.12829::C014",'C_jama.2024.12829'!$A$2:$A$18,0))),"not_applicable")</x:f>
        <x:v>not_applicable</x:v>
      </x:c>
      <x:c r="Z26" s="6" t="str">
        <x:f>IF(INDEX('C_jama.2024.12829'!$R$2:$R$18,MATCH("2024::jama.2024.12829::C014",'C_jama.2024.12829'!$A$2:$A$18,0))="","",INDEX('C_jama.2024.12829'!$R$2:$R$18,MATCH("2024::jama.2024.12829::C014",'C_jama.2024.12829'!$A$2:$A$18,0)))</x:f>
      </x:c>
      <x:c r="AA26" s="6" t="str">
        <x:f>IF(INDEX('C_jama.2024.12829'!$N$2:$N$18,MATCH("2024::jama.2024.12829::C014",'C_jama.2024.12829'!$A$2:$A$18,0))="","",INDEX('C_jama.2024.12829'!$N$2:$N$18,MATCH("2024::jama.2024.12829::C014",'C_jama.2024.12829'!$A$2:$A$18,0)))</x:f>
      </x:c>
      <x:c r="AB26" s="6" t="str">
        <x:f>IF(INDEX('C_jama.2024.12829'!$O$2:$O$18,MATCH("2024::jama.2024.12829::C014",'C_jama.2024.12829'!$A$2:$A$18,0))="","",INDEX('C_jama.2024.12829'!$O$2:$O$18,MATCH("2024::jama.2024.12829::C014",'C_jama.2024.12829'!$A$2:$A$18,0)))</x:f>
      </x:c>
      <x:c r="AC26" s="6" t="str">
        <x:f>IF(INDEX('C_jama.2024.12829'!$P$2:$P$18,MATCH("2024::jama.2024.12829::C014",'C_jama.2024.12829'!$A$2:$A$18,0))="","",INDEX('C_jama.2024.12829'!$P$2:$P$18,MATCH("2024::jama.2024.12829::C014",'C_jama.2024.12829'!$A$2:$A$18,0)))</x:f>
      </x:c>
      <x:c r="AD26" s="6" t="str">
        <x:f>IF(INDEX('C_jama.2024.12829'!$Q$2:$Q$18,MATCH("2024::jama.2024.12829::C014",'C_jama.2024.12829'!$A$2:$A$18,0))="","",INDEX('C_jama.2024.12829'!$Q$2:$Q$18,MATCH("2024::jama.2024.12829::C014",'C_jama.2024.12829'!$A$2:$A$18,0)))</x:f>
      </x:c>
    </x:row>
    <x:row r="27" ht="65" customHeight="1">
      <x:c r="A27" s="3" t="n">
        <x:v>2024</x:v>
      </x:c>
      <x:c r="B27" s="3" t="str">
        <x:v>jama.2024.12829</x:v>
      </x:c>
      <x:c r="C27" s="3" t="str">
        <x:v>2024::jama.2024.12829::C015</x:v>
      </x:c>
      <x:c r="D27" s="3" t="str">
        <x:v>S_W</x:v>
      </x:c>
      <x:c r="E27" s="3" t="n">
        <x:f>Setup!$B$2</x:f>
        <x:v>0</x:v>
      </x:c>
      <x:c r="F27" s="3" t="str">
        <x:f>IF(Setup!$B$4="","",Setup!$B$4)</x:f>
      </x:c>
      <x:c r="G27" s="3" t="str">
        <x:f>IFERROR(INDEX('C_jama.2024.12829'!$G$2:$G$18,MATCH("2024::jama.2024.12829::C015",'C_jama.2024.12829'!$A$2:$A$18,0)),"CHECK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report_internal_inconsistency</x:v>
      </x:c>
      <x:c r="K27" s="3" t="str">
        <x:f>IF(Setup!$B$6="primary","",IFERROR(IF(INDEX('Primary_snapshot'!$B$2:$B$92,MATCH(C27,'Primary_snapshot'!$A$2:$A$92,0))="","",INDEX('Primary_snapshot'!$B$2:$B$92,MATCH(C27,'Primary_snapshot'!$A$2:$A$92,0))),"SNAPSHOT MISSING"))</x:f>
      </x:c>
      <x:c r="L27" s="3" t="str">
        <x:f>IF(Setup!$B$6="primary","",IFERROR(IF(INDEX('Primary_snapshot'!$C$2:$C$92,MATCH(C27,'Primary_snapshot'!$A$2:$A$92,0))="","",INDEX('Primary_snapshot'!$C$2:$C$92,MATCH(C27,'Primary_snapshot'!$A$2:$A$92,0))),"SNAPSHOT MISSING"))</x:f>
      </x:c>
      <x:c r="M27" s="3" t="str">
        <x:f>IF(Setup!$B$6="primary","",IFERROR(IF(INDEX('Primary_snapshot'!$D$2:$D$92,MATCH(C27,'Primary_snapshot'!$A$2:$A$92,0))="","",INDEX('Primary_snapshot'!$D$2:$D$92,MATCH(C27,'Primary_snapshot'!$A$2:$A$92,0))),"SNAPSHOT MISSING"))</x:f>
      </x:c>
      <x:c r="N27" s="3" t="str">
        <x:f>IF(Setup!$B$6="primary","",IFERROR(IF(INDEX('Primary_snapshot'!$E$2:$E$92,MATCH(C27,'Primary_snapshot'!$A$2:$A$92,0))="","",INDEX('Primary_snapshot'!$E$2:$E$92,MATCH(C27,'Primary_snapshot'!$A$2:$A$92,0))),"SNAPSHOT MISSING"))</x:f>
      </x:c>
      <x:c r="O27" s="3" t="str">
        <x:f>IF(Setup!$B$6="primary","",IFERROR(IF(INDEX('Primary_snapshot'!$F$2:$F$92,MATCH(C27,'Primary_snapshot'!$A$2:$A$92,0))="","",INDEX('Primary_snapshot'!$F$2:$F$92,MATCH(C27,'Primary_snapshot'!$A$2:$A$92,0))),"SNAPSHOT MISSING"))</x:f>
      </x:c>
      <x:c r="P27" s="3" t="str">
        <x:f>IF(Setup!$B$6="primary","",IFERROR(IF(INDEX('Primary_snapshot'!$G$2:$G$92,MATCH(C27,'Primary_snapshot'!$A$2:$A$92,0))="","",INDEX('Primary_snapshot'!$G$2:$G$92,MATCH(C27,'Primary_snapshot'!$A$2:$A$92,0))),"SNAPSHOT MISSING"))</x:f>
      </x:c>
      <x:c r="Q27" s="3" t="str">
        <x:f>IF(Setup!$B$6="primary","",IFERROR(IF(INDEX('Primary_snapshot'!$H$2:$H$92,MATCH(C27,'Primary_snapshot'!$A$2:$A$92,0))="","",INDEX('Primary_snapshot'!$H$2:$H$92,MATCH(C27,'Primary_snapshot'!$A$2:$A$92,0))),"SNAPSHOT MISSING"))</x:f>
      </x:c>
      <x:c r="R27" s="3" t="str">
        <x:f>IF(Setup!$B$6="primary","",IFERROR(IF(INDEX('Primary_snapshot'!$I$2:$I$92,MATCH(C27,'Primary_snapshot'!$A$2:$A$92,0))="","",INDEX('Primary_snapshot'!$I$2:$I$92,MATCH(C27,'Primary_snapshot'!$A$2:$A$92,0))),"SNAPSHOT MISSING"))</x:f>
      </x:c>
      <x:c r="S27" s="3" t="str">
        <x:f>IF(INDEX('C_jama.2024.12829'!$D$2:$D$18,MATCH("2024::jama.2024.12829::C015",'C_jama.2024.12829'!$A$2:$A$18,0))="","",INDEX('C_jama.2024.12829'!$D$2:$D$18,MATCH("2024::jama.2024.12829::C015",'C_jama.2024.12829'!$A$2:$A$18,0)))</x:f>
      </x:c>
      <x:c r="T27" s="3" t="str">
        <x:f>IF(INDEX('C_jama.2024.12829'!$E$2:$E$18,MATCH("2024::jama.2024.12829::C015",'C_jama.2024.12829'!$A$2:$A$18,0))="","",INDEX('C_jama.2024.12829'!$E$2:$E$18,MATCH("2024::jama.2024.12829::C015",'C_jama.2024.12829'!$A$2:$A$18,0)))</x:f>
        <x:v>report_internal_inconsistency</x:v>
      </x:c>
      <x:c r="U27" s="3" t="str">
        <x:f>IF(AND(INDEX('C_jama.2024.12829'!$D$2:$D$18,MATCH("2024::jama.2024.12829::C015",'C_jama.2024.12829'!$A$2:$A$18,0))="retain",INDEX('C_jama.2024.12829'!$E$2:$E$18,MATCH("2024::jama.2024.12829::C015",'C_jama.2024.12829'!$A$2:$A$18,0))="statistical_results"),IF(INDEX('C_jama.2024.12829'!$H$2:$H$18,MATCH("2024::jama.2024.12829::C015",'C_jama.2024.12829'!$A$2:$A$18,0))="","",INDEX('C_jama.2024.12829'!$H$2:$H$18,MATCH("2024::jama.2024.12829::C015",'C_jama.2024.12829'!$A$2:$A$18,0))),"not_applicable")</x:f>
        <x:v>not_applicable</x:v>
      </x:c>
      <x:c r="V27" s="3" t="str">
        <x:f>IF(AND(INDEX('C_jama.2024.12829'!$D$2:$D$18,MATCH("2024::jama.2024.12829::C015",'C_jama.2024.12829'!$A$2:$A$18,0))="retain",INDEX('C_jama.2024.12829'!$E$2:$E$18,MATCH("2024::jama.2024.12829::C015",'C_jama.2024.12829'!$A$2:$A$18,0))="statistical_results"),IF(INDEX('C_jama.2024.12829'!$I$2:$I$18,MATCH("2024::jama.2024.12829::C015",'C_jama.2024.12829'!$A$2:$A$18,0))="","",INDEX('C_jama.2024.12829'!$I$2:$I$18,MATCH("2024::jama.2024.12829::C015",'C_jama.2024.12829'!$A$2:$A$18,0))),"not_applicable")</x:f>
        <x:v>not_applicable</x:v>
      </x:c>
      <x:c r="W27" s="3" t="str">
        <x:f>IF(AND(INDEX('C_jama.2024.12829'!$D$2:$D$18,MATCH("2024::jama.2024.12829::C015",'C_jama.2024.12829'!$A$2:$A$18,0))="retain",INDEX('C_jama.2024.12829'!$E$2:$E$18,MATCH("2024::jama.2024.12829::C015",'C_jama.2024.12829'!$A$2:$A$18,0))="statistical_results"),IF(INDEX('C_jama.2024.12829'!$J$2:$J$18,MATCH("2024::jama.2024.12829::C015",'C_jama.2024.12829'!$A$2:$A$18,0))="","",INDEX('C_jama.2024.12829'!$J$2:$J$18,MATCH("2024::jama.2024.12829::C015",'C_jama.2024.12829'!$A$2:$A$18,0))),"not_applicable")</x:f>
        <x:v>not_applicable</x:v>
      </x:c>
      <x:c r="X27" s="3" t="str">
        <x:f>IF(AND(INDEX('C_jama.2024.12829'!$D$2:$D$18,MATCH("2024::jama.2024.12829::C015",'C_jama.2024.12829'!$A$2:$A$18,0))="retain",OR(INDEX('C_jama.2024.12829'!$E$2:$E$18,MATCH("2024::jama.2024.12829::C015",'C_jama.2024.12829'!$A$2:$A$18,0))="report_internal_inconsistency",INDEX('C_jama.2024.12829'!$E$2:$E$18,MATCH("2024::jama.2024.12829::C015",'C_jama.2024.12829'!$A$2:$A$18,0))="plan_material")),IF(INDEX('C_jama.2024.12829'!$K$2:$K$18,MATCH("2024::jama.2024.12829::C015",'C_jama.2024.12829'!$A$2:$A$18,0))="","",INDEX('C_jama.2024.12829'!$K$2:$K$18,MATCH("2024::jama.2024.12829::C015",'C_jama.2024.12829'!$A$2:$A$18,0))),"not_applicable")</x:f>
        <x:v>not_applicable</x:v>
      </x:c>
      <x:c r="Y27" s="3" t="str">
        <x:f>IF(AND(INDEX('C_jama.2024.12829'!$D$2:$D$18,MATCH("2024::jama.2024.12829::C015",'C_jama.2024.12829'!$A$2:$A$18,0))="retain",INDEX('C_jama.2024.12829'!$E$2:$E$18,MATCH("2024::jama.2024.12829::C015",'C_jama.2024.12829'!$A$2:$A$18,0))="protocol_report"),IF(INDEX('C_jama.2024.12829'!$L$2:$L$18,MATCH("2024::jama.2024.12829::C015",'C_jama.2024.12829'!$A$2:$A$18,0))="","",INDEX('C_jama.2024.12829'!$L$2:$L$18,MATCH("2024::jama.2024.12829::C015",'C_jama.2024.12829'!$A$2:$A$18,0))),"not_applicable")</x:f>
        <x:v>not_applicable</x:v>
      </x:c>
      <x:c r="Z27" s="3" t="str">
        <x:f>IF(INDEX('C_jama.2024.12829'!$R$2:$R$18,MATCH("2024::jama.2024.12829::C015",'C_jama.2024.12829'!$A$2:$A$18,0))="","",INDEX('C_jama.2024.12829'!$R$2:$R$18,MATCH("2024::jama.2024.12829::C015",'C_jama.2024.12829'!$A$2:$A$18,0)))</x:f>
      </x:c>
      <x:c r="AA27" s="3" t="str">
        <x:f>IF(INDEX('C_jama.2024.12829'!$N$2:$N$18,MATCH("2024::jama.2024.12829::C015",'C_jama.2024.12829'!$A$2:$A$18,0))="","",INDEX('C_jama.2024.12829'!$N$2:$N$18,MATCH("2024::jama.2024.12829::C015",'C_jama.2024.12829'!$A$2:$A$18,0)))</x:f>
      </x:c>
      <x:c r="AB27" s="3" t="str">
        <x:f>IF(INDEX('C_jama.2024.12829'!$O$2:$O$18,MATCH("2024::jama.2024.12829::C015",'C_jama.2024.12829'!$A$2:$A$18,0))="","",INDEX('C_jama.2024.12829'!$O$2:$O$18,MATCH("2024::jama.2024.12829::C015",'C_jama.2024.12829'!$A$2:$A$18,0)))</x:f>
      </x:c>
      <x:c r="AC27" s="3" t="str">
        <x:f>IF(INDEX('C_jama.2024.12829'!$P$2:$P$18,MATCH("2024::jama.2024.12829::C015",'C_jama.2024.12829'!$A$2:$A$18,0))="","",INDEX('C_jama.2024.12829'!$P$2:$P$18,MATCH("2024::jama.2024.12829::C015",'C_jama.2024.12829'!$A$2:$A$18,0)))</x:f>
      </x:c>
      <x:c r="AD27" s="3" t="str">
        <x:f>IF(INDEX('C_jama.2024.12829'!$Q$2:$Q$18,MATCH("2024::jama.2024.12829::C015",'C_jama.2024.12829'!$A$2:$A$18,0))="","",INDEX('C_jama.2024.12829'!$Q$2:$Q$18,MATCH("2024::jama.2024.12829::C015",'C_jama.2024.12829'!$A$2:$A$18,0)))</x:f>
      </x:c>
    </x:row>
    <x:row r="28" ht="65" customHeight="1">
      <x:c r="A28" s="6" t="n">
        <x:v>2024</x:v>
      </x:c>
      <x:c r="B28" s="6" t="str">
        <x:v>jama.2024.12829</x:v>
      </x:c>
      <x:c r="C28" s="6" t="str">
        <x:v>2024::jama.2024.12829::C016</x:v>
      </x:c>
      <x:c r="D28" s="6" t="str">
        <x:v>S_C</x:v>
      </x:c>
      <x:c r="E28" s="6" t="n">
        <x:f>Setup!$B$2</x:f>
        <x:v>0</x:v>
      </x:c>
      <x:c r="F28" s="6" t="str">
        <x:f>IF(Setup!$B$4="","",Setup!$B$4)</x:f>
      </x:c>
      <x:c r="G28" s="6" t="str">
        <x:f>IFERROR(INDEX('C_jama.2024.12829'!$G$2:$G$18,MATCH("2024::jama.2024.12829::C016",'C_jama.2024.12829'!$A$2:$A$18,0)),"CHECK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report_internal_inconsistency</x:v>
      </x:c>
      <x:c r="K28" s="6" t="str">
        <x:f>IF(Setup!$B$6="primary","",IFERROR(IF(INDEX('Primary_snapshot'!$B$2:$B$92,MATCH(C28,'Primary_snapshot'!$A$2:$A$92,0))="","",INDEX('Primary_snapshot'!$B$2:$B$92,MATCH(C28,'Primary_snapshot'!$A$2:$A$92,0))),"SNAPSHOT MISSING"))</x:f>
      </x:c>
      <x:c r="L28" s="6" t="str">
        <x:f>IF(Setup!$B$6="primary","",IFERROR(IF(INDEX('Primary_snapshot'!$C$2:$C$92,MATCH(C28,'Primary_snapshot'!$A$2:$A$92,0))="","",INDEX('Primary_snapshot'!$C$2:$C$92,MATCH(C28,'Primary_snapshot'!$A$2:$A$92,0))),"SNAPSHOT MISSING"))</x:f>
      </x:c>
      <x:c r="M28" s="6" t="str">
        <x:f>IF(Setup!$B$6="primary","",IFERROR(IF(INDEX('Primary_snapshot'!$D$2:$D$92,MATCH(C28,'Primary_snapshot'!$A$2:$A$92,0))="","",INDEX('Primary_snapshot'!$D$2:$D$92,MATCH(C28,'Primary_snapshot'!$A$2:$A$92,0))),"SNAPSHOT MISSING"))</x:f>
      </x:c>
      <x:c r="N28" s="6" t="str">
        <x:f>IF(Setup!$B$6="primary","",IFERROR(IF(INDEX('Primary_snapshot'!$E$2:$E$92,MATCH(C28,'Primary_snapshot'!$A$2:$A$92,0))="","",INDEX('Primary_snapshot'!$E$2:$E$92,MATCH(C28,'Primary_snapshot'!$A$2:$A$92,0))),"SNAPSHOT MISSING"))</x:f>
      </x:c>
      <x:c r="O28" s="6" t="str">
        <x:f>IF(Setup!$B$6="primary","",IFERROR(IF(INDEX('Primary_snapshot'!$F$2:$F$92,MATCH(C28,'Primary_snapshot'!$A$2:$A$92,0))="","",INDEX('Primary_snapshot'!$F$2:$F$92,MATCH(C28,'Primary_snapshot'!$A$2:$A$92,0))),"SNAPSHOT MISSING"))</x:f>
      </x:c>
      <x:c r="P28" s="6" t="str">
        <x:f>IF(Setup!$B$6="primary","",IFERROR(IF(INDEX('Primary_snapshot'!$G$2:$G$92,MATCH(C28,'Primary_snapshot'!$A$2:$A$92,0))="","",INDEX('Primary_snapshot'!$G$2:$G$92,MATCH(C28,'Primary_snapshot'!$A$2:$A$92,0))),"SNAPSHOT MISSING"))</x:f>
      </x:c>
      <x:c r="Q28" s="6" t="str">
        <x:f>IF(Setup!$B$6="primary","",IFERROR(IF(INDEX('Primary_snapshot'!$H$2:$H$92,MATCH(C28,'Primary_snapshot'!$A$2:$A$92,0))="","",INDEX('Primary_snapshot'!$H$2:$H$92,MATCH(C28,'Primary_snapshot'!$A$2:$A$92,0))),"SNAPSHOT MISSING"))</x:f>
      </x:c>
      <x:c r="R28" s="6" t="str">
        <x:f>IF(Setup!$B$6="primary","",IFERROR(IF(INDEX('Primary_snapshot'!$I$2:$I$92,MATCH(C28,'Primary_snapshot'!$A$2:$A$92,0))="","",INDEX('Primary_snapshot'!$I$2:$I$92,MATCH(C28,'Primary_snapshot'!$A$2:$A$92,0))),"SNAPSHOT MISSING"))</x:f>
      </x:c>
      <x:c r="S28" s="6" t="str">
        <x:f>IF(INDEX('C_jama.2024.12829'!$D$2:$D$18,MATCH("2024::jama.2024.12829::C016",'C_jama.2024.12829'!$A$2:$A$18,0))="","",INDEX('C_jama.2024.12829'!$D$2:$D$18,MATCH("2024::jama.2024.12829::C016",'C_jama.2024.12829'!$A$2:$A$18,0)))</x:f>
      </x:c>
      <x:c r="T28" s="6" t="str">
        <x:f>IF(INDEX('C_jama.2024.12829'!$E$2:$E$18,MATCH("2024::jama.2024.12829::C016",'C_jama.2024.12829'!$A$2:$A$18,0))="","",INDEX('C_jama.2024.12829'!$E$2:$E$18,MATCH("2024::jama.2024.12829::C016",'C_jama.2024.12829'!$A$2:$A$18,0)))</x:f>
        <x:v>report_internal_inconsistency</x:v>
      </x:c>
      <x:c r="U28" s="6" t="str">
        <x:f>IF(AND(INDEX('C_jama.2024.12829'!$D$2:$D$18,MATCH("2024::jama.2024.12829::C016",'C_jama.2024.12829'!$A$2:$A$18,0))="retain",INDEX('C_jama.2024.12829'!$E$2:$E$18,MATCH("2024::jama.2024.12829::C016",'C_jama.2024.12829'!$A$2:$A$18,0))="statistical_results"),IF(INDEX('C_jama.2024.12829'!$H$2:$H$18,MATCH("2024::jama.2024.12829::C016",'C_jama.2024.12829'!$A$2:$A$18,0))="","",INDEX('C_jama.2024.12829'!$H$2:$H$18,MATCH("2024::jama.2024.12829::C016",'C_jama.2024.12829'!$A$2:$A$18,0))),"not_applicable")</x:f>
        <x:v>not_applicable</x:v>
      </x:c>
      <x:c r="V28" s="6" t="str">
        <x:f>IF(AND(INDEX('C_jama.2024.12829'!$D$2:$D$18,MATCH("2024::jama.2024.12829::C016",'C_jama.2024.12829'!$A$2:$A$18,0))="retain",INDEX('C_jama.2024.12829'!$E$2:$E$18,MATCH("2024::jama.2024.12829::C016",'C_jama.2024.12829'!$A$2:$A$18,0))="statistical_results"),IF(INDEX('C_jama.2024.12829'!$I$2:$I$18,MATCH("2024::jama.2024.12829::C016",'C_jama.2024.12829'!$A$2:$A$18,0))="","",INDEX('C_jama.2024.12829'!$I$2:$I$18,MATCH("2024::jama.2024.12829::C016",'C_jama.2024.12829'!$A$2:$A$18,0))),"not_applicable")</x:f>
        <x:v>not_applicable</x:v>
      </x:c>
      <x:c r="W28" s="6" t="str">
        <x:f>IF(AND(INDEX('C_jama.2024.12829'!$D$2:$D$18,MATCH("2024::jama.2024.12829::C016",'C_jama.2024.12829'!$A$2:$A$18,0))="retain",INDEX('C_jama.2024.12829'!$E$2:$E$18,MATCH("2024::jama.2024.12829::C016",'C_jama.2024.12829'!$A$2:$A$18,0))="statistical_results"),IF(INDEX('C_jama.2024.12829'!$J$2:$J$18,MATCH("2024::jama.2024.12829::C016",'C_jama.2024.12829'!$A$2:$A$18,0))="","",INDEX('C_jama.2024.12829'!$J$2:$J$18,MATCH("2024::jama.2024.12829::C016",'C_jama.2024.12829'!$A$2:$A$18,0))),"not_applicable")</x:f>
        <x:v>not_applicable</x:v>
      </x:c>
      <x:c r="X28" s="6" t="str">
        <x:f>IF(AND(INDEX('C_jama.2024.12829'!$D$2:$D$18,MATCH("2024::jama.2024.12829::C016",'C_jama.2024.12829'!$A$2:$A$18,0))="retain",OR(INDEX('C_jama.2024.12829'!$E$2:$E$18,MATCH("2024::jama.2024.12829::C016",'C_jama.2024.12829'!$A$2:$A$18,0))="report_internal_inconsistency",INDEX('C_jama.2024.12829'!$E$2:$E$18,MATCH("2024::jama.2024.12829::C016",'C_jama.2024.12829'!$A$2:$A$18,0))="plan_material")),IF(INDEX('C_jama.2024.12829'!$K$2:$K$18,MATCH("2024::jama.2024.12829::C016",'C_jama.2024.12829'!$A$2:$A$18,0))="","",INDEX('C_jama.2024.12829'!$K$2:$K$18,MATCH("2024::jama.2024.12829::C016",'C_jama.2024.12829'!$A$2:$A$18,0))),"not_applicable")</x:f>
        <x:v>not_applicable</x:v>
      </x:c>
      <x:c r="Y28" s="6" t="str">
        <x:f>IF(AND(INDEX('C_jama.2024.12829'!$D$2:$D$18,MATCH("2024::jama.2024.12829::C016",'C_jama.2024.12829'!$A$2:$A$18,0))="retain",INDEX('C_jama.2024.12829'!$E$2:$E$18,MATCH("2024::jama.2024.12829::C016",'C_jama.2024.12829'!$A$2:$A$18,0))="protocol_report"),IF(INDEX('C_jama.2024.12829'!$L$2:$L$18,MATCH("2024::jama.2024.12829::C016",'C_jama.2024.12829'!$A$2:$A$18,0))="","",INDEX('C_jama.2024.12829'!$L$2:$L$18,MATCH("2024::jama.2024.12829::C016",'C_jama.2024.12829'!$A$2:$A$18,0))),"not_applicable")</x:f>
        <x:v>not_applicable</x:v>
      </x:c>
      <x:c r="Z28" s="6" t="str">
        <x:f>IF(INDEX('C_jama.2024.12829'!$R$2:$R$18,MATCH("2024::jama.2024.12829::C016",'C_jama.2024.12829'!$A$2:$A$18,0))="","",INDEX('C_jama.2024.12829'!$R$2:$R$18,MATCH("2024::jama.2024.12829::C016",'C_jama.2024.12829'!$A$2:$A$18,0)))</x:f>
      </x:c>
      <x:c r="AA28" s="6" t="str">
        <x:f>IF(INDEX('C_jama.2024.12829'!$N$2:$N$18,MATCH("2024::jama.2024.12829::C016",'C_jama.2024.12829'!$A$2:$A$18,0))="","",INDEX('C_jama.2024.12829'!$N$2:$N$18,MATCH("2024::jama.2024.12829::C016",'C_jama.2024.12829'!$A$2:$A$18,0)))</x:f>
      </x:c>
      <x:c r="AB28" s="6" t="str">
        <x:f>IF(INDEX('C_jama.2024.12829'!$O$2:$O$18,MATCH("2024::jama.2024.12829::C016",'C_jama.2024.12829'!$A$2:$A$18,0))="","",INDEX('C_jama.2024.12829'!$O$2:$O$18,MATCH("2024::jama.2024.12829::C016",'C_jama.2024.12829'!$A$2:$A$18,0)))</x:f>
      </x:c>
      <x:c r="AC28" s="6" t="str">
        <x:f>IF(INDEX('C_jama.2024.12829'!$P$2:$P$18,MATCH("2024::jama.2024.12829::C016",'C_jama.2024.12829'!$A$2:$A$18,0))="","",INDEX('C_jama.2024.12829'!$P$2:$P$18,MATCH("2024::jama.2024.12829::C016",'C_jama.2024.12829'!$A$2:$A$18,0)))</x:f>
      </x:c>
      <x:c r="AD28" s="6" t="str">
        <x:f>IF(INDEX('C_jama.2024.12829'!$Q$2:$Q$18,MATCH("2024::jama.2024.12829::C016",'C_jama.2024.12829'!$A$2:$A$18,0))="","",INDEX('C_jama.2024.12829'!$Q$2:$Q$18,MATCH("2024::jama.2024.12829::C016",'C_jama.2024.12829'!$A$2:$A$18,0)))</x:f>
      </x:c>
    </x:row>
    <x:row r="29" ht="65" customHeight="1">
      <x:c r="A29" s="3" t="n">
        <x:v>2024</x:v>
      </x:c>
      <x:c r="B29" s="3" t="str">
        <x:v>jama.2024.12829</x:v>
      </x:c>
      <x:c r="C29" s="3" t="str">
        <x:v>2024::jama.2024.12829::C017</x:v>
      </x:c>
      <x:c r="D29" s="3" t="str">
        <x:v>S_W</x:v>
      </x:c>
      <x:c r="E29" s="3" t="n">
        <x:f>Setup!$B$2</x:f>
        <x:v>0</x:v>
      </x:c>
      <x:c r="F29" s="3" t="str">
        <x:f>IF(Setup!$B$4="","",Setup!$B$4)</x:f>
      </x:c>
      <x:c r="G29" s="3" t="str">
        <x:f>IFERROR(INDEX('C_jama.2024.12829'!$G$2:$G$18,MATCH("2024::jama.2024.12829::C017",'C_jama.2024.12829'!$A$2:$A$18,0)),"CHECK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IF(Setup!$B$6="primary","",IFERROR(IF(INDEX('Primary_snapshot'!$B$2:$B$92,MATCH(C29,'Primary_snapshot'!$A$2:$A$92,0))="","",INDEX('Primary_snapshot'!$B$2:$B$92,MATCH(C29,'Primary_snapshot'!$A$2:$A$92,0))),"SNAPSHOT MISSING"))</x:f>
      </x:c>
      <x:c r="L29" s="3" t="str">
        <x:f>IF(Setup!$B$6="primary","",IFERROR(IF(INDEX('Primary_snapshot'!$C$2:$C$92,MATCH(C29,'Primary_snapshot'!$A$2:$A$92,0))="","",INDEX('Primary_snapshot'!$C$2:$C$92,MATCH(C29,'Primary_snapshot'!$A$2:$A$92,0))),"SNAPSHOT MISSING"))</x:f>
      </x:c>
      <x:c r="M29" s="3" t="str">
        <x:f>IF(Setup!$B$6="primary","",IFERROR(IF(INDEX('Primary_snapshot'!$D$2:$D$92,MATCH(C29,'Primary_snapshot'!$A$2:$A$92,0))="","",INDEX('Primary_snapshot'!$D$2:$D$92,MATCH(C29,'Primary_snapshot'!$A$2:$A$92,0))),"SNAPSHOT MISSING"))</x:f>
      </x:c>
      <x:c r="N29" s="3" t="str">
        <x:f>IF(Setup!$B$6="primary","",IFERROR(IF(INDEX('Primary_snapshot'!$E$2:$E$92,MATCH(C29,'Primary_snapshot'!$A$2:$A$92,0))="","",INDEX('Primary_snapshot'!$E$2:$E$92,MATCH(C29,'Primary_snapshot'!$A$2:$A$92,0))),"SNAPSHOT MISSING"))</x:f>
      </x:c>
      <x:c r="O29" s="3" t="str">
        <x:f>IF(Setup!$B$6="primary","",IFERROR(IF(INDEX('Primary_snapshot'!$F$2:$F$92,MATCH(C29,'Primary_snapshot'!$A$2:$A$92,0))="","",INDEX('Primary_snapshot'!$F$2:$F$92,MATCH(C29,'Primary_snapshot'!$A$2:$A$92,0))),"SNAPSHOT MISSING"))</x:f>
      </x:c>
      <x:c r="P29" s="3" t="str">
        <x:f>IF(Setup!$B$6="primary","",IFERROR(IF(INDEX('Primary_snapshot'!$G$2:$G$92,MATCH(C29,'Primary_snapshot'!$A$2:$A$92,0))="","",INDEX('Primary_snapshot'!$G$2:$G$92,MATCH(C29,'Primary_snapshot'!$A$2:$A$92,0))),"SNAPSHOT MISSING"))</x:f>
      </x:c>
      <x:c r="Q29" s="3" t="str">
        <x:f>IF(Setup!$B$6="primary","",IFERROR(IF(INDEX('Primary_snapshot'!$H$2:$H$92,MATCH(C29,'Primary_snapshot'!$A$2:$A$92,0))="","",INDEX('Primary_snapshot'!$H$2:$H$92,MATCH(C29,'Primary_snapshot'!$A$2:$A$92,0))),"SNAPSHOT MISSING"))</x:f>
      </x:c>
      <x:c r="R29" s="3" t="str">
        <x:f>IF(Setup!$B$6="primary","",IFERROR(IF(INDEX('Primary_snapshot'!$I$2:$I$92,MATCH(C29,'Primary_snapshot'!$A$2:$A$92,0))="","",INDEX('Primary_snapshot'!$I$2:$I$92,MATCH(C29,'Primary_snapshot'!$A$2:$A$92,0))),"SNAPSHOT MISSING"))</x:f>
      </x:c>
      <x:c r="S29" s="3" t="str">
        <x:f>IF(INDEX('C_jama.2024.12829'!$D$2:$D$18,MATCH("2024::jama.2024.12829::C017",'C_jama.2024.12829'!$A$2:$A$18,0))="","",INDEX('C_jama.2024.12829'!$D$2:$D$18,MATCH("2024::jama.2024.12829::C017",'C_jama.2024.12829'!$A$2:$A$18,0)))</x:f>
      </x:c>
      <x:c r="T29" s="3" t="str">
        <x:f>IF(INDEX('C_jama.2024.12829'!$E$2:$E$18,MATCH("2024::jama.2024.12829::C017",'C_jama.2024.12829'!$A$2:$A$18,0))="","",INDEX('C_jama.2024.12829'!$E$2:$E$18,MATCH("2024::jama.2024.12829::C017",'C_jama.2024.12829'!$A$2:$A$18,0)))</x:f>
        <x:v>statistical_results</x:v>
      </x:c>
      <x:c r="U29" s="3" t="str">
        <x:f>IF(AND(INDEX('C_jama.2024.12829'!$D$2:$D$18,MATCH("2024::jama.2024.12829::C017",'C_jama.2024.12829'!$A$2:$A$18,0))="retain",INDEX('C_jama.2024.12829'!$E$2:$E$18,MATCH("2024::jama.2024.12829::C017",'C_jama.2024.12829'!$A$2:$A$18,0))="statistical_results"),IF(INDEX('C_jama.2024.12829'!$H$2:$H$18,MATCH("2024::jama.2024.12829::C017",'C_jama.2024.12829'!$A$2:$A$18,0))="","",INDEX('C_jama.2024.12829'!$H$2:$H$18,MATCH("2024::jama.2024.12829::C017",'C_jama.2024.12829'!$A$2:$A$18,0))),"not_applicable")</x:f>
        <x:v>not_applicable</x:v>
      </x:c>
      <x:c r="V29" s="3" t="str">
        <x:f>IF(AND(INDEX('C_jama.2024.12829'!$D$2:$D$18,MATCH("2024::jama.2024.12829::C017",'C_jama.2024.12829'!$A$2:$A$18,0))="retain",INDEX('C_jama.2024.12829'!$E$2:$E$18,MATCH("2024::jama.2024.12829::C017",'C_jama.2024.12829'!$A$2:$A$18,0))="statistical_results"),IF(INDEX('C_jama.2024.12829'!$I$2:$I$18,MATCH("2024::jama.2024.12829::C017",'C_jama.2024.12829'!$A$2:$A$18,0))="","",INDEX('C_jama.2024.12829'!$I$2:$I$18,MATCH("2024::jama.2024.12829::C017",'C_jama.2024.12829'!$A$2:$A$18,0))),"not_applicable")</x:f>
        <x:v>not_applicable</x:v>
      </x:c>
      <x:c r="W29" s="3" t="str">
        <x:f>IF(AND(INDEX('C_jama.2024.12829'!$D$2:$D$18,MATCH("2024::jama.2024.12829::C017",'C_jama.2024.12829'!$A$2:$A$18,0))="retain",INDEX('C_jama.2024.12829'!$E$2:$E$18,MATCH("2024::jama.2024.12829::C017",'C_jama.2024.12829'!$A$2:$A$18,0))="statistical_results"),IF(INDEX('C_jama.2024.12829'!$J$2:$J$18,MATCH("2024::jama.2024.12829::C017",'C_jama.2024.12829'!$A$2:$A$18,0))="","",INDEX('C_jama.2024.12829'!$J$2:$J$18,MATCH("2024::jama.2024.12829::C017",'C_jama.2024.12829'!$A$2:$A$18,0))),"not_applicable")</x:f>
        <x:v>not_applicable</x:v>
      </x:c>
      <x:c r="X29" s="3" t="str">
        <x:f>IF(AND(INDEX('C_jama.2024.12829'!$D$2:$D$18,MATCH("2024::jama.2024.12829::C017",'C_jama.2024.12829'!$A$2:$A$18,0))="retain",OR(INDEX('C_jama.2024.12829'!$E$2:$E$18,MATCH("2024::jama.2024.12829::C017",'C_jama.2024.12829'!$A$2:$A$18,0))="report_internal_inconsistency",INDEX('C_jama.2024.12829'!$E$2:$E$18,MATCH("2024::jama.2024.12829::C017",'C_jama.2024.12829'!$A$2:$A$18,0))="plan_material")),IF(INDEX('C_jama.2024.12829'!$K$2:$K$18,MATCH("2024::jama.2024.12829::C017",'C_jama.2024.12829'!$A$2:$A$18,0))="","",INDEX('C_jama.2024.12829'!$K$2:$K$18,MATCH("2024::jama.2024.12829::C017",'C_jama.2024.12829'!$A$2:$A$18,0))),"not_applicable")</x:f>
        <x:v>not_applicable</x:v>
      </x:c>
      <x:c r="Y29" s="3" t="str">
        <x:f>IF(AND(INDEX('C_jama.2024.12829'!$D$2:$D$18,MATCH("2024::jama.2024.12829::C017",'C_jama.2024.12829'!$A$2:$A$18,0))="retain",INDEX('C_jama.2024.12829'!$E$2:$E$18,MATCH("2024::jama.2024.12829::C017",'C_jama.2024.12829'!$A$2:$A$18,0))="protocol_report"),IF(INDEX('C_jama.2024.12829'!$L$2:$L$18,MATCH("2024::jama.2024.12829::C017",'C_jama.2024.12829'!$A$2:$A$18,0))="","",INDEX('C_jama.2024.12829'!$L$2:$L$18,MATCH("2024::jama.2024.12829::C017",'C_jama.2024.12829'!$A$2:$A$18,0))),"not_applicable")</x:f>
        <x:v>not_applicable</x:v>
      </x:c>
      <x:c r="Z29" s="3" t="str">
        <x:f>IF(INDEX('C_jama.2024.12829'!$R$2:$R$18,MATCH("2024::jama.2024.12829::C017",'C_jama.2024.12829'!$A$2:$A$18,0))="","",INDEX('C_jama.2024.12829'!$R$2:$R$18,MATCH("2024::jama.2024.12829::C017",'C_jama.2024.12829'!$A$2:$A$18,0)))</x:f>
      </x:c>
      <x:c r="AA29" s="3" t="str">
        <x:f>IF(INDEX('C_jama.2024.12829'!$N$2:$N$18,MATCH("2024::jama.2024.12829::C017",'C_jama.2024.12829'!$A$2:$A$18,0))="","",INDEX('C_jama.2024.12829'!$N$2:$N$18,MATCH("2024::jama.2024.12829::C017",'C_jama.2024.12829'!$A$2:$A$18,0)))</x:f>
      </x:c>
      <x:c r="AB29" s="3" t="str">
        <x:f>IF(INDEX('C_jama.2024.12829'!$O$2:$O$18,MATCH("2024::jama.2024.12829::C017",'C_jama.2024.12829'!$A$2:$A$18,0))="","",INDEX('C_jama.2024.12829'!$O$2:$O$18,MATCH("2024::jama.2024.12829::C017",'C_jama.2024.12829'!$A$2:$A$18,0)))</x:f>
      </x:c>
      <x:c r="AC29" s="3" t="str">
        <x:f>IF(INDEX('C_jama.2024.12829'!$P$2:$P$18,MATCH("2024::jama.2024.12829::C017",'C_jama.2024.12829'!$A$2:$A$18,0))="","",INDEX('C_jama.2024.12829'!$P$2:$P$18,MATCH("2024::jama.2024.12829::C017",'C_jama.2024.12829'!$A$2:$A$18,0)))</x:f>
      </x:c>
      <x:c r="AD29" s="3" t="str">
        <x:f>IF(INDEX('C_jama.2024.12829'!$Q$2:$Q$18,MATCH("2024::jama.2024.12829::C017",'C_jama.2024.12829'!$A$2:$A$18,0))="","",INDEX('C_jama.2024.12829'!$Q$2:$Q$18,MATCH("2024::jama.2024.12829::C017",'C_jama.2024.12829'!$A$2:$A$18,0)))</x:f>
      </x:c>
    </x:row>
    <x:row r="30" ht="65" customHeight="1">
      <x:c r="A30" s="6" t="n">
        <x:v>2024</x:v>
      </x:c>
      <x:c r="B30" s="6" t="str">
        <x:v>jama.2024.19585</x:v>
      </x:c>
      <x:c r="C30" s="6" t="str">
        <x:v>2024::jama.2024.19585::C001</x:v>
      </x:c>
      <x:c r="D30" s="6" t="str">
        <x:v>S_W</x:v>
      </x:c>
      <x:c r="E30" s="6" t="n">
        <x:f>Setup!$B$2</x:f>
        <x:v>0</x:v>
      </x:c>
      <x:c r="F30" s="6" t="str">
        <x:f>IF(Setup!$B$4="","",Setup!$B$4)</x:f>
      </x:c>
      <x:c r="G30" s="6" t="str">
        <x:f>IFERROR(INDEX('C_jama.2024.19585'!$G$2:$G$4,MATCH("2024::jama.2024.19585::C001",'C_jama.2024.19585'!$A$2:$A$4,0)),"CHECK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exclude</x:v>
      </x:c>
      <x:c r="J30" s="6" t="str">
        <x:v>statistical_results</x:v>
      </x:c>
      <x:c r="K30" s="6" t="str">
        <x:f>IF(Setup!$B$6="primary","",IFERROR(IF(INDEX('Primary_snapshot'!$B$2:$B$92,MATCH(C30,'Primary_snapshot'!$A$2:$A$92,0))="","",INDEX('Primary_snapshot'!$B$2:$B$92,MATCH(C30,'Primary_snapshot'!$A$2:$A$92,0))),"SNAPSHOT MISSING"))</x:f>
      </x:c>
      <x:c r="L30" s="6" t="str">
        <x:f>IF(Setup!$B$6="primary","",IFERROR(IF(INDEX('Primary_snapshot'!$C$2:$C$92,MATCH(C30,'Primary_snapshot'!$A$2:$A$92,0))="","",INDEX('Primary_snapshot'!$C$2:$C$92,MATCH(C30,'Primary_snapshot'!$A$2:$A$92,0))),"SNAPSHOT MISSING"))</x:f>
      </x:c>
      <x:c r="M30" s="6" t="str">
        <x:f>IF(Setup!$B$6="primary","",IFERROR(IF(INDEX('Primary_snapshot'!$D$2:$D$92,MATCH(C30,'Primary_snapshot'!$A$2:$A$92,0))="","",INDEX('Primary_snapshot'!$D$2:$D$92,MATCH(C30,'Primary_snapshot'!$A$2:$A$92,0))),"SNAPSHOT MISSING"))</x:f>
      </x:c>
      <x:c r="N30" s="6" t="str">
        <x:f>IF(Setup!$B$6="primary","",IFERROR(IF(INDEX('Primary_snapshot'!$E$2:$E$92,MATCH(C30,'Primary_snapshot'!$A$2:$A$92,0))="","",INDEX('Primary_snapshot'!$E$2:$E$92,MATCH(C30,'Primary_snapshot'!$A$2:$A$92,0))),"SNAPSHOT MISSING"))</x:f>
      </x:c>
      <x:c r="O30" s="6" t="str">
        <x:f>IF(Setup!$B$6="primary","",IFERROR(IF(INDEX('Primary_snapshot'!$F$2:$F$92,MATCH(C30,'Primary_snapshot'!$A$2:$A$92,0))="","",INDEX('Primary_snapshot'!$F$2:$F$92,MATCH(C30,'Primary_snapshot'!$A$2:$A$92,0))),"SNAPSHOT MISSING"))</x:f>
      </x:c>
      <x:c r="P30" s="6" t="str">
        <x:f>IF(Setup!$B$6="primary","",IFERROR(IF(INDEX('Primary_snapshot'!$G$2:$G$92,MATCH(C30,'Primary_snapshot'!$A$2:$A$92,0))="","",INDEX('Primary_snapshot'!$G$2:$G$92,MATCH(C30,'Primary_snapshot'!$A$2:$A$92,0))),"SNAPSHOT MISSING"))</x:f>
      </x:c>
      <x:c r="Q30" s="6" t="str">
        <x:f>IF(Setup!$B$6="primary","",IFERROR(IF(INDEX('Primary_snapshot'!$H$2:$H$92,MATCH(C30,'Primary_snapshot'!$A$2:$A$92,0))="","",INDEX('Primary_snapshot'!$H$2:$H$92,MATCH(C30,'Primary_snapshot'!$A$2:$A$92,0))),"SNAPSHOT MISSING"))</x:f>
      </x:c>
      <x:c r="R30" s="6" t="str">
        <x:f>IF(Setup!$B$6="primary","",IFERROR(IF(INDEX('Primary_snapshot'!$I$2:$I$92,MATCH(C30,'Primary_snapshot'!$A$2:$A$92,0))="","",INDEX('Primary_snapshot'!$I$2:$I$92,MATCH(C30,'Primary_snapshot'!$A$2:$A$92,0))),"SNAPSHOT MISSING"))</x:f>
      </x:c>
      <x:c r="S30" s="6" t="str">
        <x:f>IF(INDEX('C_jama.2024.19585'!$D$2:$D$4,MATCH("2024::jama.2024.19585::C001",'C_jama.2024.19585'!$A$2:$A$4,0))="","",INDEX('C_jama.2024.19585'!$D$2:$D$4,MATCH("2024::jama.2024.19585::C001",'C_jama.2024.19585'!$A$2:$A$4,0)))</x:f>
      </x:c>
      <x:c r="T30" s="6" t="str">
        <x:f>IF(INDEX('C_jama.2024.19585'!$E$2:$E$4,MATCH("2024::jama.2024.19585::C001",'C_jama.2024.19585'!$A$2:$A$4,0))="","",INDEX('C_jama.2024.19585'!$E$2:$E$4,MATCH("2024::jama.2024.19585::C001",'C_jama.2024.19585'!$A$2:$A$4,0)))</x:f>
        <x:v>statistical_results</x:v>
      </x:c>
      <x:c r="U30" s="6" t="str">
        <x:f>IF(AND(INDEX('C_jama.2024.19585'!$D$2:$D$4,MATCH("2024::jama.2024.19585::C001",'C_jama.2024.19585'!$A$2:$A$4,0))="retain",INDEX('C_jama.2024.19585'!$E$2:$E$4,MATCH("2024::jama.2024.19585::C001",'C_jama.2024.19585'!$A$2:$A$4,0))="statistical_results"),IF(INDEX('C_jama.2024.19585'!$H$2:$H$4,MATCH("2024::jama.2024.19585::C001",'C_jama.2024.19585'!$A$2:$A$4,0))="","",INDEX('C_jama.2024.19585'!$H$2:$H$4,MATCH("2024::jama.2024.19585::C001",'C_jama.2024.19585'!$A$2:$A$4,0))),"not_applicable")</x:f>
        <x:v>not_applicable</x:v>
      </x:c>
      <x:c r="V30" s="6" t="str">
        <x:f>IF(AND(INDEX('C_jama.2024.19585'!$D$2:$D$4,MATCH("2024::jama.2024.19585::C001",'C_jama.2024.19585'!$A$2:$A$4,0))="retain",INDEX('C_jama.2024.19585'!$E$2:$E$4,MATCH("2024::jama.2024.19585::C001",'C_jama.2024.19585'!$A$2:$A$4,0))="statistical_results"),IF(INDEX('C_jama.2024.19585'!$I$2:$I$4,MATCH("2024::jama.2024.19585::C001",'C_jama.2024.19585'!$A$2:$A$4,0))="","",INDEX('C_jama.2024.19585'!$I$2:$I$4,MATCH("2024::jama.2024.19585::C001",'C_jama.2024.19585'!$A$2:$A$4,0))),"not_applicable")</x:f>
        <x:v>not_applicable</x:v>
      </x:c>
      <x:c r="W30" s="6" t="str">
        <x:f>IF(AND(INDEX('C_jama.2024.19585'!$D$2:$D$4,MATCH("2024::jama.2024.19585::C001",'C_jama.2024.19585'!$A$2:$A$4,0))="retain",INDEX('C_jama.2024.19585'!$E$2:$E$4,MATCH("2024::jama.2024.19585::C001",'C_jama.2024.19585'!$A$2:$A$4,0))="statistical_results"),IF(INDEX('C_jama.2024.19585'!$J$2:$J$4,MATCH("2024::jama.2024.19585::C001",'C_jama.2024.19585'!$A$2:$A$4,0))="","",INDEX('C_jama.2024.19585'!$J$2:$J$4,MATCH("2024::jama.2024.19585::C001",'C_jama.2024.19585'!$A$2:$A$4,0))),"not_applicable")</x:f>
        <x:v>not_applicable</x:v>
      </x:c>
      <x:c r="X30" s="6" t="str">
        <x:f>IF(AND(INDEX('C_jama.2024.19585'!$D$2:$D$4,MATCH("2024::jama.2024.19585::C001",'C_jama.2024.19585'!$A$2:$A$4,0))="retain",OR(INDEX('C_jama.2024.19585'!$E$2:$E$4,MATCH("2024::jama.2024.19585::C001",'C_jama.2024.19585'!$A$2:$A$4,0))="report_internal_inconsistency",INDEX('C_jama.2024.19585'!$E$2:$E$4,MATCH("2024::jama.2024.19585::C001",'C_jama.2024.19585'!$A$2:$A$4,0))="plan_material")),IF(INDEX('C_jama.2024.19585'!$K$2:$K$4,MATCH("2024::jama.2024.19585::C001",'C_jama.2024.19585'!$A$2:$A$4,0))="","",INDEX('C_jama.2024.19585'!$K$2:$K$4,MATCH("2024::jama.2024.19585::C001",'C_jama.2024.19585'!$A$2:$A$4,0))),"not_applicable")</x:f>
        <x:v>not_applicable</x:v>
      </x:c>
      <x:c r="Y30" s="6" t="str">
        <x:f>IF(AND(INDEX('C_jama.2024.19585'!$D$2:$D$4,MATCH("2024::jama.2024.19585::C001",'C_jama.2024.19585'!$A$2:$A$4,0))="retain",INDEX('C_jama.2024.19585'!$E$2:$E$4,MATCH("2024::jama.2024.19585::C001",'C_jama.2024.19585'!$A$2:$A$4,0))="protocol_report"),IF(INDEX('C_jama.2024.19585'!$L$2:$L$4,MATCH("2024::jama.2024.19585::C001",'C_jama.2024.19585'!$A$2:$A$4,0))="","",INDEX('C_jama.2024.19585'!$L$2:$L$4,MATCH("2024::jama.2024.19585::C001",'C_jama.2024.19585'!$A$2:$A$4,0))),"not_applicable")</x:f>
        <x:v>not_applicable</x:v>
      </x:c>
      <x:c r="Z30" s="6" t="str">
        <x:f>IF(INDEX('C_jama.2024.19585'!$R$2:$R$4,MATCH("2024::jama.2024.19585::C001",'C_jama.2024.19585'!$A$2:$A$4,0))="","",INDEX('C_jama.2024.19585'!$R$2:$R$4,MATCH("2024::jama.2024.19585::C001",'C_jama.2024.19585'!$A$2:$A$4,0)))</x:f>
      </x:c>
      <x:c r="AA30" s="6" t="str">
        <x:f>IF(INDEX('C_jama.2024.19585'!$N$2:$N$4,MATCH("2024::jama.2024.19585::C001",'C_jama.2024.19585'!$A$2:$A$4,0))="","",INDEX('C_jama.2024.19585'!$N$2:$N$4,MATCH("2024::jama.2024.19585::C001",'C_jama.2024.19585'!$A$2:$A$4,0)))</x:f>
      </x:c>
      <x:c r="AB30" s="6" t="str">
        <x:f>IF(INDEX('C_jama.2024.19585'!$O$2:$O$4,MATCH("2024::jama.2024.19585::C001",'C_jama.2024.19585'!$A$2:$A$4,0))="","",INDEX('C_jama.2024.19585'!$O$2:$O$4,MATCH("2024::jama.2024.19585::C001",'C_jama.2024.19585'!$A$2:$A$4,0)))</x:f>
      </x:c>
      <x:c r="AC30" s="6" t="str">
        <x:f>IF(INDEX('C_jama.2024.19585'!$P$2:$P$4,MATCH("2024::jama.2024.19585::C001",'C_jama.2024.19585'!$A$2:$A$4,0))="","",INDEX('C_jama.2024.19585'!$P$2:$P$4,MATCH("2024::jama.2024.19585::C001",'C_jama.2024.19585'!$A$2:$A$4,0)))</x:f>
      </x:c>
      <x:c r="AD30" s="6" t="str">
        <x:f>IF(INDEX('C_jama.2024.19585'!$Q$2:$Q$4,MATCH("2024::jama.2024.19585::C001",'C_jama.2024.19585'!$A$2:$A$4,0))="","",INDEX('C_jama.2024.19585'!$Q$2:$Q$4,MATCH("2024::jama.2024.19585::C001",'C_jama.2024.19585'!$A$2:$A$4,0)))</x:f>
      </x:c>
    </x:row>
    <x:row r="31" ht="65" customHeight="1">
      <x:c r="A31" s="3" t="n">
        <x:v>2024</x:v>
      </x:c>
      <x:c r="B31" s="3" t="str">
        <x:v>jama.2024.19585</x:v>
      </x:c>
      <x:c r="C31" s="3" t="str">
        <x:v>2024::jama.2024.19585::C002</x:v>
      </x:c>
      <x:c r="D31" s="3" t="str">
        <x:v>S_C</x:v>
      </x:c>
      <x:c r="E31" s="3" t="n">
        <x:f>Setup!$B$2</x:f>
        <x:v>0</x:v>
      </x:c>
      <x:c r="F31" s="3" t="str">
        <x:f>IF(Setup!$B$4="","",Setup!$B$4)</x:f>
      </x:c>
      <x:c r="G31" s="3" t="str">
        <x:f>IFERROR(INDEX('C_jama.2024.19585'!$G$2:$G$4,MATCH("2024::jama.2024.19585::C002",'C_jama.2024.19585'!$A$2:$A$4,0)),"CHECK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report_internal_inconsistency</x:v>
      </x:c>
      <x:c r="K31" s="3" t="str">
        <x:f>IF(Setup!$B$6="primary","",IFERROR(IF(INDEX('Primary_snapshot'!$B$2:$B$92,MATCH(C31,'Primary_snapshot'!$A$2:$A$92,0))="","",INDEX('Primary_snapshot'!$B$2:$B$92,MATCH(C31,'Primary_snapshot'!$A$2:$A$92,0))),"SNAPSHOT MISSING"))</x:f>
      </x:c>
      <x:c r="L31" s="3" t="str">
        <x:f>IF(Setup!$B$6="primary","",IFERROR(IF(INDEX('Primary_snapshot'!$C$2:$C$92,MATCH(C31,'Primary_snapshot'!$A$2:$A$92,0))="","",INDEX('Primary_snapshot'!$C$2:$C$92,MATCH(C31,'Primary_snapshot'!$A$2:$A$92,0))),"SNAPSHOT MISSING"))</x:f>
      </x:c>
      <x:c r="M31" s="3" t="str">
        <x:f>IF(Setup!$B$6="primary","",IFERROR(IF(INDEX('Primary_snapshot'!$D$2:$D$92,MATCH(C31,'Primary_snapshot'!$A$2:$A$92,0))="","",INDEX('Primary_snapshot'!$D$2:$D$92,MATCH(C31,'Primary_snapshot'!$A$2:$A$92,0))),"SNAPSHOT MISSING"))</x:f>
      </x:c>
      <x:c r="N31" s="3" t="str">
        <x:f>IF(Setup!$B$6="primary","",IFERROR(IF(INDEX('Primary_snapshot'!$E$2:$E$92,MATCH(C31,'Primary_snapshot'!$A$2:$A$92,0))="","",INDEX('Primary_snapshot'!$E$2:$E$92,MATCH(C31,'Primary_snapshot'!$A$2:$A$92,0))),"SNAPSHOT MISSING"))</x:f>
      </x:c>
      <x:c r="O31" s="3" t="str">
        <x:f>IF(Setup!$B$6="primary","",IFERROR(IF(INDEX('Primary_snapshot'!$F$2:$F$92,MATCH(C31,'Primary_snapshot'!$A$2:$A$92,0))="","",INDEX('Primary_snapshot'!$F$2:$F$92,MATCH(C31,'Primary_snapshot'!$A$2:$A$92,0))),"SNAPSHOT MISSING"))</x:f>
      </x:c>
      <x:c r="P31" s="3" t="str">
        <x:f>IF(Setup!$B$6="primary","",IFERROR(IF(INDEX('Primary_snapshot'!$G$2:$G$92,MATCH(C31,'Primary_snapshot'!$A$2:$A$92,0))="","",INDEX('Primary_snapshot'!$G$2:$G$92,MATCH(C31,'Primary_snapshot'!$A$2:$A$92,0))),"SNAPSHOT MISSING"))</x:f>
      </x:c>
      <x:c r="Q31" s="3" t="str">
        <x:f>IF(Setup!$B$6="primary","",IFERROR(IF(INDEX('Primary_snapshot'!$H$2:$H$92,MATCH(C31,'Primary_snapshot'!$A$2:$A$92,0))="","",INDEX('Primary_snapshot'!$H$2:$H$92,MATCH(C31,'Primary_snapshot'!$A$2:$A$92,0))),"SNAPSHOT MISSING"))</x:f>
      </x:c>
      <x:c r="R31" s="3" t="str">
        <x:f>IF(Setup!$B$6="primary","",IFERROR(IF(INDEX('Primary_snapshot'!$I$2:$I$92,MATCH(C31,'Primary_snapshot'!$A$2:$A$92,0))="","",INDEX('Primary_snapshot'!$I$2:$I$92,MATCH(C31,'Primary_snapshot'!$A$2:$A$92,0))),"SNAPSHOT MISSING"))</x:f>
      </x:c>
      <x:c r="S31" s="3" t="str">
        <x:f>IF(INDEX('C_jama.2024.19585'!$D$2:$D$4,MATCH("2024::jama.2024.19585::C002",'C_jama.2024.19585'!$A$2:$A$4,0))="","",INDEX('C_jama.2024.19585'!$D$2:$D$4,MATCH("2024::jama.2024.19585::C002",'C_jama.2024.19585'!$A$2:$A$4,0)))</x:f>
      </x:c>
      <x:c r="T31" s="3" t="str">
        <x:f>IF(INDEX('C_jama.2024.19585'!$E$2:$E$4,MATCH("2024::jama.2024.19585::C002",'C_jama.2024.19585'!$A$2:$A$4,0))="","",INDEX('C_jama.2024.19585'!$E$2:$E$4,MATCH("2024::jama.2024.19585::C002",'C_jama.2024.19585'!$A$2:$A$4,0)))</x:f>
        <x:v>report_internal_inconsistency</x:v>
      </x:c>
      <x:c r="U31" s="3" t="str">
        <x:f>IF(AND(INDEX('C_jama.2024.19585'!$D$2:$D$4,MATCH("2024::jama.2024.19585::C002",'C_jama.2024.19585'!$A$2:$A$4,0))="retain",INDEX('C_jama.2024.19585'!$E$2:$E$4,MATCH("2024::jama.2024.19585::C002",'C_jama.2024.19585'!$A$2:$A$4,0))="statistical_results"),IF(INDEX('C_jama.2024.19585'!$H$2:$H$4,MATCH("2024::jama.2024.19585::C002",'C_jama.2024.19585'!$A$2:$A$4,0))="","",INDEX('C_jama.2024.19585'!$H$2:$H$4,MATCH("2024::jama.2024.19585::C002",'C_jama.2024.19585'!$A$2:$A$4,0))),"not_applicable")</x:f>
        <x:v>not_applicable</x:v>
      </x:c>
      <x:c r="V31" s="3" t="str">
        <x:f>IF(AND(INDEX('C_jama.2024.19585'!$D$2:$D$4,MATCH("2024::jama.2024.19585::C002",'C_jama.2024.19585'!$A$2:$A$4,0))="retain",INDEX('C_jama.2024.19585'!$E$2:$E$4,MATCH("2024::jama.2024.19585::C002",'C_jama.2024.19585'!$A$2:$A$4,0))="statistical_results"),IF(INDEX('C_jama.2024.19585'!$I$2:$I$4,MATCH("2024::jama.2024.19585::C002",'C_jama.2024.19585'!$A$2:$A$4,0))="","",INDEX('C_jama.2024.19585'!$I$2:$I$4,MATCH("2024::jama.2024.19585::C002",'C_jama.2024.19585'!$A$2:$A$4,0))),"not_applicable")</x:f>
        <x:v>not_applicable</x:v>
      </x:c>
      <x:c r="W31" s="3" t="str">
        <x:f>IF(AND(INDEX('C_jama.2024.19585'!$D$2:$D$4,MATCH("2024::jama.2024.19585::C002",'C_jama.2024.19585'!$A$2:$A$4,0))="retain",INDEX('C_jama.2024.19585'!$E$2:$E$4,MATCH("2024::jama.2024.19585::C002",'C_jama.2024.19585'!$A$2:$A$4,0))="statistical_results"),IF(INDEX('C_jama.2024.19585'!$J$2:$J$4,MATCH("2024::jama.2024.19585::C002",'C_jama.2024.19585'!$A$2:$A$4,0))="","",INDEX('C_jama.2024.19585'!$J$2:$J$4,MATCH("2024::jama.2024.19585::C002",'C_jama.2024.19585'!$A$2:$A$4,0))),"not_applicable")</x:f>
        <x:v>not_applicable</x:v>
      </x:c>
      <x:c r="X31" s="3" t="str">
        <x:f>IF(AND(INDEX('C_jama.2024.19585'!$D$2:$D$4,MATCH("2024::jama.2024.19585::C002",'C_jama.2024.19585'!$A$2:$A$4,0))="retain",OR(INDEX('C_jama.2024.19585'!$E$2:$E$4,MATCH("2024::jama.2024.19585::C002",'C_jama.2024.19585'!$A$2:$A$4,0))="report_internal_inconsistency",INDEX('C_jama.2024.19585'!$E$2:$E$4,MATCH("2024::jama.2024.19585::C002",'C_jama.2024.19585'!$A$2:$A$4,0))="plan_material")),IF(INDEX('C_jama.2024.19585'!$K$2:$K$4,MATCH("2024::jama.2024.19585::C002",'C_jama.2024.19585'!$A$2:$A$4,0))="","",INDEX('C_jama.2024.19585'!$K$2:$K$4,MATCH("2024::jama.2024.19585::C002",'C_jama.2024.19585'!$A$2:$A$4,0))),"not_applicable")</x:f>
        <x:v>not_applicable</x:v>
      </x:c>
      <x:c r="Y31" s="3" t="str">
        <x:f>IF(AND(INDEX('C_jama.2024.19585'!$D$2:$D$4,MATCH("2024::jama.2024.19585::C002",'C_jama.2024.19585'!$A$2:$A$4,0))="retain",INDEX('C_jama.2024.19585'!$E$2:$E$4,MATCH("2024::jama.2024.19585::C002",'C_jama.2024.19585'!$A$2:$A$4,0))="protocol_report"),IF(INDEX('C_jama.2024.19585'!$L$2:$L$4,MATCH("2024::jama.2024.19585::C002",'C_jama.2024.19585'!$A$2:$A$4,0))="","",INDEX('C_jama.2024.19585'!$L$2:$L$4,MATCH("2024::jama.2024.19585::C002",'C_jama.2024.19585'!$A$2:$A$4,0))),"not_applicable")</x:f>
        <x:v>not_applicable</x:v>
      </x:c>
      <x:c r="Z31" s="3" t="str">
        <x:f>IF(INDEX('C_jama.2024.19585'!$R$2:$R$4,MATCH("2024::jama.2024.19585::C002",'C_jama.2024.19585'!$A$2:$A$4,0))="","",INDEX('C_jama.2024.19585'!$R$2:$R$4,MATCH("2024::jama.2024.19585::C002",'C_jama.2024.19585'!$A$2:$A$4,0)))</x:f>
      </x:c>
      <x:c r="AA31" s="3" t="str">
        <x:f>IF(INDEX('C_jama.2024.19585'!$N$2:$N$4,MATCH("2024::jama.2024.19585::C002",'C_jama.2024.19585'!$A$2:$A$4,0))="","",INDEX('C_jama.2024.19585'!$N$2:$N$4,MATCH("2024::jama.2024.19585::C002",'C_jama.2024.19585'!$A$2:$A$4,0)))</x:f>
      </x:c>
      <x:c r="AB31" s="3" t="str">
        <x:f>IF(INDEX('C_jama.2024.19585'!$O$2:$O$4,MATCH("2024::jama.2024.19585::C002",'C_jama.2024.19585'!$A$2:$A$4,0))="","",INDEX('C_jama.2024.19585'!$O$2:$O$4,MATCH("2024::jama.2024.19585::C002",'C_jama.2024.19585'!$A$2:$A$4,0)))</x:f>
      </x:c>
      <x:c r="AC31" s="3" t="str">
        <x:f>IF(INDEX('C_jama.2024.19585'!$P$2:$P$4,MATCH("2024::jama.2024.19585::C002",'C_jama.2024.19585'!$A$2:$A$4,0))="","",INDEX('C_jama.2024.19585'!$P$2:$P$4,MATCH("2024::jama.2024.19585::C002",'C_jama.2024.19585'!$A$2:$A$4,0)))</x:f>
      </x:c>
      <x:c r="AD31" s="3" t="str">
        <x:f>IF(INDEX('C_jama.2024.19585'!$Q$2:$Q$4,MATCH("2024::jama.2024.19585::C002",'C_jama.2024.19585'!$A$2:$A$4,0))="","",INDEX('C_jama.2024.19585'!$Q$2:$Q$4,MATCH("2024::jama.2024.19585::C002",'C_jama.2024.19585'!$A$2:$A$4,0)))</x:f>
      </x:c>
    </x:row>
    <x:row r="32" ht="65" customHeight="1">
      <x:c r="A32" s="6" t="n">
        <x:v>2024</x:v>
      </x:c>
      <x:c r="B32" s="6" t="str">
        <x:v>jama.2024.19585</x:v>
      </x:c>
      <x:c r="C32" s="6" t="str">
        <x:v>2024::jama.2024.19585::C003</x:v>
      </x:c>
      <x:c r="D32" s="6" t="str">
        <x:v>S_W</x:v>
      </x:c>
      <x:c r="E32" s="6" t="n">
        <x:f>Setup!$B$2</x:f>
        <x:v>0</x:v>
      </x:c>
      <x:c r="F32" s="6" t="str">
        <x:f>IF(Setup!$B$4="","",Setup!$B$4)</x:f>
      </x:c>
      <x:c r="G32" s="6" t="str">
        <x:f>IFERROR(INDEX('C_jama.2024.19585'!$G$2:$G$4,MATCH("2024::jama.2024.19585::C003",'C_jama.2024.19585'!$A$2:$A$4,0)),"CHECK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IF(Setup!$B$6="primary","",IFERROR(IF(INDEX('Primary_snapshot'!$B$2:$B$92,MATCH(C32,'Primary_snapshot'!$A$2:$A$92,0))="","",INDEX('Primary_snapshot'!$B$2:$B$92,MATCH(C32,'Primary_snapshot'!$A$2:$A$92,0))),"SNAPSHOT MISSING"))</x:f>
      </x:c>
      <x:c r="L32" s="6" t="str">
        <x:f>IF(Setup!$B$6="primary","",IFERROR(IF(INDEX('Primary_snapshot'!$C$2:$C$92,MATCH(C32,'Primary_snapshot'!$A$2:$A$92,0))="","",INDEX('Primary_snapshot'!$C$2:$C$92,MATCH(C32,'Primary_snapshot'!$A$2:$A$92,0))),"SNAPSHOT MISSING"))</x:f>
      </x:c>
      <x:c r="M32" s="6" t="str">
        <x:f>IF(Setup!$B$6="primary","",IFERROR(IF(INDEX('Primary_snapshot'!$D$2:$D$92,MATCH(C32,'Primary_snapshot'!$A$2:$A$92,0))="","",INDEX('Primary_snapshot'!$D$2:$D$92,MATCH(C32,'Primary_snapshot'!$A$2:$A$92,0))),"SNAPSHOT MISSING"))</x:f>
      </x:c>
      <x:c r="N32" s="6" t="str">
        <x:f>IF(Setup!$B$6="primary","",IFERROR(IF(INDEX('Primary_snapshot'!$E$2:$E$92,MATCH(C32,'Primary_snapshot'!$A$2:$A$92,0))="","",INDEX('Primary_snapshot'!$E$2:$E$92,MATCH(C32,'Primary_snapshot'!$A$2:$A$92,0))),"SNAPSHOT MISSING"))</x:f>
      </x:c>
      <x:c r="O32" s="6" t="str">
        <x:f>IF(Setup!$B$6="primary","",IFERROR(IF(INDEX('Primary_snapshot'!$F$2:$F$92,MATCH(C32,'Primary_snapshot'!$A$2:$A$92,0))="","",INDEX('Primary_snapshot'!$F$2:$F$92,MATCH(C32,'Primary_snapshot'!$A$2:$A$92,0))),"SNAPSHOT MISSING"))</x:f>
      </x:c>
      <x:c r="P32" s="6" t="str">
        <x:f>IF(Setup!$B$6="primary","",IFERROR(IF(INDEX('Primary_snapshot'!$G$2:$G$92,MATCH(C32,'Primary_snapshot'!$A$2:$A$92,0))="","",INDEX('Primary_snapshot'!$G$2:$G$92,MATCH(C32,'Primary_snapshot'!$A$2:$A$92,0))),"SNAPSHOT MISSING"))</x:f>
      </x:c>
      <x:c r="Q32" s="6" t="str">
        <x:f>IF(Setup!$B$6="primary","",IFERROR(IF(INDEX('Primary_snapshot'!$H$2:$H$92,MATCH(C32,'Primary_snapshot'!$A$2:$A$92,0))="","",INDEX('Primary_snapshot'!$H$2:$H$92,MATCH(C32,'Primary_snapshot'!$A$2:$A$92,0))),"SNAPSHOT MISSING"))</x:f>
      </x:c>
      <x:c r="R32" s="6" t="str">
        <x:f>IF(Setup!$B$6="primary","",IFERROR(IF(INDEX('Primary_snapshot'!$I$2:$I$92,MATCH(C32,'Primary_snapshot'!$A$2:$A$92,0))="","",INDEX('Primary_snapshot'!$I$2:$I$92,MATCH(C32,'Primary_snapshot'!$A$2:$A$92,0))),"SNAPSHOT MISSING"))</x:f>
      </x:c>
      <x:c r="S32" s="6" t="str">
        <x:f>IF(INDEX('C_jama.2024.19585'!$D$2:$D$4,MATCH("2024::jama.2024.19585::C003",'C_jama.2024.19585'!$A$2:$A$4,0))="","",INDEX('C_jama.2024.19585'!$D$2:$D$4,MATCH("2024::jama.2024.19585::C003",'C_jama.2024.19585'!$A$2:$A$4,0)))</x:f>
      </x:c>
      <x:c r="T32" s="6" t="str">
        <x:f>IF(INDEX('C_jama.2024.19585'!$E$2:$E$4,MATCH("2024::jama.2024.19585::C003",'C_jama.2024.19585'!$A$2:$A$4,0))="","",INDEX('C_jama.2024.19585'!$E$2:$E$4,MATCH("2024::jama.2024.19585::C003",'C_jama.2024.19585'!$A$2:$A$4,0)))</x:f>
        <x:v>report_internal_inconsistency</x:v>
      </x:c>
      <x:c r="U32" s="6" t="str">
        <x:f>IF(AND(INDEX('C_jama.2024.19585'!$D$2:$D$4,MATCH("2024::jama.2024.19585::C003",'C_jama.2024.19585'!$A$2:$A$4,0))="retain",INDEX('C_jama.2024.19585'!$E$2:$E$4,MATCH("2024::jama.2024.19585::C003",'C_jama.2024.19585'!$A$2:$A$4,0))="statistical_results"),IF(INDEX('C_jama.2024.19585'!$H$2:$H$4,MATCH("2024::jama.2024.19585::C003",'C_jama.2024.19585'!$A$2:$A$4,0))="","",INDEX('C_jama.2024.19585'!$H$2:$H$4,MATCH("2024::jama.2024.19585::C003",'C_jama.2024.19585'!$A$2:$A$4,0))),"not_applicable")</x:f>
        <x:v>not_applicable</x:v>
      </x:c>
      <x:c r="V32" s="6" t="str">
        <x:f>IF(AND(INDEX('C_jama.2024.19585'!$D$2:$D$4,MATCH("2024::jama.2024.19585::C003",'C_jama.2024.19585'!$A$2:$A$4,0))="retain",INDEX('C_jama.2024.19585'!$E$2:$E$4,MATCH("2024::jama.2024.19585::C003",'C_jama.2024.19585'!$A$2:$A$4,0))="statistical_results"),IF(INDEX('C_jama.2024.19585'!$I$2:$I$4,MATCH("2024::jama.2024.19585::C003",'C_jama.2024.19585'!$A$2:$A$4,0))="","",INDEX('C_jama.2024.19585'!$I$2:$I$4,MATCH("2024::jama.2024.19585::C003",'C_jama.2024.19585'!$A$2:$A$4,0))),"not_applicable")</x:f>
        <x:v>not_applicable</x:v>
      </x:c>
      <x:c r="W32" s="6" t="str">
        <x:f>IF(AND(INDEX('C_jama.2024.19585'!$D$2:$D$4,MATCH("2024::jama.2024.19585::C003",'C_jama.2024.19585'!$A$2:$A$4,0))="retain",INDEX('C_jama.2024.19585'!$E$2:$E$4,MATCH("2024::jama.2024.19585::C003",'C_jama.2024.19585'!$A$2:$A$4,0))="statistical_results"),IF(INDEX('C_jama.2024.19585'!$J$2:$J$4,MATCH("2024::jama.2024.19585::C003",'C_jama.2024.19585'!$A$2:$A$4,0))="","",INDEX('C_jama.2024.19585'!$J$2:$J$4,MATCH("2024::jama.2024.19585::C003",'C_jama.2024.19585'!$A$2:$A$4,0))),"not_applicable")</x:f>
        <x:v>not_applicable</x:v>
      </x:c>
      <x:c r="X32" s="6" t="str">
        <x:f>IF(AND(INDEX('C_jama.2024.19585'!$D$2:$D$4,MATCH("2024::jama.2024.19585::C003",'C_jama.2024.19585'!$A$2:$A$4,0))="retain",OR(INDEX('C_jama.2024.19585'!$E$2:$E$4,MATCH("2024::jama.2024.19585::C003",'C_jama.2024.19585'!$A$2:$A$4,0))="report_internal_inconsistency",INDEX('C_jama.2024.19585'!$E$2:$E$4,MATCH("2024::jama.2024.19585::C003",'C_jama.2024.19585'!$A$2:$A$4,0))="plan_material")),IF(INDEX('C_jama.2024.19585'!$K$2:$K$4,MATCH("2024::jama.2024.19585::C003",'C_jama.2024.19585'!$A$2:$A$4,0))="","",INDEX('C_jama.2024.19585'!$K$2:$K$4,MATCH("2024::jama.2024.19585::C003",'C_jama.2024.19585'!$A$2:$A$4,0))),"not_applicable")</x:f>
        <x:v>not_applicable</x:v>
      </x:c>
      <x:c r="Y32" s="6" t="str">
        <x:f>IF(AND(INDEX('C_jama.2024.19585'!$D$2:$D$4,MATCH("2024::jama.2024.19585::C003",'C_jama.2024.19585'!$A$2:$A$4,0))="retain",INDEX('C_jama.2024.19585'!$E$2:$E$4,MATCH("2024::jama.2024.19585::C003",'C_jama.2024.19585'!$A$2:$A$4,0))="protocol_report"),IF(INDEX('C_jama.2024.19585'!$L$2:$L$4,MATCH("2024::jama.2024.19585::C003",'C_jama.2024.19585'!$A$2:$A$4,0))="","",INDEX('C_jama.2024.19585'!$L$2:$L$4,MATCH("2024::jama.2024.19585::C003",'C_jama.2024.19585'!$A$2:$A$4,0))),"not_applicable")</x:f>
        <x:v>not_applicable</x:v>
      </x:c>
      <x:c r="Z32" s="6" t="str">
        <x:f>IF(INDEX('C_jama.2024.19585'!$R$2:$R$4,MATCH("2024::jama.2024.19585::C003",'C_jama.2024.19585'!$A$2:$A$4,0))="","",INDEX('C_jama.2024.19585'!$R$2:$R$4,MATCH("2024::jama.2024.19585::C003",'C_jama.2024.19585'!$A$2:$A$4,0)))</x:f>
      </x:c>
      <x:c r="AA32" s="6" t="str">
        <x:f>IF(INDEX('C_jama.2024.19585'!$N$2:$N$4,MATCH("2024::jama.2024.19585::C003",'C_jama.2024.19585'!$A$2:$A$4,0))="","",INDEX('C_jama.2024.19585'!$N$2:$N$4,MATCH("2024::jama.2024.19585::C003",'C_jama.2024.19585'!$A$2:$A$4,0)))</x:f>
      </x:c>
      <x:c r="AB32" s="6" t="str">
        <x:f>IF(INDEX('C_jama.2024.19585'!$O$2:$O$4,MATCH("2024::jama.2024.19585::C003",'C_jama.2024.19585'!$A$2:$A$4,0))="","",INDEX('C_jama.2024.19585'!$O$2:$O$4,MATCH("2024::jama.2024.19585::C003",'C_jama.2024.19585'!$A$2:$A$4,0)))</x:f>
      </x:c>
      <x:c r="AC32" s="6" t="str">
        <x:f>IF(INDEX('C_jama.2024.19585'!$P$2:$P$4,MATCH("2024::jama.2024.19585::C003",'C_jama.2024.19585'!$A$2:$A$4,0))="","",INDEX('C_jama.2024.19585'!$P$2:$P$4,MATCH("2024::jama.2024.19585::C003",'C_jama.2024.19585'!$A$2:$A$4,0)))</x:f>
      </x:c>
      <x:c r="AD32" s="6" t="str">
        <x:f>IF(INDEX('C_jama.2024.19585'!$Q$2:$Q$4,MATCH("2024::jama.2024.19585::C003",'C_jama.2024.19585'!$A$2:$A$4,0))="","",INDEX('C_jama.2024.19585'!$Q$2:$Q$4,MATCH("2024::jama.2024.19585::C003",'C_jama.2024.19585'!$A$2:$A$4,0)))</x:f>
      </x:c>
    </x:row>
    <x:row r="33" ht="65" customHeight="1">
      <x:c r="A33" s="3" t="n">
        <x:v>2024</x:v>
      </x:c>
      <x:c r="B33" s="3" t="str">
        <x:v>jama.2024.2302</x:v>
      </x:c>
      <x:c r="C33" s="3" t="str">
        <x:v>2024::jama.2024.2302::C001</x:v>
      </x:c>
      <x:c r="D33" s="3" t="str">
        <x:v>P_R</x:v>
      </x:c>
      <x:c r="E33" s="3" t="n">
        <x:f>Setup!$B$2</x:f>
        <x:v>0</x:v>
      </x:c>
      <x:c r="F33" s="3" t="str">
        <x:f>IF(Setup!$B$4="","",Setup!$B$4)</x:f>
      </x:c>
      <x:c r="G33" s="3" t="str">
        <x:f>IFERROR(INDEX('C_jama.2024.2302'!$G$2:$G$6,MATCH("2024::jama.2024.2302::C001",'C_jama.2024.2302'!$A$2:$A$6,0)),"CHECK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protocol_report</x:v>
      </x:c>
      <x:c r="K33" s="3" t="str">
        <x:f>IF(Setup!$B$6="primary","",IFERROR(IF(INDEX('Primary_snapshot'!$B$2:$B$92,MATCH(C33,'Primary_snapshot'!$A$2:$A$92,0))="","",INDEX('Primary_snapshot'!$B$2:$B$92,MATCH(C33,'Primary_snapshot'!$A$2:$A$92,0))),"SNAPSHOT MISSING"))</x:f>
      </x:c>
      <x:c r="L33" s="3" t="str">
        <x:f>IF(Setup!$B$6="primary","",IFERROR(IF(INDEX('Primary_snapshot'!$C$2:$C$92,MATCH(C33,'Primary_snapshot'!$A$2:$A$92,0))="","",INDEX('Primary_snapshot'!$C$2:$C$92,MATCH(C33,'Primary_snapshot'!$A$2:$A$92,0))),"SNAPSHOT MISSING"))</x:f>
      </x:c>
      <x:c r="M33" s="3" t="str">
        <x:f>IF(Setup!$B$6="primary","",IFERROR(IF(INDEX('Primary_snapshot'!$D$2:$D$92,MATCH(C33,'Primary_snapshot'!$A$2:$A$92,0))="","",INDEX('Primary_snapshot'!$D$2:$D$92,MATCH(C33,'Primary_snapshot'!$A$2:$A$92,0))),"SNAPSHOT MISSING"))</x:f>
      </x:c>
      <x:c r="N33" s="3" t="str">
        <x:f>IF(Setup!$B$6="primary","",IFERROR(IF(INDEX('Primary_snapshot'!$E$2:$E$92,MATCH(C33,'Primary_snapshot'!$A$2:$A$92,0))="","",INDEX('Primary_snapshot'!$E$2:$E$92,MATCH(C33,'Primary_snapshot'!$A$2:$A$92,0))),"SNAPSHOT MISSING"))</x:f>
      </x:c>
      <x:c r="O33" s="3" t="str">
        <x:f>IF(Setup!$B$6="primary","",IFERROR(IF(INDEX('Primary_snapshot'!$F$2:$F$92,MATCH(C33,'Primary_snapshot'!$A$2:$A$92,0))="","",INDEX('Primary_snapshot'!$F$2:$F$92,MATCH(C33,'Primary_snapshot'!$A$2:$A$92,0))),"SNAPSHOT MISSING"))</x:f>
      </x:c>
      <x:c r="P33" s="3" t="str">
        <x:f>IF(Setup!$B$6="primary","",IFERROR(IF(INDEX('Primary_snapshot'!$G$2:$G$92,MATCH(C33,'Primary_snapshot'!$A$2:$A$92,0))="","",INDEX('Primary_snapshot'!$G$2:$G$92,MATCH(C33,'Primary_snapshot'!$A$2:$A$92,0))),"SNAPSHOT MISSING"))</x:f>
      </x:c>
      <x:c r="Q33" s="3" t="str">
        <x:f>IF(Setup!$B$6="primary","",IFERROR(IF(INDEX('Primary_snapshot'!$H$2:$H$92,MATCH(C33,'Primary_snapshot'!$A$2:$A$92,0))="","",INDEX('Primary_snapshot'!$H$2:$H$92,MATCH(C33,'Primary_snapshot'!$A$2:$A$92,0))),"SNAPSHOT MISSING"))</x:f>
      </x:c>
      <x:c r="R33" s="3" t="str">
        <x:f>IF(Setup!$B$6="primary","",IFERROR(IF(INDEX('Primary_snapshot'!$I$2:$I$92,MATCH(C33,'Primary_snapshot'!$A$2:$A$92,0))="","",INDEX('Primary_snapshot'!$I$2:$I$92,MATCH(C33,'Primary_snapshot'!$A$2:$A$92,0))),"SNAPSHOT MISSING"))</x:f>
      </x:c>
      <x:c r="S33" s="3" t="str">
        <x:f>IF(INDEX('C_jama.2024.2302'!$D$2:$D$6,MATCH("2024::jama.2024.2302::C001",'C_jama.2024.2302'!$A$2:$A$6,0))="","",INDEX('C_jama.2024.2302'!$D$2:$D$6,MATCH("2024::jama.2024.2302::C001",'C_jama.2024.2302'!$A$2:$A$6,0)))</x:f>
      </x:c>
      <x:c r="T33" s="3" t="str">
        <x:f>IF(INDEX('C_jama.2024.2302'!$E$2:$E$6,MATCH("2024::jama.2024.2302::C001",'C_jama.2024.2302'!$A$2:$A$6,0))="","",INDEX('C_jama.2024.2302'!$E$2:$E$6,MATCH("2024::jama.2024.2302::C001",'C_jama.2024.2302'!$A$2:$A$6,0)))</x:f>
        <x:v>protocol_report</x:v>
      </x:c>
      <x:c r="U33" s="3" t="str">
        <x:f>IF(AND(INDEX('C_jama.2024.2302'!$D$2:$D$6,MATCH("2024::jama.2024.2302::C001",'C_jama.2024.2302'!$A$2:$A$6,0))="retain",INDEX('C_jama.2024.2302'!$E$2:$E$6,MATCH("2024::jama.2024.2302::C001",'C_jama.2024.2302'!$A$2:$A$6,0))="statistical_results"),IF(INDEX('C_jama.2024.2302'!$H$2:$H$6,MATCH("2024::jama.2024.2302::C001",'C_jama.2024.2302'!$A$2:$A$6,0))="","",INDEX('C_jama.2024.2302'!$H$2:$H$6,MATCH("2024::jama.2024.2302::C001",'C_jama.2024.2302'!$A$2:$A$6,0))),"not_applicable")</x:f>
        <x:v>not_applicable</x:v>
      </x:c>
      <x:c r="V33" s="3" t="str">
        <x:f>IF(AND(INDEX('C_jama.2024.2302'!$D$2:$D$6,MATCH("2024::jama.2024.2302::C001",'C_jama.2024.2302'!$A$2:$A$6,0))="retain",INDEX('C_jama.2024.2302'!$E$2:$E$6,MATCH("2024::jama.2024.2302::C001",'C_jama.2024.2302'!$A$2:$A$6,0))="statistical_results"),IF(INDEX('C_jama.2024.2302'!$I$2:$I$6,MATCH("2024::jama.2024.2302::C001",'C_jama.2024.2302'!$A$2:$A$6,0))="","",INDEX('C_jama.2024.2302'!$I$2:$I$6,MATCH("2024::jama.2024.2302::C001",'C_jama.2024.2302'!$A$2:$A$6,0))),"not_applicable")</x:f>
        <x:v>not_applicable</x:v>
      </x:c>
      <x:c r="W33" s="3" t="str">
        <x:f>IF(AND(INDEX('C_jama.2024.2302'!$D$2:$D$6,MATCH("2024::jama.2024.2302::C001",'C_jama.2024.2302'!$A$2:$A$6,0))="retain",INDEX('C_jama.2024.2302'!$E$2:$E$6,MATCH("2024::jama.2024.2302::C001",'C_jama.2024.2302'!$A$2:$A$6,0))="statistical_results"),IF(INDEX('C_jama.2024.2302'!$J$2:$J$6,MATCH("2024::jama.2024.2302::C001",'C_jama.2024.2302'!$A$2:$A$6,0))="","",INDEX('C_jama.2024.2302'!$J$2:$J$6,MATCH("2024::jama.2024.2302::C001",'C_jama.2024.2302'!$A$2:$A$6,0))),"not_applicable")</x:f>
        <x:v>not_applicable</x:v>
      </x:c>
      <x:c r="X33" s="3" t="str">
        <x:f>IF(AND(INDEX('C_jama.2024.2302'!$D$2:$D$6,MATCH("2024::jama.2024.2302::C001",'C_jama.2024.2302'!$A$2:$A$6,0))="retain",OR(INDEX('C_jama.2024.2302'!$E$2:$E$6,MATCH("2024::jama.2024.2302::C001",'C_jama.2024.2302'!$A$2:$A$6,0))="report_internal_inconsistency",INDEX('C_jama.2024.2302'!$E$2:$E$6,MATCH("2024::jama.2024.2302::C001",'C_jama.2024.2302'!$A$2:$A$6,0))="plan_material")),IF(INDEX('C_jama.2024.2302'!$K$2:$K$6,MATCH("2024::jama.2024.2302::C001",'C_jama.2024.2302'!$A$2:$A$6,0))="","",INDEX('C_jama.2024.2302'!$K$2:$K$6,MATCH("2024::jama.2024.2302::C001",'C_jama.2024.2302'!$A$2:$A$6,0))),"not_applicable")</x:f>
        <x:v>not_applicable</x:v>
      </x:c>
      <x:c r="Y33" s="3" t="str">
        <x:f>IF(AND(INDEX('C_jama.2024.2302'!$D$2:$D$6,MATCH("2024::jama.2024.2302::C001",'C_jama.2024.2302'!$A$2:$A$6,0))="retain",INDEX('C_jama.2024.2302'!$E$2:$E$6,MATCH("2024::jama.2024.2302::C001",'C_jama.2024.2302'!$A$2:$A$6,0))="protocol_report"),IF(INDEX('C_jama.2024.2302'!$L$2:$L$6,MATCH("2024::jama.2024.2302::C001",'C_jama.2024.2302'!$A$2:$A$6,0))="","",INDEX('C_jama.2024.2302'!$L$2:$L$6,MATCH("2024::jama.2024.2302::C001",'C_jama.2024.2302'!$A$2:$A$6,0))),"not_applicable")</x:f>
        <x:v>not_applicable</x:v>
      </x:c>
      <x:c r="Z33" s="3" t="str">
        <x:f>IF(INDEX('C_jama.2024.2302'!$R$2:$R$6,MATCH("2024::jama.2024.2302::C001",'C_jama.2024.2302'!$A$2:$A$6,0))="","",INDEX('C_jama.2024.2302'!$R$2:$R$6,MATCH("2024::jama.2024.2302::C001",'C_jama.2024.2302'!$A$2:$A$6,0)))</x:f>
      </x:c>
      <x:c r="AA33" s="3" t="str">
        <x:f>IF(INDEX('C_jama.2024.2302'!$N$2:$N$6,MATCH("2024::jama.2024.2302::C001",'C_jama.2024.2302'!$A$2:$A$6,0))="","",INDEX('C_jama.2024.2302'!$N$2:$N$6,MATCH("2024::jama.2024.2302::C001",'C_jama.2024.2302'!$A$2:$A$6,0)))</x:f>
      </x:c>
      <x:c r="AB33" s="3" t="str">
        <x:f>IF(INDEX('C_jama.2024.2302'!$O$2:$O$6,MATCH("2024::jama.2024.2302::C001",'C_jama.2024.2302'!$A$2:$A$6,0))="","",INDEX('C_jama.2024.2302'!$O$2:$O$6,MATCH("2024::jama.2024.2302::C001",'C_jama.2024.2302'!$A$2:$A$6,0)))</x:f>
      </x:c>
      <x:c r="AC33" s="3" t="str">
        <x:f>IF(INDEX('C_jama.2024.2302'!$P$2:$P$6,MATCH("2024::jama.2024.2302::C001",'C_jama.2024.2302'!$A$2:$A$6,0))="","",INDEX('C_jama.2024.2302'!$P$2:$P$6,MATCH("2024::jama.2024.2302::C001",'C_jama.2024.2302'!$A$2:$A$6,0)))</x:f>
      </x:c>
      <x:c r="AD33" s="3" t="str">
        <x:f>IF(INDEX('C_jama.2024.2302'!$Q$2:$Q$6,MATCH("2024::jama.2024.2302::C001",'C_jama.2024.2302'!$A$2:$A$6,0))="","",INDEX('C_jama.2024.2302'!$Q$2:$Q$6,MATCH("2024::jama.2024.2302::C001",'C_jama.2024.2302'!$A$2:$A$6,0)))</x:f>
      </x:c>
    </x:row>
    <x:row r="34" ht="65" customHeight="1">
      <x:c r="A34" s="6" t="n">
        <x:v>2024</x:v>
      </x:c>
      <x:c r="B34" s="6" t="str">
        <x:v>jama.2024.2302</x:v>
      </x:c>
      <x:c r="C34" s="6" t="str">
        <x:v>2024::jama.2024.2302::C002</x:v>
      </x:c>
      <x:c r="D34" s="6" t="str">
        <x:v>P_P</x:v>
      </x:c>
      <x:c r="E34" s="6" t="n">
        <x:f>Setup!$B$2</x:f>
        <x:v>0</x:v>
      </x:c>
      <x:c r="F34" s="6" t="str">
        <x:f>IF(Setup!$B$4="","",Setup!$B$4)</x:f>
      </x:c>
      <x:c r="G34" s="6" t="str">
        <x:f>IFERROR(INDEX('C_jama.2024.2302'!$G$2:$G$6,MATCH("2024::jama.2024.2302::C002",'C_jama.2024.2302'!$A$2:$A$6,0)),"CHECK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plan_material</x:v>
      </x:c>
      <x:c r="K34" s="6" t="str">
        <x:f>IF(Setup!$B$6="primary","",IFERROR(IF(INDEX('Primary_snapshot'!$B$2:$B$92,MATCH(C34,'Primary_snapshot'!$A$2:$A$92,0))="","",INDEX('Primary_snapshot'!$B$2:$B$92,MATCH(C34,'Primary_snapshot'!$A$2:$A$92,0))),"SNAPSHOT MISSING"))</x:f>
      </x:c>
      <x:c r="L34" s="6" t="str">
        <x:f>IF(Setup!$B$6="primary","",IFERROR(IF(INDEX('Primary_snapshot'!$C$2:$C$92,MATCH(C34,'Primary_snapshot'!$A$2:$A$92,0))="","",INDEX('Primary_snapshot'!$C$2:$C$92,MATCH(C34,'Primary_snapshot'!$A$2:$A$92,0))),"SNAPSHOT MISSING"))</x:f>
      </x:c>
      <x:c r="M34" s="6" t="str">
        <x:f>IF(Setup!$B$6="primary","",IFERROR(IF(INDEX('Primary_snapshot'!$D$2:$D$92,MATCH(C34,'Primary_snapshot'!$A$2:$A$92,0))="","",INDEX('Primary_snapshot'!$D$2:$D$92,MATCH(C34,'Primary_snapshot'!$A$2:$A$92,0))),"SNAPSHOT MISSING"))</x:f>
      </x:c>
      <x:c r="N34" s="6" t="str">
        <x:f>IF(Setup!$B$6="primary","",IFERROR(IF(INDEX('Primary_snapshot'!$E$2:$E$92,MATCH(C34,'Primary_snapshot'!$A$2:$A$92,0))="","",INDEX('Primary_snapshot'!$E$2:$E$92,MATCH(C34,'Primary_snapshot'!$A$2:$A$92,0))),"SNAPSHOT MISSING"))</x:f>
      </x:c>
      <x:c r="O34" s="6" t="str">
        <x:f>IF(Setup!$B$6="primary","",IFERROR(IF(INDEX('Primary_snapshot'!$F$2:$F$92,MATCH(C34,'Primary_snapshot'!$A$2:$A$92,0))="","",INDEX('Primary_snapshot'!$F$2:$F$92,MATCH(C34,'Primary_snapshot'!$A$2:$A$92,0))),"SNAPSHOT MISSING"))</x:f>
      </x:c>
      <x:c r="P34" s="6" t="str">
        <x:f>IF(Setup!$B$6="primary","",IFERROR(IF(INDEX('Primary_snapshot'!$G$2:$G$92,MATCH(C34,'Primary_snapshot'!$A$2:$A$92,0))="","",INDEX('Primary_snapshot'!$G$2:$G$92,MATCH(C34,'Primary_snapshot'!$A$2:$A$92,0))),"SNAPSHOT MISSING"))</x:f>
      </x:c>
      <x:c r="Q34" s="6" t="str">
        <x:f>IF(Setup!$B$6="primary","",IFERROR(IF(INDEX('Primary_snapshot'!$H$2:$H$92,MATCH(C34,'Primary_snapshot'!$A$2:$A$92,0))="","",INDEX('Primary_snapshot'!$H$2:$H$92,MATCH(C34,'Primary_snapshot'!$A$2:$A$92,0))),"SNAPSHOT MISSING"))</x:f>
      </x:c>
      <x:c r="R34" s="6" t="str">
        <x:f>IF(Setup!$B$6="primary","",IFERROR(IF(INDEX('Primary_snapshot'!$I$2:$I$92,MATCH(C34,'Primary_snapshot'!$A$2:$A$92,0))="","",INDEX('Primary_snapshot'!$I$2:$I$92,MATCH(C34,'Primary_snapshot'!$A$2:$A$92,0))),"SNAPSHOT MISSING"))</x:f>
      </x:c>
      <x:c r="S34" s="6" t="str">
        <x:f>IF(INDEX('C_jama.2024.2302'!$D$2:$D$6,MATCH("2024::jama.2024.2302::C002",'C_jama.2024.2302'!$A$2:$A$6,0))="","",INDEX('C_jama.2024.2302'!$D$2:$D$6,MATCH("2024::jama.2024.2302::C002",'C_jama.2024.2302'!$A$2:$A$6,0)))</x:f>
      </x:c>
      <x:c r="T34" s="6" t="str">
        <x:f>IF(INDEX('C_jama.2024.2302'!$E$2:$E$6,MATCH("2024::jama.2024.2302::C002",'C_jama.2024.2302'!$A$2:$A$6,0))="","",INDEX('C_jama.2024.2302'!$E$2:$E$6,MATCH("2024::jama.2024.2302::C002",'C_jama.2024.2302'!$A$2:$A$6,0)))</x:f>
        <x:v>plan_material</x:v>
      </x:c>
      <x:c r="U34" s="6" t="str">
        <x:f>IF(AND(INDEX('C_jama.2024.2302'!$D$2:$D$6,MATCH("2024::jama.2024.2302::C002",'C_jama.2024.2302'!$A$2:$A$6,0))="retain",INDEX('C_jama.2024.2302'!$E$2:$E$6,MATCH("2024::jama.2024.2302::C002",'C_jama.2024.2302'!$A$2:$A$6,0))="statistical_results"),IF(INDEX('C_jama.2024.2302'!$H$2:$H$6,MATCH("2024::jama.2024.2302::C002",'C_jama.2024.2302'!$A$2:$A$6,0))="","",INDEX('C_jama.2024.2302'!$H$2:$H$6,MATCH("2024::jama.2024.2302::C002",'C_jama.2024.2302'!$A$2:$A$6,0))),"not_applicable")</x:f>
        <x:v>not_applicable</x:v>
      </x:c>
      <x:c r="V34" s="6" t="str">
        <x:f>IF(AND(INDEX('C_jama.2024.2302'!$D$2:$D$6,MATCH("2024::jama.2024.2302::C002",'C_jama.2024.2302'!$A$2:$A$6,0))="retain",INDEX('C_jama.2024.2302'!$E$2:$E$6,MATCH("2024::jama.2024.2302::C002",'C_jama.2024.2302'!$A$2:$A$6,0))="statistical_results"),IF(INDEX('C_jama.2024.2302'!$I$2:$I$6,MATCH("2024::jama.2024.2302::C002",'C_jama.2024.2302'!$A$2:$A$6,0))="","",INDEX('C_jama.2024.2302'!$I$2:$I$6,MATCH("2024::jama.2024.2302::C002",'C_jama.2024.2302'!$A$2:$A$6,0))),"not_applicable")</x:f>
        <x:v>not_applicable</x:v>
      </x:c>
      <x:c r="W34" s="6" t="str">
        <x:f>IF(AND(INDEX('C_jama.2024.2302'!$D$2:$D$6,MATCH("2024::jama.2024.2302::C002",'C_jama.2024.2302'!$A$2:$A$6,0))="retain",INDEX('C_jama.2024.2302'!$E$2:$E$6,MATCH("2024::jama.2024.2302::C002",'C_jama.2024.2302'!$A$2:$A$6,0))="statistical_results"),IF(INDEX('C_jama.2024.2302'!$J$2:$J$6,MATCH("2024::jama.2024.2302::C002",'C_jama.2024.2302'!$A$2:$A$6,0))="","",INDEX('C_jama.2024.2302'!$J$2:$J$6,MATCH("2024::jama.2024.2302::C002",'C_jama.2024.2302'!$A$2:$A$6,0))),"not_applicable")</x:f>
        <x:v>not_applicable</x:v>
      </x:c>
      <x:c r="X34" s="6" t="str">
        <x:f>IF(AND(INDEX('C_jama.2024.2302'!$D$2:$D$6,MATCH("2024::jama.2024.2302::C002",'C_jama.2024.2302'!$A$2:$A$6,0))="retain",OR(INDEX('C_jama.2024.2302'!$E$2:$E$6,MATCH("2024::jama.2024.2302::C002",'C_jama.2024.2302'!$A$2:$A$6,0))="report_internal_inconsistency",INDEX('C_jama.2024.2302'!$E$2:$E$6,MATCH("2024::jama.2024.2302::C002",'C_jama.2024.2302'!$A$2:$A$6,0))="plan_material")),IF(INDEX('C_jama.2024.2302'!$K$2:$K$6,MATCH("2024::jama.2024.2302::C002",'C_jama.2024.2302'!$A$2:$A$6,0))="","",INDEX('C_jama.2024.2302'!$K$2:$K$6,MATCH("2024::jama.2024.2302::C002",'C_jama.2024.2302'!$A$2:$A$6,0))),"not_applicable")</x:f>
        <x:v>not_applicable</x:v>
      </x:c>
      <x:c r="Y34" s="6" t="str">
        <x:f>IF(AND(INDEX('C_jama.2024.2302'!$D$2:$D$6,MATCH("2024::jama.2024.2302::C002",'C_jama.2024.2302'!$A$2:$A$6,0))="retain",INDEX('C_jama.2024.2302'!$E$2:$E$6,MATCH("2024::jama.2024.2302::C002",'C_jama.2024.2302'!$A$2:$A$6,0))="protocol_report"),IF(INDEX('C_jama.2024.2302'!$L$2:$L$6,MATCH("2024::jama.2024.2302::C002",'C_jama.2024.2302'!$A$2:$A$6,0))="","",INDEX('C_jama.2024.2302'!$L$2:$L$6,MATCH("2024::jama.2024.2302::C002",'C_jama.2024.2302'!$A$2:$A$6,0))),"not_applicable")</x:f>
        <x:v>not_applicable</x:v>
      </x:c>
      <x:c r="Z34" s="6" t="str">
        <x:f>IF(INDEX('C_jama.2024.2302'!$R$2:$R$6,MATCH("2024::jama.2024.2302::C002",'C_jama.2024.2302'!$A$2:$A$6,0))="","",INDEX('C_jama.2024.2302'!$R$2:$R$6,MATCH("2024::jama.2024.2302::C002",'C_jama.2024.2302'!$A$2:$A$6,0)))</x:f>
      </x:c>
      <x:c r="AA34" s="6" t="str">
        <x:f>IF(INDEX('C_jama.2024.2302'!$N$2:$N$6,MATCH("2024::jama.2024.2302::C002",'C_jama.2024.2302'!$A$2:$A$6,0))="","",INDEX('C_jama.2024.2302'!$N$2:$N$6,MATCH("2024::jama.2024.2302::C002",'C_jama.2024.2302'!$A$2:$A$6,0)))</x:f>
      </x:c>
      <x:c r="AB34" s="6" t="str">
        <x:f>IF(INDEX('C_jama.2024.2302'!$O$2:$O$6,MATCH("2024::jama.2024.2302::C002",'C_jama.2024.2302'!$A$2:$A$6,0))="","",INDEX('C_jama.2024.2302'!$O$2:$O$6,MATCH("2024::jama.2024.2302::C002",'C_jama.2024.2302'!$A$2:$A$6,0)))</x:f>
      </x:c>
      <x:c r="AC34" s="6" t="str">
        <x:f>IF(INDEX('C_jama.2024.2302'!$P$2:$P$6,MATCH("2024::jama.2024.2302::C002",'C_jama.2024.2302'!$A$2:$A$6,0))="","",INDEX('C_jama.2024.2302'!$P$2:$P$6,MATCH("2024::jama.2024.2302::C002",'C_jama.2024.2302'!$A$2:$A$6,0)))</x:f>
      </x:c>
      <x:c r="AD34" s="6" t="str">
        <x:f>IF(INDEX('C_jama.2024.2302'!$Q$2:$Q$6,MATCH("2024::jama.2024.2302::C002",'C_jama.2024.2302'!$A$2:$A$6,0))="","",INDEX('C_jama.2024.2302'!$Q$2:$Q$6,MATCH("2024::jama.2024.2302::C002",'C_jama.2024.2302'!$A$2:$A$6,0)))</x:f>
      </x:c>
    </x:row>
    <x:row r="35" ht="65" customHeight="1">
      <x:c r="A35" s="3" t="n">
        <x:v>2024</x:v>
      </x:c>
      <x:c r="B35" s="3" t="str">
        <x:v>jama.2024.2302</x:v>
      </x:c>
      <x:c r="C35" s="3" t="str">
        <x:v>2024::jama.2024.2302::C003</x:v>
      </x:c>
      <x:c r="D35" s="3" t="str">
        <x:v>P_R</x:v>
      </x:c>
      <x:c r="E35" s="3" t="n">
        <x:f>Setup!$B$2</x:f>
        <x:v>0</x:v>
      </x:c>
      <x:c r="F35" s="3" t="str">
        <x:f>IF(Setup!$B$4="","",Setup!$B$4)</x:f>
      </x:c>
      <x:c r="G35" s="3" t="str">
        <x:f>IFERROR(INDEX('C_jama.2024.2302'!$G$2:$G$6,MATCH("2024::jama.2024.2302::C003",'C_jama.2024.2302'!$A$2:$A$6,0)),"CHECK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protocol_report</x:v>
      </x:c>
      <x:c r="K35" s="3" t="str">
        <x:f>IF(Setup!$B$6="primary","",IFERROR(IF(INDEX('Primary_snapshot'!$B$2:$B$92,MATCH(C35,'Primary_snapshot'!$A$2:$A$92,0))="","",INDEX('Primary_snapshot'!$B$2:$B$92,MATCH(C35,'Primary_snapshot'!$A$2:$A$92,0))),"SNAPSHOT MISSING"))</x:f>
      </x:c>
      <x:c r="L35" s="3" t="str">
        <x:f>IF(Setup!$B$6="primary","",IFERROR(IF(INDEX('Primary_snapshot'!$C$2:$C$92,MATCH(C35,'Primary_snapshot'!$A$2:$A$92,0))="","",INDEX('Primary_snapshot'!$C$2:$C$92,MATCH(C35,'Primary_snapshot'!$A$2:$A$92,0))),"SNAPSHOT MISSING"))</x:f>
      </x:c>
      <x:c r="M35" s="3" t="str">
        <x:f>IF(Setup!$B$6="primary","",IFERROR(IF(INDEX('Primary_snapshot'!$D$2:$D$92,MATCH(C35,'Primary_snapshot'!$A$2:$A$92,0))="","",INDEX('Primary_snapshot'!$D$2:$D$92,MATCH(C35,'Primary_snapshot'!$A$2:$A$92,0))),"SNAPSHOT MISSING"))</x:f>
      </x:c>
      <x:c r="N35" s="3" t="str">
        <x:f>IF(Setup!$B$6="primary","",IFERROR(IF(INDEX('Primary_snapshot'!$E$2:$E$92,MATCH(C35,'Primary_snapshot'!$A$2:$A$92,0))="","",INDEX('Primary_snapshot'!$E$2:$E$92,MATCH(C35,'Primary_snapshot'!$A$2:$A$92,0))),"SNAPSHOT MISSING"))</x:f>
      </x:c>
      <x:c r="O35" s="3" t="str">
        <x:f>IF(Setup!$B$6="primary","",IFERROR(IF(INDEX('Primary_snapshot'!$F$2:$F$92,MATCH(C35,'Primary_snapshot'!$A$2:$A$92,0))="","",INDEX('Primary_snapshot'!$F$2:$F$92,MATCH(C35,'Primary_snapshot'!$A$2:$A$92,0))),"SNAPSHOT MISSING"))</x:f>
      </x:c>
      <x:c r="P35" s="3" t="str">
        <x:f>IF(Setup!$B$6="primary","",IFERROR(IF(INDEX('Primary_snapshot'!$G$2:$G$92,MATCH(C35,'Primary_snapshot'!$A$2:$A$92,0))="","",INDEX('Primary_snapshot'!$G$2:$G$92,MATCH(C35,'Primary_snapshot'!$A$2:$A$92,0))),"SNAPSHOT MISSING"))</x:f>
      </x:c>
      <x:c r="Q35" s="3" t="str">
        <x:f>IF(Setup!$B$6="primary","",IFERROR(IF(INDEX('Primary_snapshot'!$H$2:$H$92,MATCH(C35,'Primary_snapshot'!$A$2:$A$92,0))="","",INDEX('Primary_snapshot'!$H$2:$H$92,MATCH(C35,'Primary_snapshot'!$A$2:$A$92,0))),"SNAPSHOT MISSING"))</x:f>
      </x:c>
      <x:c r="R35" s="3" t="str">
        <x:f>IF(Setup!$B$6="primary","",IFERROR(IF(INDEX('Primary_snapshot'!$I$2:$I$92,MATCH(C35,'Primary_snapshot'!$A$2:$A$92,0))="","",INDEX('Primary_snapshot'!$I$2:$I$92,MATCH(C35,'Primary_snapshot'!$A$2:$A$92,0))),"SNAPSHOT MISSING"))</x:f>
      </x:c>
      <x:c r="S35" s="3" t="str">
        <x:f>IF(INDEX('C_jama.2024.2302'!$D$2:$D$6,MATCH("2024::jama.2024.2302::C003",'C_jama.2024.2302'!$A$2:$A$6,0))="","",INDEX('C_jama.2024.2302'!$D$2:$D$6,MATCH("2024::jama.2024.2302::C003",'C_jama.2024.2302'!$A$2:$A$6,0)))</x:f>
      </x:c>
      <x:c r="T35" s="3" t="str">
        <x:f>IF(INDEX('C_jama.2024.2302'!$E$2:$E$6,MATCH("2024::jama.2024.2302::C003",'C_jama.2024.2302'!$A$2:$A$6,0))="","",INDEX('C_jama.2024.2302'!$E$2:$E$6,MATCH("2024::jama.2024.2302::C003",'C_jama.2024.2302'!$A$2:$A$6,0)))</x:f>
        <x:v>protocol_report</x:v>
      </x:c>
      <x:c r="U35" s="3" t="str">
        <x:f>IF(AND(INDEX('C_jama.2024.2302'!$D$2:$D$6,MATCH("2024::jama.2024.2302::C003",'C_jama.2024.2302'!$A$2:$A$6,0))="retain",INDEX('C_jama.2024.2302'!$E$2:$E$6,MATCH("2024::jama.2024.2302::C003",'C_jama.2024.2302'!$A$2:$A$6,0))="statistical_results"),IF(INDEX('C_jama.2024.2302'!$H$2:$H$6,MATCH("2024::jama.2024.2302::C003",'C_jama.2024.2302'!$A$2:$A$6,0))="","",INDEX('C_jama.2024.2302'!$H$2:$H$6,MATCH("2024::jama.2024.2302::C003",'C_jama.2024.2302'!$A$2:$A$6,0))),"not_applicable")</x:f>
        <x:v>not_applicable</x:v>
      </x:c>
      <x:c r="V35" s="3" t="str">
        <x:f>IF(AND(INDEX('C_jama.2024.2302'!$D$2:$D$6,MATCH("2024::jama.2024.2302::C003",'C_jama.2024.2302'!$A$2:$A$6,0))="retain",INDEX('C_jama.2024.2302'!$E$2:$E$6,MATCH("2024::jama.2024.2302::C003",'C_jama.2024.2302'!$A$2:$A$6,0))="statistical_results"),IF(INDEX('C_jama.2024.2302'!$I$2:$I$6,MATCH("2024::jama.2024.2302::C003",'C_jama.2024.2302'!$A$2:$A$6,0))="","",INDEX('C_jama.2024.2302'!$I$2:$I$6,MATCH("2024::jama.2024.2302::C003",'C_jama.2024.2302'!$A$2:$A$6,0))),"not_applicable")</x:f>
        <x:v>not_applicable</x:v>
      </x:c>
      <x:c r="W35" s="3" t="str">
        <x:f>IF(AND(INDEX('C_jama.2024.2302'!$D$2:$D$6,MATCH("2024::jama.2024.2302::C003",'C_jama.2024.2302'!$A$2:$A$6,0))="retain",INDEX('C_jama.2024.2302'!$E$2:$E$6,MATCH("2024::jama.2024.2302::C003",'C_jama.2024.2302'!$A$2:$A$6,0))="statistical_results"),IF(INDEX('C_jama.2024.2302'!$J$2:$J$6,MATCH("2024::jama.2024.2302::C003",'C_jama.2024.2302'!$A$2:$A$6,0))="","",INDEX('C_jama.2024.2302'!$J$2:$J$6,MATCH("2024::jama.2024.2302::C003",'C_jama.2024.2302'!$A$2:$A$6,0))),"not_applicable")</x:f>
        <x:v>not_applicable</x:v>
      </x:c>
      <x:c r="X35" s="3" t="str">
        <x:f>IF(AND(INDEX('C_jama.2024.2302'!$D$2:$D$6,MATCH("2024::jama.2024.2302::C003",'C_jama.2024.2302'!$A$2:$A$6,0))="retain",OR(INDEX('C_jama.2024.2302'!$E$2:$E$6,MATCH("2024::jama.2024.2302::C003",'C_jama.2024.2302'!$A$2:$A$6,0))="report_internal_inconsistency",INDEX('C_jama.2024.2302'!$E$2:$E$6,MATCH("2024::jama.2024.2302::C003",'C_jama.2024.2302'!$A$2:$A$6,0))="plan_material")),IF(INDEX('C_jama.2024.2302'!$K$2:$K$6,MATCH("2024::jama.2024.2302::C003",'C_jama.2024.2302'!$A$2:$A$6,0))="","",INDEX('C_jama.2024.2302'!$K$2:$K$6,MATCH("2024::jama.2024.2302::C003",'C_jama.2024.2302'!$A$2:$A$6,0))),"not_applicable")</x:f>
        <x:v>not_applicable</x:v>
      </x:c>
      <x:c r="Y35" s="3" t="str">
        <x:f>IF(AND(INDEX('C_jama.2024.2302'!$D$2:$D$6,MATCH("2024::jama.2024.2302::C003",'C_jama.2024.2302'!$A$2:$A$6,0))="retain",INDEX('C_jama.2024.2302'!$E$2:$E$6,MATCH("2024::jama.2024.2302::C003",'C_jama.2024.2302'!$A$2:$A$6,0))="protocol_report"),IF(INDEX('C_jama.2024.2302'!$L$2:$L$6,MATCH("2024::jama.2024.2302::C003",'C_jama.2024.2302'!$A$2:$A$6,0))="","",INDEX('C_jama.2024.2302'!$L$2:$L$6,MATCH("2024::jama.2024.2302::C003",'C_jama.2024.2302'!$A$2:$A$6,0))),"not_applicable")</x:f>
        <x:v>not_applicable</x:v>
      </x:c>
      <x:c r="Z35" s="3" t="str">
        <x:f>IF(INDEX('C_jama.2024.2302'!$R$2:$R$6,MATCH("2024::jama.2024.2302::C003",'C_jama.2024.2302'!$A$2:$A$6,0))="","",INDEX('C_jama.2024.2302'!$R$2:$R$6,MATCH("2024::jama.2024.2302::C003",'C_jama.2024.2302'!$A$2:$A$6,0)))</x:f>
      </x:c>
      <x:c r="AA35" s="3" t="str">
        <x:f>IF(INDEX('C_jama.2024.2302'!$N$2:$N$6,MATCH("2024::jama.2024.2302::C003",'C_jama.2024.2302'!$A$2:$A$6,0))="","",INDEX('C_jama.2024.2302'!$N$2:$N$6,MATCH("2024::jama.2024.2302::C003",'C_jama.2024.2302'!$A$2:$A$6,0)))</x:f>
      </x:c>
      <x:c r="AB35" s="3" t="str">
        <x:f>IF(INDEX('C_jama.2024.2302'!$O$2:$O$6,MATCH("2024::jama.2024.2302::C003",'C_jama.2024.2302'!$A$2:$A$6,0))="","",INDEX('C_jama.2024.2302'!$O$2:$O$6,MATCH("2024::jama.2024.2302::C003",'C_jama.2024.2302'!$A$2:$A$6,0)))</x:f>
      </x:c>
      <x:c r="AC35" s="3" t="str">
        <x:f>IF(INDEX('C_jama.2024.2302'!$P$2:$P$6,MATCH("2024::jama.2024.2302::C003",'C_jama.2024.2302'!$A$2:$A$6,0))="","",INDEX('C_jama.2024.2302'!$P$2:$P$6,MATCH("2024::jama.2024.2302::C003",'C_jama.2024.2302'!$A$2:$A$6,0)))</x:f>
      </x:c>
      <x:c r="AD35" s="3" t="str">
        <x:f>IF(INDEX('C_jama.2024.2302'!$Q$2:$Q$6,MATCH("2024::jama.2024.2302::C003",'C_jama.2024.2302'!$A$2:$A$6,0))="","",INDEX('C_jama.2024.2302'!$Q$2:$Q$6,MATCH("2024::jama.2024.2302::C003",'C_jama.2024.2302'!$A$2:$A$6,0)))</x:f>
      </x:c>
    </x:row>
    <x:row r="36" ht="65" customHeight="1">
      <x:c r="A36" s="6" t="n">
        <x:v>2024</x:v>
      </x:c>
      <x:c r="B36" s="6" t="str">
        <x:v>jama.2024.2302</x:v>
      </x:c>
      <x:c r="C36" s="6" t="str">
        <x:v>2024::jama.2024.2302::C004</x:v>
      </x:c>
      <x:c r="D36" s="6" t="str">
        <x:v>P_R</x:v>
      </x:c>
      <x:c r="E36" s="6" t="n">
        <x:f>Setup!$B$2</x:f>
        <x:v>0</x:v>
      </x:c>
      <x:c r="F36" s="6" t="str">
        <x:f>IF(Setup!$B$4="","",Setup!$B$4)</x:f>
      </x:c>
      <x:c r="G36" s="6" t="str">
        <x:f>IFERROR(INDEX('C_jama.2024.2302'!$G$2:$G$6,MATCH("2024::jama.2024.2302::C004",'C_jama.2024.2302'!$A$2:$A$6,0)),"CHECK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protocol_report</x:v>
      </x:c>
      <x:c r="K36" s="6" t="str">
        <x:f>IF(Setup!$B$6="primary","",IFERROR(IF(INDEX('Primary_snapshot'!$B$2:$B$92,MATCH(C36,'Primary_snapshot'!$A$2:$A$92,0))="","",INDEX('Primary_snapshot'!$B$2:$B$92,MATCH(C36,'Primary_snapshot'!$A$2:$A$92,0))),"SNAPSHOT MISSING"))</x:f>
      </x:c>
      <x:c r="L36" s="6" t="str">
        <x:f>IF(Setup!$B$6="primary","",IFERROR(IF(INDEX('Primary_snapshot'!$C$2:$C$92,MATCH(C36,'Primary_snapshot'!$A$2:$A$92,0))="","",INDEX('Primary_snapshot'!$C$2:$C$92,MATCH(C36,'Primary_snapshot'!$A$2:$A$92,0))),"SNAPSHOT MISSING"))</x:f>
      </x:c>
      <x:c r="M36" s="6" t="str">
        <x:f>IF(Setup!$B$6="primary","",IFERROR(IF(INDEX('Primary_snapshot'!$D$2:$D$92,MATCH(C36,'Primary_snapshot'!$A$2:$A$92,0))="","",INDEX('Primary_snapshot'!$D$2:$D$92,MATCH(C36,'Primary_snapshot'!$A$2:$A$92,0))),"SNAPSHOT MISSING"))</x:f>
      </x:c>
      <x:c r="N36" s="6" t="str">
        <x:f>IF(Setup!$B$6="primary","",IFERROR(IF(INDEX('Primary_snapshot'!$E$2:$E$92,MATCH(C36,'Primary_snapshot'!$A$2:$A$92,0))="","",INDEX('Primary_snapshot'!$E$2:$E$92,MATCH(C36,'Primary_snapshot'!$A$2:$A$92,0))),"SNAPSHOT MISSING"))</x:f>
      </x:c>
      <x:c r="O36" s="6" t="str">
        <x:f>IF(Setup!$B$6="primary","",IFERROR(IF(INDEX('Primary_snapshot'!$F$2:$F$92,MATCH(C36,'Primary_snapshot'!$A$2:$A$92,0))="","",INDEX('Primary_snapshot'!$F$2:$F$92,MATCH(C36,'Primary_snapshot'!$A$2:$A$92,0))),"SNAPSHOT MISSING"))</x:f>
      </x:c>
      <x:c r="P36" s="6" t="str">
        <x:f>IF(Setup!$B$6="primary","",IFERROR(IF(INDEX('Primary_snapshot'!$G$2:$G$92,MATCH(C36,'Primary_snapshot'!$A$2:$A$92,0))="","",INDEX('Primary_snapshot'!$G$2:$G$92,MATCH(C36,'Primary_snapshot'!$A$2:$A$92,0))),"SNAPSHOT MISSING"))</x:f>
      </x:c>
      <x:c r="Q36" s="6" t="str">
        <x:f>IF(Setup!$B$6="primary","",IFERROR(IF(INDEX('Primary_snapshot'!$H$2:$H$92,MATCH(C36,'Primary_snapshot'!$A$2:$A$92,0))="","",INDEX('Primary_snapshot'!$H$2:$H$92,MATCH(C36,'Primary_snapshot'!$A$2:$A$92,0))),"SNAPSHOT MISSING"))</x:f>
      </x:c>
      <x:c r="R36" s="6" t="str">
        <x:f>IF(Setup!$B$6="primary","",IFERROR(IF(INDEX('Primary_snapshot'!$I$2:$I$92,MATCH(C36,'Primary_snapshot'!$A$2:$A$92,0))="","",INDEX('Primary_snapshot'!$I$2:$I$92,MATCH(C36,'Primary_snapshot'!$A$2:$A$92,0))),"SNAPSHOT MISSING"))</x:f>
      </x:c>
      <x:c r="S36" s="6" t="str">
        <x:f>IF(INDEX('C_jama.2024.2302'!$D$2:$D$6,MATCH("2024::jama.2024.2302::C004",'C_jama.2024.2302'!$A$2:$A$6,0))="","",INDEX('C_jama.2024.2302'!$D$2:$D$6,MATCH("2024::jama.2024.2302::C004",'C_jama.2024.2302'!$A$2:$A$6,0)))</x:f>
      </x:c>
      <x:c r="T36" s="6" t="str">
        <x:f>IF(INDEX('C_jama.2024.2302'!$E$2:$E$6,MATCH("2024::jama.2024.2302::C004",'C_jama.2024.2302'!$A$2:$A$6,0))="","",INDEX('C_jama.2024.2302'!$E$2:$E$6,MATCH("2024::jama.2024.2302::C004",'C_jama.2024.2302'!$A$2:$A$6,0)))</x:f>
        <x:v>protocol_report</x:v>
      </x:c>
      <x:c r="U36" s="6" t="str">
        <x:f>IF(AND(INDEX('C_jama.2024.2302'!$D$2:$D$6,MATCH("2024::jama.2024.2302::C004",'C_jama.2024.2302'!$A$2:$A$6,0))="retain",INDEX('C_jama.2024.2302'!$E$2:$E$6,MATCH("2024::jama.2024.2302::C004",'C_jama.2024.2302'!$A$2:$A$6,0))="statistical_results"),IF(INDEX('C_jama.2024.2302'!$H$2:$H$6,MATCH("2024::jama.2024.2302::C004",'C_jama.2024.2302'!$A$2:$A$6,0))="","",INDEX('C_jama.2024.2302'!$H$2:$H$6,MATCH("2024::jama.2024.2302::C004",'C_jama.2024.2302'!$A$2:$A$6,0))),"not_applicable")</x:f>
        <x:v>not_applicable</x:v>
      </x:c>
      <x:c r="V36" s="6" t="str">
        <x:f>IF(AND(INDEX('C_jama.2024.2302'!$D$2:$D$6,MATCH("2024::jama.2024.2302::C004",'C_jama.2024.2302'!$A$2:$A$6,0))="retain",INDEX('C_jama.2024.2302'!$E$2:$E$6,MATCH("2024::jama.2024.2302::C004",'C_jama.2024.2302'!$A$2:$A$6,0))="statistical_results"),IF(INDEX('C_jama.2024.2302'!$I$2:$I$6,MATCH("2024::jama.2024.2302::C004",'C_jama.2024.2302'!$A$2:$A$6,0))="","",INDEX('C_jama.2024.2302'!$I$2:$I$6,MATCH("2024::jama.2024.2302::C004",'C_jama.2024.2302'!$A$2:$A$6,0))),"not_applicable")</x:f>
        <x:v>not_applicable</x:v>
      </x:c>
      <x:c r="W36" s="6" t="str">
        <x:f>IF(AND(INDEX('C_jama.2024.2302'!$D$2:$D$6,MATCH("2024::jama.2024.2302::C004",'C_jama.2024.2302'!$A$2:$A$6,0))="retain",INDEX('C_jama.2024.2302'!$E$2:$E$6,MATCH("2024::jama.2024.2302::C004",'C_jama.2024.2302'!$A$2:$A$6,0))="statistical_results"),IF(INDEX('C_jama.2024.2302'!$J$2:$J$6,MATCH("2024::jama.2024.2302::C004",'C_jama.2024.2302'!$A$2:$A$6,0))="","",INDEX('C_jama.2024.2302'!$J$2:$J$6,MATCH("2024::jama.2024.2302::C004",'C_jama.2024.2302'!$A$2:$A$6,0))),"not_applicable")</x:f>
        <x:v>not_applicable</x:v>
      </x:c>
      <x:c r="X36" s="6" t="str">
        <x:f>IF(AND(INDEX('C_jama.2024.2302'!$D$2:$D$6,MATCH("2024::jama.2024.2302::C004",'C_jama.2024.2302'!$A$2:$A$6,0))="retain",OR(INDEX('C_jama.2024.2302'!$E$2:$E$6,MATCH("2024::jama.2024.2302::C004",'C_jama.2024.2302'!$A$2:$A$6,0))="report_internal_inconsistency",INDEX('C_jama.2024.2302'!$E$2:$E$6,MATCH("2024::jama.2024.2302::C004",'C_jama.2024.2302'!$A$2:$A$6,0))="plan_material")),IF(INDEX('C_jama.2024.2302'!$K$2:$K$6,MATCH("2024::jama.2024.2302::C004",'C_jama.2024.2302'!$A$2:$A$6,0))="","",INDEX('C_jama.2024.2302'!$K$2:$K$6,MATCH("2024::jama.2024.2302::C004",'C_jama.2024.2302'!$A$2:$A$6,0))),"not_applicable")</x:f>
        <x:v>not_applicable</x:v>
      </x:c>
      <x:c r="Y36" s="6" t="str">
        <x:f>IF(AND(INDEX('C_jama.2024.2302'!$D$2:$D$6,MATCH("2024::jama.2024.2302::C004",'C_jama.2024.2302'!$A$2:$A$6,0))="retain",INDEX('C_jama.2024.2302'!$E$2:$E$6,MATCH("2024::jama.2024.2302::C004",'C_jama.2024.2302'!$A$2:$A$6,0))="protocol_report"),IF(INDEX('C_jama.2024.2302'!$L$2:$L$6,MATCH("2024::jama.2024.2302::C004",'C_jama.2024.2302'!$A$2:$A$6,0))="","",INDEX('C_jama.2024.2302'!$L$2:$L$6,MATCH("2024::jama.2024.2302::C004",'C_jama.2024.2302'!$A$2:$A$6,0))),"not_applicable")</x:f>
        <x:v>not_applicable</x:v>
      </x:c>
      <x:c r="Z36" s="6" t="str">
        <x:f>IF(INDEX('C_jama.2024.2302'!$R$2:$R$6,MATCH("2024::jama.2024.2302::C004",'C_jama.2024.2302'!$A$2:$A$6,0))="","",INDEX('C_jama.2024.2302'!$R$2:$R$6,MATCH("2024::jama.2024.2302::C004",'C_jama.2024.2302'!$A$2:$A$6,0)))</x:f>
      </x:c>
      <x:c r="AA36" s="6" t="str">
        <x:f>IF(INDEX('C_jama.2024.2302'!$N$2:$N$6,MATCH("2024::jama.2024.2302::C004",'C_jama.2024.2302'!$A$2:$A$6,0))="","",INDEX('C_jama.2024.2302'!$N$2:$N$6,MATCH("2024::jama.2024.2302::C004",'C_jama.2024.2302'!$A$2:$A$6,0)))</x:f>
      </x:c>
      <x:c r="AB36" s="6" t="str">
        <x:f>IF(INDEX('C_jama.2024.2302'!$O$2:$O$6,MATCH("2024::jama.2024.2302::C004",'C_jama.2024.2302'!$A$2:$A$6,0))="","",INDEX('C_jama.2024.2302'!$O$2:$O$6,MATCH("2024::jama.2024.2302::C004",'C_jama.2024.2302'!$A$2:$A$6,0)))</x:f>
      </x:c>
      <x:c r="AC36" s="6" t="str">
        <x:f>IF(INDEX('C_jama.2024.2302'!$P$2:$P$6,MATCH("2024::jama.2024.2302::C004",'C_jama.2024.2302'!$A$2:$A$6,0))="","",INDEX('C_jama.2024.2302'!$P$2:$P$6,MATCH("2024::jama.2024.2302::C004",'C_jama.2024.2302'!$A$2:$A$6,0)))</x:f>
      </x:c>
      <x:c r="AD36" s="6" t="str">
        <x:f>IF(INDEX('C_jama.2024.2302'!$Q$2:$Q$6,MATCH("2024::jama.2024.2302::C004",'C_jama.2024.2302'!$A$2:$A$6,0))="","",INDEX('C_jama.2024.2302'!$Q$2:$Q$6,MATCH("2024::jama.2024.2302::C004",'C_jama.2024.2302'!$A$2:$A$6,0)))</x:f>
      </x:c>
    </x:row>
    <x:row r="37" ht="65" customHeight="1">
      <x:c r="A37" s="3" t="n">
        <x:v>2024</x:v>
      </x:c>
      <x:c r="B37" s="3" t="str">
        <x:v>jama.2024.2302</x:v>
      </x:c>
      <x:c r="C37" s="3" t="str">
        <x:v>2024::jama.2024.2302::C005</x:v>
      </x:c>
      <x:c r="D37" s="3" t="str">
        <x:v>P_R</x:v>
      </x:c>
      <x:c r="E37" s="3" t="n">
        <x:f>Setup!$B$2</x:f>
        <x:v>0</x:v>
      </x:c>
      <x:c r="F37" s="3" t="str">
        <x:f>IF(Setup!$B$4="","",Setup!$B$4)</x:f>
      </x:c>
      <x:c r="G37" s="3" t="str">
        <x:f>IFERROR(INDEX('C_jama.2024.2302'!$G$2:$G$6,MATCH("2024::jama.2024.2302::C005",'C_jama.2024.2302'!$A$2:$A$6,0)),"CHECK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protocol_report</x:v>
      </x:c>
      <x:c r="K37" s="3" t="str">
        <x:f>IF(Setup!$B$6="primary","",IFERROR(IF(INDEX('Primary_snapshot'!$B$2:$B$92,MATCH(C37,'Primary_snapshot'!$A$2:$A$92,0))="","",INDEX('Primary_snapshot'!$B$2:$B$92,MATCH(C37,'Primary_snapshot'!$A$2:$A$92,0))),"SNAPSHOT MISSING"))</x:f>
      </x:c>
      <x:c r="L37" s="3" t="str">
        <x:f>IF(Setup!$B$6="primary","",IFERROR(IF(INDEX('Primary_snapshot'!$C$2:$C$92,MATCH(C37,'Primary_snapshot'!$A$2:$A$92,0))="","",INDEX('Primary_snapshot'!$C$2:$C$92,MATCH(C37,'Primary_snapshot'!$A$2:$A$92,0))),"SNAPSHOT MISSING"))</x:f>
      </x:c>
      <x:c r="M37" s="3" t="str">
        <x:f>IF(Setup!$B$6="primary","",IFERROR(IF(INDEX('Primary_snapshot'!$D$2:$D$92,MATCH(C37,'Primary_snapshot'!$A$2:$A$92,0))="","",INDEX('Primary_snapshot'!$D$2:$D$92,MATCH(C37,'Primary_snapshot'!$A$2:$A$92,0))),"SNAPSHOT MISSING"))</x:f>
      </x:c>
      <x:c r="N37" s="3" t="str">
        <x:f>IF(Setup!$B$6="primary","",IFERROR(IF(INDEX('Primary_snapshot'!$E$2:$E$92,MATCH(C37,'Primary_snapshot'!$A$2:$A$92,0))="","",INDEX('Primary_snapshot'!$E$2:$E$92,MATCH(C37,'Primary_snapshot'!$A$2:$A$92,0))),"SNAPSHOT MISSING"))</x:f>
      </x:c>
      <x:c r="O37" s="3" t="str">
        <x:f>IF(Setup!$B$6="primary","",IFERROR(IF(INDEX('Primary_snapshot'!$F$2:$F$92,MATCH(C37,'Primary_snapshot'!$A$2:$A$92,0))="","",INDEX('Primary_snapshot'!$F$2:$F$92,MATCH(C37,'Primary_snapshot'!$A$2:$A$92,0))),"SNAPSHOT MISSING"))</x:f>
      </x:c>
      <x:c r="P37" s="3" t="str">
        <x:f>IF(Setup!$B$6="primary","",IFERROR(IF(INDEX('Primary_snapshot'!$G$2:$G$92,MATCH(C37,'Primary_snapshot'!$A$2:$A$92,0))="","",INDEX('Primary_snapshot'!$G$2:$G$92,MATCH(C37,'Primary_snapshot'!$A$2:$A$92,0))),"SNAPSHOT MISSING"))</x:f>
      </x:c>
      <x:c r="Q37" s="3" t="str">
        <x:f>IF(Setup!$B$6="primary","",IFERROR(IF(INDEX('Primary_snapshot'!$H$2:$H$92,MATCH(C37,'Primary_snapshot'!$A$2:$A$92,0))="","",INDEX('Primary_snapshot'!$H$2:$H$92,MATCH(C37,'Primary_snapshot'!$A$2:$A$92,0))),"SNAPSHOT MISSING"))</x:f>
      </x:c>
      <x:c r="R37" s="3" t="str">
        <x:f>IF(Setup!$B$6="primary","",IFERROR(IF(INDEX('Primary_snapshot'!$I$2:$I$92,MATCH(C37,'Primary_snapshot'!$A$2:$A$92,0))="","",INDEX('Primary_snapshot'!$I$2:$I$92,MATCH(C37,'Primary_snapshot'!$A$2:$A$92,0))),"SNAPSHOT MISSING"))</x:f>
      </x:c>
      <x:c r="S37" s="3" t="str">
        <x:f>IF(INDEX('C_jama.2024.2302'!$D$2:$D$6,MATCH("2024::jama.2024.2302::C005",'C_jama.2024.2302'!$A$2:$A$6,0))="","",INDEX('C_jama.2024.2302'!$D$2:$D$6,MATCH("2024::jama.2024.2302::C005",'C_jama.2024.2302'!$A$2:$A$6,0)))</x:f>
      </x:c>
      <x:c r="T37" s="3" t="str">
        <x:f>IF(INDEX('C_jama.2024.2302'!$E$2:$E$6,MATCH("2024::jama.2024.2302::C005",'C_jama.2024.2302'!$A$2:$A$6,0))="","",INDEX('C_jama.2024.2302'!$E$2:$E$6,MATCH("2024::jama.2024.2302::C005",'C_jama.2024.2302'!$A$2:$A$6,0)))</x:f>
        <x:v>protocol_report</x:v>
      </x:c>
      <x:c r="U37" s="3" t="str">
        <x:f>IF(AND(INDEX('C_jama.2024.2302'!$D$2:$D$6,MATCH("2024::jama.2024.2302::C005",'C_jama.2024.2302'!$A$2:$A$6,0))="retain",INDEX('C_jama.2024.2302'!$E$2:$E$6,MATCH("2024::jama.2024.2302::C005",'C_jama.2024.2302'!$A$2:$A$6,0))="statistical_results"),IF(INDEX('C_jama.2024.2302'!$H$2:$H$6,MATCH("2024::jama.2024.2302::C005",'C_jama.2024.2302'!$A$2:$A$6,0))="","",INDEX('C_jama.2024.2302'!$H$2:$H$6,MATCH("2024::jama.2024.2302::C005",'C_jama.2024.2302'!$A$2:$A$6,0))),"not_applicable")</x:f>
        <x:v>not_applicable</x:v>
      </x:c>
      <x:c r="V37" s="3" t="str">
        <x:f>IF(AND(INDEX('C_jama.2024.2302'!$D$2:$D$6,MATCH("2024::jama.2024.2302::C005",'C_jama.2024.2302'!$A$2:$A$6,0))="retain",INDEX('C_jama.2024.2302'!$E$2:$E$6,MATCH("2024::jama.2024.2302::C005",'C_jama.2024.2302'!$A$2:$A$6,0))="statistical_results"),IF(INDEX('C_jama.2024.2302'!$I$2:$I$6,MATCH("2024::jama.2024.2302::C005",'C_jama.2024.2302'!$A$2:$A$6,0))="","",INDEX('C_jama.2024.2302'!$I$2:$I$6,MATCH("2024::jama.2024.2302::C005",'C_jama.2024.2302'!$A$2:$A$6,0))),"not_applicable")</x:f>
        <x:v>not_applicable</x:v>
      </x:c>
      <x:c r="W37" s="3" t="str">
        <x:f>IF(AND(INDEX('C_jama.2024.2302'!$D$2:$D$6,MATCH("2024::jama.2024.2302::C005",'C_jama.2024.2302'!$A$2:$A$6,0))="retain",INDEX('C_jama.2024.2302'!$E$2:$E$6,MATCH("2024::jama.2024.2302::C005",'C_jama.2024.2302'!$A$2:$A$6,0))="statistical_results"),IF(INDEX('C_jama.2024.2302'!$J$2:$J$6,MATCH("2024::jama.2024.2302::C005",'C_jama.2024.2302'!$A$2:$A$6,0))="","",INDEX('C_jama.2024.2302'!$J$2:$J$6,MATCH("2024::jama.2024.2302::C005",'C_jama.2024.2302'!$A$2:$A$6,0))),"not_applicable")</x:f>
        <x:v>not_applicable</x:v>
      </x:c>
      <x:c r="X37" s="3" t="str">
        <x:f>IF(AND(INDEX('C_jama.2024.2302'!$D$2:$D$6,MATCH("2024::jama.2024.2302::C005",'C_jama.2024.2302'!$A$2:$A$6,0))="retain",OR(INDEX('C_jama.2024.2302'!$E$2:$E$6,MATCH("2024::jama.2024.2302::C005",'C_jama.2024.2302'!$A$2:$A$6,0))="report_internal_inconsistency",INDEX('C_jama.2024.2302'!$E$2:$E$6,MATCH("2024::jama.2024.2302::C005",'C_jama.2024.2302'!$A$2:$A$6,0))="plan_material")),IF(INDEX('C_jama.2024.2302'!$K$2:$K$6,MATCH("2024::jama.2024.2302::C005",'C_jama.2024.2302'!$A$2:$A$6,0))="","",INDEX('C_jama.2024.2302'!$K$2:$K$6,MATCH("2024::jama.2024.2302::C005",'C_jama.2024.2302'!$A$2:$A$6,0))),"not_applicable")</x:f>
        <x:v>not_applicable</x:v>
      </x:c>
      <x:c r="Y37" s="3" t="str">
        <x:f>IF(AND(INDEX('C_jama.2024.2302'!$D$2:$D$6,MATCH("2024::jama.2024.2302::C005",'C_jama.2024.2302'!$A$2:$A$6,0))="retain",INDEX('C_jama.2024.2302'!$E$2:$E$6,MATCH("2024::jama.2024.2302::C005",'C_jama.2024.2302'!$A$2:$A$6,0))="protocol_report"),IF(INDEX('C_jama.2024.2302'!$L$2:$L$6,MATCH("2024::jama.2024.2302::C005",'C_jama.2024.2302'!$A$2:$A$6,0))="","",INDEX('C_jama.2024.2302'!$L$2:$L$6,MATCH("2024::jama.2024.2302::C005",'C_jama.2024.2302'!$A$2:$A$6,0))),"not_applicable")</x:f>
        <x:v>not_applicable</x:v>
      </x:c>
      <x:c r="Z37" s="3" t="str">
        <x:f>IF(INDEX('C_jama.2024.2302'!$R$2:$R$6,MATCH("2024::jama.2024.2302::C005",'C_jama.2024.2302'!$A$2:$A$6,0))="","",INDEX('C_jama.2024.2302'!$R$2:$R$6,MATCH("2024::jama.2024.2302::C005",'C_jama.2024.2302'!$A$2:$A$6,0)))</x:f>
      </x:c>
      <x:c r="AA37" s="3" t="str">
        <x:f>IF(INDEX('C_jama.2024.2302'!$N$2:$N$6,MATCH("2024::jama.2024.2302::C005",'C_jama.2024.2302'!$A$2:$A$6,0))="","",INDEX('C_jama.2024.2302'!$N$2:$N$6,MATCH("2024::jama.2024.2302::C005",'C_jama.2024.2302'!$A$2:$A$6,0)))</x:f>
      </x:c>
      <x:c r="AB37" s="3" t="str">
        <x:f>IF(INDEX('C_jama.2024.2302'!$O$2:$O$6,MATCH("2024::jama.2024.2302::C005",'C_jama.2024.2302'!$A$2:$A$6,0))="","",INDEX('C_jama.2024.2302'!$O$2:$O$6,MATCH("2024::jama.2024.2302::C005",'C_jama.2024.2302'!$A$2:$A$6,0)))</x:f>
      </x:c>
      <x:c r="AC37" s="3" t="str">
        <x:f>IF(INDEX('C_jama.2024.2302'!$P$2:$P$6,MATCH("2024::jama.2024.2302::C005",'C_jama.2024.2302'!$A$2:$A$6,0))="","",INDEX('C_jama.2024.2302'!$P$2:$P$6,MATCH("2024::jama.2024.2302::C005",'C_jama.2024.2302'!$A$2:$A$6,0)))</x:f>
      </x:c>
      <x:c r="AD37" s="3" t="str">
        <x:f>IF(INDEX('C_jama.2024.2302'!$Q$2:$Q$6,MATCH("2024::jama.2024.2302::C005",'C_jama.2024.2302'!$A$2:$A$6,0))="","",INDEX('C_jama.2024.2302'!$Q$2:$Q$6,MATCH("2024::jama.2024.2302::C005",'C_jama.2024.2302'!$A$2:$A$6,0)))</x:f>
      </x:c>
    </x:row>
    <x:row r="38" ht="65" customHeight="1">
      <x:c r="A38" s="6" t="n">
        <x:v>2024</x:v>
      </x:c>
      <x:c r="B38" s="6" t="str">
        <x:v>jama.2024.23898</x:v>
      </x:c>
      <x:c r="C38" s="6" t="str">
        <x:v>2024::jama.2024.23898::C001</x:v>
      </x:c>
      <x:c r="D38" s="6" t="str">
        <x:v>P_R</x:v>
      </x:c>
      <x:c r="E38" s="6" t="n">
        <x:f>Setup!$B$2</x:f>
        <x:v>0</x:v>
      </x:c>
      <x:c r="F38" s="6" t="str">
        <x:f>IF(Setup!$B$4="","",Setup!$B$4)</x:f>
      </x:c>
      <x:c r="G38" s="6" t="str">
        <x:f>IFERROR(INDEX('C_jama.2024.23898'!$G$2:$G$8,MATCH("2024::jama.2024.23898::C001",'C_jama.2024.23898'!$A$2:$A$8,0)),"CHECK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protocol_report</x:v>
      </x:c>
      <x:c r="K38" s="6" t="str">
        <x:f>IF(Setup!$B$6="primary","",IFERROR(IF(INDEX('Primary_snapshot'!$B$2:$B$92,MATCH(C38,'Primary_snapshot'!$A$2:$A$92,0))="","",INDEX('Primary_snapshot'!$B$2:$B$92,MATCH(C38,'Primary_snapshot'!$A$2:$A$92,0))),"SNAPSHOT MISSING"))</x:f>
      </x:c>
      <x:c r="L38" s="6" t="str">
        <x:f>IF(Setup!$B$6="primary","",IFERROR(IF(INDEX('Primary_snapshot'!$C$2:$C$92,MATCH(C38,'Primary_snapshot'!$A$2:$A$92,0))="","",INDEX('Primary_snapshot'!$C$2:$C$92,MATCH(C38,'Primary_snapshot'!$A$2:$A$92,0))),"SNAPSHOT MISSING"))</x:f>
      </x:c>
      <x:c r="M38" s="6" t="str">
        <x:f>IF(Setup!$B$6="primary","",IFERROR(IF(INDEX('Primary_snapshot'!$D$2:$D$92,MATCH(C38,'Primary_snapshot'!$A$2:$A$92,0))="","",INDEX('Primary_snapshot'!$D$2:$D$92,MATCH(C38,'Primary_snapshot'!$A$2:$A$92,0))),"SNAPSHOT MISSING"))</x:f>
      </x:c>
      <x:c r="N38" s="6" t="str">
        <x:f>IF(Setup!$B$6="primary","",IFERROR(IF(INDEX('Primary_snapshot'!$E$2:$E$92,MATCH(C38,'Primary_snapshot'!$A$2:$A$92,0))="","",INDEX('Primary_snapshot'!$E$2:$E$92,MATCH(C38,'Primary_snapshot'!$A$2:$A$92,0))),"SNAPSHOT MISSING"))</x:f>
      </x:c>
      <x:c r="O38" s="6" t="str">
        <x:f>IF(Setup!$B$6="primary","",IFERROR(IF(INDEX('Primary_snapshot'!$F$2:$F$92,MATCH(C38,'Primary_snapshot'!$A$2:$A$92,0))="","",INDEX('Primary_snapshot'!$F$2:$F$92,MATCH(C38,'Primary_snapshot'!$A$2:$A$92,0))),"SNAPSHOT MISSING"))</x:f>
      </x:c>
      <x:c r="P38" s="6" t="str">
        <x:f>IF(Setup!$B$6="primary","",IFERROR(IF(INDEX('Primary_snapshot'!$G$2:$G$92,MATCH(C38,'Primary_snapshot'!$A$2:$A$92,0))="","",INDEX('Primary_snapshot'!$G$2:$G$92,MATCH(C38,'Primary_snapshot'!$A$2:$A$92,0))),"SNAPSHOT MISSING"))</x:f>
      </x:c>
      <x:c r="Q38" s="6" t="str">
        <x:f>IF(Setup!$B$6="primary","",IFERROR(IF(INDEX('Primary_snapshot'!$H$2:$H$92,MATCH(C38,'Primary_snapshot'!$A$2:$A$92,0))="","",INDEX('Primary_snapshot'!$H$2:$H$92,MATCH(C38,'Primary_snapshot'!$A$2:$A$92,0))),"SNAPSHOT MISSING"))</x:f>
      </x:c>
      <x:c r="R38" s="6" t="str">
        <x:f>IF(Setup!$B$6="primary","",IFERROR(IF(INDEX('Primary_snapshot'!$I$2:$I$92,MATCH(C38,'Primary_snapshot'!$A$2:$A$92,0))="","",INDEX('Primary_snapshot'!$I$2:$I$92,MATCH(C38,'Primary_snapshot'!$A$2:$A$92,0))),"SNAPSHOT MISSING"))</x:f>
      </x:c>
      <x:c r="S38" s="6" t="str">
        <x:f>IF(INDEX('C_jama.2024.23898'!$D$2:$D$8,MATCH("2024::jama.2024.23898::C001",'C_jama.2024.23898'!$A$2:$A$8,0))="","",INDEX('C_jama.2024.23898'!$D$2:$D$8,MATCH("2024::jama.2024.23898::C001",'C_jama.2024.23898'!$A$2:$A$8,0)))</x:f>
      </x:c>
      <x:c r="T38" s="6" t="str">
        <x:f>IF(INDEX('C_jama.2024.23898'!$E$2:$E$8,MATCH("2024::jama.2024.23898::C001",'C_jama.2024.23898'!$A$2:$A$8,0))="","",INDEX('C_jama.2024.23898'!$E$2:$E$8,MATCH("2024::jama.2024.23898::C001",'C_jama.2024.23898'!$A$2:$A$8,0)))</x:f>
        <x:v>protocol_report</x:v>
      </x:c>
      <x:c r="U38" s="6" t="str">
        <x:f>IF(AND(INDEX('C_jama.2024.23898'!$D$2:$D$8,MATCH("2024::jama.2024.23898::C001",'C_jama.2024.23898'!$A$2:$A$8,0))="retain",INDEX('C_jama.2024.23898'!$E$2:$E$8,MATCH("2024::jama.2024.23898::C001",'C_jama.2024.23898'!$A$2:$A$8,0))="statistical_results"),IF(INDEX('C_jama.2024.23898'!$H$2:$H$8,MATCH("2024::jama.2024.23898::C001",'C_jama.2024.23898'!$A$2:$A$8,0))="","",INDEX('C_jama.2024.23898'!$H$2:$H$8,MATCH("2024::jama.2024.23898::C001",'C_jama.2024.23898'!$A$2:$A$8,0))),"not_applicable")</x:f>
        <x:v>not_applicable</x:v>
      </x:c>
      <x:c r="V38" s="6" t="str">
        <x:f>IF(AND(INDEX('C_jama.2024.23898'!$D$2:$D$8,MATCH("2024::jama.2024.23898::C001",'C_jama.2024.23898'!$A$2:$A$8,0))="retain",INDEX('C_jama.2024.23898'!$E$2:$E$8,MATCH("2024::jama.2024.23898::C001",'C_jama.2024.23898'!$A$2:$A$8,0))="statistical_results"),IF(INDEX('C_jama.2024.23898'!$I$2:$I$8,MATCH("2024::jama.2024.23898::C001",'C_jama.2024.23898'!$A$2:$A$8,0))="","",INDEX('C_jama.2024.23898'!$I$2:$I$8,MATCH("2024::jama.2024.23898::C001",'C_jama.2024.23898'!$A$2:$A$8,0))),"not_applicable")</x:f>
        <x:v>not_applicable</x:v>
      </x:c>
      <x:c r="W38" s="6" t="str">
        <x:f>IF(AND(INDEX('C_jama.2024.23898'!$D$2:$D$8,MATCH("2024::jama.2024.23898::C001",'C_jama.2024.23898'!$A$2:$A$8,0))="retain",INDEX('C_jama.2024.23898'!$E$2:$E$8,MATCH("2024::jama.2024.23898::C001",'C_jama.2024.23898'!$A$2:$A$8,0))="statistical_results"),IF(INDEX('C_jama.2024.23898'!$J$2:$J$8,MATCH("2024::jama.2024.23898::C001",'C_jama.2024.23898'!$A$2:$A$8,0))="","",INDEX('C_jama.2024.23898'!$J$2:$J$8,MATCH("2024::jama.2024.23898::C001",'C_jama.2024.23898'!$A$2:$A$8,0))),"not_applicable")</x:f>
        <x:v>not_applicable</x:v>
      </x:c>
      <x:c r="X38" s="6" t="str">
        <x:f>IF(AND(INDEX('C_jama.2024.23898'!$D$2:$D$8,MATCH("2024::jama.2024.23898::C001",'C_jama.2024.23898'!$A$2:$A$8,0))="retain",OR(INDEX('C_jama.2024.23898'!$E$2:$E$8,MATCH("2024::jama.2024.23898::C001",'C_jama.2024.23898'!$A$2:$A$8,0))="report_internal_inconsistency",INDEX('C_jama.2024.23898'!$E$2:$E$8,MATCH("2024::jama.2024.23898::C001",'C_jama.2024.23898'!$A$2:$A$8,0))="plan_material")),IF(INDEX('C_jama.2024.23898'!$K$2:$K$8,MATCH("2024::jama.2024.23898::C001",'C_jama.2024.23898'!$A$2:$A$8,0))="","",INDEX('C_jama.2024.23898'!$K$2:$K$8,MATCH("2024::jama.2024.23898::C001",'C_jama.2024.23898'!$A$2:$A$8,0))),"not_applicable")</x:f>
        <x:v>not_applicable</x:v>
      </x:c>
      <x:c r="Y38" s="6" t="str">
        <x:f>IF(AND(INDEX('C_jama.2024.23898'!$D$2:$D$8,MATCH("2024::jama.2024.23898::C001",'C_jama.2024.23898'!$A$2:$A$8,0))="retain",INDEX('C_jama.2024.23898'!$E$2:$E$8,MATCH("2024::jama.2024.23898::C001",'C_jama.2024.23898'!$A$2:$A$8,0))="protocol_report"),IF(INDEX('C_jama.2024.23898'!$L$2:$L$8,MATCH("2024::jama.2024.23898::C001",'C_jama.2024.23898'!$A$2:$A$8,0))="","",INDEX('C_jama.2024.23898'!$L$2:$L$8,MATCH("2024::jama.2024.23898::C001",'C_jama.2024.23898'!$A$2:$A$8,0))),"not_applicable")</x:f>
        <x:v>not_applicable</x:v>
      </x:c>
      <x:c r="Z38" s="6" t="str">
        <x:f>IF(INDEX('C_jama.2024.23898'!$R$2:$R$8,MATCH("2024::jama.2024.23898::C001",'C_jama.2024.23898'!$A$2:$A$8,0))="","",INDEX('C_jama.2024.23898'!$R$2:$R$8,MATCH("2024::jama.2024.23898::C001",'C_jama.2024.23898'!$A$2:$A$8,0)))</x:f>
      </x:c>
      <x:c r="AA38" s="6" t="str">
        <x:f>IF(INDEX('C_jama.2024.23898'!$N$2:$N$8,MATCH("2024::jama.2024.23898::C001",'C_jama.2024.23898'!$A$2:$A$8,0))="","",INDEX('C_jama.2024.23898'!$N$2:$N$8,MATCH("2024::jama.2024.23898::C001",'C_jama.2024.23898'!$A$2:$A$8,0)))</x:f>
      </x:c>
      <x:c r="AB38" s="6" t="str">
        <x:f>IF(INDEX('C_jama.2024.23898'!$O$2:$O$8,MATCH("2024::jama.2024.23898::C001",'C_jama.2024.23898'!$A$2:$A$8,0))="","",INDEX('C_jama.2024.23898'!$O$2:$O$8,MATCH("2024::jama.2024.23898::C001",'C_jama.2024.23898'!$A$2:$A$8,0)))</x:f>
      </x:c>
      <x:c r="AC38" s="6" t="str">
        <x:f>IF(INDEX('C_jama.2024.23898'!$P$2:$P$8,MATCH("2024::jama.2024.23898::C001",'C_jama.2024.23898'!$A$2:$A$8,0))="","",INDEX('C_jama.2024.23898'!$P$2:$P$8,MATCH("2024::jama.2024.23898::C001",'C_jama.2024.23898'!$A$2:$A$8,0)))</x:f>
      </x:c>
      <x:c r="AD38" s="6" t="str">
        <x:f>IF(INDEX('C_jama.2024.23898'!$Q$2:$Q$8,MATCH("2024::jama.2024.23898::C001",'C_jama.2024.23898'!$A$2:$A$8,0))="","",INDEX('C_jama.2024.23898'!$Q$2:$Q$8,MATCH("2024::jama.2024.23898::C001",'C_jama.2024.23898'!$A$2:$A$8,0)))</x:f>
      </x:c>
    </x:row>
    <x:row r="39" ht="65" customHeight="1">
      <x:c r="A39" s="3" t="n">
        <x:v>2024</x:v>
      </x:c>
      <x:c r="B39" s="3" t="str">
        <x:v>jama.2024.23898</x:v>
      </x:c>
      <x:c r="C39" s="3" t="str">
        <x:v>2024::jama.2024.23898::C002</x:v>
      </x:c>
      <x:c r="D39" s="3" t="str">
        <x:v>P_R</x:v>
      </x:c>
      <x:c r="E39" s="3" t="n">
        <x:f>Setup!$B$2</x:f>
        <x:v>0</x:v>
      </x:c>
      <x:c r="F39" s="3" t="str">
        <x:f>IF(Setup!$B$4="","",Setup!$B$4)</x:f>
      </x:c>
      <x:c r="G39" s="3" t="str">
        <x:f>IFERROR(INDEX('C_jama.2024.23898'!$G$2:$G$8,MATCH("2024::jama.2024.23898::C002",'C_jama.2024.23898'!$A$2:$A$8,0)),"CHECK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protocol_report</x:v>
      </x:c>
      <x:c r="K39" s="3" t="str">
        <x:f>IF(Setup!$B$6="primary","",IFERROR(IF(INDEX('Primary_snapshot'!$B$2:$B$92,MATCH(C39,'Primary_snapshot'!$A$2:$A$92,0))="","",INDEX('Primary_snapshot'!$B$2:$B$92,MATCH(C39,'Primary_snapshot'!$A$2:$A$92,0))),"SNAPSHOT MISSING"))</x:f>
      </x:c>
      <x:c r="L39" s="3" t="str">
        <x:f>IF(Setup!$B$6="primary","",IFERROR(IF(INDEX('Primary_snapshot'!$C$2:$C$92,MATCH(C39,'Primary_snapshot'!$A$2:$A$92,0))="","",INDEX('Primary_snapshot'!$C$2:$C$92,MATCH(C39,'Primary_snapshot'!$A$2:$A$92,0))),"SNAPSHOT MISSING"))</x:f>
      </x:c>
      <x:c r="M39" s="3" t="str">
        <x:f>IF(Setup!$B$6="primary","",IFERROR(IF(INDEX('Primary_snapshot'!$D$2:$D$92,MATCH(C39,'Primary_snapshot'!$A$2:$A$92,0))="","",INDEX('Primary_snapshot'!$D$2:$D$92,MATCH(C39,'Primary_snapshot'!$A$2:$A$92,0))),"SNAPSHOT MISSING"))</x:f>
      </x:c>
      <x:c r="N39" s="3" t="str">
        <x:f>IF(Setup!$B$6="primary","",IFERROR(IF(INDEX('Primary_snapshot'!$E$2:$E$92,MATCH(C39,'Primary_snapshot'!$A$2:$A$92,0))="","",INDEX('Primary_snapshot'!$E$2:$E$92,MATCH(C39,'Primary_snapshot'!$A$2:$A$92,0))),"SNAPSHOT MISSING"))</x:f>
      </x:c>
      <x:c r="O39" s="3" t="str">
        <x:f>IF(Setup!$B$6="primary","",IFERROR(IF(INDEX('Primary_snapshot'!$F$2:$F$92,MATCH(C39,'Primary_snapshot'!$A$2:$A$92,0))="","",INDEX('Primary_snapshot'!$F$2:$F$92,MATCH(C39,'Primary_snapshot'!$A$2:$A$92,0))),"SNAPSHOT MISSING"))</x:f>
      </x:c>
      <x:c r="P39" s="3" t="str">
        <x:f>IF(Setup!$B$6="primary","",IFERROR(IF(INDEX('Primary_snapshot'!$G$2:$G$92,MATCH(C39,'Primary_snapshot'!$A$2:$A$92,0))="","",INDEX('Primary_snapshot'!$G$2:$G$92,MATCH(C39,'Primary_snapshot'!$A$2:$A$92,0))),"SNAPSHOT MISSING"))</x:f>
      </x:c>
      <x:c r="Q39" s="3" t="str">
        <x:f>IF(Setup!$B$6="primary","",IFERROR(IF(INDEX('Primary_snapshot'!$H$2:$H$92,MATCH(C39,'Primary_snapshot'!$A$2:$A$92,0))="","",INDEX('Primary_snapshot'!$H$2:$H$92,MATCH(C39,'Primary_snapshot'!$A$2:$A$92,0))),"SNAPSHOT MISSING"))</x:f>
      </x:c>
      <x:c r="R39" s="3" t="str">
        <x:f>IF(Setup!$B$6="primary","",IFERROR(IF(INDEX('Primary_snapshot'!$I$2:$I$92,MATCH(C39,'Primary_snapshot'!$A$2:$A$92,0))="","",INDEX('Primary_snapshot'!$I$2:$I$92,MATCH(C39,'Primary_snapshot'!$A$2:$A$92,0))),"SNAPSHOT MISSING"))</x:f>
      </x:c>
      <x:c r="S39" s="3" t="str">
        <x:f>IF(INDEX('C_jama.2024.23898'!$D$2:$D$8,MATCH("2024::jama.2024.23898::C002",'C_jama.2024.23898'!$A$2:$A$8,0))="","",INDEX('C_jama.2024.23898'!$D$2:$D$8,MATCH("2024::jama.2024.23898::C002",'C_jama.2024.23898'!$A$2:$A$8,0)))</x:f>
      </x:c>
      <x:c r="T39" s="3" t="str">
        <x:f>IF(INDEX('C_jama.2024.23898'!$E$2:$E$8,MATCH("2024::jama.2024.23898::C002",'C_jama.2024.23898'!$A$2:$A$8,0))="","",INDEX('C_jama.2024.23898'!$E$2:$E$8,MATCH("2024::jama.2024.23898::C002",'C_jama.2024.23898'!$A$2:$A$8,0)))</x:f>
        <x:v>protocol_report</x:v>
      </x:c>
      <x:c r="U39" s="3" t="str">
        <x:f>IF(AND(INDEX('C_jama.2024.23898'!$D$2:$D$8,MATCH("2024::jama.2024.23898::C002",'C_jama.2024.23898'!$A$2:$A$8,0))="retain",INDEX('C_jama.2024.23898'!$E$2:$E$8,MATCH("2024::jama.2024.23898::C002",'C_jama.2024.23898'!$A$2:$A$8,0))="statistical_results"),IF(INDEX('C_jama.2024.23898'!$H$2:$H$8,MATCH("2024::jama.2024.23898::C002",'C_jama.2024.23898'!$A$2:$A$8,0))="","",INDEX('C_jama.2024.23898'!$H$2:$H$8,MATCH("2024::jama.2024.23898::C002",'C_jama.2024.23898'!$A$2:$A$8,0))),"not_applicable")</x:f>
        <x:v>not_applicable</x:v>
      </x:c>
      <x:c r="V39" s="3" t="str">
        <x:f>IF(AND(INDEX('C_jama.2024.23898'!$D$2:$D$8,MATCH("2024::jama.2024.23898::C002",'C_jama.2024.23898'!$A$2:$A$8,0))="retain",INDEX('C_jama.2024.23898'!$E$2:$E$8,MATCH("2024::jama.2024.23898::C002",'C_jama.2024.23898'!$A$2:$A$8,0))="statistical_results"),IF(INDEX('C_jama.2024.23898'!$I$2:$I$8,MATCH("2024::jama.2024.23898::C002",'C_jama.2024.23898'!$A$2:$A$8,0))="","",INDEX('C_jama.2024.23898'!$I$2:$I$8,MATCH("2024::jama.2024.23898::C002",'C_jama.2024.23898'!$A$2:$A$8,0))),"not_applicable")</x:f>
        <x:v>not_applicable</x:v>
      </x:c>
      <x:c r="W39" s="3" t="str">
        <x:f>IF(AND(INDEX('C_jama.2024.23898'!$D$2:$D$8,MATCH("2024::jama.2024.23898::C002",'C_jama.2024.23898'!$A$2:$A$8,0))="retain",INDEX('C_jama.2024.23898'!$E$2:$E$8,MATCH("2024::jama.2024.23898::C002",'C_jama.2024.23898'!$A$2:$A$8,0))="statistical_results"),IF(INDEX('C_jama.2024.23898'!$J$2:$J$8,MATCH("2024::jama.2024.23898::C002",'C_jama.2024.23898'!$A$2:$A$8,0))="","",INDEX('C_jama.2024.23898'!$J$2:$J$8,MATCH("2024::jama.2024.23898::C002",'C_jama.2024.23898'!$A$2:$A$8,0))),"not_applicable")</x:f>
        <x:v>not_applicable</x:v>
      </x:c>
      <x:c r="X39" s="3" t="str">
        <x:f>IF(AND(INDEX('C_jama.2024.23898'!$D$2:$D$8,MATCH("2024::jama.2024.23898::C002",'C_jama.2024.23898'!$A$2:$A$8,0))="retain",OR(INDEX('C_jama.2024.23898'!$E$2:$E$8,MATCH("2024::jama.2024.23898::C002",'C_jama.2024.23898'!$A$2:$A$8,0))="report_internal_inconsistency",INDEX('C_jama.2024.23898'!$E$2:$E$8,MATCH("2024::jama.2024.23898::C002",'C_jama.2024.23898'!$A$2:$A$8,0))="plan_material")),IF(INDEX('C_jama.2024.23898'!$K$2:$K$8,MATCH("2024::jama.2024.23898::C002",'C_jama.2024.23898'!$A$2:$A$8,0))="","",INDEX('C_jama.2024.23898'!$K$2:$K$8,MATCH("2024::jama.2024.23898::C002",'C_jama.2024.23898'!$A$2:$A$8,0))),"not_applicable")</x:f>
        <x:v>not_applicable</x:v>
      </x:c>
      <x:c r="Y39" s="3" t="str">
        <x:f>IF(AND(INDEX('C_jama.2024.23898'!$D$2:$D$8,MATCH("2024::jama.2024.23898::C002",'C_jama.2024.23898'!$A$2:$A$8,0))="retain",INDEX('C_jama.2024.23898'!$E$2:$E$8,MATCH("2024::jama.2024.23898::C002",'C_jama.2024.23898'!$A$2:$A$8,0))="protocol_report"),IF(INDEX('C_jama.2024.23898'!$L$2:$L$8,MATCH("2024::jama.2024.23898::C002",'C_jama.2024.23898'!$A$2:$A$8,0))="","",INDEX('C_jama.2024.23898'!$L$2:$L$8,MATCH("2024::jama.2024.23898::C002",'C_jama.2024.23898'!$A$2:$A$8,0))),"not_applicable")</x:f>
        <x:v>not_applicable</x:v>
      </x:c>
      <x:c r="Z39" s="3" t="str">
        <x:f>IF(INDEX('C_jama.2024.23898'!$R$2:$R$8,MATCH("2024::jama.2024.23898::C002",'C_jama.2024.23898'!$A$2:$A$8,0))="","",INDEX('C_jama.2024.23898'!$R$2:$R$8,MATCH("2024::jama.2024.23898::C002",'C_jama.2024.23898'!$A$2:$A$8,0)))</x:f>
      </x:c>
      <x:c r="AA39" s="3" t="str">
        <x:f>IF(INDEX('C_jama.2024.23898'!$N$2:$N$8,MATCH("2024::jama.2024.23898::C002",'C_jama.2024.23898'!$A$2:$A$8,0))="","",INDEX('C_jama.2024.23898'!$N$2:$N$8,MATCH("2024::jama.2024.23898::C002",'C_jama.2024.23898'!$A$2:$A$8,0)))</x:f>
      </x:c>
      <x:c r="AB39" s="3" t="str">
        <x:f>IF(INDEX('C_jama.2024.23898'!$O$2:$O$8,MATCH("2024::jama.2024.23898::C002",'C_jama.2024.23898'!$A$2:$A$8,0))="","",INDEX('C_jama.2024.23898'!$O$2:$O$8,MATCH("2024::jama.2024.23898::C002",'C_jama.2024.23898'!$A$2:$A$8,0)))</x:f>
      </x:c>
      <x:c r="AC39" s="3" t="str">
        <x:f>IF(INDEX('C_jama.2024.23898'!$P$2:$P$8,MATCH("2024::jama.2024.23898::C002",'C_jama.2024.23898'!$A$2:$A$8,0))="","",INDEX('C_jama.2024.23898'!$P$2:$P$8,MATCH("2024::jama.2024.23898::C002",'C_jama.2024.23898'!$A$2:$A$8,0)))</x:f>
      </x:c>
      <x:c r="AD39" s="3" t="str">
        <x:f>IF(INDEX('C_jama.2024.23898'!$Q$2:$Q$8,MATCH("2024::jama.2024.23898::C002",'C_jama.2024.23898'!$A$2:$A$8,0))="","",INDEX('C_jama.2024.23898'!$Q$2:$Q$8,MATCH("2024::jama.2024.23898::C002",'C_jama.2024.23898'!$A$2:$A$8,0)))</x:f>
      </x:c>
    </x:row>
    <x:row r="40" ht="65" customHeight="1">
      <x:c r="A40" s="6" t="n">
        <x:v>2024</x:v>
      </x:c>
      <x:c r="B40" s="6" t="str">
        <x:v>jama.2024.23898</x:v>
      </x:c>
      <x:c r="C40" s="6" t="str">
        <x:v>2024::jama.2024.23898::C003</x:v>
      </x:c>
      <x:c r="D40" s="6" t="str">
        <x:v>P_R</x:v>
      </x:c>
      <x:c r="E40" s="6" t="n">
        <x:f>Setup!$B$2</x:f>
        <x:v>0</x:v>
      </x:c>
      <x:c r="F40" s="6" t="str">
        <x:f>IF(Setup!$B$4="","",Setup!$B$4)</x:f>
      </x:c>
      <x:c r="G40" s="6" t="str">
        <x:f>IFERROR(INDEX('C_jama.2024.23898'!$G$2:$G$8,MATCH("2024::jama.2024.23898::C003",'C_jama.2024.23898'!$A$2:$A$8,0)),"CHECK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protocol_report</x:v>
      </x:c>
      <x:c r="K40" s="6" t="str">
        <x:f>IF(Setup!$B$6="primary","",IFERROR(IF(INDEX('Primary_snapshot'!$B$2:$B$92,MATCH(C40,'Primary_snapshot'!$A$2:$A$92,0))="","",INDEX('Primary_snapshot'!$B$2:$B$92,MATCH(C40,'Primary_snapshot'!$A$2:$A$92,0))),"SNAPSHOT MISSING"))</x:f>
      </x:c>
      <x:c r="L40" s="6" t="str">
        <x:f>IF(Setup!$B$6="primary","",IFERROR(IF(INDEX('Primary_snapshot'!$C$2:$C$92,MATCH(C40,'Primary_snapshot'!$A$2:$A$92,0))="","",INDEX('Primary_snapshot'!$C$2:$C$92,MATCH(C40,'Primary_snapshot'!$A$2:$A$92,0))),"SNAPSHOT MISSING"))</x:f>
      </x:c>
      <x:c r="M40" s="6" t="str">
        <x:f>IF(Setup!$B$6="primary","",IFERROR(IF(INDEX('Primary_snapshot'!$D$2:$D$92,MATCH(C40,'Primary_snapshot'!$A$2:$A$92,0))="","",INDEX('Primary_snapshot'!$D$2:$D$92,MATCH(C40,'Primary_snapshot'!$A$2:$A$92,0))),"SNAPSHOT MISSING"))</x:f>
      </x:c>
      <x:c r="N40" s="6" t="str">
        <x:f>IF(Setup!$B$6="primary","",IFERROR(IF(INDEX('Primary_snapshot'!$E$2:$E$92,MATCH(C40,'Primary_snapshot'!$A$2:$A$92,0))="","",INDEX('Primary_snapshot'!$E$2:$E$92,MATCH(C40,'Primary_snapshot'!$A$2:$A$92,0))),"SNAPSHOT MISSING"))</x:f>
      </x:c>
      <x:c r="O40" s="6" t="str">
        <x:f>IF(Setup!$B$6="primary","",IFERROR(IF(INDEX('Primary_snapshot'!$F$2:$F$92,MATCH(C40,'Primary_snapshot'!$A$2:$A$92,0))="","",INDEX('Primary_snapshot'!$F$2:$F$92,MATCH(C40,'Primary_snapshot'!$A$2:$A$92,0))),"SNAPSHOT MISSING"))</x:f>
      </x:c>
      <x:c r="P40" s="6" t="str">
        <x:f>IF(Setup!$B$6="primary","",IFERROR(IF(INDEX('Primary_snapshot'!$G$2:$G$92,MATCH(C40,'Primary_snapshot'!$A$2:$A$92,0))="","",INDEX('Primary_snapshot'!$G$2:$G$92,MATCH(C40,'Primary_snapshot'!$A$2:$A$92,0))),"SNAPSHOT MISSING"))</x:f>
      </x:c>
      <x:c r="Q40" s="6" t="str">
        <x:f>IF(Setup!$B$6="primary","",IFERROR(IF(INDEX('Primary_snapshot'!$H$2:$H$92,MATCH(C40,'Primary_snapshot'!$A$2:$A$92,0))="","",INDEX('Primary_snapshot'!$H$2:$H$92,MATCH(C40,'Primary_snapshot'!$A$2:$A$92,0))),"SNAPSHOT MISSING"))</x:f>
      </x:c>
      <x:c r="R40" s="6" t="str">
        <x:f>IF(Setup!$B$6="primary","",IFERROR(IF(INDEX('Primary_snapshot'!$I$2:$I$92,MATCH(C40,'Primary_snapshot'!$A$2:$A$92,0))="","",INDEX('Primary_snapshot'!$I$2:$I$92,MATCH(C40,'Primary_snapshot'!$A$2:$A$92,0))),"SNAPSHOT MISSING"))</x:f>
      </x:c>
      <x:c r="S40" s="6" t="str">
        <x:f>IF(INDEX('C_jama.2024.23898'!$D$2:$D$8,MATCH("2024::jama.2024.23898::C003",'C_jama.2024.23898'!$A$2:$A$8,0))="","",INDEX('C_jama.2024.23898'!$D$2:$D$8,MATCH("2024::jama.2024.23898::C003",'C_jama.2024.23898'!$A$2:$A$8,0)))</x:f>
      </x:c>
      <x:c r="T40" s="6" t="str">
        <x:f>IF(INDEX('C_jama.2024.23898'!$E$2:$E$8,MATCH("2024::jama.2024.23898::C003",'C_jama.2024.23898'!$A$2:$A$8,0))="","",INDEX('C_jama.2024.23898'!$E$2:$E$8,MATCH("2024::jama.2024.23898::C003",'C_jama.2024.23898'!$A$2:$A$8,0)))</x:f>
        <x:v>protocol_report</x:v>
      </x:c>
      <x:c r="U40" s="6" t="str">
        <x:f>IF(AND(INDEX('C_jama.2024.23898'!$D$2:$D$8,MATCH("2024::jama.2024.23898::C003",'C_jama.2024.23898'!$A$2:$A$8,0))="retain",INDEX('C_jama.2024.23898'!$E$2:$E$8,MATCH("2024::jama.2024.23898::C003",'C_jama.2024.23898'!$A$2:$A$8,0))="statistical_results"),IF(INDEX('C_jama.2024.23898'!$H$2:$H$8,MATCH("2024::jama.2024.23898::C003",'C_jama.2024.23898'!$A$2:$A$8,0))="","",INDEX('C_jama.2024.23898'!$H$2:$H$8,MATCH("2024::jama.2024.23898::C003",'C_jama.2024.23898'!$A$2:$A$8,0))),"not_applicable")</x:f>
        <x:v>not_applicable</x:v>
      </x:c>
      <x:c r="V40" s="6" t="str">
        <x:f>IF(AND(INDEX('C_jama.2024.23898'!$D$2:$D$8,MATCH("2024::jama.2024.23898::C003",'C_jama.2024.23898'!$A$2:$A$8,0))="retain",INDEX('C_jama.2024.23898'!$E$2:$E$8,MATCH("2024::jama.2024.23898::C003",'C_jama.2024.23898'!$A$2:$A$8,0))="statistical_results"),IF(INDEX('C_jama.2024.23898'!$I$2:$I$8,MATCH("2024::jama.2024.23898::C003",'C_jama.2024.23898'!$A$2:$A$8,0))="","",INDEX('C_jama.2024.23898'!$I$2:$I$8,MATCH("2024::jama.2024.23898::C003",'C_jama.2024.23898'!$A$2:$A$8,0))),"not_applicable")</x:f>
        <x:v>not_applicable</x:v>
      </x:c>
      <x:c r="W40" s="6" t="str">
        <x:f>IF(AND(INDEX('C_jama.2024.23898'!$D$2:$D$8,MATCH("2024::jama.2024.23898::C003",'C_jama.2024.23898'!$A$2:$A$8,0))="retain",INDEX('C_jama.2024.23898'!$E$2:$E$8,MATCH("2024::jama.2024.23898::C003",'C_jama.2024.23898'!$A$2:$A$8,0))="statistical_results"),IF(INDEX('C_jama.2024.23898'!$J$2:$J$8,MATCH("2024::jama.2024.23898::C003",'C_jama.2024.23898'!$A$2:$A$8,0))="","",INDEX('C_jama.2024.23898'!$J$2:$J$8,MATCH("2024::jama.2024.23898::C003",'C_jama.2024.23898'!$A$2:$A$8,0))),"not_applicable")</x:f>
        <x:v>not_applicable</x:v>
      </x:c>
      <x:c r="X40" s="6" t="str">
        <x:f>IF(AND(INDEX('C_jama.2024.23898'!$D$2:$D$8,MATCH("2024::jama.2024.23898::C003",'C_jama.2024.23898'!$A$2:$A$8,0))="retain",OR(INDEX('C_jama.2024.23898'!$E$2:$E$8,MATCH("2024::jama.2024.23898::C003",'C_jama.2024.23898'!$A$2:$A$8,0))="report_internal_inconsistency",INDEX('C_jama.2024.23898'!$E$2:$E$8,MATCH("2024::jama.2024.23898::C003",'C_jama.2024.23898'!$A$2:$A$8,0))="plan_material")),IF(INDEX('C_jama.2024.23898'!$K$2:$K$8,MATCH("2024::jama.2024.23898::C003",'C_jama.2024.23898'!$A$2:$A$8,0))="","",INDEX('C_jama.2024.23898'!$K$2:$K$8,MATCH("2024::jama.2024.23898::C003",'C_jama.2024.23898'!$A$2:$A$8,0))),"not_applicable")</x:f>
        <x:v>not_applicable</x:v>
      </x:c>
      <x:c r="Y40" s="6" t="str">
        <x:f>IF(AND(INDEX('C_jama.2024.23898'!$D$2:$D$8,MATCH("2024::jama.2024.23898::C003",'C_jama.2024.23898'!$A$2:$A$8,0))="retain",INDEX('C_jama.2024.23898'!$E$2:$E$8,MATCH("2024::jama.2024.23898::C003",'C_jama.2024.23898'!$A$2:$A$8,0))="protocol_report"),IF(INDEX('C_jama.2024.23898'!$L$2:$L$8,MATCH("2024::jama.2024.23898::C003",'C_jama.2024.23898'!$A$2:$A$8,0))="","",INDEX('C_jama.2024.23898'!$L$2:$L$8,MATCH("2024::jama.2024.23898::C003",'C_jama.2024.23898'!$A$2:$A$8,0))),"not_applicable")</x:f>
        <x:v>not_applicable</x:v>
      </x:c>
      <x:c r="Z40" s="6" t="str">
        <x:f>IF(INDEX('C_jama.2024.23898'!$R$2:$R$8,MATCH("2024::jama.2024.23898::C003",'C_jama.2024.23898'!$A$2:$A$8,0))="","",INDEX('C_jama.2024.23898'!$R$2:$R$8,MATCH("2024::jama.2024.23898::C003",'C_jama.2024.23898'!$A$2:$A$8,0)))</x:f>
      </x:c>
      <x:c r="AA40" s="6" t="str">
        <x:f>IF(INDEX('C_jama.2024.23898'!$N$2:$N$8,MATCH("2024::jama.2024.23898::C003",'C_jama.2024.23898'!$A$2:$A$8,0))="","",INDEX('C_jama.2024.23898'!$N$2:$N$8,MATCH("2024::jama.2024.23898::C003",'C_jama.2024.23898'!$A$2:$A$8,0)))</x:f>
      </x:c>
      <x:c r="AB40" s="6" t="str">
        <x:f>IF(INDEX('C_jama.2024.23898'!$O$2:$O$8,MATCH("2024::jama.2024.23898::C003",'C_jama.2024.23898'!$A$2:$A$8,0))="","",INDEX('C_jama.2024.23898'!$O$2:$O$8,MATCH("2024::jama.2024.23898::C003",'C_jama.2024.23898'!$A$2:$A$8,0)))</x:f>
      </x:c>
      <x:c r="AC40" s="6" t="str">
        <x:f>IF(INDEX('C_jama.2024.23898'!$P$2:$P$8,MATCH("2024::jama.2024.23898::C003",'C_jama.2024.23898'!$A$2:$A$8,0))="","",INDEX('C_jama.2024.23898'!$P$2:$P$8,MATCH("2024::jama.2024.23898::C003",'C_jama.2024.23898'!$A$2:$A$8,0)))</x:f>
      </x:c>
      <x:c r="AD40" s="6" t="str">
        <x:f>IF(INDEX('C_jama.2024.23898'!$Q$2:$Q$8,MATCH("2024::jama.2024.23898::C003",'C_jama.2024.23898'!$A$2:$A$8,0))="","",INDEX('C_jama.2024.23898'!$Q$2:$Q$8,MATCH("2024::jama.2024.23898::C003",'C_jama.2024.23898'!$A$2:$A$8,0)))</x:f>
      </x:c>
    </x:row>
    <x:row r="41" ht="65" customHeight="1">
      <x:c r="A41" s="3" t="n">
        <x:v>2024</x:v>
      </x:c>
      <x:c r="B41" s="3" t="str">
        <x:v>jama.2024.23898</x:v>
      </x:c>
      <x:c r="C41" s="3" t="str">
        <x:v>2024::jama.2024.23898::C004</x:v>
      </x:c>
      <x:c r="D41" s="3" t="str">
        <x:v>P_R</x:v>
      </x:c>
      <x:c r="E41" s="3" t="n">
        <x:f>Setup!$B$2</x:f>
        <x:v>0</x:v>
      </x:c>
      <x:c r="F41" s="3" t="str">
        <x:f>IF(Setup!$B$4="","",Setup!$B$4)</x:f>
      </x:c>
      <x:c r="G41" s="3" t="str">
        <x:f>IFERROR(INDEX('C_jama.2024.23898'!$G$2:$G$8,MATCH("2024::jama.2024.23898::C004",'C_jama.2024.23898'!$A$2:$A$8,0)),"CHECK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protocol_report</x:v>
      </x:c>
      <x:c r="K41" s="3" t="str">
        <x:f>IF(Setup!$B$6="primary","",IFERROR(IF(INDEX('Primary_snapshot'!$B$2:$B$92,MATCH(C41,'Primary_snapshot'!$A$2:$A$92,0))="","",INDEX('Primary_snapshot'!$B$2:$B$92,MATCH(C41,'Primary_snapshot'!$A$2:$A$92,0))),"SNAPSHOT MISSING"))</x:f>
      </x:c>
      <x:c r="L41" s="3" t="str">
        <x:f>IF(Setup!$B$6="primary","",IFERROR(IF(INDEX('Primary_snapshot'!$C$2:$C$92,MATCH(C41,'Primary_snapshot'!$A$2:$A$92,0))="","",INDEX('Primary_snapshot'!$C$2:$C$92,MATCH(C41,'Primary_snapshot'!$A$2:$A$92,0))),"SNAPSHOT MISSING"))</x:f>
      </x:c>
      <x:c r="M41" s="3" t="str">
        <x:f>IF(Setup!$B$6="primary","",IFERROR(IF(INDEX('Primary_snapshot'!$D$2:$D$92,MATCH(C41,'Primary_snapshot'!$A$2:$A$92,0))="","",INDEX('Primary_snapshot'!$D$2:$D$92,MATCH(C41,'Primary_snapshot'!$A$2:$A$92,0))),"SNAPSHOT MISSING"))</x:f>
      </x:c>
      <x:c r="N41" s="3" t="str">
        <x:f>IF(Setup!$B$6="primary","",IFERROR(IF(INDEX('Primary_snapshot'!$E$2:$E$92,MATCH(C41,'Primary_snapshot'!$A$2:$A$92,0))="","",INDEX('Primary_snapshot'!$E$2:$E$92,MATCH(C41,'Primary_snapshot'!$A$2:$A$92,0))),"SNAPSHOT MISSING"))</x:f>
      </x:c>
      <x:c r="O41" s="3" t="str">
        <x:f>IF(Setup!$B$6="primary","",IFERROR(IF(INDEX('Primary_snapshot'!$F$2:$F$92,MATCH(C41,'Primary_snapshot'!$A$2:$A$92,0))="","",INDEX('Primary_snapshot'!$F$2:$F$92,MATCH(C41,'Primary_snapshot'!$A$2:$A$92,0))),"SNAPSHOT MISSING"))</x:f>
      </x:c>
      <x:c r="P41" s="3" t="str">
        <x:f>IF(Setup!$B$6="primary","",IFERROR(IF(INDEX('Primary_snapshot'!$G$2:$G$92,MATCH(C41,'Primary_snapshot'!$A$2:$A$92,0))="","",INDEX('Primary_snapshot'!$G$2:$G$92,MATCH(C41,'Primary_snapshot'!$A$2:$A$92,0))),"SNAPSHOT MISSING"))</x:f>
      </x:c>
      <x:c r="Q41" s="3" t="str">
        <x:f>IF(Setup!$B$6="primary","",IFERROR(IF(INDEX('Primary_snapshot'!$H$2:$H$92,MATCH(C41,'Primary_snapshot'!$A$2:$A$92,0))="","",INDEX('Primary_snapshot'!$H$2:$H$92,MATCH(C41,'Primary_snapshot'!$A$2:$A$92,0))),"SNAPSHOT MISSING"))</x:f>
      </x:c>
      <x:c r="R41" s="3" t="str">
        <x:f>IF(Setup!$B$6="primary","",IFERROR(IF(INDEX('Primary_snapshot'!$I$2:$I$92,MATCH(C41,'Primary_snapshot'!$A$2:$A$92,0))="","",INDEX('Primary_snapshot'!$I$2:$I$92,MATCH(C41,'Primary_snapshot'!$A$2:$A$92,0))),"SNAPSHOT MISSING"))</x:f>
      </x:c>
      <x:c r="S41" s="3" t="str">
        <x:f>IF(INDEX('C_jama.2024.23898'!$D$2:$D$8,MATCH("2024::jama.2024.23898::C004",'C_jama.2024.23898'!$A$2:$A$8,0))="","",INDEX('C_jama.2024.23898'!$D$2:$D$8,MATCH("2024::jama.2024.23898::C004",'C_jama.2024.23898'!$A$2:$A$8,0)))</x:f>
      </x:c>
      <x:c r="T41" s="3" t="str">
        <x:f>IF(INDEX('C_jama.2024.23898'!$E$2:$E$8,MATCH("2024::jama.2024.23898::C004",'C_jama.2024.23898'!$A$2:$A$8,0))="","",INDEX('C_jama.2024.23898'!$E$2:$E$8,MATCH("2024::jama.2024.23898::C004",'C_jama.2024.23898'!$A$2:$A$8,0)))</x:f>
        <x:v>protocol_report</x:v>
      </x:c>
      <x:c r="U41" s="3" t="str">
        <x:f>IF(AND(INDEX('C_jama.2024.23898'!$D$2:$D$8,MATCH("2024::jama.2024.23898::C004",'C_jama.2024.23898'!$A$2:$A$8,0))="retain",INDEX('C_jama.2024.23898'!$E$2:$E$8,MATCH("2024::jama.2024.23898::C004",'C_jama.2024.23898'!$A$2:$A$8,0))="statistical_results"),IF(INDEX('C_jama.2024.23898'!$H$2:$H$8,MATCH("2024::jama.2024.23898::C004",'C_jama.2024.23898'!$A$2:$A$8,0))="","",INDEX('C_jama.2024.23898'!$H$2:$H$8,MATCH("2024::jama.2024.23898::C004",'C_jama.2024.23898'!$A$2:$A$8,0))),"not_applicable")</x:f>
        <x:v>not_applicable</x:v>
      </x:c>
      <x:c r="V41" s="3" t="str">
        <x:f>IF(AND(INDEX('C_jama.2024.23898'!$D$2:$D$8,MATCH("2024::jama.2024.23898::C004",'C_jama.2024.23898'!$A$2:$A$8,0))="retain",INDEX('C_jama.2024.23898'!$E$2:$E$8,MATCH("2024::jama.2024.23898::C004",'C_jama.2024.23898'!$A$2:$A$8,0))="statistical_results"),IF(INDEX('C_jama.2024.23898'!$I$2:$I$8,MATCH("2024::jama.2024.23898::C004",'C_jama.2024.23898'!$A$2:$A$8,0))="","",INDEX('C_jama.2024.23898'!$I$2:$I$8,MATCH("2024::jama.2024.23898::C004",'C_jama.2024.23898'!$A$2:$A$8,0))),"not_applicable")</x:f>
        <x:v>not_applicable</x:v>
      </x:c>
      <x:c r="W41" s="3" t="str">
        <x:f>IF(AND(INDEX('C_jama.2024.23898'!$D$2:$D$8,MATCH("2024::jama.2024.23898::C004",'C_jama.2024.23898'!$A$2:$A$8,0))="retain",INDEX('C_jama.2024.23898'!$E$2:$E$8,MATCH("2024::jama.2024.23898::C004",'C_jama.2024.23898'!$A$2:$A$8,0))="statistical_results"),IF(INDEX('C_jama.2024.23898'!$J$2:$J$8,MATCH("2024::jama.2024.23898::C004",'C_jama.2024.23898'!$A$2:$A$8,0))="","",INDEX('C_jama.2024.23898'!$J$2:$J$8,MATCH("2024::jama.2024.23898::C004",'C_jama.2024.23898'!$A$2:$A$8,0))),"not_applicable")</x:f>
        <x:v>not_applicable</x:v>
      </x:c>
      <x:c r="X41" s="3" t="str">
        <x:f>IF(AND(INDEX('C_jama.2024.23898'!$D$2:$D$8,MATCH("2024::jama.2024.23898::C004",'C_jama.2024.23898'!$A$2:$A$8,0))="retain",OR(INDEX('C_jama.2024.23898'!$E$2:$E$8,MATCH("2024::jama.2024.23898::C004",'C_jama.2024.23898'!$A$2:$A$8,0))="report_internal_inconsistency",INDEX('C_jama.2024.23898'!$E$2:$E$8,MATCH("2024::jama.2024.23898::C004",'C_jama.2024.23898'!$A$2:$A$8,0))="plan_material")),IF(INDEX('C_jama.2024.23898'!$K$2:$K$8,MATCH("2024::jama.2024.23898::C004",'C_jama.2024.23898'!$A$2:$A$8,0))="","",INDEX('C_jama.2024.23898'!$K$2:$K$8,MATCH("2024::jama.2024.23898::C004",'C_jama.2024.23898'!$A$2:$A$8,0))),"not_applicable")</x:f>
        <x:v>not_applicable</x:v>
      </x:c>
      <x:c r="Y41" s="3" t="str">
        <x:f>IF(AND(INDEX('C_jama.2024.23898'!$D$2:$D$8,MATCH("2024::jama.2024.23898::C004",'C_jama.2024.23898'!$A$2:$A$8,0))="retain",INDEX('C_jama.2024.23898'!$E$2:$E$8,MATCH("2024::jama.2024.23898::C004",'C_jama.2024.23898'!$A$2:$A$8,0))="protocol_report"),IF(INDEX('C_jama.2024.23898'!$L$2:$L$8,MATCH("2024::jama.2024.23898::C004",'C_jama.2024.23898'!$A$2:$A$8,0))="","",INDEX('C_jama.2024.23898'!$L$2:$L$8,MATCH("2024::jama.2024.23898::C004",'C_jama.2024.23898'!$A$2:$A$8,0))),"not_applicable")</x:f>
        <x:v>not_applicable</x:v>
      </x:c>
      <x:c r="Z41" s="3" t="str">
        <x:f>IF(INDEX('C_jama.2024.23898'!$R$2:$R$8,MATCH("2024::jama.2024.23898::C004",'C_jama.2024.23898'!$A$2:$A$8,0))="","",INDEX('C_jama.2024.23898'!$R$2:$R$8,MATCH("2024::jama.2024.23898::C004",'C_jama.2024.23898'!$A$2:$A$8,0)))</x:f>
      </x:c>
      <x:c r="AA41" s="3" t="str">
        <x:f>IF(INDEX('C_jama.2024.23898'!$N$2:$N$8,MATCH("2024::jama.2024.23898::C004",'C_jama.2024.23898'!$A$2:$A$8,0))="","",INDEX('C_jama.2024.23898'!$N$2:$N$8,MATCH("2024::jama.2024.23898::C004",'C_jama.2024.23898'!$A$2:$A$8,0)))</x:f>
      </x:c>
      <x:c r="AB41" s="3" t="str">
        <x:f>IF(INDEX('C_jama.2024.23898'!$O$2:$O$8,MATCH("2024::jama.2024.23898::C004",'C_jama.2024.23898'!$A$2:$A$8,0))="","",INDEX('C_jama.2024.23898'!$O$2:$O$8,MATCH("2024::jama.2024.23898::C004",'C_jama.2024.23898'!$A$2:$A$8,0)))</x:f>
      </x:c>
      <x:c r="AC41" s="3" t="str">
        <x:f>IF(INDEX('C_jama.2024.23898'!$P$2:$P$8,MATCH("2024::jama.2024.23898::C004",'C_jama.2024.23898'!$A$2:$A$8,0))="","",INDEX('C_jama.2024.23898'!$P$2:$P$8,MATCH("2024::jama.2024.23898::C004",'C_jama.2024.23898'!$A$2:$A$8,0)))</x:f>
      </x:c>
      <x:c r="AD41" s="3" t="str">
        <x:f>IF(INDEX('C_jama.2024.23898'!$Q$2:$Q$8,MATCH("2024::jama.2024.23898::C004",'C_jama.2024.23898'!$A$2:$A$8,0))="","",INDEX('C_jama.2024.23898'!$Q$2:$Q$8,MATCH("2024::jama.2024.23898::C004",'C_jama.2024.23898'!$A$2:$A$8,0)))</x:f>
      </x:c>
    </x:row>
    <x:row r="42" ht="65" customHeight="1">
      <x:c r="A42" s="6" t="n">
        <x:v>2024</x:v>
      </x:c>
      <x:c r="B42" s="6" t="str">
        <x:v>jama.2024.23898</x:v>
      </x:c>
      <x:c r="C42" s="6" t="str">
        <x:v>2024::jama.2024.23898::C005</x:v>
      </x:c>
      <x:c r="D42" s="6" t="str">
        <x:v>S_W</x:v>
      </x:c>
      <x:c r="E42" s="6" t="n">
        <x:f>Setup!$B$2</x:f>
        <x:v>0</x:v>
      </x:c>
      <x:c r="F42" s="6" t="str">
        <x:f>IF(Setup!$B$4="","",Setup!$B$4)</x:f>
      </x:c>
      <x:c r="G42" s="6" t="str">
        <x:f>IFERROR(INDEX('C_jama.2024.23898'!$G$2:$G$8,MATCH("2024::jama.2024.23898::C005",'C_jama.2024.23898'!$A$2:$A$8,0)),"CHECK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IF(Setup!$B$6="primary","",IFERROR(IF(INDEX('Primary_snapshot'!$B$2:$B$92,MATCH(C42,'Primary_snapshot'!$A$2:$A$92,0))="","",INDEX('Primary_snapshot'!$B$2:$B$92,MATCH(C42,'Primary_snapshot'!$A$2:$A$92,0))),"SNAPSHOT MISSING"))</x:f>
      </x:c>
      <x:c r="L42" s="6" t="str">
        <x:f>IF(Setup!$B$6="primary","",IFERROR(IF(INDEX('Primary_snapshot'!$C$2:$C$92,MATCH(C42,'Primary_snapshot'!$A$2:$A$92,0))="","",INDEX('Primary_snapshot'!$C$2:$C$92,MATCH(C42,'Primary_snapshot'!$A$2:$A$92,0))),"SNAPSHOT MISSING"))</x:f>
      </x:c>
      <x:c r="M42" s="6" t="str">
        <x:f>IF(Setup!$B$6="primary","",IFERROR(IF(INDEX('Primary_snapshot'!$D$2:$D$92,MATCH(C42,'Primary_snapshot'!$A$2:$A$92,0))="","",INDEX('Primary_snapshot'!$D$2:$D$92,MATCH(C42,'Primary_snapshot'!$A$2:$A$92,0))),"SNAPSHOT MISSING"))</x:f>
      </x:c>
      <x:c r="N42" s="6" t="str">
        <x:f>IF(Setup!$B$6="primary","",IFERROR(IF(INDEX('Primary_snapshot'!$E$2:$E$92,MATCH(C42,'Primary_snapshot'!$A$2:$A$92,0))="","",INDEX('Primary_snapshot'!$E$2:$E$92,MATCH(C42,'Primary_snapshot'!$A$2:$A$92,0))),"SNAPSHOT MISSING"))</x:f>
      </x:c>
      <x:c r="O42" s="6" t="str">
        <x:f>IF(Setup!$B$6="primary","",IFERROR(IF(INDEX('Primary_snapshot'!$F$2:$F$92,MATCH(C42,'Primary_snapshot'!$A$2:$A$92,0))="","",INDEX('Primary_snapshot'!$F$2:$F$92,MATCH(C42,'Primary_snapshot'!$A$2:$A$92,0))),"SNAPSHOT MISSING"))</x:f>
      </x:c>
      <x:c r="P42" s="6" t="str">
        <x:f>IF(Setup!$B$6="primary","",IFERROR(IF(INDEX('Primary_snapshot'!$G$2:$G$92,MATCH(C42,'Primary_snapshot'!$A$2:$A$92,0))="","",INDEX('Primary_snapshot'!$G$2:$G$92,MATCH(C42,'Primary_snapshot'!$A$2:$A$92,0))),"SNAPSHOT MISSING"))</x:f>
      </x:c>
      <x:c r="Q42" s="6" t="str">
        <x:f>IF(Setup!$B$6="primary","",IFERROR(IF(INDEX('Primary_snapshot'!$H$2:$H$92,MATCH(C42,'Primary_snapshot'!$A$2:$A$92,0))="","",INDEX('Primary_snapshot'!$H$2:$H$92,MATCH(C42,'Primary_snapshot'!$A$2:$A$92,0))),"SNAPSHOT MISSING"))</x:f>
      </x:c>
      <x:c r="R42" s="6" t="str">
        <x:f>IF(Setup!$B$6="primary","",IFERROR(IF(INDEX('Primary_snapshot'!$I$2:$I$92,MATCH(C42,'Primary_snapshot'!$A$2:$A$92,0))="","",INDEX('Primary_snapshot'!$I$2:$I$92,MATCH(C42,'Primary_snapshot'!$A$2:$A$92,0))),"SNAPSHOT MISSING"))</x:f>
      </x:c>
      <x:c r="S42" s="6" t="str">
        <x:f>IF(INDEX('C_jama.2024.23898'!$D$2:$D$8,MATCH("2024::jama.2024.23898::C005",'C_jama.2024.23898'!$A$2:$A$8,0))="","",INDEX('C_jama.2024.23898'!$D$2:$D$8,MATCH("2024::jama.2024.23898::C005",'C_jama.2024.23898'!$A$2:$A$8,0)))</x:f>
      </x:c>
      <x:c r="T42" s="6" t="str">
        <x:f>IF(INDEX('C_jama.2024.23898'!$E$2:$E$8,MATCH("2024::jama.2024.23898::C005",'C_jama.2024.23898'!$A$2:$A$8,0))="","",INDEX('C_jama.2024.23898'!$E$2:$E$8,MATCH("2024::jama.2024.23898::C005",'C_jama.2024.23898'!$A$2:$A$8,0)))</x:f>
        <x:v>statistical_results</x:v>
      </x:c>
      <x:c r="U42" s="6" t="str">
        <x:f>IF(AND(INDEX('C_jama.2024.23898'!$D$2:$D$8,MATCH("2024::jama.2024.23898::C005",'C_jama.2024.23898'!$A$2:$A$8,0))="retain",INDEX('C_jama.2024.23898'!$E$2:$E$8,MATCH("2024::jama.2024.23898::C005",'C_jama.2024.23898'!$A$2:$A$8,0))="statistical_results"),IF(INDEX('C_jama.2024.23898'!$H$2:$H$8,MATCH("2024::jama.2024.23898::C005",'C_jama.2024.23898'!$A$2:$A$8,0))="","",INDEX('C_jama.2024.23898'!$H$2:$H$8,MATCH("2024::jama.2024.23898::C005",'C_jama.2024.23898'!$A$2:$A$8,0))),"not_applicable")</x:f>
        <x:v>not_applicable</x:v>
      </x:c>
      <x:c r="V42" s="6" t="str">
        <x:f>IF(AND(INDEX('C_jama.2024.23898'!$D$2:$D$8,MATCH("2024::jama.2024.23898::C005",'C_jama.2024.23898'!$A$2:$A$8,0))="retain",INDEX('C_jama.2024.23898'!$E$2:$E$8,MATCH("2024::jama.2024.23898::C005",'C_jama.2024.23898'!$A$2:$A$8,0))="statistical_results"),IF(INDEX('C_jama.2024.23898'!$I$2:$I$8,MATCH("2024::jama.2024.23898::C005",'C_jama.2024.23898'!$A$2:$A$8,0))="","",INDEX('C_jama.2024.23898'!$I$2:$I$8,MATCH("2024::jama.2024.23898::C005",'C_jama.2024.23898'!$A$2:$A$8,0))),"not_applicable")</x:f>
        <x:v>not_applicable</x:v>
      </x:c>
      <x:c r="W42" s="6" t="str">
        <x:f>IF(AND(INDEX('C_jama.2024.23898'!$D$2:$D$8,MATCH("2024::jama.2024.23898::C005",'C_jama.2024.23898'!$A$2:$A$8,0))="retain",INDEX('C_jama.2024.23898'!$E$2:$E$8,MATCH("2024::jama.2024.23898::C005",'C_jama.2024.23898'!$A$2:$A$8,0))="statistical_results"),IF(INDEX('C_jama.2024.23898'!$J$2:$J$8,MATCH("2024::jama.2024.23898::C005",'C_jama.2024.23898'!$A$2:$A$8,0))="","",INDEX('C_jama.2024.23898'!$J$2:$J$8,MATCH("2024::jama.2024.23898::C005",'C_jama.2024.23898'!$A$2:$A$8,0))),"not_applicable")</x:f>
        <x:v>not_applicable</x:v>
      </x:c>
      <x:c r="X42" s="6" t="str">
        <x:f>IF(AND(INDEX('C_jama.2024.23898'!$D$2:$D$8,MATCH("2024::jama.2024.23898::C005",'C_jama.2024.23898'!$A$2:$A$8,0))="retain",OR(INDEX('C_jama.2024.23898'!$E$2:$E$8,MATCH("2024::jama.2024.23898::C005",'C_jama.2024.23898'!$A$2:$A$8,0))="report_internal_inconsistency",INDEX('C_jama.2024.23898'!$E$2:$E$8,MATCH("2024::jama.2024.23898::C005",'C_jama.2024.23898'!$A$2:$A$8,0))="plan_material")),IF(INDEX('C_jama.2024.23898'!$K$2:$K$8,MATCH("2024::jama.2024.23898::C005",'C_jama.2024.23898'!$A$2:$A$8,0))="","",INDEX('C_jama.2024.23898'!$K$2:$K$8,MATCH("2024::jama.2024.23898::C005",'C_jama.2024.23898'!$A$2:$A$8,0))),"not_applicable")</x:f>
        <x:v>not_applicable</x:v>
      </x:c>
      <x:c r="Y42" s="6" t="str">
        <x:f>IF(AND(INDEX('C_jama.2024.23898'!$D$2:$D$8,MATCH("2024::jama.2024.23898::C005",'C_jama.2024.23898'!$A$2:$A$8,0))="retain",INDEX('C_jama.2024.23898'!$E$2:$E$8,MATCH("2024::jama.2024.23898::C005",'C_jama.2024.23898'!$A$2:$A$8,0))="protocol_report"),IF(INDEX('C_jama.2024.23898'!$L$2:$L$8,MATCH("2024::jama.2024.23898::C005",'C_jama.2024.23898'!$A$2:$A$8,0))="","",INDEX('C_jama.2024.23898'!$L$2:$L$8,MATCH("2024::jama.2024.23898::C005",'C_jama.2024.23898'!$A$2:$A$8,0))),"not_applicable")</x:f>
        <x:v>not_applicable</x:v>
      </x:c>
      <x:c r="Z42" s="6" t="str">
        <x:f>IF(INDEX('C_jama.2024.23898'!$R$2:$R$8,MATCH("2024::jama.2024.23898::C005",'C_jama.2024.23898'!$A$2:$A$8,0))="","",INDEX('C_jama.2024.23898'!$R$2:$R$8,MATCH("2024::jama.2024.23898::C005",'C_jama.2024.23898'!$A$2:$A$8,0)))</x:f>
      </x:c>
      <x:c r="AA42" s="6" t="str">
        <x:f>IF(INDEX('C_jama.2024.23898'!$N$2:$N$8,MATCH("2024::jama.2024.23898::C005",'C_jama.2024.23898'!$A$2:$A$8,0))="","",INDEX('C_jama.2024.23898'!$N$2:$N$8,MATCH("2024::jama.2024.23898::C005",'C_jama.2024.23898'!$A$2:$A$8,0)))</x:f>
      </x:c>
      <x:c r="AB42" s="6" t="str">
        <x:f>IF(INDEX('C_jama.2024.23898'!$O$2:$O$8,MATCH("2024::jama.2024.23898::C005",'C_jama.2024.23898'!$A$2:$A$8,0))="","",INDEX('C_jama.2024.23898'!$O$2:$O$8,MATCH("2024::jama.2024.23898::C005",'C_jama.2024.23898'!$A$2:$A$8,0)))</x:f>
      </x:c>
      <x:c r="AC42" s="6" t="str">
        <x:f>IF(INDEX('C_jama.2024.23898'!$P$2:$P$8,MATCH("2024::jama.2024.23898::C005",'C_jama.2024.23898'!$A$2:$A$8,0))="","",INDEX('C_jama.2024.23898'!$P$2:$P$8,MATCH("2024::jama.2024.23898::C005",'C_jama.2024.23898'!$A$2:$A$8,0)))</x:f>
      </x:c>
      <x:c r="AD42" s="6" t="str">
        <x:f>IF(INDEX('C_jama.2024.23898'!$Q$2:$Q$8,MATCH("2024::jama.2024.23898::C005",'C_jama.2024.23898'!$A$2:$A$8,0))="","",INDEX('C_jama.2024.23898'!$Q$2:$Q$8,MATCH("2024::jama.2024.23898::C005",'C_jama.2024.23898'!$A$2:$A$8,0)))</x:f>
      </x:c>
    </x:row>
    <x:row r="43" ht="65" customHeight="1">
      <x:c r="A43" s="3" t="n">
        <x:v>2024</x:v>
      </x:c>
      <x:c r="B43" s="3" t="str">
        <x:v>jama.2024.23898</x:v>
      </x:c>
      <x:c r="C43" s="3" t="str">
        <x:v>2024::jama.2024.23898::C006</x:v>
      </x:c>
      <x:c r="D43" s="3" t="str">
        <x:v>S_W</x:v>
      </x:c>
      <x:c r="E43" s="3" t="n">
        <x:f>Setup!$B$2</x:f>
        <x:v>0</x:v>
      </x:c>
      <x:c r="F43" s="3" t="str">
        <x:f>IF(Setup!$B$4="","",Setup!$B$4)</x:f>
      </x:c>
      <x:c r="G43" s="3" t="str">
        <x:f>IFERROR(INDEX('C_jama.2024.23898'!$G$2:$G$8,MATCH("2024::jama.2024.23898::C006",'C_jama.2024.23898'!$A$2:$A$8,0)),"CHECK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IF(Setup!$B$6="primary","",IFERROR(IF(INDEX('Primary_snapshot'!$B$2:$B$92,MATCH(C43,'Primary_snapshot'!$A$2:$A$92,0))="","",INDEX('Primary_snapshot'!$B$2:$B$92,MATCH(C43,'Primary_snapshot'!$A$2:$A$92,0))),"SNAPSHOT MISSING"))</x:f>
      </x:c>
      <x:c r="L43" s="3" t="str">
        <x:f>IF(Setup!$B$6="primary","",IFERROR(IF(INDEX('Primary_snapshot'!$C$2:$C$92,MATCH(C43,'Primary_snapshot'!$A$2:$A$92,0))="","",INDEX('Primary_snapshot'!$C$2:$C$92,MATCH(C43,'Primary_snapshot'!$A$2:$A$92,0))),"SNAPSHOT MISSING"))</x:f>
      </x:c>
      <x:c r="M43" s="3" t="str">
        <x:f>IF(Setup!$B$6="primary","",IFERROR(IF(INDEX('Primary_snapshot'!$D$2:$D$92,MATCH(C43,'Primary_snapshot'!$A$2:$A$92,0))="","",INDEX('Primary_snapshot'!$D$2:$D$92,MATCH(C43,'Primary_snapshot'!$A$2:$A$92,0))),"SNAPSHOT MISSING"))</x:f>
      </x:c>
      <x:c r="N43" s="3" t="str">
        <x:f>IF(Setup!$B$6="primary","",IFERROR(IF(INDEX('Primary_snapshot'!$E$2:$E$92,MATCH(C43,'Primary_snapshot'!$A$2:$A$92,0))="","",INDEX('Primary_snapshot'!$E$2:$E$92,MATCH(C43,'Primary_snapshot'!$A$2:$A$92,0))),"SNAPSHOT MISSING"))</x:f>
      </x:c>
      <x:c r="O43" s="3" t="str">
        <x:f>IF(Setup!$B$6="primary","",IFERROR(IF(INDEX('Primary_snapshot'!$F$2:$F$92,MATCH(C43,'Primary_snapshot'!$A$2:$A$92,0))="","",INDEX('Primary_snapshot'!$F$2:$F$92,MATCH(C43,'Primary_snapshot'!$A$2:$A$92,0))),"SNAPSHOT MISSING"))</x:f>
      </x:c>
      <x:c r="P43" s="3" t="str">
        <x:f>IF(Setup!$B$6="primary","",IFERROR(IF(INDEX('Primary_snapshot'!$G$2:$G$92,MATCH(C43,'Primary_snapshot'!$A$2:$A$92,0))="","",INDEX('Primary_snapshot'!$G$2:$G$92,MATCH(C43,'Primary_snapshot'!$A$2:$A$92,0))),"SNAPSHOT MISSING"))</x:f>
      </x:c>
      <x:c r="Q43" s="3" t="str">
        <x:f>IF(Setup!$B$6="primary","",IFERROR(IF(INDEX('Primary_snapshot'!$H$2:$H$92,MATCH(C43,'Primary_snapshot'!$A$2:$A$92,0))="","",INDEX('Primary_snapshot'!$H$2:$H$92,MATCH(C43,'Primary_snapshot'!$A$2:$A$92,0))),"SNAPSHOT MISSING"))</x:f>
      </x:c>
      <x:c r="R43" s="3" t="str">
        <x:f>IF(Setup!$B$6="primary","",IFERROR(IF(INDEX('Primary_snapshot'!$I$2:$I$92,MATCH(C43,'Primary_snapshot'!$A$2:$A$92,0))="","",INDEX('Primary_snapshot'!$I$2:$I$92,MATCH(C43,'Primary_snapshot'!$A$2:$A$92,0))),"SNAPSHOT MISSING"))</x:f>
      </x:c>
      <x:c r="S43" s="3" t="str">
        <x:f>IF(INDEX('C_jama.2024.23898'!$D$2:$D$8,MATCH("2024::jama.2024.23898::C006",'C_jama.2024.23898'!$A$2:$A$8,0))="","",INDEX('C_jama.2024.23898'!$D$2:$D$8,MATCH("2024::jama.2024.23898::C006",'C_jama.2024.23898'!$A$2:$A$8,0)))</x:f>
      </x:c>
      <x:c r="T43" s="3" t="str">
        <x:f>IF(INDEX('C_jama.2024.23898'!$E$2:$E$8,MATCH("2024::jama.2024.23898::C006",'C_jama.2024.23898'!$A$2:$A$8,0))="","",INDEX('C_jama.2024.23898'!$E$2:$E$8,MATCH("2024::jama.2024.23898::C006",'C_jama.2024.23898'!$A$2:$A$8,0)))</x:f>
        <x:v>statistical_results</x:v>
      </x:c>
      <x:c r="U43" s="3" t="str">
        <x:f>IF(AND(INDEX('C_jama.2024.23898'!$D$2:$D$8,MATCH("2024::jama.2024.23898::C006",'C_jama.2024.23898'!$A$2:$A$8,0))="retain",INDEX('C_jama.2024.23898'!$E$2:$E$8,MATCH("2024::jama.2024.23898::C006",'C_jama.2024.23898'!$A$2:$A$8,0))="statistical_results"),IF(INDEX('C_jama.2024.23898'!$H$2:$H$8,MATCH("2024::jama.2024.23898::C006",'C_jama.2024.23898'!$A$2:$A$8,0))="","",INDEX('C_jama.2024.23898'!$H$2:$H$8,MATCH("2024::jama.2024.23898::C006",'C_jama.2024.23898'!$A$2:$A$8,0))),"not_applicable")</x:f>
        <x:v>not_applicable</x:v>
      </x:c>
      <x:c r="V43" s="3" t="str">
        <x:f>IF(AND(INDEX('C_jama.2024.23898'!$D$2:$D$8,MATCH("2024::jama.2024.23898::C006",'C_jama.2024.23898'!$A$2:$A$8,0))="retain",INDEX('C_jama.2024.23898'!$E$2:$E$8,MATCH("2024::jama.2024.23898::C006",'C_jama.2024.23898'!$A$2:$A$8,0))="statistical_results"),IF(INDEX('C_jama.2024.23898'!$I$2:$I$8,MATCH("2024::jama.2024.23898::C006",'C_jama.2024.23898'!$A$2:$A$8,0))="","",INDEX('C_jama.2024.23898'!$I$2:$I$8,MATCH("2024::jama.2024.23898::C006",'C_jama.2024.23898'!$A$2:$A$8,0))),"not_applicable")</x:f>
        <x:v>not_applicable</x:v>
      </x:c>
      <x:c r="W43" s="3" t="str">
        <x:f>IF(AND(INDEX('C_jama.2024.23898'!$D$2:$D$8,MATCH("2024::jama.2024.23898::C006",'C_jama.2024.23898'!$A$2:$A$8,0))="retain",INDEX('C_jama.2024.23898'!$E$2:$E$8,MATCH("2024::jama.2024.23898::C006",'C_jama.2024.23898'!$A$2:$A$8,0))="statistical_results"),IF(INDEX('C_jama.2024.23898'!$J$2:$J$8,MATCH("2024::jama.2024.23898::C006",'C_jama.2024.23898'!$A$2:$A$8,0))="","",INDEX('C_jama.2024.23898'!$J$2:$J$8,MATCH("2024::jama.2024.23898::C006",'C_jama.2024.23898'!$A$2:$A$8,0))),"not_applicable")</x:f>
        <x:v>not_applicable</x:v>
      </x:c>
      <x:c r="X43" s="3" t="str">
        <x:f>IF(AND(INDEX('C_jama.2024.23898'!$D$2:$D$8,MATCH("2024::jama.2024.23898::C006",'C_jama.2024.23898'!$A$2:$A$8,0))="retain",OR(INDEX('C_jama.2024.23898'!$E$2:$E$8,MATCH("2024::jama.2024.23898::C006",'C_jama.2024.23898'!$A$2:$A$8,0))="report_internal_inconsistency",INDEX('C_jama.2024.23898'!$E$2:$E$8,MATCH("2024::jama.2024.23898::C006",'C_jama.2024.23898'!$A$2:$A$8,0))="plan_material")),IF(INDEX('C_jama.2024.23898'!$K$2:$K$8,MATCH("2024::jama.2024.23898::C006",'C_jama.2024.23898'!$A$2:$A$8,0))="","",INDEX('C_jama.2024.23898'!$K$2:$K$8,MATCH("2024::jama.2024.23898::C006",'C_jama.2024.23898'!$A$2:$A$8,0))),"not_applicable")</x:f>
        <x:v>not_applicable</x:v>
      </x:c>
      <x:c r="Y43" s="3" t="str">
        <x:f>IF(AND(INDEX('C_jama.2024.23898'!$D$2:$D$8,MATCH("2024::jama.2024.23898::C006",'C_jama.2024.23898'!$A$2:$A$8,0))="retain",INDEX('C_jama.2024.23898'!$E$2:$E$8,MATCH("2024::jama.2024.23898::C006",'C_jama.2024.23898'!$A$2:$A$8,0))="protocol_report"),IF(INDEX('C_jama.2024.23898'!$L$2:$L$8,MATCH("2024::jama.2024.23898::C006",'C_jama.2024.23898'!$A$2:$A$8,0))="","",INDEX('C_jama.2024.23898'!$L$2:$L$8,MATCH("2024::jama.2024.23898::C006",'C_jama.2024.23898'!$A$2:$A$8,0))),"not_applicable")</x:f>
        <x:v>not_applicable</x:v>
      </x:c>
      <x:c r="Z43" s="3" t="str">
        <x:f>IF(INDEX('C_jama.2024.23898'!$R$2:$R$8,MATCH("2024::jama.2024.23898::C006",'C_jama.2024.23898'!$A$2:$A$8,0))="","",INDEX('C_jama.2024.23898'!$R$2:$R$8,MATCH("2024::jama.2024.23898::C006",'C_jama.2024.23898'!$A$2:$A$8,0)))</x:f>
      </x:c>
      <x:c r="AA43" s="3" t="str">
        <x:f>IF(INDEX('C_jama.2024.23898'!$N$2:$N$8,MATCH("2024::jama.2024.23898::C006",'C_jama.2024.23898'!$A$2:$A$8,0))="","",INDEX('C_jama.2024.23898'!$N$2:$N$8,MATCH("2024::jama.2024.23898::C006",'C_jama.2024.23898'!$A$2:$A$8,0)))</x:f>
      </x:c>
      <x:c r="AB43" s="3" t="str">
        <x:f>IF(INDEX('C_jama.2024.23898'!$O$2:$O$8,MATCH("2024::jama.2024.23898::C006",'C_jama.2024.23898'!$A$2:$A$8,0))="","",INDEX('C_jama.2024.23898'!$O$2:$O$8,MATCH("2024::jama.2024.23898::C006",'C_jama.2024.23898'!$A$2:$A$8,0)))</x:f>
      </x:c>
      <x:c r="AC43" s="3" t="str">
        <x:f>IF(INDEX('C_jama.2024.23898'!$P$2:$P$8,MATCH("2024::jama.2024.23898::C006",'C_jama.2024.23898'!$A$2:$A$8,0))="","",INDEX('C_jama.2024.23898'!$P$2:$P$8,MATCH("2024::jama.2024.23898::C006",'C_jama.2024.23898'!$A$2:$A$8,0)))</x:f>
      </x:c>
      <x:c r="AD43" s="3" t="str">
        <x:f>IF(INDEX('C_jama.2024.23898'!$Q$2:$Q$8,MATCH("2024::jama.2024.23898::C006",'C_jama.2024.23898'!$A$2:$A$8,0))="","",INDEX('C_jama.2024.23898'!$Q$2:$Q$8,MATCH("2024::jama.2024.23898::C006",'C_jama.2024.23898'!$A$2:$A$8,0)))</x:f>
      </x:c>
    </x:row>
    <x:row r="44" ht="65" customHeight="1">
      <x:c r="A44" s="6" t="n">
        <x:v>2024</x:v>
      </x:c>
      <x:c r="B44" s="6" t="str">
        <x:v>jama.2024.23898</x:v>
      </x:c>
      <x:c r="C44" s="6" t="str">
        <x:v>2024::jama.2024.23898::C007</x:v>
      </x:c>
      <x:c r="D44" s="6" t="str">
        <x:v>P_R</x:v>
      </x:c>
      <x:c r="E44" s="6" t="n">
        <x:f>Setup!$B$2</x:f>
        <x:v>0</x:v>
      </x:c>
      <x:c r="F44" s="6" t="str">
        <x:f>IF(Setup!$B$4="","",Setup!$B$4)</x:f>
      </x:c>
      <x:c r="G44" s="6" t="str">
        <x:f>IFERROR(INDEX('C_jama.2024.23898'!$G$2:$G$8,MATCH("2024::jama.2024.23898::C007",'C_jama.2024.23898'!$A$2:$A$8,0)),"CHECK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protocol_report</x:v>
      </x:c>
      <x:c r="K44" s="6" t="str">
        <x:f>IF(Setup!$B$6="primary","",IFERROR(IF(INDEX('Primary_snapshot'!$B$2:$B$92,MATCH(C44,'Primary_snapshot'!$A$2:$A$92,0))="","",INDEX('Primary_snapshot'!$B$2:$B$92,MATCH(C44,'Primary_snapshot'!$A$2:$A$92,0))),"SNAPSHOT MISSING"))</x:f>
      </x:c>
      <x:c r="L44" s="6" t="str">
        <x:f>IF(Setup!$B$6="primary","",IFERROR(IF(INDEX('Primary_snapshot'!$C$2:$C$92,MATCH(C44,'Primary_snapshot'!$A$2:$A$92,0))="","",INDEX('Primary_snapshot'!$C$2:$C$92,MATCH(C44,'Primary_snapshot'!$A$2:$A$92,0))),"SNAPSHOT MISSING"))</x:f>
      </x:c>
      <x:c r="M44" s="6" t="str">
        <x:f>IF(Setup!$B$6="primary","",IFERROR(IF(INDEX('Primary_snapshot'!$D$2:$D$92,MATCH(C44,'Primary_snapshot'!$A$2:$A$92,0))="","",INDEX('Primary_snapshot'!$D$2:$D$92,MATCH(C44,'Primary_snapshot'!$A$2:$A$92,0))),"SNAPSHOT MISSING"))</x:f>
      </x:c>
      <x:c r="N44" s="6" t="str">
        <x:f>IF(Setup!$B$6="primary","",IFERROR(IF(INDEX('Primary_snapshot'!$E$2:$E$92,MATCH(C44,'Primary_snapshot'!$A$2:$A$92,0))="","",INDEX('Primary_snapshot'!$E$2:$E$92,MATCH(C44,'Primary_snapshot'!$A$2:$A$92,0))),"SNAPSHOT MISSING"))</x:f>
      </x:c>
      <x:c r="O44" s="6" t="str">
        <x:f>IF(Setup!$B$6="primary","",IFERROR(IF(INDEX('Primary_snapshot'!$F$2:$F$92,MATCH(C44,'Primary_snapshot'!$A$2:$A$92,0))="","",INDEX('Primary_snapshot'!$F$2:$F$92,MATCH(C44,'Primary_snapshot'!$A$2:$A$92,0))),"SNAPSHOT MISSING"))</x:f>
      </x:c>
      <x:c r="P44" s="6" t="str">
        <x:f>IF(Setup!$B$6="primary","",IFERROR(IF(INDEX('Primary_snapshot'!$G$2:$G$92,MATCH(C44,'Primary_snapshot'!$A$2:$A$92,0))="","",INDEX('Primary_snapshot'!$G$2:$G$92,MATCH(C44,'Primary_snapshot'!$A$2:$A$92,0))),"SNAPSHOT MISSING"))</x:f>
      </x:c>
      <x:c r="Q44" s="6" t="str">
        <x:f>IF(Setup!$B$6="primary","",IFERROR(IF(INDEX('Primary_snapshot'!$H$2:$H$92,MATCH(C44,'Primary_snapshot'!$A$2:$A$92,0))="","",INDEX('Primary_snapshot'!$H$2:$H$92,MATCH(C44,'Primary_snapshot'!$A$2:$A$92,0))),"SNAPSHOT MISSING"))</x:f>
      </x:c>
      <x:c r="R44" s="6" t="str">
        <x:f>IF(Setup!$B$6="primary","",IFERROR(IF(INDEX('Primary_snapshot'!$I$2:$I$92,MATCH(C44,'Primary_snapshot'!$A$2:$A$92,0))="","",INDEX('Primary_snapshot'!$I$2:$I$92,MATCH(C44,'Primary_snapshot'!$A$2:$A$92,0))),"SNAPSHOT MISSING"))</x:f>
      </x:c>
      <x:c r="S44" s="6" t="str">
        <x:f>IF(INDEX('C_jama.2024.23898'!$D$2:$D$8,MATCH("2024::jama.2024.23898::C007",'C_jama.2024.23898'!$A$2:$A$8,0))="","",INDEX('C_jama.2024.23898'!$D$2:$D$8,MATCH("2024::jama.2024.23898::C007",'C_jama.2024.23898'!$A$2:$A$8,0)))</x:f>
      </x:c>
      <x:c r="T44" s="6" t="str">
        <x:f>IF(INDEX('C_jama.2024.23898'!$E$2:$E$8,MATCH("2024::jama.2024.23898::C007",'C_jama.2024.23898'!$A$2:$A$8,0))="","",INDEX('C_jama.2024.23898'!$E$2:$E$8,MATCH("2024::jama.2024.23898::C007",'C_jama.2024.23898'!$A$2:$A$8,0)))</x:f>
        <x:v>protocol_report</x:v>
      </x:c>
      <x:c r="U44" s="6" t="str">
        <x:f>IF(AND(INDEX('C_jama.2024.23898'!$D$2:$D$8,MATCH("2024::jama.2024.23898::C007",'C_jama.2024.23898'!$A$2:$A$8,0))="retain",INDEX('C_jama.2024.23898'!$E$2:$E$8,MATCH("2024::jama.2024.23898::C007",'C_jama.2024.23898'!$A$2:$A$8,0))="statistical_results"),IF(INDEX('C_jama.2024.23898'!$H$2:$H$8,MATCH("2024::jama.2024.23898::C007",'C_jama.2024.23898'!$A$2:$A$8,0))="","",INDEX('C_jama.2024.23898'!$H$2:$H$8,MATCH("2024::jama.2024.23898::C007",'C_jama.2024.23898'!$A$2:$A$8,0))),"not_applicable")</x:f>
        <x:v>not_applicable</x:v>
      </x:c>
      <x:c r="V44" s="6" t="str">
        <x:f>IF(AND(INDEX('C_jama.2024.23898'!$D$2:$D$8,MATCH("2024::jama.2024.23898::C007",'C_jama.2024.23898'!$A$2:$A$8,0))="retain",INDEX('C_jama.2024.23898'!$E$2:$E$8,MATCH("2024::jama.2024.23898::C007",'C_jama.2024.23898'!$A$2:$A$8,0))="statistical_results"),IF(INDEX('C_jama.2024.23898'!$I$2:$I$8,MATCH("2024::jama.2024.23898::C007",'C_jama.2024.23898'!$A$2:$A$8,0))="","",INDEX('C_jama.2024.23898'!$I$2:$I$8,MATCH("2024::jama.2024.23898::C007",'C_jama.2024.23898'!$A$2:$A$8,0))),"not_applicable")</x:f>
        <x:v>not_applicable</x:v>
      </x:c>
      <x:c r="W44" s="6" t="str">
        <x:f>IF(AND(INDEX('C_jama.2024.23898'!$D$2:$D$8,MATCH("2024::jama.2024.23898::C007",'C_jama.2024.23898'!$A$2:$A$8,0))="retain",INDEX('C_jama.2024.23898'!$E$2:$E$8,MATCH("2024::jama.2024.23898::C007",'C_jama.2024.23898'!$A$2:$A$8,0))="statistical_results"),IF(INDEX('C_jama.2024.23898'!$J$2:$J$8,MATCH("2024::jama.2024.23898::C007",'C_jama.2024.23898'!$A$2:$A$8,0))="","",INDEX('C_jama.2024.23898'!$J$2:$J$8,MATCH("2024::jama.2024.23898::C007",'C_jama.2024.23898'!$A$2:$A$8,0))),"not_applicable")</x:f>
        <x:v>not_applicable</x:v>
      </x:c>
      <x:c r="X44" s="6" t="str">
        <x:f>IF(AND(INDEX('C_jama.2024.23898'!$D$2:$D$8,MATCH("2024::jama.2024.23898::C007",'C_jama.2024.23898'!$A$2:$A$8,0))="retain",OR(INDEX('C_jama.2024.23898'!$E$2:$E$8,MATCH("2024::jama.2024.23898::C007",'C_jama.2024.23898'!$A$2:$A$8,0))="report_internal_inconsistency",INDEX('C_jama.2024.23898'!$E$2:$E$8,MATCH("2024::jama.2024.23898::C007",'C_jama.2024.23898'!$A$2:$A$8,0))="plan_material")),IF(INDEX('C_jama.2024.23898'!$K$2:$K$8,MATCH("2024::jama.2024.23898::C007",'C_jama.2024.23898'!$A$2:$A$8,0))="","",INDEX('C_jama.2024.23898'!$K$2:$K$8,MATCH("2024::jama.2024.23898::C007",'C_jama.2024.23898'!$A$2:$A$8,0))),"not_applicable")</x:f>
        <x:v>not_applicable</x:v>
      </x:c>
      <x:c r="Y44" s="6" t="str">
        <x:f>IF(AND(INDEX('C_jama.2024.23898'!$D$2:$D$8,MATCH("2024::jama.2024.23898::C007",'C_jama.2024.23898'!$A$2:$A$8,0))="retain",INDEX('C_jama.2024.23898'!$E$2:$E$8,MATCH("2024::jama.2024.23898::C007",'C_jama.2024.23898'!$A$2:$A$8,0))="protocol_report"),IF(INDEX('C_jama.2024.23898'!$L$2:$L$8,MATCH("2024::jama.2024.23898::C007",'C_jama.2024.23898'!$A$2:$A$8,0))="","",INDEX('C_jama.2024.23898'!$L$2:$L$8,MATCH("2024::jama.2024.23898::C007",'C_jama.2024.23898'!$A$2:$A$8,0))),"not_applicable")</x:f>
        <x:v>not_applicable</x:v>
      </x:c>
      <x:c r="Z44" s="6" t="str">
        <x:f>IF(INDEX('C_jama.2024.23898'!$R$2:$R$8,MATCH("2024::jama.2024.23898::C007",'C_jama.2024.23898'!$A$2:$A$8,0))="","",INDEX('C_jama.2024.23898'!$R$2:$R$8,MATCH("2024::jama.2024.23898::C007",'C_jama.2024.23898'!$A$2:$A$8,0)))</x:f>
      </x:c>
      <x:c r="AA44" s="6" t="str">
        <x:f>IF(INDEX('C_jama.2024.23898'!$N$2:$N$8,MATCH("2024::jama.2024.23898::C007",'C_jama.2024.23898'!$A$2:$A$8,0))="","",INDEX('C_jama.2024.23898'!$N$2:$N$8,MATCH("2024::jama.2024.23898::C007",'C_jama.2024.23898'!$A$2:$A$8,0)))</x:f>
      </x:c>
      <x:c r="AB44" s="6" t="str">
        <x:f>IF(INDEX('C_jama.2024.23898'!$O$2:$O$8,MATCH("2024::jama.2024.23898::C007",'C_jama.2024.23898'!$A$2:$A$8,0))="","",INDEX('C_jama.2024.23898'!$O$2:$O$8,MATCH("2024::jama.2024.23898::C007",'C_jama.2024.23898'!$A$2:$A$8,0)))</x:f>
      </x:c>
      <x:c r="AC44" s="6" t="str">
        <x:f>IF(INDEX('C_jama.2024.23898'!$P$2:$P$8,MATCH("2024::jama.2024.23898::C007",'C_jama.2024.23898'!$A$2:$A$8,0))="","",INDEX('C_jama.2024.23898'!$P$2:$P$8,MATCH("2024::jama.2024.23898::C007",'C_jama.2024.23898'!$A$2:$A$8,0)))</x:f>
      </x:c>
      <x:c r="AD44" s="6" t="str">
        <x:f>IF(INDEX('C_jama.2024.23898'!$Q$2:$Q$8,MATCH("2024::jama.2024.23898::C007",'C_jama.2024.23898'!$A$2:$A$8,0))="","",INDEX('C_jama.2024.23898'!$Q$2:$Q$8,MATCH("2024::jama.2024.23898::C007",'C_jama.2024.23898'!$A$2:$A$8,0)))</x:f>
      </x:c>
    </x:row>
    <x:row r="45" ht="65" customHeight="1">
      <x:c r="A45" s="3" t="n">
        <x:v>2024</x:v>
      </x:c>
      <x:c r="B45" s="3" t="str">
        <x:v>jama.2024.25786</x:v>
      </x:c>
      <x:c r="C45" s="3" t="str">
        <x:v>2024::jama.2024.25786::C001</x:v>
      </x:c>
      <x:c r="D45" s="3" t="str">
        <x:v>S_W</x:v>
      </x:c>
      <x:c r="E45" s="3" t="n">
        <x:f>Setup!$B$2</x:f>
        <x:v>0</x:v>
      </x:c>
      <x:c r="F45" s="3" t="str">
        <x:f>IF(Setup!$B$4="","",Setup!$B$4)</x:f>
      </x:c>
      <x:c r="G45" s="3" t="str">
        <x:f>IFERROR(INDEX('C_jama.2024.25786'!$G$2:$G$9,MATCH("2024::jama.2024.25786::C001",'C_jama.2024.25786'!$A$2:$A$9,0)),"CHECK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IF(Setup!$B$6="primary","",IFERROR(IF(INDEX('Primary_snapshot'!$B$2:$B$92,MATCH(C45,'Primary_snapshot'!$A$2:$A$92,0))="","",INDEX('Primary_snapshot'!$B$2:$B$92,MATCH(C45,'Primary_snapshot'!$A$2:$A$92,0))),"SNAPSHOT MISSING"))</x:f>
      </x:c>
      <x:c r="L45" s="3" t="str">
        <x:f>IF(Setup!$B$6="primary","",IFERROR(IF(INDEX('Primary_snapshot'!$C$2:$C$92,MATCH(C45,'Primary_snapshot'!$A$2:$A$92,0))="","",INDEX('Primary_snapshot'!$C$2:$C$92,MATCH(C45,'Primary_snapshot'!$A$2:$A$92,0))),"SNAPSHOT MISSING"))</x:f>
      </x:c>
      <x:c r="M45" s="3" t="str">
        <x:f>IF(Setup!$B$6="primary","",IFERROR(IF(INDEX('Primary_snapshot'!$D$2:$D$92,MATCH(C45,'Primary_snapshot'!$A$2:$A$92,0))="","",INDEX('Primary_snapshot'!$D$2:$D$92,MATCH(C45,'Primary_snapshot'!$A$2:$A$92,0))),"SNAPSHOT MISSING"))</x:f>
      </x:c>
      <x:c r="N45" s="3" t="str">
        <x:f>IF(Setup!$B$6="primary","",IFERROR(IF(INDEX('Primary_snapshot'!$E$2:$E$92,MATCH(C45,'Primary_snapshot'!$A$2:$A$92,0))="","",INDEX('Primary_snapshot'!$E$2:$E$92,MATCH(C45,'Primary_snapshot'!$A$2:$A$92,0))),"SNAPSHOT MISSING"))</x:f>
      </x:c>
      <x:c r="O45" s="3" t="str">
        <x:f>IF(Setup!$B$6="primary","",IFERROR(IF(INDEX('Primary_snapshot'!$F$2:$F$92,MATCH(C45,'Primary_snapshot'!$A$2:$A$92,0))="","",INDEX('Primary_snapshot'!$F$2:$F$92,MATCH(C45,'Primary_snapshot'!$A$2:$A$92,0))),"SNAPSHOT MISSING"))</x:f>
      </x:c>
      <x:c r="P45" s="3" t="str">
        <x:f>IF(Setup!$B$6="primary","",IFERROR(IF(INDEX('Primary_snapshot'!$G$2:$G$92,MATCH(C45,'Primary_snapshot'!$A$2:$A$92,0))="","",INDEX('Primary_snapshot'!$G$2:$G$92,MATCH(C45,'Primary_snapshot'!$A$2:$A$92,0))),"SNAPSHOT MISSING"))</x:f>
      </x:c>
      <x:c r="Q45" s="3" t="str">
        <x:f>IF(Setup!$B$6="primary","",IFERROR(IF(INDEX('Primary_snapshot'!$H$2:$H$92,MATCH(C45,'Primary_snapshot'!$A$2:$A$92,0))="","",INDEX('Primary_snapshot'!$H$2:$H$92,MATCH(C45,'Primary_snapshot'!$A$2:$A$92,0))),"SNAPSHOT MISSING"))</x:f>
      </x:c>
      <x:c r="R45" s="3" t="str">
        <x:f>IF(Setup!$B$6="primary","",IFERROR(IF(INDEX('Primary_snapshot'!$I$2:$I$92,MATCH(C45,'Primary_snapshot'!$A$2:$A$92,0))="","",INDEX('Primary_snapshot'!$I$2:$I$92,MATCH(C45,'Primary_snapshot'!$A$2:$A$92,0))),"SNAPSHOT MISSING"))</x:f>
      </x:c>
      <x:c r="S45" s="3" t="str">
        <x:f>IF(INDEX('C_jama.2024.25786'!$D$2:$D$9,MATCH("2024::jama.2024.25786::C001",'C_jama.2024.25786'!$A$2:$A$9,0))="","",INDEX('C_jama.2024.25786'!$D$2:$D$9,MATCH("2024::jama.2024.25786::C001",'C_jama.2024.25786'!$A$2:$A$9,0)))</x:f>
      </x:c>
      <x:c r="T45" s="3" t="str">
        <x:f>IF(INDEX('C_jama.2024.25786'!$E$2:$E$9,MATCH("2024::jama.2024.25786::C001",'C_jama.2024.25786'!$A$2:$A$9,0))="","",INDEX('C_jama.2024.25786'!$E$2:$E$9,MATCH("2024::jama.2024.25786::C001",'C_jama.2024.25786'!$A$2:$A$9,0)))</x:f>
        <x:v>statistical_results</x:v>
      </x:c>
      <x:c r="U45" s="3" t="str">
        <x:f>IF(AND(INDEX('C_jama.2024.25786'!$D$2:$D$9,MATCH("2024::jama.2024.25786::C001",'C_jama.2024.25786'!$A$2:$A$9,0))="retain",INDEX('C_jama.2024.25786'!$E$2:$E$9,MATCH("2024::jama.2024.25786::C001",'C_jama.2024.25786'!$A$2:$A$9,0))="statistical_results"),IF(INDEX('C_jama.2024.25786'!$H$2:$H$9,MATCH("2024::jama.2024.25786::C001",'C_jama.2024.25786'!$A$2:$A$9,0))="","",INDEX('C_jama.2024.25786'!$H$2:$H$9,MATCH("2024::jama.2024.25786::C001",'C_jama.2024.25786'!$A$2:$A$9,0))),"not_applicable")</x:f>
        <x:v>not_applicable</x:v>
      </x:c>
      <x:c r="V45" s="3" t="str">
        <x:f>IF(AND(INDEX('C_jama.2024.25786'!$D$2:$D$9,MATCH("2024::jama.2024.25786::C001",'C_jama.2024.25786'!$A$2:$A$9,0))="retain",INDEX('C_jama.2024.25786'!$E$2:$E$9,MATCH("2024::jama.2024.25786::C001",'C_jama.2024.25786'!$A$2:$A$9,0))="statistical_results"),IF(INDEX('C_jama.2024.25786'!$I$2:$I$9,MATCH("2024::jama.2024.25786::C001",'C_jama.2024.25786'!$A$2:$A$9,0))="","",INDEX('C_jama.2024.25786'!$I$2:$I$9,MATCH("2024::jama.2024.25786::C001",'C_jama.2024.25786'!$A$2:$A$9,0))),"not_applicable")</x:f>
        <x:v>not_applicable</x:v>
      </x:c>
      <x:c r="W45" s="3" t="str">
        <x:f>IF(AND(INDEX('C_jama.2024.25786'!$D$2:$D$9,MATCH("2024::jama.2024.25786::C001",'C_jama.2024.25786'!$A$2:$A$9,0))="retain",INDEX('C_jama.2024.25786'!$E$2:$E$9,MATCH("2024::jama.2024.25786::C001",'C_jama.2024.25786'!$A$2:$A$9,0))="statistical_results"),IF(INDEX('C_jama.2024.25786'!$J$2:$J$9,MATCH("2024::jama.2024.25786::C001",'C_jama.2024.25786'!$A$2:$A$9,0))="","",INDEX('C_jama.2024.25786'!$J$2:$J$9,MATCH("2024::jama.2024.25786::C001",'C_jama.2024.25786'!$A$2:$A$9,0))),"not_applicable")</x:f>
        <x:v>not_applicable</x:v>
      </x:c>
      <x:c r="X45" s="3" t="str">
        <x:f>IF(AND(INDEX('C_jama.2024.25786'!$D$2:$D$9,MATCH("2024::jama.2024.25786::C001",'C_jama.2024.25786'!$A$2:$A$9,0))="retain",OR(INDEX('C_jama.2024.25786'!$E$2:$E$9,MATCH("2024::jama.2024.25786::C001",'C_jama.2024.25786'!$A$2:$A$9,0))="report_internal_inconsistency",INDEX('C_jama.2024.25786'!$E$2:$E$9,MATCH("2024::jama.2024.25786::C001",'C_jama.2024.25786'!$A$2:$A$9,0))="plan_material")),IF(INDEX('C_jama.2024.25786'!$K$2:$K$9,MATCH("2024::jama.2024.25786::C001",'C_jama.2024.25786'!$A$2:$A$9,0))="","",INDEX('C_jama.2024.25786'!$K$2:$K$9,MATCH("2024::jama.2024.25786::C001",'C_jama.2024.25786'!$A$2:$A$9,0))),"not_applicable")</x:f>
        <x:v>not_applicable</x:v>
      </x:c>
      <x:c r="Y45" s="3" t="str">
        <x:f>IF(AND(INDEX('C_jama.2024.25786'!$D$2:$D$9,MATCH("2024::jama.2024.25786::C001",'C_jama.2024.25786'!$A$2:$A$9,0))="retain",INDEX('C_jama.2024.25786'!$E$2:$E$9,MATCH("2024::jama.2024.25786::C001",'C_jama.2024.25786'!$A$2:$A$9,0))="protocol_report"),IF(INDEX('C_jama.2024.25786'!$L$2:$L$9,MATCH("2024::jama.2024.25786::C001",'C_jama.2024.25786'!$A$2:$A$9,0))="","",INDEX('C_jama.2024.25786'!$L$2:$L$9,MATCH("2024::jama.2024.25786::C001",'C_jama.2024.25786'!$A$2:$A$9,0))),"not_applicable")</x:f>
        <x:v>not_applicable</x:v>
      </x:c>
      <x:c r="Z45" s="3" t="str">
        <x:f>IF(INDEX('C_jama.2024.25786'!$R$2:$R$9,MATCH("2024::jama.2024.25786::C001",'C_jama.2024.25786'!$A$2:$A$9,0))="","",INDEX('C_jama.2024.25786'!$R$2:$R$9,MATCH("2024::jama.2024.25786::C001",'C_jama.2024.25786'!$A$2:$A$9,0)))</x:f>
      </x:c>
      <x:c r="AA45" s="3" t="str">
        <x:f>IF(INDEX('C_jama.2024.25786'!$N$2:$N$9,MATCH("2024::jama.2024.25786::C001",'C_jama.2024.25786'!$A$2:$A$9,0))="","",INDEX('C_jama.2024.25786'!$N$2:$N$9,MATCH("2024::jama.2024.25786::C001",'C_jama.2024.25786'!$A$2:$A$9,0)))</x:f>
      </x:c>
      <x:c r="AB45" s="3" t="str">
        <x:f>IF(INDEX('C_jama.2024.25786'!$O$2:$O$9,MATCH("2024::jama.2024.25786::C001",'C_jama.2024.25786'!$A$2:$A$9,0))="","",INDEX('C_jama.2024.25786'!$O$2:$O$9,MATCH("2024::jama.2024.25786::C001",'C_jama.2024.25786'!$A$2:$A$9,0)))</x:f>
      </x:c>
      <x:c r="AC45" s="3" t="str">
        <x:f>IF(INDEX('C_jama.2024.25786'!$P$2:$P$9,MATCH("2024::jama.2024.25786::C001",'C_jama.2024.25786'!$A$2:$A$9,0))="","",INDEX('C_jama.2024.25786'!$P$2:$P$9,MATCH("2024::jama.2024.25786::C001",'C_jama.2024.25786'!$A$2:$A$9,0)))</x:f>
      </x:c>
      <x:c r="AD45" s="3" t="str">
        <x:f>IF(INDEX('C_jama.2024.25786'!$Q$2:$Q$9,MATCH("2024::jama.2024.25786::C001",'C_jama.2024.25786'!$A$2:$A$9,0))="","",INDEX('C_jama.2024.25786'!$Q$2:$Q$9,MATCH("2024::jama.2024.25786::C001",'C_jama.2024.25786'!$A$2:$A$9,0)))</x:f>
      </x:c>
    </x:row>
    <x:row r="46" ht="65" customHeight="1">
      <x:c r="A46" s="6" t="n">
        <x:v>2024</x:v>
      </x:c>
      <x:c r="B46" s="6" t="str">
        <x:v>jama.2024.25786</x:v>
      </x:c>
      <x:c r="C46" s="6" t="str">
        <x:v>2024::jama.2024.25786::C002</x:v>
      </x:c>
      <x:c r="D46" s="6" t="str">
        <x:v>S_W</x:v>
      </x:c>
      <x:c r="E46" s="6" t="n">
        <x:f>Setup!$B$2</x:f>
        <x:v>0</x:v>
      </x:c>
      <x:c r="F46" s="6" t="str">
        <x:f>IF(Setup!$B$4="","",Setup!$B$4)</x:f>
      </x:c>
      <x:c r="G46" s="6" t="str">
        <x:f>IFERROR(INDEX('C_jama.2024.25786'!$G$2:$G$9,MATCH("2024::jama.2024.25786::C002",'C_jama.2024.25786'!$A$2:$A$9,0)),"CHECK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IF(Setup!$B$6="primary","",IFERROR(IF(INDEX('Primary_snapshot'!$B$2:$B$92,MATCH(C46,'Primary_snapshot'!$A$2:$A$92,0))="","",INDEX('Primary_snapshot'!$B$2:$B$92,MATCH(C46,'Primary_snapshot'!$A$2:$A$92,0))),"SNAPSHOT MISSING"))</x:f>
      </x:c>
      <x:c r="L46" s="6" t="str">
        <x:f>IF(Setup!$B$6="primary","",IFERROR(IF(INDEX('Primary_snapshot'!$C$2:$C$92,MATCH(C46,'Primary_snapshot'!$A$2:$A$92,0))="","",INDEX('Primary_snapshot'!$C$2:$C$92,MATCH(C46,'Primary_snapshot'!$A$2:$A$92,0))),"SNAPSHOT MISSING"))</x:f>
      </x:c>
      <x:c r="M46" s="6" t="str">
        <x:f>IF(Setup!$B$6="primary","",IFERROR(IF(INDEX('Primary_snapshot'!$D$2:$D$92,MATCH(C46,'Primary_snapshot'!$A$2:$A$92,0))="","",INDEX('Primary_snapshot'!$D$2:$D$92,MATCH(C46,'Primary_snapshot'!$A$2:$A$92,0))),"SNAPSHOT MISSING"))</x:f>
      </x:c>
      <x:c r="N46" s="6" t="str">
        <x:f>IF(Setup!$B$6="primary","",IFERROR(IF(INDEX('Primary_snapshot'!$E$2:$E$92,MATCH(C46,'Primary_snapshot'!$A$2:$A$92,0))="","",INDEX('Primary_snapshot'!$E$2:$E$92,MATCH(C46,'Primary_snapshot'!$A$2:$A$92,0))),"SNAPSHOT MISSING"))</x:f>
      </x:c>
      <x:c r="O46" s="6" t="str">
        <x:f>IF(Setup!$B$6="primary","",IFERROR(IF(INDEX('Primary_snapshot'!$F$2:$F$92,MATCH(C46,'Primary_snapshot'!$A$2:$A$92,0))="","",INDEX('Primary_snapshot'!$F$2:$F$92,MATCH(C46,'Primary_snapshot'!$A$2:$A$92,0))),"SNAPSHOT MISSING"))</x:f>
      </x:c>
      <x:c r="P46" s="6" t="str">
        <x:f>IF(Setup!$B$6="primary","",IFERROR(IF(INDEX('Primary_snapshot'!$G$2:$G$92,MATCH(C46,'Primary_snapshot'!$A$2:$A$92,0))="","",INDEX('Primary_snapshot'!$G$2:$G$92,MATCH(C46,'Primary_snapshot'!$A$2:$A$92,0))),"SNAPSHOT MISSING"))</x:f>
      </x:c>
      <x:c r="Q46" s="6" t="str">
        <x:f>IF(Setup!$B$6="primary","",IFERROR(IF(INDEX('Primary_snapshot'!$H$2:$H$92,MATCH(C46,'Primary_snapshot'!$A$2:$A$92,0))="","",INDEX('Primary_snapshot'!$H$2:$H$92,MATCH(C46,'Primary_snapshot'!$A$2:$A$92,0))),"SNAPSHOT MISSING"))</x:f>
      </x:c>
      <x:c r="R46" s="6" t="str">
        <x:f>IF(Setup!$B$6="primary","",IFERROR(IF(INDEX('Primary_snapshot'!$I$2:$I$92,MATCH(C46,'Primary_snapshot'!$A$2:$A$92,0))="","",INDEX('Primary_snapshot'!$I$2:$I$92,MATCH(C46,'Primary_snapshot'!$A$2:$A$92,0))),"SNAPSHOT MISSING"))</x:f>
      </x:c>
      <x:c r="S46" s="6" t="str">
        <x:f>IF(INDEX('C_jama.2024.25786'!$D$2:$D$9,MATCH("2024::jama.2024.25786::C002",'C_jama.2024.25786'!$A$2:$A$9,0))="","",INDEX('C_jama.2024.25786'!$D$2:$D$9,MATCH("2024::jama.2024.25786::C002",'C_jama.2024.25786'!$A$2:$A$9,0)))</x:f>
      </x:c>
      <x:c r="T46" s="6" t="str">
        <x:f>IF(INDEX('C_jama.2024.25786'!$E$2:$E$9,MATCH("2024::jama.2024.25786::C002",'C_jama.2024.25786'!$A$2:$A$9,0))="","",INDEX('C_jama.2024.25786'!$E$2:$E$9,MATCH("2024::jama.2024.25786::C002",'C_jama.2024.25786'!$A$2:$A$9,0)))</x:f>
        <x:v>statistical_results</x:v>
      </x:c>
      <x:c r="U46" s="6" t="str">
        <x:f>IF(AND(INDEX('C_jama.2024.25786'!$D$2:$D$9,MATCH("2024::jama.2024.25786::C002",'C_jama.2024.25786'!$A$2:$A$9,0))="retain",INDEX('C_jama.2024.25786'!$E$2:$E$9,MATCH("2024::jama.2024.25786::C002",'C_jama.2024.25786'!$A$2:$A$9,0))="statistical_results"),IF(INDEX('C_jama.2024.25786'!$H$2:$H$9,MATCH("2024::jama.2024.25786::C002",'C_jama.2024.25786'!$A$2:$A$9,0))="","",INDEX('C_jama.2024.25786'!$H$2:$H$9,MATCH("2024::jama.2024.25786::C002",'C_jama.2024.25786'!$A$2:$A$9,0))),"not_applicable")</x:f>
        <x:v>not_applicable</x:v>
      </x:c>
      <x:c r="V46" s="6" t="str">
        <x:f>IF(AND(INDEX('C_jama.2024.25786'!$D$2:$D$9,MATCH("2024::jama.2024.25786::C002",'C_jama.2024.25786'!$A$2:$A$9,0))="retain",INDEX('C_jama.2024.25786'!$E$2:$E$9,MATCH("2024::jama.2024.25786::C002",'C_jama.2024.25786'!$A$2:$A$9,0))="statistical_results"),IF(INDEX('C_jama.2024.25786'!$I$2:$I$9,MATCH("2024::jama.2024.25786::C002",'C_jama.2024.25786'!$A$2:$A$9,0))="","",INDEX('C_jama.2024.25786'!$I$2:$I$9,MATCH("2024::jama.2024.25786::C002",'C_jama.2024.25786'!$A$2:$A$9,0))),"not_applicable")</x:f>
        <x:v>not_applicable</x:v>
      </x:c>
      <x:c r="W46" s="6" t="str">
        <x:f>IF(AND(INDEX('C_jama.2024.25786'!$D$2:$D$9,MATCH("2024::jama.2024.25786::C002",'C_jama.2024.25786'!$A$2:$A$9,0))="retain",INDEX('C_jama.2024.25786'!$E$2:$E$9,MATCH("2024::jama.2024.25786::C002",'C_jama.2024.25786'!$A$2:$A$9,0))="statistical_results"),IF(INDEX('C_jama.2024.25786'!$J$2:$J$9,MATCH("2024::jama.2024.25786::C002",'C_jama.2024.25786'!$A$2:$A$9,0))="","",INDEX('C_jama.2024.25786'!$J$2:$J$9,MATCH("2024::jama.2024.25786::C002",'C_jama.2024.25786'!$A$2:$A$9,0))),"not_applicable")</x:f>
        <x:v>not_applicable</x:v>
      </x:c>
      <x:c r="X46" s="6" t="str">
        <x:f>IF(AND(INDEX('C_jama.2024.25786'!$D$2:$D$9,MATCH("2024::jama.2024.25786::C002",'C_jama.2024.25786'!$A$2:$A$9,0))="retain",OR(INDEX('C_jama.2024.25786'!$E$2:$E$9,MATCH("2024::jama.2024.25786::C002",'C_jama.2024.25786'!$A$2:$A$9,0))="report_internal_inconsistency",INDEX('C_jama.2024.25786'!$E$2:$E$9,MATCH("2024::jama.2024.25786::C002",'C_jama.2024.25786'!$A$2:$A$9,0))="plan_material")),IF(INDEX('C_jama.2024.25786'!$K$2:$K$9,MATCH("2024::jama.2024.25786::C002",'C_jama.2024.25786'!$A$2:$A$9,0))="","",INDEX('C_jama.2024.25786'!$K$2:$K$9,MATCH("2024::jama.2024.25786::C002",'C_jama.2024.25786'!$A$2:$A$9,0))),"not_applicable")</x:f>
        <x:v>not_applicable</x:v>
      </x:c>
      <x:c r="Y46" s="6" t="str">
        <x:f>IF(AND(INDEX('C_jama.2024.25786'!$D$2:$D$9,MATCH("2024::jama.2024.25786::C002",'C_jama.2024.25786'!$A$2:$A$9,0))="retain",INDEX('C_jama.2024.25786'!$E$2:$E$9,MATCH("2024::jama.2024.25786::C002",'C_jama.2024.25786'!$A$2:$A$9,0))="protocol_report"),IF(INDEX('C_jama.2024.25786'!$L$2:$L$9,MATCH("2024::jama.2024.25786::C002",'C_jama.2024.25786'!$A$2:$A$9,0))="","",INDEX('C_jama.2024.25786'!$L$2:$L$9,MATCH("2024::jama.2024.25786::C002",'C_jama.2024.25786'!$A$2:$A$9,0))),"not_applicable")</x:f>
        <x:v>not_applicable</x:v>
      </x:c>
      <x:c r="Z46" s="6" t="str">
        <x:f>IF(INDEX('C_jama.2024.25786'!$R$2:$R$9,MATCH("2024::jama.2024.25786::C002",'C_jama.2024.25786'!$A$2:$A$9,0))="","",INDEX('C_jama.2024.25786'!$R$2:$R$9,MATCH("2024::jama.2024.25786::C002",'C_jama.2024.25786'!$A$2:$A$9,0)))</x:f>
      </x:c>
      <x:c r="AA46" s="6" t="str">
        <x:f>IF(INDEX('C_jama.2024.25786'!$N$2:$N$9,MATCH("2024::jama.2024.25786::C002",'C_jama.2024.25786'!$A$2:$A$9,0))="","",INDEX('C_jama.2024.25786'!$N$2:$N$9,MATCH("2024::jama.2024.25786::C002",'C_jama.2024.25786'!$A$2:$A$9,0)))</x:f>
      </x:c>
      <x:c r="AB46" s="6" t="str">
        <x:f>IF(INDEX('C_jama.2024.25786'!$O$2:$O$9,MATCH("2024::jama.2024.25786::C002",'C_jama.2024.25786'!$A$2:$A$9,0))="","",INDEX('C_jama.2024.25786'!$O$2:$O$9,MATCH("2024::jama.2024.25786::C002",'C_jama.2024.25786'!$A$2:$A$9,0)))</x:f>
      </x:c>
      <x:c r="AC46" s="6" t="str">
        <x:f>IF(INDEX('C_jama.2024.25786'!$P$2:$P$9,MATCH("2024::jama.2024.25786::C002",'C_jama.2024.25786'!$A$2:$A$9,0))="","",INDEX('C_jama.2024.25786'!$P$2:$P$9,MATCH("2024::jama.2024.25786::C002",'C_jama.2024.25786'!$A$2:$A$9,0)))</x:f>
      </x:c>
      <x:c r="AD46" s="6" t="str">
        <x:f>IF(INDEX('C_jama.2024.25786'!$Q$2:$Q$9,MATCH("2024::jama.2024.25786::C002",'C_jama.2024.25786'!$A$2:$A$9,0))="","",INDEX('C_jama.2024.25786'!$Q$2:$Q$9,MATCH("2024::jama.2024.25786::C002",'C_jama.2024.25786'!$A$2:$A$9,0)))</x:f>
      </x:c>
    </x:row>
    <x:row r="47" ht="65" customHeight="1">
      <x:c r="A47" s="3" t="n">
        <x:v>2024</x:v>
      </x:c>
      <x:c r="B47" s="3" t="str">
        <x:v>jama.2024.25786</x:v>
      </x:c>
      <x:c r="C47" s="3" t="str">
        <x:v>2024::jama.2024.25786::C003</x:v>
      </x:c>
      <x:c r="D47" s="3" t="str">
        <x:v>S_W</x:v>
      </x:c>
      <x:c r="E47" s="3" t="n">
        <x:f>Setup!$B$2</x:f>
        <x:v>0</x:v>
      </x:c>
      <x:c r="F47" s="3" t="str">
        <x:f>IF(Setup!$B$4="","",Setup!$B$4)</x:f>
      </x:c>
      <x:c r="G47" s="3" t="str">
        <x:f>IFERROR(INDEX('C_jama.2024.25786'!$G$2:$G$9,MATCH("2024::jama.2024.25786::C003",'C_jama.2024.25786'!$A$2:$A$9,0)),"CHECK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report_internal_inconsistency</x:v>
      </x:c>
      <x:c r="K47" s="3" t="str">
        <x:f>IF(Setup!$B$6="primary","",IFERROR(IF(INDEX('Primary_snapshot'!$B$2:$B$92,MATCH(C47,'Primary_snapshot'!$A$2:$A$92,0))="","",INDEX('Primary_snapshot'!$B$2:$B$92,MATCH(C47,'Primary_snapshot'!$A$2:$A$92,0))),"SNAPSHOT MISSING"))</x:f>
      </x:c>
      <x:c r="L47" s="3" t="str">
        <x:f>IF(Setup!$B$6="primary","",IFERROR(IF(INDEX('Primary_snapshot'!$C$2:$C$92,MATCH(C47,'Primary_snapshot'!$A$2:$A$92,0))="","",INDEX('Primary_snapshot'!$C$2:$C$92,MATCH(C47,'Primary_snapshot'!$A$2:$A$92,0))),"SNAPSHOT MISSING"))</x:f>
      </x:c>
      <x:c r="M47" s="3" t="str">
        <x:f>IF(Setup!$B$6="primary","",IFERROR(IF(INDEX('Primary_snapshot'!$D$2:$D$92,MATCH(C47,'Primary_snapshot'!$A$2:$A$92,0))="","",INDEX('Primary_snapshot'!$D$2:$D$92,MATCH(C47,'Primary_snapshot'!$A$2:$A$92,0))),"SNAPSHOT MISSING"))</x:f>
      </x:c>
      <x:c r="N47" s="3" t="str">
        <x:f>IF(Setup!$B$6="primary","",IFERROR(IF(INDEX('Primary_snapshot'!$E$2:$E$92,MATCH(C47,'Primary_snapshot'!$A$2:$A$92,0))="","",INDEX('Primary_snapshot'!$E$2:$E$92,MATCH(C47,'Primary_snapshot'!$A$2:$A$92,0))),"SNAPSHOT MISSING"))</x:f>
      </x:c>
      <x:c r="O47" s="3" t="str">
        <x:f>IF(Setup!$B$6="primary","",IFERROR(IF(INDEX('Primary_snapshot'!$F$2:$F$92,MATCH(C47,'Primary_snapshot'!$A$2:$A$92,0))="","",INDEX('Primary_snapshot'!$F$2:$F$92,MATCH(C47,'Primary_snapshot'!$A$2:$A$92,0))),"SNAPSHOT MISSING"))</x:f>
      </x:c>
      <x:c r="P47" s="3" t="str">
        <x:f>IF(Setup!$B$6="primary","",IFERROR(IF(INDEX('Primary_snapshot'!$G$2:$G$92,MATCH(C47,'Primary_snapshot'!$A$2:$A$92,0))="","",INDEX('Primary_snapshot'!$G$2:$G$92,MATCH(C47,'Primary_snapshot'!$A$2:$A$92,0))),"SNAPSHOT MISSING"))</x:f>
      </x:c>
      <x:c r="Q47" s="3" t="str">
        <x:f>IF(Setup!$B$6="primary","",IFERROR(IF(INDEX('Primary_snapshot'!$H$2:$H$92,MATCH(C47,'Primary_snapshot'!$A$2:$A$92,0))="","",INDEX('Primary_snapshot'!$H$2:$H$92,MATCH(C47,'Primary_snapshot'!$A$2:$A$92,0))),"SNAPSHOT MISSING"))</x:f>
      </x:c>
      <x:c r="R47" s="3" t="str">
        <x:f>IF(Setup!$B$6="primary","",IFERROR(IF(INDEX('Primary_snapshot'!$I$2:$I$92,MATCH(C47,'Primary_snapshot'!$A$2:$A$92,0))="","",INDEX('Primary_snapshot'!$I$2:$I$92,MATCH(C47,'Primary_snapshot'!$A$2:$A$92,0))),"SNAPSHOT MISSING"))</x:f>
      </x:c>
      <x:c r="S47" s="3" t="str">
        <x:f>IF(INDEX('C_jama.2024.25786'!$D$2:$D$9,MATCH("2024::jama.2024.25786::C003",'C_jama.2024.25786'!$A$2:$A$9,0))="","",INDEX('C_jama.2024.25786'!$D$2:$D$9,MATCH("2024::jama.2024.25786::C003",'C_jama.2024.25786'!$A$2:$A$9,0)))</x:f>
      </x:c>
      <x:c r="T47" s="3" t="str">
        <x:f>IF(INDEX('C_jama.2024.25786'!$E$2:$E$9,MATCH("2024::jama.2024.25786::C003",'C_jama.2024.25786'!$A$2:$A$9,0))="","",INDEX('C_jama.2024.25786'!$E$2:$E$9,MATCH("2024::jama.2024.25786::C003",'C_jama.2024.25786'!$A$2:$A$9,0)))</x:f>
        <x:v>report_internal_inconsistency</x:v>
      </x:c>
      <x:c r="U47" s="3" t="str">
        <x:f>IF(AND(INDEX('C_jama.2024.25786'!$D$2:$D$9,MATCH("2024::jama.2024.25786::C003",'C_jama.2024.25786'!$A$2:$A$9,0))="retain",INDEX('C_jama.2024.25786'!$E$2:$E$9,MATCH("2024::jama.2024.25786::C003",'C_jama.2024.25786'!$A$2:$A$9,0))="statistical_results"),IF(INDEX('C_jama.2024.25786'!$H$2:$H$9,MATCH("2024::jama.2024.25786::C003",'C_jama.2024.25786'!$A$2:$A$9,0))="","",INDEX('C_jama.2024.25786'!$H$2:$H$9,MATCH("2024::jama.2024.25786::C003",'C_jama.2024.25786'!$A$2:$A$9,0))),"not_applicable")</x:f>
        <x:v>not_applicable</x:v>
      </x:c>
      <x:c r="V47" s="3" t="str">
        <x:f>IF(AND(INDEX('C_jama.2024.25786'!$D$2:$D$9,MATCH("2024::jama.2024.25786::C003",'C_jama.2024.25786'!$A$2:$A$9,0))="retain",INDEX('C_jama.2024.25786'!$E$2:$E$9,MATCH("2024::jama.2024.25786::C003",'C_jama.2024.25786'!$A$2:$A$9,0))="statistical_results"),IF(INDEX('C_jama.2024.25786'!$I$2:$I$9,MATCH("2024::jama.2024.25786::C003",'C_jama.2024.25786'!$A$2:$A$9,0))="","",INDEX('C_jama.2024.25786'!$I$2:$I$9,MATCH("2024::jama.2024.25786::C003",'C_jama.2024.25786'!$A$2:$A$9,0))),"not_applicable")</x:f>
        <x:v>not_applicable</x:v>
      </x:c>
      <x:c r="W47" s="3" t="str">
        <x:f>IF(AND(INDEX('C_jama.2024.25786'!$D$2:$D$9,MATCH("2024::jama.2024.25786::C003",'C_jama.2024.25786'!$A$2:$A$9,0))="retain",INDEX('C_jama.2024.25786'!$E$2:$E$9,MATCH("2024::jama.2024.25786::C003",'C_jama.2024.25786'!$A$2:$A$9,0))="statistical_results"),IF(INDEX('C_jama.2024.25786'!$J$2:$J$9,MATCH("2024::jama.2024.25786::C003",'C_jama.2024.25786'!$A$2:$A$9,0))="","",INDEX('C_jama.2024.25786'!$J$2:$J$9,MATCH("2024::jama.2024.25786::C003",'C_jama.2024.25786'!$A$2:$A$9,0))),"not_applicable")</x:f>
        <x:v>not_applicable</x:v>
      </x:c>
      <x:c r="X47" s="3" t="str">
        <x:f>IF(AND(INDEX('C_jama.2024.25786'!$D$2:$D$9,MATCH("2024::jama.2024.25786::C003",'C_jama.2024.25786'!$A$2:$A$9,0))="retain",OR(INDEX('C_jama.2024.25786'!$E$2:$E$9,MATCH("2024::jama.2024.25786::C003",'C_jama.2024.25786'!$A$2:$A$9,0))="report_internal_inconsistency",INDEX('C_jama.2024.25786'!$E$2:$E$9,MATCH("2024::jama.2024.25786::C003",'C_jama.2024.25786'!$A$2:$A$9,0))="plan_material")),IF(INDEX('C_jama.2024.25786'!$K$2:$K$9,MATCH("2024::jama.2024.25786::C003",'C_jama.2024.25786'!$A$2:$A$9,0))="","",INDEX('C_jama.2024.25786'!$K$2:$K$9,MATCH("2024::jama.2024.25786::C003",'C_jama.2024.25786'!$A$2:$A$9,0))),"not_applicable")</x:f>
        <x:v>not_applicable</x:v>
      </x:c>
      <x:c r="Y47" s="3" t="str">
        <x:f>IF(AND(INDEX('C_jama.2024.25786'!$D$2:$D$9,MATCH("2024::jama.2024.25786::C003",'C_jama.2024.25786'!$A$2:$A$9,0))="retain",INDEX('C_jama.2024.25786'!$E$2:$E$9,MATCH("2024::jama.2024.25786::C003",'C_jama.2024.25786'!$A$2:$A$9,0))="protocol_report"),IF(INDEX('C_jama.2024.25786'!$L$2:$L$9,MATCH("2024::jama.2024.25786::C003",'C_jama.2024.25786'!$A$2:$A$9,0))="","",INDEX('C_jama.2024.25786'!$L$2:$L$9,MATCH("2024::jama.2024.25786::C003",'C_jama.2024.25786'!$A$2:$A$9,0))),"not_applicable")</x:f>
        <x:v>not_applicable</x:v>
      </x:c>
      <x:c r="Z47" s="3" t="str">
        <x:f>IF(INDEX('C_jama.2024.25786'!$R$2:$R$9,MATCH("2024::jama.2024.25786::C003",'C_jama.2024.25786'!$A$2:$A$9,0))="","",INDEX('C_jama.2024.25786'!$R$2:$R$9,MATCH("2024::jama.2024.25786::C003",'C_jama.2024.25786'!$A$2:$A$9,0)))</x:f>
      </x:c>
      <x:c r="AA47" s="3" t="str">
        <x:f>IF(INDEX('C_jama.2024.25786'!$N$2:$N$9,MATCH("2024::jama.2024.25786::C003",'C_jama.2024.25786'!$A$2:$A$9,0))="","",INDEX('C_jama.2024.25786'!$N$2:$N$9,MATCH("2024::jama.2024.25786::C003",'C_jama.2024.25786'!$A$2:$A$9,0)))</x:f>
      </x:c>
      <x:c r="AB47" s="3" t="str">
        <x:f>IF(INDEX('C_jama.2024.25786'!$O$2:$O$9,MATCH("2024::jama.2024.25786::C003",'C_jama.2024.25786'!$A$2:$A$9,0))="","",INDEX('C_jama.2024.25786'!$O$2:$O$9,MATCH("2024::jama.2024.25786::C003",'C_jama.2024.25786'!$A$2:$A$9,0)))</x:f>
      </x:c>
      <x:c r="AC47" s="3" t="str">
        <x:f>IF(INDEX('C_jama.2024.25786'!$P$2:$P$9,MATCH("2024::jama.2024.25786::C003",'C_jama.2024.25786'!$A$2:$A$9,0))="","",INDEX('C_jama.2024.25786'!$P$2:$P$9,MATCH("2024::jama.2024.25786::C003",'C_jama.2024.25786'!$A$2:$A$9,0)))</x:f>
      </x:c>
      <x:c r="AD47" s="3" t="str">
        <x:f>IF(INDEX('C_jama.2024.25786'!$Q$2:$Q$9,MATCH("2024::jama.2024.25786::C003",'C_jama.2024.25786'!$A$2:$A$9,0))="","",INDEX('C_jama.2024.25786'!$Q$2:$Q$9,MATCH("2024::jama.2024.25786::C003",'C_jama.2024.25786'!$A$2:$A$9,0)))</x:f>
      </x:c>
    </x:row>
    <x:row r="48" ht="65" customHeight="1">
      <x:c r="A48" s="6" t="n">
        <x:v>2024</x:v>
      </x:c>
      <x:c r="B48" s="6" t="str">
        <x:v>jama.2024.25786</x:v>
      </x:c>
      <x:c r="C48" s="6" t="str">
        <x:v>2024::jama.2024.25786::C004</x:v>
      </x:c>
      <x:c r="D48" s="6" t="str">
        <x:v>S_C</x:v>
      </x:c>
      <x:c r="E48" s="6" t="n">
        <x:f>Setup!$B$2</x:f>
        <x:v>0</x:v>
      </x:c>
      <x:c r="F48" s="6" t="str">
        <x:f>IF(Setup!$B$4="","",Setup!$B$4)</x:f>
      </x:c>
      <x:c r="G48" s="6" t="str">
        <x:f>IFERROR(INDEX('C_jama.2024.25786'!$G$2:$G$9,MATCH("2024::jama.2024.25786::C004",'C_jama.2024.25786'!$A$2:$A$9,0)),"CHECK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IF(Setup!$B$6="primary","",IFERROR(IF(INDEX('Primary_snapshot'!$B$2:$B$92,MATCH(C48,'Primary_snapshot'!$A$2:$A$92,0))="","",INDEX('Primary_snapshot'!$B$2:$B$92,MATCH(C48,'Primary_snapshot'!$A$2:$A$92,0))),"SNAPSHOT MISSING"))</x:f>
      </x:c>
      <x:c r="L48" s="6" t="str">
        <x:f>IF(Setup!$B$6="primary","",IFERROR(IF(INDEX('Primary_snapshot'!$C$2:$C$92,MATCH(C48,'Primary_snapshot'!$A$2:$A$92,0))="","",INDEX('Primary_snapshot'!$C$2:$C$92,MATCH(C48,'Primary_snapshot'!$A$2:$A$92,0))),"SNAPSHOT MISSING"))</x:f>
      </x:c>
      <x:c r="M48" s="6" t="str">
        <x:f>IF(Setup!$B$6="primary","",IFERROR(IF(INDEX('Primary_snapshot'!$D$2:$D$92,MATCH(C48,'Primary_snapshot'!$A$2:$A$92,0))="","",INDEX('Primary_snapshot'!$D$2:$D$92,MATCH(C48,'Primary_snapshot'!$A$2:$A$92,0))),"SNAPSHOT MISSING"))</x:f>
      </x:c>
      <x:c r="N48" s="6" t="str">
        <x:f>IF(Setup!$B$6="primary","",IFERROR(IF(INDEX('Primary_snapshot'!$E$2:$E$92,MATCH(C48,'Primary_snapshot'!$A$2:$A$92,0))="","",INDEX('Primary_snapshot'!$E$2:$E$92,MATCH(C48,'Primary_snapshot'!$A$2:$A$92,0))),"SNAPSHOT MISSING"))</x:f>
      </x:c>
      <x:c r="O48" s="6" t="str">
        <x:f>IF(Setup!$B$6="primary","",IFERROR(IF(INDEX('Primary_snapshot'!$F$2:$F$92,MATCH(C48,'Primary_snapshot'!$A$2:$A$92,0))="","",INDEX('Primary_snapshot'!$F$2:$F$92,MATCH(C48,'Primary_snapshot'!$A$2:$A$92,0))),"SNAPSHOT MISSING"))</x:f>
      </x:c>
      <x:c r="P48" s="6" t="str">
        <x:f>IF(Setup!$B$6="primary","",IFERROR(IF(INDEX('Primary_snapshot'!$G$2:$G$92,MATCH(C48,'Primary_snapshot'!$A$2:$A$92,0))="","",INDEX('Primary_snapshot'!$G$2:$G$92,MATCH(C48,'Primary_snapshot'!$A$2:$A$92,0))),"SNAPSHOT MISSING"))</x:f>
      </x:c>
      <x:c r="Q48" s="6" t="str">
        <x:f>IF(Setup!$B$6="primary","",IFERROR(IF(INDEX('Primary_snapshot'!$H$2:$H$92,MATCH(C48,'Primary_snapshot'!$A$2:$A$92,0))="","",INDEX('Primary_snapshot'!$H$2:$H$92,MATCH(C48,'Primary_snapshot'!$A$2:$A$92,0))),"SNAPSHOT MISSING"))</x:f>
      </x:c>
      <x:c r="R48" s="6" t="str">
        <x:f>IF(Setup!$B$6="primary","",IFERROR(IF(INDEX('Primary_snapshot'!$I$2:$I$92,MATCH(C48,'Primary_snapshot'!$A$2:$A$92,0))="","",INDEX('Primary_snapshot'!$I$2:$I$92,MATCH(C48,'Primary_snapshot'!$A$2:$A$92,0))),"SNAPSHOT MISSING"))</x:f>
      </x:c>
      <x:c r="S48" s="6" t="str">
        <x:f>IF(INDEX('C_jama.2024.25786'!$D$2:$D$9,MATCH("2024::jama.2024.25786::C004",'C_jama.2024.25786'!$A$2:$A$9,0))="","",INDEX('C_jama.2024.25786'!$D$2:$D$9,MATCH("2024::jama.2024.25786::C004",'C_jama.2024.25786'!$A$2:$A$9,0)))</x:f>
      </x:c>
      <x:c r="T48" s="6" t="str">
        <x:f>IF(INDEX('C_jama.2024.25786'!$E$2:$E$9,MATCH("2024::jama.2024.25786::C004",'C_jama.2024.25786'!$A$2:$A$9,0))="","",INDEX('C_jama.2024.25786'!$E$2:$E$9,MATCH("2024::jama.2024.25786::C004",'C_jama.2024.25786'!$A$2:$A$9,0)))</x:f>
        <x:v>report_internal_inconsistency</x:v>
      </x:c>
      <x:c r="U48" s="6" t="str">
        <x:f>IF(AND(INDEX('C_jama.2024.25786'!$D$2:$D$9,MATCH("2024::jama.2024.25786::C004",'C_jama.2024.25786'!$A$2:$A$9,0))="retain",INDEX('C_jama.2024.25786'!$E$2:$E$9,MATCH("2024::jama.2024.25786::C004",'C_jama.2024.25786'!$A$2:$A$9,0))="statistical_results"),IF(INDEX('C_jama.2024.25786'!$H$2:$H$9,MATCH("2024::jama.2024.25786::C004",'C_jama.2024.25786'!$A$2:$A$9,0))="","",INDEX('C_jama.2024.25786'!$H$2:$H$9,MATCH("2024::jama.2024.25786::C004",'C_jama.2024.25786'!$A$2:$A$9,0))),"not_applicable")</x:f>
        <x:v>not_applicable</x:v>
      </x:c>
      <x:c r="V48" s="6" t="str">
        <x:f>IF(AND(INDEX('C_jama.2024.25786'!$D$2:$D$9,MATCH("2024::jama.2024.25786::C004",'C_jama.2024.25786'!$A$2:$A$9,0))="retain",INDEX('C_jama.2024.25786'!$E$2:$E$9,MATCH("2024::jama.2024.25786::C004",'C_jama.2024.25786'!$A$2:$A$9,0))="statistical_results"),IF(INDEX('C_jama.2024.25786'!$I$2:$I$9,MATCH("2024::jama.2024.25786::C004",'C_jama.2024.25786'!$A$2:$A$9,0))="","",INDEX('C_jama.2024.25786'!$I$2:$I$9,MATCH("2024::jama.2024.25786::C004",'C_jama.2024.25786'!$A$2:$A$9,0))),"not_applicable")</x:f>
        <x:v>not_applicable</x:v>
      </x:c>
      <x:c r="W48" s="6" t="str">
        <x:f>IF(AND(INDEX('C_jama.2024.25786'!$D$2:$D$9,MATCH("2024::jama.2024.25786::C004",'C_jama.2024.25786'!$A$2:$A$9,0))="retain",INDEX('C_jama.2024.25786'!$E$2:$E$9,MATCH("2024::jama.2024.25786::C004",'C_jama.2024.25786'!$A$2:$A$9,0))="statistical_results"),IF(INDEX('C_jama.2024.25786'!$J$2:$J$9,MATCH("2024::jama.2024.25786::C004",'C_jama.2024.25786'!$A$2:$A$9,0))="","",INDEX('C_jama.2024.25786'!$J$2:$J$9,MATCH("2024::jama.2024.25786::C004",'C_jama.2024.25786'!$A$2:$A$9,0))),"not_applicable")</x:f>
        <x:v>not_applicable</x:v>
      </x:c>
      <x:c r="X48" s="6" t="str">
        <x:f>IF(AND(INDEX('C_jama.2024.25786'!$D$2:$D$9,MATCH("2024::jama.2024.25786::C004",'C_jama.2024.25786'!$A$2:$A$9,0))="retain",OR(INDEX('C_jama.2024.25786'!$E$2:$E$9,MATCH("2024::jama.2024.25786::C004",'C_jama.2024.25786'!$A$2:$A$9,0))="report_internal_inconsistency",INDEX('C_jama.2024.25786'!$E$2:$E$9,MATCH("2024::jama.2024.25786::C004",'C_jama.2024.25786'!$A$2:$A$9,0))="plan_material")),IF(INDEX('C_jama.2024.25786'!$K$2:$K$9,MATCH("2024::jama.2024.25786::C004",'C_jama.2024.25786'!$A$2:$A$9,0))="","",INDEX('C_jama.2024.25786'!$K$2:$K$9,MATCH("2024::jama.2024.25786::C004",'C_jama.2024.25786'!$A$2:$A$9,0))),"not_applicable")</x:f>
        <x:v>not_applicable</x:v>
      </x:c>
      <x:c r="Y48" s="6" t="str">
        <x:f>IF(AND(INDEX('C_jama.2024.25786'!$D$2:$D$9,MATCH("2024::jama.2024.25786::C004",'C_jama.2024.25786'!$A$2:$A$9,0))="retain",INDEX('C_jama.2024.25786'!$E$2:$E$9,MATCH("2024::jama.2024.25786::C004",'C_jama.2024.25786'!$A$2:$A$9,0))="protocol_report"),IF(INDEX('C_jama.2024.25786'!$L$2:$L$9,MATCH("2024::jama.2024.25786::C004",'C_jama.2024.25786'!$A$2:$A$9,0))="","",INDEX('C_jama.2024.25786'!$L$2:$L$9,MATCH("2024::jama.2024.25786::C004",'C_jama.2024.25786'!$A$2:$A$9,0))),"not_applicable")</x:f>
        <x:v>not_applicable</x:v>
      </x:c>
      <x:c r="Z48" s="6" t="str">
        <x:f>IF(INDEX('C_jama.2024.25786'!$R$2:$R$9,MATCH("2024::jama.2024.25786::C004",'C_jama.2024.25786'!$A$2:$A$9,0))="","",INDEX('C_jama.2024.25786'!$R$2:$R$9,MATCH("2024::jama.2024.25786::C004",'C_jama.2024.25786'!$A$2:$A$9,0)))</x:f>
      </x:c>
      <x:c r="AA48" s="6" t="str">
        <x:f>IF(INDEX('C_jama.2024.25786'!$N$2:$N$9,MATCH("2024::jama.2024.25786::C004",'C_jama.2024.25786'!$A$2:$A$9,0))="","",INDEX('C_jama.2024.25786'!$N$2:$N$9,MATCH("2024::jama.2024.25786::C004",'C_jama.2024.25786'!$A$2:$A$9,0)))</x:f>
      </x:c>
      <x:c r="AB48" s="6" t="str">
        <x:f>IF(INDEX('C_jama.2024.25786'!$O$2:$O$9,MATCH("2024::jama.2024.25786::C004",'C_jama.2024.25786'!$A$2:$A$9,0))="","",INDEX('C_jama.2024.25786'!$O$2:$O$9,MATCH("2024::jama.2024.25786::C004",'C_jama.2024.25786'!$A$2:$A$9,0)))</x:f>
      </x:c>
      <x:c r="AC48" s="6" t="str">
        <x:f>IF(INDEX('C_jama.2024.25786'!$P$2:$P$9,MATCH("2024::jama.2024.25786::C004",'C_jama.2024.25786'!$A$2:$A$9,0))="","",INDEX('C_jama.2024.25786'!$P$2:$P$9,MATCH("2024::jama.2024.25786::C004",'C_jama.2024.25786'!$A$2:$A$9,0)))</x:f>
      </x:c>
      <x:c r="AD48" s="6" t="str">
        <x:f>IF(INDEX('C_jama.2024.25786'!$Q$2:$Q$9,MATCH("2024::jama.2024.25786::C004",'C_jama.2024.25786'!$A$2:$A$9,0))="","",INDEX('C_jama.2024.25786'!$Q$2:$Q$9,MATCH("2024::jama.2024.25786::C004",'C_jama.2024.25786'!$A$2:$A$9,0)))</x:f>
      </x:c>
    </x:row>
    <x:row r="49" ht="65" customHeight="1">
      <x:c r="A49" s="3" t="n">
        <x:v>2024</x:v>
      </x:c>
      <x:c r="B49" s="3" t="str">
        <x:v>jama.2024.25786</x:v>
      </x:c>
      <x:c r="C49" s="3" t="str">
        <x:v>2024::jama.2024.25786::C005</x:v>
      </x:c>
      <x:c r="D49" s="3" t="str">
        <x:v>S_C</x:v>
      </x:c>
      <x:c r="E49" s="3" t="n">
        <x:f>Setup!$B$2</x:f>
        <x:v>0</x:v>
      </x:c>
      <x:c r="F49" s="3" t="str">
        <x:f>IF(Setup!$B$4="","",Setup!$B$4)</x:f>
      </x:c>
      <x:c r="G49" s="3" t="str">
        <x:f>IFERROR(INDEX('C_jama.2024.25786'!$G$2:$G$9,MATCH("2024::jama.2024.25786::C005",'C_jama.2024.25786'!$A$2:$A$9,0)),"CHECK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IF(Setup!$B$6="primary","",IFERROR(IF(INDEX('Primary_snapshot'!$B$2:$B$92,MATCH(C49,'Primary_snapshot'!$A$2:$A$92,0))="","",INDEX('Primary_snapshot'!$B$2:$B$92,MATCH(C49,'Primary_snapshot'!$A$2:$A$92,0))),"SNAPSHOT MISSING"))</x:f>
      </x:c>
      <x:c r="L49" s="3" t="str">
        <x:f>IF(Setup!$B$6="primary","",IFERROR(IF(INDEX('Primary_snapshot'!$C$2:$C$92,MATCH(C49,'Primary_snapshot'!$A$2:$A$92,0))="","",INDEX('Primary_snapshot'!$C$2:$C$92,MATCH(C49,'Primary_snapshot'!$A$2:$A$92,0))),"SNAPSHOT MISSING"))</x:f>
      </x:c>
      <x:c r="M49" s="3" t="str">
        <x:f>IF(Setup!$B$6="primary","",IFERROR(IF(INDEX('Primary_snapshot'!$D$2:$D$92,MATCH(C49,'Primary_snapshot'!$A$2:$A$92,0))="","",INDEX('Primary_snapshot'!$D$2:$D$92,MATCH(C49,'Primary_snapshot'!$A$2:$A$92,0))),"SNAPSHOT MISSING"))</x:f>
      </x:c>
      <x:c r="N49" s="3" t="str">
        <x:f>IF(Setup!$B$6="primary","",IFERROR(IF(INDEX('Primary_snapshot'!$E$2:$E$92,MATCH(C49,'Primary_snapshot'!$A$2:$A$92,0))="","",INDEX('Primary_snapshot'!$E$2:$E$92,MATCH(C49,'Primary_snapshot'!$A$2:$A$92,0))),"SNAPSHOT MISSING"))</x:f>
      </x:c>
      <x:c r="O49" s="3" t="str">
        <x:f>IF(Setup!$B$6="primary","",IFERROR(IF(INDEX('Primary_snapshot'!$F$2:$F$92,MATCH(C49,'Primary_snapshot'!$A$2:$A$92,0))="","",INDEX('Primary_snapshot'!$F$2:$F$92,MATCH(C49,'Primary_snapshot'!$A$2:$A$92,0))),"SNAPSHOT MISSING"))</x:f>
      </x:c>
      <x:c r="P49" s="3" t="str">
        <x:f>IF(Setup!$B$6="primary","",IFERROR(IF(INDEX('Primary_snapshot'!$G$2:$G$92,MATCH(C49,'Primary_snapshot'!$A$2:$A$92,0))="","",INDEX('Primary_snapshot'!$G$2:$G$92,MATCH(C49,'Primary_snapshot'!$A$2:$A$92,0))),"SNAPSHOT MISSING"))</x:f>
      </x:c>
      <x:c r="Q49" s="3" t="str">
        <x:f>IF(Setup!$B$6="primary","",IFERROR(IF(INDEX('Primary_snapshot'!$H$2:$H$92,MATCH(C49,'Primary_snapshot'!$A$2:$A$92,0))="","",INDEX('Primary_snapshot'!$H$2:$H$92,MATCH(C49,'Primary_snapshot'!$A$2:$A$92,0))),"SNAPSHOT MISSING"))</x:f>
      </x:c>
      <x:c r="R49" s="3" t="str">
        <x:f>IF(Setup!$B$6="primary","",IFERROR(IF(INDEX('Primary_snapshot'!$I$2:$I$92,MATCH(C49,'Primary_snapshot'!$A$2:$A$92,0))="","",INDEX('Primary_snapshot'!$I$2:$I$92,MATCH(C49,'Primary_snapshot'!$A$2:$A$92,0))),"SNAPSHOT MISSING"))</x:f>
      </x:c>
      <x:c r="S49" s="3" t="str">
        <x:f>IF(INDEX('C_jama.2024.25786'!$D$2:$D$9,MATCH("2024::jama.2024.25786::C005",'C_jama.2024.25786'!$A$2:$A$9,0))="","",INDEX('C_jama.2024.25786'!$D$2:$D$9,MATCH("2024::jama.2024.25786::C005",'C_jama.2024.25786'!$A$2:$A$9,0)))</x:f>
      </x:c>
      <x:c r="T49" s="3" t="str">
        <x:f>IF(INDEX('C_jama.2024.25786'!$E$2:$E$9,MATCH("2024::jama.2024.25786::C005",'C_jama.2024.25786'!$A$2:$A$9,0))="","",INDEX('C_jama.2024.25786'!$E$2:$E$9,MATCH("2024::jama.2024.25786::C005",'C_jama.2024.25786'!$A$2:$A$9,0)))</x:f>
        <x:v>report_internal_inconsistency</x:v>
      </x:c>
      <x:c r="U49" s="3" t="str">
        <x:f>IF(AND(INDEX('C_jama.2024.25786'!$D$2:$D$9,MATCH("2024::jama.2024.25786::C005",'C_jama.2024.25786'!$A$2:$A$9,0))="retain",INDEX('C_jama.2024.25786'!$E$2:$E$9,MATCH("2024::jama.2024.25786::C005",'C_jama.2024.25786'!$A$2:$A$9,0))="statistical_results"),IF(INDEX('C_jama.2024.25786'!$H$2:$H$9,MATCH("2024::jama.2024.25786::C005",'C_jama.2024.25786'!$A$2:$A$9,0))="","",INDEX('C_jama.2024.25786'!$H$2:$H$9,MATCH("2024::jama.2024.25786::C005",'C_jama.2024.25786'!$A$2:$A$9,0))),"not_applicable")</x:f>
        <x:v>not_applicable</x:v>
      </x:c>
      <x:c r="V49" s="3" t="str">
        <x:f>IF(AND(INDEX('C_jama.2024.25786'!$D$2:$D$9,MATCH("2024::jama.2024.25786::C005",'C_jama.2024.25786'!$A$2:$A$9,0))="retain",INDEX('C_jama.2024.25786'!$E$2:$E$9,MATCH("2024::jama.2024.25786::C005",'C_jama.2024.25786'!$A$2:$A$9,0))="statistical_results"),IF(INDEX('C_jama.2024.25786'!$I$2:$I$9,MATCH("2024::jama.2024.25786::C005",'C_jama.2024.25786'!$A$2:$A$9,0))="","",INDEX('C_jama.2024.25786'!$I$2:$I$9,MATCH("2024::jama.2024.25786::C005",'C_jama.2024.25786'!$A$2:$A$9,0))),"not_applicable")</x:f>
        <x:v>not_applicable</x:v>
      </x:c>
      <x:c r="W49" s="3" t="str">
        <x:f>IF(AND(INDEX('C_jama.2024.25786'!$D$2:$D$9,MATCH("2024::jama.2024.25786::C005",'C_jama.2024.25786'!$A$2:$A$9,0))="retain",INDEX('C_jama.2024.25786'!$E$2:$E$9,MATCH("2024::jama.2024.25786::C005",'C_jama.2024.25786'!$A$2:$A$9,0))="statistical_results"),IF(INDEX('C_jama.2024.25786'!$J$2:$J$9,MATCH("2024::jama.2024.25786::C005",'C_jama.2024.25786'!$A$2:$A$9,0))="","",INDEX('C_jama.2024.25786'!$J$2:$J$9,MATCH("2024::jama.2024.25786::C005",'C_jama.2024.25786'!$A$2:$A$9,0))),"not_applicable")</x:f>
        <x:v>not_applicable</x:v>
      </x:c>
      <x:c r="X49" s="3" t="str">
        <x:f>IF(AND(INDEX('C_jama.2024.25786'!$D$2:$D$9,MATCH("2024::jama.2024.25786::C005",'C_jama.2024.25786'!$A$2:$A$9,0))="retain",OR(INDEX('C_jama.2024.25786'!$E$2:$E$9,MATCH("2024::jama.2024.25786::C005",'C_jama.2024.25786'!$A$2:$A$9,0))="report_internal_inconsistency",INDEX('C_jama.2024.25786'!$E$2:$E$9,MATCH("2024::jama.2024.25786::C005",'C_jama.2024.25786'!$A$2:$A$9,0))="plan_material")),IF(INDEX('C_jama.2024.25786'!$K$2:$K$9,MATCH("2024::jama.2024.25786::C005",'C_jama.2024.25786'!$A$2:$A$9,0))="","",INDEX('C_jama.2024.25786'!$K$2:$K$9,MATCH("2024::jama.2024.25786::C005",'C_jama.2024.25786'!$A$2:$A$9,0))),"not_applicable")</x:f>
        <x:v>not_applicable</x:v>
      </x:c>
      <x:c r="Y49" s="3" t="str">
        <x:f>IF(AND(INDEX('C_jama.2024.25786'!$D$2:$D$9,MATCH("2024::jama.2024.25786::C005",'C_jama.2024.25786'!$A$2:$A$9,0))="retain",INDEX('C_jama.2024.25786'!$E$2:$E$9,MATCH("2024::jama.2024.25786::C005",'C_jama.2024.25786'!$A$2:$A$9,0))="protocol_report"),IF(INDEX('C_jama.2024.25786'!$L$2:$L$9,MATCH("2024::jama.2024.25786::C005",'C_jama.2024.25786'!$A$2:$A$9,0))="","",INDEX('C_jama.2024.25786'!$L$2:$L$9,MATCH("2024::jama.2024.25786::C005",'C_jama.2024.25786'!$A$2:$A$9,0))),"not_applicable")</x:f>
        <x:v>not_applicable</x:v>
      </x:c>
      <x:c r="Z49" s="3" t="str">
        <x:f>IF(INDEX('C_jama.2024.25786'!$R$2:$R$9,MATCH("2024::jama.2024.25786::C005",'C_jama.2024.25786'!$A$2:$A$9,0))="","",INDEX('C_jama.2024.25786'!$R$2:$R$9,MATCH("2024::jama.2024.25786::C005",'C_jama.2024.25786'!$A$2:$A$9,0)))</x:f>
      </x:c>
      <x:c r="AA49" s="3" t="str">
        <x:f>IF(INDEX('C_jama.2024.25786'!$N$2:$N$9,MATCH("2024::jama.2024.25786::C005",'C_jama.2024.25786'!$A$2:$A$9,0))="","",INDEX('C_jama.2024.25786'!$N$2:$N$9,MATCH("2024::jama.2024.25786::C005",'C_jama.2024.25786'!$A$2:$A$9,0)))</x:f>
      </x:c>
      <x:c r="AB49" s="3" t="str">
        <x:f>IF(INDEX('C_jama.2024.25786'!$O$2:$O$9,MATCH("2024::jama.2024.25786::C005",'C_jama.2024.25786'!$A$2:$A$9,0))="","",INDEX('C_jama.2024.25786'!$O$2:$O$9,MATCH("2024::jama.2024.25786::C005",'C_jama.2024.25786'!$A$2:$A$9,0)))</x:f>
      </x:c>
      <x:c r="AC49" s="3" t="str">
        <x:f>IF(INDEX('C_jama.2024.25786'!$P$2:$P$9,MATCH("2024::jama.2024.25786::C005",'C_jama.2024.25786'!$A$2:$A$9,0))="","",INDEX('C_jama.2024.25786'!$P$2:$P$9,MATCH("2024::jama.2024.25786::C005",'C_jama.2024.25786'!$A$2:$A$9,0)))</x:f>
      </x:c>
      <x:c r="AD49" s="3" t="str">
        <x:f>IF(INDEX('C_jama.2024.25786'!$Q$2:$Q$9,MATCH("2024::jama.2024.25786::C005",'C_jama.2024.25786'!$A$2:$A$9,0))="","",INDEX('C_jama.2024.25786'!$Q$2:$Q$9,MATCH("2024::jama.2024.25786::C005",'C_jama.2024.25786'!$A$2:$A$9,0)))</x:f>
      </x:c>
    </x:row>
    <x:row r="50" ht="65" customHeight="1">
      <x:c r="A50" s="6" t="n">
        <x:v>2024</x:v>
      </x:c>
      <x:c r="B50" s="6" t="str">
        <x:v>jama.2024.25786</x:v>
      </x:c>
      <x:c r="C50" s="6" t="str">
        <x:v>2024::jama.2024.25786::C006</x:v>
      </x:c>
      <x:c r="D50" s="6" t="str">
        <x:v>S_C</x:v>
      </x:c>
      <x:c r="E50" s="6" t="n">
        <x:f>Setup!$B$2</x:f>
        <x:v>0</x:v>
      </x:c>
      <x:c r="F50" s="6" t="str">
        <x:f>IF(Setup!$B$4="","",Setup!$B$4)</x:f>
      </x:c>
      <x:c r="G50" s="6" t="str">
        <x:f>IFERROR(INDEX('C_jama.2024.25786'!$G$2:$G$9,MATCH("2024::jama.2024.25786::C006",'C_jama.2024.25786'!$A$2:$A$9,0)),"CHECK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IF(Setup!$B$6="primary","",IFERROR(IF(INDEX('Primary_snapshot'!$B$2:$B$92,MATCH(C50,'Primary_snapshot'!$A$2:$A$92,0))="","",INDEX('Primary_snapshot'!$B$2:$B$92,MATCH(C50,'Primary_snapshot'!$A$2:$A$92,0))),"SNAPSHOT MISSING"))</x:f>
      </x:c>
      <x:c r="L50" s="6" t="str">
        <x:f>IF(Setup!$B$6="primary","",IFERROR(IF(INDEX('Primary_snapshot'!$C$2:$C$92,MATCH(C50,'Primary_snapshot'!$A$2:$A$92,0))="","",INDEX('Primary_snapshot'!$C$2:$C$92,MATCH(C50,'Primary_snapshot'!$A$2:$A$92,0))),"SNAPSHOT MISSING"))</x:f>
      </x:c>
      <x:c r="M50" s="6" t="str">
        <x:f>IF(Setup!$B$6="primary","",IFERROR(IF(INDEX('Primary_snapshot'!$D$2:$D$92,MATCH(C50,'Primary_snapshot'!$A$2:$A$92,0))="","",INDEX('Primary_snapshot'!$D$2:$D$92,MATCH(C50,'Primary_snapshot'!$A$2:$A$92,0))),"SNAPSHOT MISSING"))</x:f>
      </x:c>
      <x:c r="N50" s="6" t="str">
        <x:f>IF(Setup!$B$6="primary","",IFERROR(IF(INDEX('Primary_snapshot'!$E$2:$E$92,MATCH(C50,'Primary_snapshot'!$A$2:$A$92,0))="","",INDEX('Primary_snapshot'!$E$2:$E$92,MATCH(C50,'Primary_snapshot'!$A$2:$A$92,0))),"SNAPSHOT MISSING"))</x:f>
      </x:c>
      <x:c r="O50" s="6" t="str">
        <x:f>IF(Setup!$B$6="primary","",IFERROR(IF(INDEX('Primary_snapshot'!$F$2:$F$92,MATCH(C50,'Primary_snapshot'!$A$2:$A$92,0))="","",INDEX('Primary_snapshot'!$F$2:$F$92,MATCH(C50,'Primary_snapshot'!$A$2:$A$92,0))),"SNAPSHOT MISSING"))</x:f>
      </x:c>
      <x:c r="P50" s="6" t="str">
        <x:f>IF(Setup!$B$6="primary","",IFERROR(IF(INDEX('Primary_snapshot'!$G$2:$G$92,MATCH(C50,'Primary_snapshot'!$A$2:$A$92,0))="","",INDEX('Primary_snapshot'!$G$2:$G$92,MATCH(C50,'Primary_snapshot'!$A$2:$A$92,0))),"SNAPSHOT MISSING"))</x:f>
      </x:c>
      <x:c r="Q50" s="6" t="str">
        <x:f>IF(Setup!$B$6="primary","",IFERROR(IF(INDEX('Primary_snapshot'!$H$2:$H$92,MATCH(C50,'Primary_snapshot'!$A$2:$A$92,0))="","",INDEX('Primary_snapshot'!$H$2:$H$92,MATCH(C50,'Primary_snapshot'!$A$2:$A$92,0))),"SNAPSHOT MISSING"))</x:f>
      </x:c>
      <x:c r="R50" s="6" t="str">
        <x:f>IF(Setup!$B$6="primary","",IFERROR(IF(INDEX('Primary_snapshot'!$I$2:$I$92,MATCH(C50,'Primary_snapshot'!$A$2:$A$92,0))="","",INDEX('Primary_snapshot'!$I$2:$I$92,MATCH(C50,'Primary_snapshot'!$A$2:$A$92,0))),"SNAPSHOT MISSING"))</x:f>
      </x:c>
      <x:c r="S50" s="6" t="str">
        <x:f>IF(INDEX('C_jama.2024.25786'!$D$2:$D$9,MATCH("2024::jama.2024.25786::C006",'C_jama.2024.25786'!$A$2:$A$9,0))="","",INDEX('C_jama.2024.25786'!$D$2:$D$9,MATCH("2024::jama.2024.25786::C006",'C_jama.2024.25786'!$A$2:$A$9,0)))</x:f>
      </x:c>
      <x:c r="T50" s="6" t="str">
        <x:f>IF(INDEX('C_jama.2024.25786'!$E$2:$E$9,MATCH("2024::jama.2024.25786::C006",'C_jama.2024.25786'!$A$2:$A$9,0))="","",INDEX('C_jama.2024.25786'!$E$2:$E$9,MATCH("2024::jama.2024.25786::C006",'C_jama.2024.25786'!$A$2:$A$9,0)))</x:f>
        <x:v>report_internal_inconsistency</x:v>
      </x:c>
      <x:c r="U50" s="6" t="str">
        <x:f>IF(AND(INDEX('C_jama.2024.25786'!$D$2:$D$9,MATCH("2024::jama.2024.25786::C006",'C_jama.2024.25786'!$A$2:$A$9,0))="retain",INDEX('C_jama.2024.25786'!$E$2:$E$9,MATCH("2024::jama.2024.25786::C006",'C_jama.2024.25786'!$A$2:$A$9,0))="statistical_results"),IF(INDEX('C_jama.2024.25786'!$H$2:$H$9,MATCH("2024::jama.2024.25786::C006",'C_jama.2024.25786'!$A$2:$A$9,0))="","",INDEX('C_jama.2024.25786'!$H$2:$H$9,MATCH("2024::jama.2024.25786::C006",'C_jama.2024.25786'!$A$2:$A$9,0))),"not_applicable")</x:f>
        <x:v>not_applicable</x:v>
      </x:c>
      <x:c r="V50" s="6" t="str">
        <x:f>IF(AND(INDEX('C_jama.2024.25786'!$D$2:$D$9,MATCH("2024::jama.2024.25786::C006",'C_jama.2024.25786'!$A$2:$A$9,0))="retain",INDEX('C_jama.2024.25786'!$E$2:$E$9,MATCH("2024::jama.2024.25786::C006",'C_jama.2024.25786'!$A$2:$A$9,0))="statistical_results"),IF(INDEX('C_jama.2024.25786'!$I$2:$I$9,MATCH("2024::jama.2024.25786::C006",'C_jama.2024.25786'!$A$2:$A$9,0))="","",INDEX('C_jama.2024.25786'!$I$2:$I$9,MATCH("2024::jama.2024.25786::C006",'C_jama.2024.25786'!$A$2:$A$9,0))),"not_applicable")</x:f>
        <x:v>not_applicable</x:v>
      </x:c>
      <x:c r="W50" s="6" t="str">
        <x:f>IF(AND(INDEX('C_jama.2024.25786'!$D$2:$D$9,MATCH("2024::jama.2024.25786::C006",'C_jama.2024.25786'!$A$2:$A$9,0))="retain",INDEX('C_jama.2024.25786'!$E$2:$E$9,MATCH("2024::jama.2024.25786::C006",'C_jama.2024.25786'!$A$2:$A$9,0))="statistical_results"),IF(INDEX('C_jama.2024.25786'!$J$2:$J$9,MATCH("2024::jama.2024.25786::C006",'C_jama.2024.25786'!$A$2:$A$9,0))="","",INDEX('C_jama.2024.25786'!$J$2:$J$9,MATCH("2024::jama.2024.25786::C006",'C_jama.2024.25786'!$A$2:$A$9,0))),"not_applicable")</x:f>
        <x:v>not_applicable</x:v>
      </x:c>
      <x:c r="X50" s="6" t="str">
        <x:f>IF(AND(INDEX('C_jama.2024.25786'!$D$2:$D$9,MATCH("2024::jama.2024.25786::C006",'C_jama.2024.25786'!$A$2:$A$9,0))="retain",OR(INDEX('C_jama.2024.25786'!$E$2:$E$9,MATCH("2024::jama.2024.25786::C006",'C_jama.2024.25786'!$A$2:$A$9,0))="report_internal_inconsistency",INDEX('C_jama.2024.25786'!$E$2:$E$9,MATCH("2024::jama.2024.25786::C006",'C_jama.2024.25786'!$A$2:$A$9,0))="plan_material")),IF(INDEX('C_jama.2024.25786'!$K$2:$K$9,MATCH("2024::jama.2024.25786::C006",'C_jama.2024.25786'!$A$2:$A$9,0))="","",INDEX('C_jama.2024.25786'!$K$2:$K$9,MATCH("2024::jama.2024.25786::C006",'C_jama.2024.25786'!$A$2:$A$9,0))),"not_applicable")</x:f>
        <x:v>not_applicable</x:v>
      </x:c>
      <x:c r="Y50" s="6" t="str">
        <x:f>IF(AND(INDEX('C_jama.2024.25786'!$D$2:$D$9,MATCH("2024::jama.2024.25786::C006",'C_jama.2024.25786'!$A$2:$A$9,0))="retain",INDEX('C_jama.2024.25786'!$E$2:$E$9,MATCH("2024::jama.2024.25786::C006",'C_jama.2024.25786'!$A$2:$A$9,0))="protocol_report"),IF(INDEX('C_jama.2024.25786'!$L$2:$L$9,MATCH("2024::jama.2024.25786::C006",'C_jama.2024.25786'!$A$2:$A$9,0))="","",INDEX('C_jama.2024.25786'!$L$2:$L$9,MATCH("2024::jama.2024.25786::C006",'C_jama.2024.25786'!$A$2:$A$9,0))),"not_applicable")</x:f>
        <x:v>not_applicable</x:v>
      </x:c>
      <x:c r="Z50" s="6" t="str">
        <x:f>IF(INDEX('C_jama.2024.25786'!$R$2:$R$9,MATCH("2024::jama.2024.25786::C006",'C_jama.2024.25786'!$A$2:$A$9,0))="","",INDEX('C_jama.2024.25786'!$R$2:$R$9,MATCH("2024::jama.2024.25786::C006",'C_jama.2024.25786'!$A$2:$A$9,0)))</x:f>
      </x:c>
      <x:c r="AA50" s="6" t="str">
        <x:f>IF(INDEX('C_jama.2024.25786'!$N$2:$N$9,MATCH("2024::jama.2024.25786::C006",'C_jama.2024.25786'!$A$2:$A$9,0))="","",INDEX('C_jama.2024.25786'!$N$2:$N$9,MATCH("2024::jama.2024.25786::C006",'C_jama.2024.25786'!$A$2:$A$9,0)))</x:f>
      </x:c>
      <x:c r="AB50" s="6" t="str">
        <x:f>IF(INDEX('C_jama.2024.25786'!$O$2:$O$9,MATCH("2024::jama.2024.25786::C006",'C_jama.2024.25786'!$A$2:$A$9,0))="","",INDEX('C_jama.2024.25786'!$O$2:$O$9,MATCH("2024::jama.2024.25786::C006",'C_jama.2024.25786'!$A$2:$A$9,0)))</x:f>
      </x:c>
      <x:c r="AC50" s="6" t="str">
        <x:f>IF(INDEX('C_jama.2024.25786'!$P$2:$P$9,MATCH("2024::jama.2024.25786::C006",'C_jama.2024.25786'!$A$2:$A$9,0))="","",INDEX('C_jama.2024.25786'!$P$2:$P$9,MATCH("2024::jama.2024.25786::C006",'C_jama.2024.25786'!$A$2:$A$9,0)))</x:f>
      </x:c>
      <x:c r="AD50" s="6" t="str">
        <x:f>IF(INDEX('C_jama.2024.25786'!$Q$2:$Q$9,MATCH("2024::jama.2024.25786::C006",'C_jama.2024.25786'!$A$2:$A$9,0))="","",INDEX('C_jama.2024.25786'!$Q$2:$Q$9,MATCH("2024::jama.2024.25786::C006",'C_jama.2024.25786'!$A$2:$A$9,0)))</x:f>
      </x:c>
    </x:row>
    <x:row r="51" ht="65" customHeight="1">
      <x:c r="A51" s="3" t="n">
        <x:v>2024</x:v>
      </x:c>
      <x:c r="B51" s="3" t="str">
        <x:v>jama.2024.25786</x:v>
      </x:c>
      <x:c r="C51" s="3" t="str">
        <x:v>2024::jama.2024.25786::C007</x:v>
      </x:c>
      <x:c r="D51" s="3" t="str">
        <x:v>S_W</x:v>
      </x:c>
      <x:c r="E51" s="3" t="n">
        <x:f>Setup!$B$2</x:f>
        <x:v>0</x:v>
      </x:c>
      <x:c r="F51" s="3" t="str">
        <x:f>IF(Setup!$B$4="","",Setup!$B$4)</x:f>
      </x:c>
      <x:c r="G51" s="3" t="str">
        <x:f>IFERROR(INDEX('C_jama.2024.25786'!$G$2:$G$9,MATCH("2024::jama.2024.25786::C007",'C_jama.2024.25786'!$A$2:$A$9,0)),"CHECK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statistical_results</x:v>
      </x:c>
      <x:c r="K51" s="3" t="str">
        <x:f>IF(Setup!$B$6="primary","",IFERROR(IF(INDEX('Primary_snapshot'!$B$2:$B$92,MATCH(C51,'Primary_snapshot'!$A$2:$A$92,0))="","",INDEX('Primary_snapshot'!$B$2:$B$92,MATCH(C51,'Primary_snapshot'!$A$2:$A$92,0))),"SNAPSHOT MISSING"))</x:f>
      </x:c>
      <x:c r="L51" s="3" t="str">
        <x:f>IF(Setup!$B$6="primary","",IFERROR(IF(INDEX('Primary_snapshot'!$C$2:$C$92,MATCH(C51,'Primary_snapshot'!$A$2:$A$92,0))="","",INDEX('Primary_snapshot'!$C$2:$C$92,MATCH(C51,'Primary_snapshot'!$A$2:$A$92,0))),"SNAPSHOT MISSING"))</x:f>
      </x:c>
      <x:c r="M51" s="3" t="str">
        <x:f>IF(Setup!$B$6="primary","",IFERROR(IF(INDEX('Primary_snapshot'!$D$2:$D$92,MATCH(C51,'Primary_snapshot'!$A$2:$A$92,0))="","",INDEX('Primary_snapshot'!$D$2:$D$92,MATCH(C51,'Primary_snapshot'!$A$2:$A$92,0))),"SNAPSHOT MISSING"))</x:f>
      </x:c>
      <x:c r="N51" s="3" t="str">
        <x:f>IF(Setup!$B$6="primary","",IFERROR(IF(INDEX('Primary_snapshot'!$E$2:$E$92,MATCH(C51,'Primary_snapshot'!$A$2:$A$92,0))="","",INDEX('Primary_snapshot'!$E$2:$E$92,MATCH(C51,'Primary_snapshot'!$A$2:$A$92,0))),"SNAPSHOT MISSING"))</x:f>
      </x:c>
      <x:c r="O51" s="3" t="str">
        <x:f>IF(Setup!$B$6="primary","",IFERROR(IF(INDEX('Primary_snapshot'!$F$2:$F$92,MATCH(C51,'Primary_snapshot'!$A$2:$A$92,0))="","",INDEX('Primary_snapshot'!$F$2:$F$92,MATCH(C51,'Primary_snapshot'!$A$2:$A$92,0))),"SNAPSHOT MISSING"))</x:f>
      </x:c>
      <x:c r="P51" s="3" t="str">
        <x:f>IF(Setup!$B$6="primary","",IFERROR(IF(INDEX('Primary_snapshot'!$G$2:$G$92,MATCH(C51,'Primary_snapshot'!$A$2:$A$92,0))="","",INDEX('Primary_snapshot'!$G$2:$G$92,MATCH(C51,'Primary_snapshot'!$A$2:$A$92,0))),"SNAPSHOT MISSING"))</x:f>
      </x:c>
      <x:c r="Q51" s="3" t="str">
        <x:f>IF(Setup!$B$6="primary","",IFERROR(IF(INDEX('Primary_snapshot'!$H$2:$H$92,MATCH(C51,'Primary_snapshot'!$A$2:$A$92,0))="","",INDEX('Primary_snapshot'!$H$2:$H$92,MATCH(C51,'Primary_snapshot'!$A$2:$A$92,0))),"SNAPSHOT MISSING"))</x:f>
      </x:c>
      <x:c r="R51" s="3" t="str">
        <x:f>IF(Setup!$B$6="primary","",IFERROR(IF(INDEX('Primary_snapshot'!$I$2:$I$92,MATCH(C51,'Primary_snapshot'!$A$2:$A$92,0))="","",INDEX('Primary_snapshot'!$I$2:$I$92,MATCH(C51,'Primary_snapshot'!$A$2:$A$92,0))),"SNAPSHOT MISSING"))</x:f>
      </x:c>
      <x:c r="S51" s="3" t="str">
        <x:f>IF(INDEX('C_jama.2024.25786'!$D$2:$D$9,MATCH("2024::jama.2024.25786::C007",'C_jama.2024.25786'!$A$2:$A$9,0))="","",INDEX('C_jama.2024.25786'!$D$2:$D$9,MATCH("2024::jama.2024.25786::C007",'C_jama.2024.25786'!$A$2:$A$9,0)))</x:f>
      </x:c>
      <x:c r="T51" s="3" t="str">
        <x:f>IF(INDEX('C_jama.2024.25786'!$E$2:$E$9,MATCH("2024::jama.2024.25786::C007",'C_jama.2024.25786'!$A$2:$A$9,0))="","",INDEX('C_jama.2024.25786'!$E$2:$E$9,MATCH("2024::jama.2024.25786::C007",'C_jama.2024.25786'!$A$2:$A$9,0)))</x:f>
        <x:v>statistical_results</x:v>
      </x:c>
      <x:c r="U51" s="3" t="str">
        <x:f>IF(AND(INDEX('C_jama.2024.25786'!$D$2:$D$9,MATCH("2024::jama.2024.25786::C007",'C_jama.2024.25786'!$A$2:$A$9,0))="retain",INDEX('C_jama.2024.25786'!$E$2:$E$9,MATCH("2024::jama.2024.25786::C007",'C_jama.2024.25786'!$A$2:$A$9,0))="statistical_results"),IF(INDEX('C_jama.2024.25786'!$H$2:$H$9,MATCH("2024::jama.2024.25786::C007",'C_jama.2024.25786'!$A$2:$A$9,0))="","",INDEX('C_jama.2024.25786'!$H$2:$H$9,MATCH("2024::jama.2024.25786::C007",'C_jama.2024.25786'!$A$2:$A$9,0))),"not_applicable")</x:f>
        <x:v>not_applicable</x:v>
      </x:c>
      <x:c r="V51" s="3" t="str">
        <x:f>IF(AND(INDEX('C_jama.2024.25786'!$D$2:$D$9,MATCH("2024::jama.2024.25786::C007",'C_jama.2024.25786'!$A$2:$A$9,0))="retain",INDEX('C_jama.2024.25786'!$E$2:$E$9,MATCH("2024::jama.2024.25786::C007",'C_jama.2024.25786'!$A$2:$A$9,0))="statistical_results"),IF(INDEX('C_jama.2024.25786'!$I$2:$I$9,MATCH("2024::jama.2024.25786::C007",'C_jama.2024.25786'!$A$2:$A$9,0))="","",INDEX('C_jama.2024.25786'!$I$2:$I$9,MATCH("2024::jama.2024.25786::C007",'C_jama.2024.25786'!$A$2:$A$9,0))),"not_applicable")</x:f>
        <x:v>not_applicable</x:v>
      </x:c>
      <x:c r="W51" s="3" t="str">
        <x:f>IF(AND(INDEX('C_jama.2024.25786'!$D$2:$D$9,MATCH("2024::jama.2024.25786::C007",'C_jama.2024.25786'!$A$2:$A$9,0))="retain",INDEX('C_jama.2024.25786'!$E$2:$E$9,MATCH("2024::jama.2024.25786::C007",'C_jama.2024.25786'!$A$2:$A$9,0))="statistical_results"),IF(INDEX('C_jama.2024.25786'!$J$2:$J$9,MATCH("2024::jama.2024.25786::C007",'C_jama.2024.25786'!$A$2:$A$9,0))="","",INDEX('C_jama.2024.25786'!$J$2:$J$9,MATCH("2024::jama.2024.25786::C007",'C_jama.2024.25786'!$A$2:$A$9,0))),"not_applicable")</x:f>
        <x:v>not_applicable</x:v>
      </x:c>
      <x:c r="X51" s="3" t="str">
        <x:f>IF(AND(INDEX('C_jama.2024.25786'!$D$2:$D$9,MATCH("2024::jama.2024.25786::C007",'C_jama.2024.25786'!$A$2:$A$9,0))="retain",OR(INDEX('C_jama.2024.25786'!$E$2:$E$9,MATCH("2024::jama.2024.25786::C007",'C_jama.2024.25786'!$A$2:$A$9,0))="report_internal_inconsistency",INDEX('C_jama.2024.25786'!$E$2:$E$9,MATCH("2024::jama.2024.25786::C007",'C_jama.2024.25786'!$A$2:$A$9,0))="plan_material")),IF(INDEX('C_jama.2024.25786'!$K$2:$K$9,MATCH("2024::jama.2024.25786::C007",'C_jama.2024.25786'!$A$2:$A$9,0))="","",INDEX('C_jama.2024.25786'!$K$2:$K$9,MATCH("2024::jama.2024.25786::C007",'C_jama.2024.25786'!$A$2:$A$9,0))),"not_applicable")</x:f>
        <x:v>not_applicable</x:v>
      </x:c>
      <x:c r="Y51" s="3" t="str">
        <x:f>IF(AND(INDEX('C_jama.2024.25786'!$D$2:$D$9,MATCH("2024::jama.2024.25786::C007",'C_jama.2024.25786'!$A$2:$A$9,0))="retain",INDEX('C_jama.2024.25786'!$E$2:$E$9,MATCH("2024::jama.2024.25786::C007",'C_jama.2024.25786'!$A$2:$A$9,0))="protocol_report"),IF(INDEX('C_jama.2024.25786'!$L$2:$L$9,MATCH("2024::jama.2024.25786::C007",'C_jama.2024.25786'!$A$2:$A$9,0))="","",INDEX('C_jama.2024.25786'!$L$2:$L$9,MATCH("2024::jama.2024.25786::C007",'C_jama.2024.25786'!$A$2:$A$9,0))),"not_applicable")</x:f>
        <x:v>not_applicable</x:v>
      </x:c>
      <x:c r="Z51" s="3" t="str">
        <x:f>IF(INDEX('C_jama.2024.25786'!$R$2:$R$9,MATCH("2024::jama.2024.25786::C007",'C_jama.2024.25786'!$A$2:$A$9,0))="","",INDEX('C_jama.2024.25786'!$R$2:$R$9,MATCH("2024::jama.2024.25786::C007",'C_jama.2024.25786'!$A$2:$A$9,0)))</x:f>
      </x:c>
      <x:c r="AA51" s="3" t="str">
        <x:f>IF(INDEX('C_jama.2024.25786'!$N$2:$N$9,MATCH("2024::jama.2024.25786::C007",'C_jama.2024.25786'!$A$2:$A$9,0))="","",INDEX('C_jama.2024.25786'!$N$2:$N$9,MATCH("2024::jama.2024.25786::C007",'C_jama.2024.25786'!$A$2:$A$9,0)))</x:f>
      </x:c>
      <x:c r="AB51" s="3" t="str">
        <x:f>IF(INDEX('C_jama.2024.25786'!$O$2:$O$9,MATCH("2024::jama.2024.25786::C007",'C_jama.2024.25786'!$A$2:$A$9,0))="","",INDEX('C_jama.2024.25786'!$O$2:$O$9,MATCH("2024::jama.2024.25786::C007",'C_jama.2024.25786'!$A$2:$A$9,0)))</x:f>
      </x:c>
      <x:c r="AC51" s="3" t="str">
        <x:f>IF(INDEX('C_jama.2024.25786'!$P$2:$P$9,MATCH("2024::jama.2024.25786::C007",'C_jama.2024.25786'!$A$2:$A$9,0))="","",INDEX('C_jama.2024.25786'!$P$2:$P$9,MATCH("2024::jama.2024.25786::C007",'C_jama.2024.25786'!$A$2:$A$9,0)))</x:f>
      </x:c>
      <x:c r="AD51" s="3" t="str">
        <x:f>IF(INDEX('C_jama.2024.25786'!$Q$2:$Q$9,MATCH("2024::jama.2024.25786::C007",'C_jama.2024.25786'!$A$2:$A$9,0))="","",INDEX('C_jama.2024.25786'!$Q$2:$Q$9,MATCH("2024::jama.2024.25786::C007",'C_jama.2024.25786'!$A$2:$A$9,0)))</x:f>
      </x:c>
    </x:row>
    <x:row r="52" ht="65" customHeight="1">
      <x:c r="A52" s="6" t="n">
        <x:v>2024</x:v>
      </x:c>
      <x:c r="B52" s="6" t="str">
        <x:v>jama.2024.25786</x:v>
      </x:c>
      <x:c r="C52" s="6" t="str">
        <x:v>2024::jama.2024.25786::C008</x:v>
      </x:c>
      <x:c r="D52" s="6" t="str">
        <x:v>S_W</x:v>
      </x:c>
      <x:c r="E52" s="6" t="n">
        <x:f>Setup!$B$2</x:f>
        <x:v>0</x:v>
      </x:c>
      <x:c r="F52" s="6" t="str">
        <x:f>IF(Setup!$B$4="","",Setup!$B$4)</x:f>
      </x:c>
      <x:c r="G52" s="6" t="str">
        <x:f>IFERROR(INDEX('C_jama.2024.25786'!$G$2:$G$9,MATCH("2024::jama.2024.25786::C008",'C_jama.2024.25786'!$A$2:$A$9,0)),"CHECK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IF(Setup!$B$6="primary","",IFERROR(IF(INDEX('Primary_snapshot'!$B$2:$B$92,MATCH(C52,'Primary_snapshot'!$A$2:$A$92,0))="","",INDEX('Primary_snapshot'!$B$2:$B$92,MATCH(C52,'Primary_snapshot'!$A$2:$A$92,0))),"SNAPSHOT MISSING"))</x:f>
      </x:c>
      <x:c r="L52" s="6" t="str">
        <x:f>IF(Setup!$B$6="primary","",IFERROR(IF(INDEX('Primary_snapshot'!$C$2:$C$92,MATCH(C52,'Primary_snapshot'!$A$2:$A$92,0))="","",INDEX('Primary_snapshot'!$C$2:$C$92,MATCH(C52,'Primary_snapshot'!$A$2:$A$92,0))),"SNAPSHOT MISSING"))</x:f>
      </x:c>
      <x:c r="M52" s="6" t="str">
        <x:f>IF(Setup!$B$6="primary","",IFERROR(IF(INDEX('Primary_snapshot'!$D$2:$D$92,MATCH(C52,'Primary_snapshot'!$A$2:$A$92,0))="","",INDEX('Primary_snapshot'!$D$2:$D$92,MATCH(C52,'Primary_snapshot'!$A$2:$A$92,0))),"SNAPSHOT MISSING"))</x:f>
      </x:c>
      <x:c r="N52" s="6" t="str">
        <x:f>IF(Setup!$B$6="primary","",IFERROR(IF(INDEX('Primary_snapshot'!$E$2:$E$92,MATCH(C52,'Primary_snapshot'!$A$2:$A$92,0))="","",INDEX('Primary_snapshot'!$E$2:$E$92,MATCH(C52,'Primary_snapshot'!$A$2:$A$92,0))),"SNAPSHOT MISSING"))</x:f>
      </x:c>
      <x:c r="O52" s="6" t="str">
        <x:f>IF(Setup!$B$6="primary","",IFERROR(IF(INDEX('Primary_snapshot'!$F$2:$F$92,MATCH(C52,'Primary_snapshot'!$A$2:$A$92,0))="","",INDEX('Primary_snapshot'!$F$2:$F$92,MATCH(C52,'Primary_snapshot'!$A$2:$A$92,0))),"SNAPSHOT MISSING"))</x:f>
      </x:c>
      <x:c r="P52" s="6" t="str">
        <x:f>IF(Setup!$B$6="primary","",IFERROR(IF(INDEX('Primary_snapshot'!$G$2:$G$92,MATCH(C52,'Primary_snapshot'!$A$2:$A$92,0))="","",INDEX('Primary_snapshot'!$G$2:$G$92,MATCH(C52,'Primary_snapshot'!$A$2:$A$92,0))),"SNAPSHOT MISSING"))</x:f>
      </x:c>
      <x:c r="Q52" s="6" t="str">
        <x:f>IF(Setup!$B$6="primary","",IFERROR(IF(INDEX('Primary_snapshot'!$H$2:$H$92,MATCH(C52,'Primary_snapshot'!$A$2:$A$92,0))="","",INDEX('Primary_snapshot'!$H$2:$H$92,MATCH(C52,'Primary_snapshot'!$A$2:$A$92,0))),"SNAPSHOT MISSING"))</x:f>
      </x:c>
      <x:c r="R52" s="6" t="str">
        <x:f>IF(Setup!$B$6="primary","",IFERROR(IF(INDEX('Primary_snapshot'!$I$2:$I$92,MATCH(C52,'Primary_snapshot'!$A$2:$A$92,0))="","",INDEX('Primary_snapshot'!$I$2:$I$92,MATCH(C52,'Primary_snapshot'!$A$2:$A$92,0))),"SNAPSHOT MISSING"))</x:f>
      </x:c>
      <x:c r="S52" s="6" t="str">
        <x:f>IF(INDEX('C_jama.2024.25786'!$D$2:$D$9,MATCH("2024::jama.2024.25786::C008",'C_jama.2024.25786'!$A$2:$A$9,0))="","",INDEX('C_jama.2024.25786'!$D$2:$D$9,MATCH("2024::jama.2024.25786::C008",'C_jama.2024.25786'!$A$2:$A$9,0)))</x:f>
      </x:c>
      <x:c r="T52" s="6" t="str">
        <x:f>IF(INDEX('C_jama.2024.25786'!$E$2:$E$9,MATCH("2024::jama.2024.25786::C008",'C_jama.2024.25786'!$A$2:$A$9,0))="","",INDEX('C_jama.2024.25786'!$E$2:$E$9,MATCH("2024::jama.2024.25786::C008",'C_jama.2024.25786'!$A$2:$A$9,0)))</x:f>
        <x:v>report_internal_inconsistency</x:v>
      </x:c>
      <x:c r="U52" s="6" t="str">
        <x:f>IF(AND(INDEX('C_jama.2024.25786'!$D$2:$D$9,MATCH("2024::jama.2024.25786::C008",'C_jama.2024.25786'!$A$2:$A$9,0))="retain",INDEX('C_jama.2024.25786'!$E$2:$E$9,MATCH("2024::jama.2024.25786::C008",'C_jama.2024.25786'!$A$2:$A$9,0))="statistical_results"),IF(INDEX('C_jama.2024.25786'!$H$2:$H$9,MATCH("2024::jama.2024.25786::C008",'C_jama.2024.25786'!$A$2:$A$9,0))="","",INDEX('C_jama.2024.25786'!$H$2:$H$9,MATCH("2024::jama.2024.25786::C008",'C_jama.2024.25786'!$A$2:$A$9,0))),"not_applicable")</x:f>
        <x:v>not_applicable</x:v>
      </x:c>
      <x:c r="V52" s="6" t="str">
        <x:f>IF(AND(INDEX('C_jama.2024.25786'!$D$2:$D$9,MATCH("2024::jama.2024.25786::C008",'C_jama.2024.25786'!$A$2:$A$9,0))="retain",INDEX('C_jama.2024.25786'!$E$2:$E$9,MATCH("2024::jama.2024.25786::C008",'C_jama.2024.25786'!$A$2:$A$9,0))="statistical_results"),IF(INDEX('C_jama.2024.25786'!$I$2:$I$9,MATCH("2024::jama.2024.25786::C008",'C_jama.2024.25786'!$A$2:$A$9,0))="","",INDEX('C_jama.2024.25786'!$I$2:$I$9,MATCH("2024::jama.2024.25786::C008",'C_jama.2024.25786'!$A$2:$A$9,0))),"not_applicable")</x:f>
        <x:v>not_applicable</x:v>
      </x:c>
      <x:c r="W52" s="6" t="str">
        <x:f>IF(AND(INDEX('C_jama.2024.25786'!$D$2:$D$9,MATCH("2024::jama.2024.25786::C008",'C_jama.2024.25786'!$A$2:$A$9,0))="retain",INDEX('C_jama.2024.25786'!$E$2:$E$9,MATCH("2024::jama.2024.25786::C008",'C_jama.2024.25786'!$A$2:$A$9,0))="statistical_results"),IF(INDEX('C_jama.2024.25786'!$J$2:$J$9,MATCH("2024::jama.2024.25786::C008",'C_jama.2024.25786'!$A$2:$A$9,0))="","",INDEX('C_jama.2024.25786'!$J$2:$J$9,MATCH("2024::jama.2024.25786::C008",'C_jama.2024.25786'!$A$2:$A$9,0))),"not_applicable")</x:f>
        <x:v>not_applicable</x:v>
      </x:c>
      <x:c r="X52" s="6" t="str">
        <x:f>IF(AND(INDEX('C_jama.2024.25786'!$D$2:$D$9,MATCH("2024::jama.2024.25786::C008",'C_jama.2024.25786'!$A$2:$A$9,0))="retain",OR(INDEX('C_jama.2024.25786'!$E$2:$E$9,MATCH("2024::jama.2024.25786::C008",'C_jama.2024.25786'!$A$2:$A$9,0))="report_internal_inconsistency",INDEX('C_jama.2024.25786'!$E$2:$E$9,MATCH("2024::jama.2024.25786::C008",'C_jama.2024.25786'!$A$2:$A$9,0))="plan_material")),IF(INDEX('C_jama.2024.25786'!$K$2:$K$9,MATCH("2024::jama.2024.25786::C008",'C_jama.2024.25786'!$A$2:$A$9,0))="","",INDEX('C_jama.2024.25786'!$K$2:$K$9,MATCH("2024::jama.2024.25786::C008",'C_jama.2024.25786'!$A$2:$A$9,0))),"not_applicable")</x:f>
        <x:v>not_applicable</x:v>
      </x:c>
      <x:c r="Y52" s="6" t="str">
        <x:f>IF(AND(INDEX('C_jama.2024.25786'!$D$2:$D$9,MATCH("2024::jama.2024.25786::C008",'C_jama.2024.25786'!$A$2:$A$9,0))="retain",INDEX('C_jama.2024.25786'!$E$2:$E$9,MATCH("2024::jama.2024.25786::C008",'C_jama.2024.25786'!$A$2:$A$9,0))="protocol_report"),IF(INDEX('C_jama.2024.25786'!$L$2:$L$9,MATCH("2024::jama.2024.25786::C008",'C_jama.2024.25786'!$A$2:$A$9,0))="","",INDEX('C_jama.2024.25786'!$L$2:$L$9,MATCH("2024::jama.2024.25786::C008",'C_jama.2024.25786'!$A$2:$A$9,0))),"not_applicable")</x:f>
        <x:v>not_applicable</x:v>
      </x:c>
      <x:c r="Z52" s="6" t="str">
        <x:f>IF(INDEX('C_jama.2024.25786'!$R$2:$R$9,MATCH("2024::jama.2024.25786::C008",'C_jama.2024.25786'!$A$2:$A$9,0))="","",INDEX('C_jama.2024.25786'!$R$2:$R$9,MATCH("2024::jama.2024.25786::C008",'C_jama.2024.25786'!$A$2:$A$9,0)))</x:f>
      </x:c>
      <x:c r="AA52" s="6" t="str">
        <x:f>IF(INDEX('C_jama.2024.25786'!$N$2:$N$9,MATCH("2024::jama.2024.25786::C008",'C_jama.2024.25786'!$A$2:$A$9,0))="","",INDEX('C_jama.2024.25786'!$N$2:$N$9,MATCH("2024::jama.2024.25786::C008",'C_jama.2024.25786'!$A$2:$A$9,0)))</x:f>
      </x:c>
      <x:c r="AB52" s="6" t="str">
        <x:f>IF(INDEX('C_jama.2024.25786'!$O$2:$O$9,MATCH("2024::jama.2024.25786::C008",'C_jama.2024.25786'!$A$2:$A$9,0))="","",INDEX('C_jama.2024.25786'!$O$2:$O$9,MATCH("2024::jama.2024.25786::C008",'C_jama.2024.25786'!$A$2:$A$9,0)))</x:f>
      </x:c>
      <x:c r="AC52" s="6" t="str">
        <x:f>IF(INDEX('C_jama.2024.25786'!$P$2:$P$9,MATCH("2024::jama.2024.25786::C008",'C_jama.2024.25786'!$A$2:$A$9,0))="","",INDEX('C_jama.2024.25786'!$P$2:$P$9,MATCH("2024::jama.2024.25786::C008",'C_jama.2024.25786'!$A$2:$A$9,0)))</x:f>
      </x:c>
      <x:c r="AD52" s="6" t="str">
        <x:f>IF(INDEX('C_jama.2024.25786'!$Q$2:$Q$9,MATCH("2024::jama.2024.25786::C008",'C_jama.2024.25786'!$A$2:$A$9,0))="","",INDEX('C_jama.2024.25786'!$Q$2:$Q$9,MATCH("2024::jama.2024.25786::C008",'C_jama.2024.25786'!$A$2:$A$9,0)))</x:f>
      </x:c>
    </x:row>
    <x:row r="53" ht="65" customHeight="1">
      <x:c r="A53" s="3" t="n">
        <x:v>2024</x:v>
      </x:c>
      <x:c r="B53" s="3" t="str">
        <x:v>jama.2024.4183</x:v>
      </x:c>
      <x:c r="C53" s="3" t="str">
        <x:v>2024::jama.2024.4183::C001</x:v>
      </x:c>
      <x:c r="D53" s="3" t="str">
        <x:v>S_W</x:v>
      </x:c>
      <x:c r="E53" s="3" t="n">
        <x:f>Setup!$B$2</x:f>
        <x:v>0</x:v>
      </x:c>
      <x:c r="F53" s="3" t="str">
        <x:f>IF(Setup!$B$4="","",Setup!$B$4)</x:f>
      </x:c>
      <x:c r="G53" s="3" t="str">
        <x:f>IFERROR(INDEX('C_jama.2024.4183'!$G$2:$G$25,MATCH("2024::jama.2024.4183::C001",'C_jama.2024.4183'!$A$2:$A$25,0)),"CHECK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statistical_results</x:v>
      </x:c>
      <x:c r="K53" s="3" t="str">
        <x:f>IF(Setup!$B$6="primary","",IFERROR(IF(INDEX('Primary_snapshot'!$B$2:$B$92,MATCH(C53,'Primary_snapshot'!$A$2:$A$92,0))="","",INDEX('Primary_snapshot'!$B$2:$B$92,MATCH(C53,'Primary_snapshot'!$A$2:$A$92,0))),"SNAPSHOT MISSING"))</x:f>
      </x:c>
      <x:c r="L53" s="3" t="str">
        <x:f>IF(Setup!$B$6="primary","",IFERROR(IF(INDEX('Primary_snapshot'!$C$2:$C$92,MATCH(C53,'Primary_snapshot'!$A$2:$A$92,0))="","",INDEX('Primary_snapshot'!$C$2:$C$92,MATCH(C53,'Primary_snapshot'!$A$2:$A$92,0))),"SNAPSHOT MISSING"))</x:f>
      </x:c>
      <x:c r="M53" s="3" t="str">
        <x:f>IF(Setup!$B$6="primary","",IFERROR(IF(INDEX('Primary_snapshot'!$D$2:$D$92,MATCH(C53,'Primary_snapshot'!$A$2:$A$92,0))="","",INDEX('Primary_snapshot'!$D$2:$D$92,MATCH(C53,'Primary_snapshot'!$A$2:$A$92,0))),"SNAPSHOT MISSING"))</x:f>
      </x:c>
      <x:c r="N53" s="3" t="str">
        <x:f>IF(Setup!$B$6="primary","",IFERROR(IF(INDEX('Primary_snapshot'!$E$2:$E$92,MATCH(C53,'Primary_snapshot'!$A$2:$A$92,0))="","",INDEX('Primary_snapshot'!$E$2:$E$92,MATCH(C53,'Primary_snapshot'!$A$2:$A$92,0))),"SNAPSHOT MISSING"))</x:f>
      </x:c>
      <x:c r="O53" s="3" t="str">
        <x:f>IF(Setup!$B$6="primary","",IFERROR(IF(INDEX('Primary_snapshot'!$F$2:$F$92,MATCH(C53,'Primary_snapshot'!$A$2:$A$92,0))="","",INDEX('Primary_snapshot'!$F$2:$F$92,MATCH(C53,'Primary_snapshot'!$A$2:$A$92,0))),"SNAPSHOT MISSING"))</x:f>
      </x:c>
      <x:c r="P53" s="3" t="str">
        <x:f>IF(Setup!$B$6="primary","",IFERROR(IF(INDEX('Primary_snapshot'!$G$2:$G$92,MATCH(C53,'Primary_snapshot'!$A$2:$A$92,0))="","",INDEX('Primary_snapshot'!$G$2:$G$92,MATCH(C53,'Primary_snapshot'!$A$2:$A$92,0))),"SNAPSHOT MISSING"))</x:f>
      </x:c>
      <x:c r="Q53" s="3" t="str">
        <x:f>IF(Setup!$B$6="primary","",IFERROR(IF(INDEX('Primary_snapshot'!$H$2:$H$92,MATCH(C53,'Primary_snapshot'!$A$2:$A$92,0))="","",INDEX('Primary_snapshot'!$H$2:$H$92,MATCH(C53,'Primary_snapshot'!$A$2:$A$92,0))),"SNAPSHOT MISSING"))</x:f>
      </x:c>
      <x:c r="R53" s="3" t="str">
        <x:f>IF(Setup!$B$6="primary","",IFERROR(IF(INDEX('Primary_snapshot'!$I$2:$I$92,MATCH(C53,'Primary_snapshot'!$A$2:$A$92,0))="","",INDEX('Primary_snapshot'!$I$2:$I$92,MATCH(C53,'Primary_snapshot'!$A$2:$A$92,0))),"SNAPSHOT MISSING"))</x:f>
      </x:c>
      <x:c r="S53" s="3" t="str">
        <x:f>IF(INDEX('C_jama.2024.4183'!$D$2:$D$25,MATCH("2024::jama.2024.4183::C001",'C_jama.2024.4183'!$A$2:$A$25,0))="","",INDEX('C_jama.2024.4183'!$D$2:$D$25,MATCH("2024::jama.2024.4183::C001",'C_jama.2024.4183'!$A$2:$A$25,0)))</x:f>
      </x:c>
      <x:c r="T53" s="3" t="str">
        <x:f>IF(INDEX('C_jama.2024.4183'!$E$2:$E$25,MATCH("2024::jama.2024.4183::C001",'C_jama.2024.4183'!$A$2:$A$25,0))="","",INDEX('C_jama.2024.4183'!$E$2:$E$25,MATCH("2024::jama.2024.4183::C001",'C_jama.2024.4183'!$A$2:$A$25,0)))</x:f>
        <x:v>statistical_results</x:v>
      </x:c>
      <x:c r="U53" s="3" t="str">
        <x:f>IF(AND(INDEX('C_jama.2024.4183'!$D$2:$D$25,MATCH("2024::jama.2024.4183::C001",'C_jama.2024.4183'!$A$2:$A$25,0))="retain",INDEX('C_jama.2024.4183'!$E$2:$E$25,MATCH("2024::jama.2024.4183::C001",'C_jama.2024.4183'!$A$2:$A$25,0))="statistical_results"),IF(INDEX('C_jama.2024.4183'!$H$2:$H$25,MATCH("2024::jama.2024.4183::C001",'C_jama.2024.4183'!$A$2:$A$25,0))="","",INDEX('C_jama.2024.4183'!$H$2:$H$25,MATCH("2024::jama.2024.4183::C001",'C_jama.2024.4183'!$A$2:$A$25,0))),"not_applicable")</x:f>
        <x:v>not_applicable</x:v>
      </x:c>
      <x:c r="V53" s="3" t="str">
        <x:f>IF(AND(INDEX('C_jama.2024.4183'!$D$2:$D$25,MATCH("2024::jama.2024.4183::C001",'C_jama.2024.4183'!$A$2:$A$25,0))="retain",INDEX('C_jama.2024.4183'!$E$2:$E$25,MATCH("2024::jama.2024.4183::C001",'C_jama.2024.4183'!$A$2:$A$25,0))="statistical_results"),IF(INDEX('C_jama.2024.4183'!$I$2:$I$25,MATCH("2024::jama.2024.4183::C001",'C_jama.2024.4183'!$A$2:$A$25,0))="","",INDEX('C_jama.2024.4183'!$I$2:$I$25,MATCH("2024::jama.2024.4183::C001",'C_jama.2024.4183'!$A$2:$A$25,0))),"not_applicable")</x:f>
        <x:v>not_applicable</x:v>
      </x:c>
      <x:c r="W53" s="3" t="str">
        <x:f>IF(AND(INDEX('C_jama.2024.4183'!$D$2:$D$25,MATCH("2024::jama.2024.4183::C001",'C_jama.2024.4183'!$A$2:$A$25,0))="retain",INDEX('C_jama.2024.4183'!$E$2:$E$25,MATCH("2024::jama.2024.4183::C001",'C_jama.2024.4183'!$A$2:$A$25,0))="statistical_results"),IF(INDEX('C_jama.2024.4183'!$J$2:$J$25,MATCH("2024::jama.2024.4183::C001",'C_jama.2024.4183'!$A$2:$A$25,0))="","",INDEX('C_jama.2024.4183'!$J$2:$J$25,MATCH("2024::jama.2024.4183::C001",'C_jama.2024.4183'!$A$2:$A$25,0))),"not_applicable")</x:f>
        <x:v>not_applicable</x:v>
      </x:c>
      <x:c r="X53" s="3" t="str">
        <x:f>IF(AND(INDEX('C_jama.2024.4183'!$D$2:$D$25,MATCH("2024::jama.2024.4183::C001",'C_jama.2024.4183'!$A$2:$A$25,0))="retain",OR(INDEX('C_jama.2024.4183'!$E$2:$E$25,MATCH("2024::jama.2024.4183::C001",'C_jama.2024.4183'!$A$2:$A$25,0))="report_internal_inconsistency",INDEX('C_jama.2024.4183'!$E$2:$E$25,MATCH("2024::jama.2024.4183::C001",'C_jama.2024.4183'!$A$2:$A$25,0))="plan_material")),IF(INDEX('C_jama.2024.4183'!$K$2:$K$25,MATCH("2024::jama.2024.4183::C001",'C_jama.2024.4183'!$A$2:$A$25,0))="","",INDEX('C_jama.2024.4183'!$K$2:$K$25,MATCH("2024::jama.2024.4183::C001",'C_jama.2024.4183'!$A$2:$A$25,0))),"not_applicable")</x:f>
        <x:v>not_applicable</x:v>
      </x:c>
      <x:c r="Y53" s="3" t="str">
        <x:f>IF(AND(INDEX('C_jama.2024.4183'!$D$2:$D$25,MATCH("2024::jama.2024.4183::C001",'C_jama.2024.4183'!$A$2:$A$25,0))="retain",INDEX('C_jama.2024.4183'!$E$2:$E$25,MATCH("2024::jama.2024.4183::C001",'C_jama.2024.4183'!$A$2:$A$25,0))="protocol_report"),IF(INDEX('C_jama.2024.4183'!$L$2:$L$25,MATCH("2024::jama.2024.4183::C001",'C_jama.2024.4183'!$A$2:$A$25,0))="","",INDEX('C_jama.2024.4183'!$L$2:$L$25,MATCH("2024::jama.2024.4183::C001",'C_jama.2024.4183'!$A$2:$A$25,0))),"not_applicable")</x:f>
        <x:v>not_applicable</x:v>
      </x:c>
      <x:c r="Z53" s="3" t="str">
        <x:f>IF(INDEX('C_jama.2024.4183'!$R$2:$R$25,MATCH("2024::jama.2024.4183::C001",'C_jama.2024.4183'!$A$2:$A$25,0))="","",INDEX('C_jama.2024.4183'!$R$2:$R$25,MATCH("2024::jama.2024.4183::C001",'C_jama.2024.4183'!$A$2:$A$25,0)))</x:f>
      </x:c>
      <x:c r="AA53" s="3" t="str">
        <x:f>IF(INDEX('C_jama.2024.4183'!$N$2:$N$25,MATCH("2024::jama.2024.4183::C001",'C_jama.2024.4183'!$A$2:$A$25,0))="","",INDEX('C_jama.2024.4183'!$N$2:$N$25,MATCH("2024::jama.2024.4183::C001",'C_jama.2024.4183'!$A$2:$A$25,0)))</x:f>
      </x:c>
      <x:c r="AB53" s="3" t="str">
        <x:f>IF(INDEX('C_jama.2024.4183'!$O$2:$O$25,MATCH("2024::jama.2024.4183::C001",'C_jama.2024.4183'!$A$2:$A$25,0))="","",INDEX('C_jama.2024.4183'!$O$2:$O$25,MATCH("2024::jama.2024.4183::C001",'C_jama.2024.4183'!$A$2:$A$25,0)))</x:f>
      </x:c>
      <x:c r="AC53" s="3" t="str">
        <x:f>IF(INDEX('C_jama.2024.4183'!$P$2:$P$25,MATCH("2024::jama.2024.4183::C001",'C_jama.2024.4183'!$A$2:$A$25,0))="","",INDEX('C_jama.2024.4183'!$P$2:$P$25,MATCH("2024::jama.2024.4183::C001",'C_jama.2024.4183'!$A$2:$A$25,0)))</x:f>
      </x:c>
      <x:c r="AD53" s="3" t="str">
        <x:f>IF(INDEX('C_jama.2024.4183'!$Q$2:$Q$25,MATCH("2024::jama.2024.4183::C001",'C_jama.2024.4183'!$A$2:$A$25,0))="","",INDEX('C_jama.2024.4183'!$Q$2:$Q$25,MATCH("2024::jama.2024.4183::C001",'C_jama.2024.4183'!$A$2:$A$25,0)))</x:f>
      </x:c>
    </x:row>
    <x:row r="54" ht="65" customHeight="1">
      <x:c r="A54" s="6" t="n">
        <x:v>2024</x:v>
      </x:c>
      <x:c r="B54" s="6" t="str">
        <x:v>jama.2024.4183</x:v>
      </x:c>
      <x:c r="C54" s="6" t="str">
        <x:v>2024::jama.2024.4183::C002</x:v>
      </x:c>
      <x:c r="D54" s="6" t="str">
        <x:v>S_W</x:v>
      </x:c>
      <x:c r="E54" s="6" t="n">
        <x:f>Setup!$B$2</x:f>
        <x:v>0</x:v>
      </x:c>
      <x:c r="F54" s="6" t="str">
        <x:f>IF(Setup!$B$4="","",Setup!$B$4)</x:f>
      </x:c>
      <x:c r="G54" s="6" t="str">
        <x:f>IFERROR(INDEX('C_jama.2024.4183'!$G$2:$G$25,MATCH("2024::jama.2024.4183::C002",'C_jama.2024.4183'!$A$2:$A$25,0)),"CHECK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statistical_results</x:v>
      </x:c>
      <x:c r="K54" s="6" t="str">
        <x:f>IF(Setup!$B$6="primary","",IFERROR(IF(INDEX('Primary_snapshot'!$B$2:$B$92,MATCH(C54,'Primary_snapshot'!$A$2:$A$92,0))="","",INDEX('Primary_snapshot'!$B$2:$B$92,MATCH(C54,'Primary_snapshot'!$A$2:$A$92,0))),"SNAPSHOT MISSING"))</x:f>
      </x:c>
      <x:c r="L54" s="6" t="str">
        <x:f>IF(Setup!$B$6="primary","",IFERROR(IF(INDEX('Primary_snapshot'!$C$2:$C$92,MATCH(C54,'Primary_snapshot'!$A$2:$A$92,0))="","",INDEX('Primary_snapshot'!$C$2:$C$92,MATCH(C54,'Primary_snapshot'!$A$2:$A$92,0))),"SNAPSHOT MISSING"))</x:f>
      </x:c>
      <x:c r="M54" s="6" t="str">
        <x:f>IF(Setup!$B$6="primary","",IFERROR(IF(INDEX('Primary_snapshot'!$D$2:$D$92,MATCH(C54,'Primary_snapshot'!$A$2:$A$92,0))="","",INDEX('Primary_snapshot'!$D$2:$D$92,MATCH(C54,'Primary_snapshot'!$A$2:$A$92,0))),"SNAPSHOT MISSING"))</x:f>
      </x:c>
      <x:c r="N54" s="6" t="str">
        <x:f>IF(Setup!$B$6="primary","",IFERROR(IF(INDEX('Primary_snapshot'!$E$2:$E$92,MATCH(C54,'Primary_snapshot'!$A$2:$A$92,0))="","",INDEX('Primary_snapshot'!$E$2:$E$92,MATCH(C54,'Primary_snapshot'!$A$2:$A$92,0))),"SNAPSHOT MISSING"))</x:f>
      </x:c>
      <x:c r="O54" s="6" t="str">
        <x:f>IF(Setup!$B$6="primary","",IFERROR(IF(INDEX('Primary_snapshot'!$F$2:$F$92,MATCH(C54,'Primary_snapshot'!$A$2:$A$92,0))="","",INDEX('Primary_snapshot'!$F$2:$F$92,MATCH(C54,'Primary_snapshot'!$A$2:$A$92,0))),"SNAPSHOT MISSING"))</x:f>
      </x:c>
      <x:c r="P54" s="6" t="str">
        <x:f>IF(Setup!$B$6="primary","",IFERROR(IF(INDEX('Primary_snapshot'!$G$2:$G$92,MATCH(C54,'Primary_snapshot'!$A$2:$A$92,0))="","",INDEX('Primary_snapshot'!$G$2:$G$92,MATCH(C54,'Primary_snapshot'!$A$2:$A$92,0))),"SNAPSHOT MISSING"))</x:f>
      </x:c>
      <x:c r="Q54" s="6" t="str">
        <x:f>IF(Setup!$B$6="primary","",IFERROR(IF(INDEX('Primary_snapshot'!$H$2:$H$92,MATCH(C54,'Primary_snapshot'!$A$2:$A$92,0))="","",INDEX('Primary_snapshot'!$H$2:$H$92,MATCH(C54,'Primary_snapshot'!$A$2:$A$92,0))),"SNAPSHOT MISSING"))</x:f>
      </x:c>
      <x:c r="R54" s="6" t="str">
        <x:f>IF(Setup!$B$6="primary","",IFERROR(IF(INDEX('Primary_snapshot'!$I$2:$I$92,MATCH(C54,'Primary_snapshot'!$A$2:$A$92,0))="","",INDEX('Primary_snapshot'!$I$2:$I$92,MATCH(C54,'Primary_snapshot'!$A$2:$A$92,0))),"SNAPSHOT MISSING"))</x:f>
      </x:c>
      <x:c r="S54" s="6" t="str">
        <x:f>IF(INDEX('C_jama.2024.4183'!$D$2:$D$25,MATCH("2024::jama.2024.4183::C002",'C_jama.2024.4183'!$A$2:$A$25,0))="","",INDEX('C_jama.2024.4183'!$D$2:$D$25,MATCH("2024::jama.2024.4183::C002",'C_jama.2024.4183'!$A$2:$A$25,0)))</x:f>
      </x:c>
      <x:c r="T54" s="6" t="str">
        <x:f>IF(INDEX('C_jama.2024.4183'!$E$2:$E$25,MATCH("2024::jama.2024.4183::C002",'C_jama.2024.4183'!$A$2:$A$25,0))="","",INDEX('C_jama.2024.4183'!$E$2:$E$25,MATCH("2024::jama.2024.4183::C002",'C_jama.2024.4183'!$A$2:$A$25,0)))</x:f>
        <x:v>statistical_results</x:v>
      </x:c>
      <x:c r="U54" s="6" t="str">
        <x:f>IF(AND(INDEX('C_jama.2024.4183'!$D$2:$D$25,MATCH("2024::jama.2024.4183::C002",'C_jama.2024.4183'!$A$2:$A$25,0))="retain",INDEX('C_jama.2024.4183'!$E$2:$E$25,MATCH("2024::jama.2024.4183::C002",'C_jama.2024.4183'!$A$2:$A$25,0))="statistical_results"),IF(INDEX('C_jama.2024.4183'!$H$2:$H$25,MATCH("2024::jama.2024.4183::C002",'C_jama.2024.4183'!$A$2:$A$25,0))="","",INDEX('C_jama.2024.4183'!$H$2:$H$25,MATCH("2024::jama.2024.4183::C002",'C_jama.2024.4183'!$A$2:$A$25,0))),"not_applicable")</x:f>
        <x:v>not_applicable</x:v>
      </x:c>
      <x:c r="V54" s="6" t="str">
        <x:f>IF(AND(INDEX('C_jama.2024.4183'!$D$2:$D$25,MATCH("2024::jama.2024.4183::C002",'C_jama.2024.4183'!$A$2:$A$25,0))="retain",INDEX('C_jama.2024.4183'!$E$2:$E$25,MATCH("2024::jama.2024.4183::C002",'C_jama.2024.4183'!$A$2:$A$25,0))="statistical_results"),IF(INDEX('C_jama.2024.4183'!$I$2:$I$25,MATCH("2024::jama.2024.4183::C002",'C_jama.2024.4183'!$A$2:$A$25,0))="","",INDEX('C_jama.2024.4183'!$I$2:$I$25,MATCH("2024::jama.2024.4183::C002",'C_jama.2024.4183'!$A$2:$A$25,0))),"not_applicable")</x:f>
        <x:v>not_applicable</x:v>
      </x:c>
      <x:c r="W54" s="6" t="str">
        <x:f>IF(AND(INDEX('C_jama.2024.4183'!$D$2:$D$25,MATCH("2024::jama.2024.4183::C002",'C_jama.2024.4183'!$A$2:$A$25,0))="retain",INDEX('C_jama.2024.4183'!$E$2:$E$25,MATCH("2024::jama.2024.4183::C002",'C_jama.2024.4183'!$A$2:$A$25,0))="statistical_results"),IF(INDEX('C_jama.2024.4183'!$J$2:$J$25,MATCH("2024::jama.2024.4183::C002",'C_jama.2024.4183'!$A$2:$A$25,0))="","",INDEX('C_jama.2024.4183'!$J$2:$J$25,MATCH("2024::jama.2024.4183::C002",'C_jama.2024.4183'!$A$2:$A$25,0))),"not_applicable")</x:f>
        <x:v>not_applicable</x:v>
      </x:c>
      <x:c r="X54" s="6" t="str">
        <x:f>IF(AND(INDEX('C_jama.2024.4183'!$D$2:$D$25,MATCH("2024::jama.2024.4183::C002",'C_jama.2024.4183'!$A$2:$A$25,0))="retain",OR(INDEX('C_jama.2024.4183'!$E$2:$E$25,MATCH("2024::jama.2024.4183::C002",'C_jama.2024.4183'!$A$2:$A$25,0))="report_internal_inconsistency",INDEX('C_jama.2024.4183'!$E$2:$E$25,MATCH("2024::jama.2024.4183::C002",'C_jama.2024.4183'!$A$2:$A$25,0))="plan_material")),IF(INDEX('C_jama.2024.4183'!$K$2:$K$25,MATCH("2024::jama.2024.4183::C002",'C_jama.2024.4183'!$A$2:$A$25,0))="","",INDEX('C_jama.2024.4183'!$K$2:$K$25,MATCH("2024::jama.2024.4183::C002",'C_jama.2024.4183'!$A$2:$A$25,0))),"not_applicable")</x:f>
        <x:v>not_applicable</x:v>
      </x:c>
      <x:c r="Y54" s="6" t="str">
        <x:f>IF(AND(INDEX('C_jama.2024.4183'!$D$2:$D$25,MATCH("2024::jama.2024.4183::C002",'C_jama.2024.4183'!$A$2:$A$25,0))="retain",INDEX('C_jama.2024.4183'!$E$2:$E$25,MATCH("2024::jama.2024.4183::C002",'C_jama.2024.4183'!$A$2:$A$25,0))="protocol_report"),IF(INDEX('C_jama.2024.4183'!$L$2:$L$25,MATCH("2024::jama.2024.4183::C002",'C_jama.2024.4183'!$A$2:$A$25,0))="","",INDEX('C_jama.2024.4183'!$L$2:$L$25,MATCH("2024::jama.2024.4183::C002",'C_jama.2024.4183'!$A$2:$A$25,0))),"not_applicable")</x:f>
        <x:v>not_applicable</x:v>
      </x:c>
      <x:c r="Z54" s="6" t="str">
        <x:f>IF(INDEX('C_jama.2024.4183'!$R$2:$R$25,MATCH("2024::jama.2024.4183::C002",'C_jama.2024.4183'!$A$2:$A$25,0))="","",INDEX('C_jama.2024.4183'!$R$2:$R$25,MATCH("2024::jama.2024.4183::C002",'C_jama.2024.4183'!$A$2:$A$25,0)))</x:f>
      </x:c>
      <x:c r="AA54" s="6" t="str">
        <x:f>IF(INDEX('C_jama.2024.4183'!$N$2:$N$25,MATCH("2024::jama.2024.4183::C002",'C_jama.2024.4183'!$A$2:$A$25,0))="","",INDEX('C_jama.2024.4183'!$N$2:$N$25,MATCH("2024::jama.2024.4183::C002",'C_jama.2024.4183'!$A$2:$A$25,0)))</x:f>
      </x:c>
      <x:c r="AB54" s="6" t="str">
        <x:f>IF(INDEX('C_jama.2024.4183'!$O$2:$O$25,MATCH("2024::jama.2024.4183::C002",'C_jama.2024.4183'!$A$2:$A$25,0))="","",INDEX('C_jama.2024.4183'!$O$2:$O$25,MATCH("2024::jama.2024.4183::C002",'C_jama.2024.4183'!$A$2:$A$25,0)))</x:f>
      </x:c>
      <x:c r="AC54" s="6" t="str">
        <x:f>IF(INDEX('C_jama.2024.4183'!$P$2:$P$25,MATCH("2024::jama.2024.4183::C002",'C_jama.2024.4183'!$A$2:$A$25,0))="","",INDEX('C_jama.2024.4183'!$P$2:$P$25,MATCH("2024::jama.2024.4183::C002",'C_jama.2024.4183'!$A$2:$A$25,0)))</x:f>
      </x:c>
      <x:c r="AD54" s="6" t="str">
        <x:f>IF(INDEX('C_jama.2024.4183'!$Q$2:$Q$25,MATCH("2024::jama.2024.4183::C002",'C_jama.2024.4183'!$A$2:$A$25,0))="","",INDEX('C_jama.2024.4183'!$Q$2:$Q$25,MATCH("2024::jama.2024.4183::C002",'C_jama.2024.4183'!$A$2:$A$25,0)))</x:f>
      </x:c>
    </x:row>
    <x:row r="55" ht="65" customHeight="1">
      <x:c r="A55" s="3" t="n">
        <x:v>2024</x:v>
      </x:c>
      <x:c r="B55" s="3" t="str">
        <x:v>jama.2024.4183</x:v>
      </x:c>
      <x:c r="C55" s="3" t="str">
        <x:v>2024::jama.2024.4183::C003</x:v>
      </x:c>
      <x:c r="D55" s="3" t="str">
        <x:v>S_W</x:v>
      </x:c>
      <x:c r="E55" s="3" t="n">
        <x:f>Setup!$B$2</x:f>
        <x:v>0</x:v>
      </x:c>
      <x:c r="F55" s="3" t="str">
        <x:f>IF(Setup!$B$4="","",Setup!$B$4)</x:f>
      </x:c>
      <x:c r="G55" s="3" t="str">
        <x:f>IFERROR(INDEX('C_jama.2024.4183'!$G$2:$G$25,MATCH("2024::jama.2024.4183::C003",'C_jama.2024.4183'!$A$2:$A$25,0)),"CHECK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IF(Setup!$B$6="primary","",IFERROR(IF(INDEX('Primary_snapshot'!$B$2:$B$92,MATCH(C55,'Primary_snapshot'!$A$2:$A$92,0))="","",INDEX('Primary_snapshot'!$B$2:$B$92,MATCH(C55,'Primary_snapshot'!$A$2:$A$92,0))),"SNAPSHOT MISSING"))</x:f>
      </x:c>
      <x:c r="L55" s="3" t="str">
        <x:f>IF(Setup!$B$6="primary","",IFERROR(IF(INDEX('Primary_snapshot'!$C$2:$C$92,MATCH(C55,'Primary_snapshot'!$A$2:$A$92,0))="","",INDEX('Primary_snapshot'!$C$2:$C$92,MATCH(C55,'Primary_snapshot'!$A$2:$A$92,0))),"SNAPSHOT MISSING"))</x:f>
      </x:c>
      <x:c r="M55" s="3" t="str">
        <x:f>IF(Setup!$B$6="primary","",IFERROR(IF(INDEX('Primary_snapshot'!$D$2:$D$92,MATCH(C55,'Primary_snapshot'!$A$2:$A$92,0))="","",INDEX('Primary_snapshot'!$D$2:$D$92,MATCH(C55,'Primary_snapshot'!$A$2:$A$92,0))),"SNAPSHOT MISSING"))</x:f>
      </x:c>
      <x:c r="N55" s="3" t="str">
        <x:f>IF(Setup!$B$6="primary","",IFERROR(IF(INDEX('Primary_snapshot'!$E$2:$E$92,MATCH(C55,'Primary_snapshot'!$A$2:$A$92,0))="","",INDEX('Primary_snapshot'!$E$2:$E$92,MATCH(C55,'Primary_snapshot'!$A$2:$A$92,0))),"SNAPSHOT MISSING"))</x:f>
      </x:c>
      <x:c r="O55" s="3" t="str">
        <x:f>IF(Setup!$B$6="primary","",IFERROR(IF(INDEX('Primary_snapshot'!$F$2:$F$92,MATCH(C55,'Primary_snapshot'!$A$2:$A$92,0))="","",INDEX('Primary_snapshot'!$F$2:$F$92,MATCH(C55,'Primary_snapshot'!$A$2:$A$92,0))),"SNAPSHOT MISSING"))</x:f>
      </x:c>
      <x:c r="P55" s="3" t="str">
        <x:f>IF(Setup!$B$6="primary","",IFERROR(IF(INDEX('Primary_snapshot'!$G$2:$G$92,MATCH(C55,'Primary_snapshot'!$A$2:$A$92,0))="","",INDEX('Primary_snapshot'!$G$2:$G$92,MATCH(C55,'Primary_snapshot'!$A$2:$A$92,0))),"SNAPSHOT MISSING"))</x:f>
      </x:c>
      <x:c r="Q55" s="3" t="str">
        <x:f>IF(Setup!$B$6="primary","",IFERROR(IF(INDEX('Primary_snapshot'!$H$2:$H$92,MATCH(C55,'Primary_snapshot'!$A$2:$A$92,0))="","",INDEX('Primary_snapshot'!$H$2:$H$92,MATCH(C55,'Primary_snapshot'!$A$2:$A$92,0))),"SNAPSHOT MISSING"))</x:f>
      </x:c>
      <x:c r="R55" s="3" t="str">
        <x:f>IF(Setup!$B$6="primary","",IFERROR(IF(INDEX('Primary_snapshot'!$I$2:$I$92,MATCH(C55,'Primary_snapshot'!$A$2:$A$92,0))="","",INDEX('Primary_snapshot'!$I$2:$I$92,MATCH(C55,'Primary_snapshot'!$A$2:$A$92,0))),"SNAPSHOT MISSING"))</x:f>
      </x:c>
      <x:c r="S55" s="3" t="str">
        <x:f>IF(INDEX('C_jama.2024.4183'!$D$2:$D$25,MATCH("2024::jama.2024.4183::C003",'C_jama.2024.4183'!$A$2:$A$25,0))="","",INDEX('C_jama.2024.4183'!$D$2:$D$25,MATCH("2024::jama.2024.4183::C003",'C_jama.2024.4183'!$A$2:$A$25,0)))</x:f>
      </x:c>
      <x:c r="T55" s="3" t="str">
        <x:f>IF(INDEX('C_jama.2024.4183'!$E$2:$E$25,MATCH("2024::jama.2024.4183::C003",'C_jama.2024.4183'!$A$2:$A$25,0))="","",INDEX('C_jama.2024.4183'!$E$2:$E$25,MATCH("2024::jama.2024.4183::C003",'C_jama.2024.4183'!$A$2:$A$25,0)))</x:f>
        <x:v>statistical_results</x:v>
      </x:c>
      <x:c r="U55" s="3" t="str">
        <x:f>IF(AND(INDEX('C_jama.2024.4183'!$D$2:$D$25,MATCH("2024::jama.2024.4183::C003",'C_jama.2024.4183'!$A$2:$A$25,0))="retain",INDEX('C_jama.2024.4183'!$E$2:$E$25,MATCH("2024::jama.2024.4183::C003",'C_jama.2024.4183'!$A$2:$A$25,0))="statistical_results"),IF(INDEX('C_jama.2024.4183'!$H$2:$H$25,MATCH("2024::jama.2024.4183::C003",'C_jama.2024.4183'!$A$2:$A$25,0))="","",INDEX('C_jama.2024.4183'!$H$2:$H$25,MATCH("2024::jama.2024.4183::C003",'C_jama.2024.4183'!$A$2:$A$25,0))),"not_applicable")</x:f>
        <x:v>not_applicable</x:v>
      </x:c>
      <x:c r="V55" s="3" t="str">
        <x:f>IF(AND(INDEX('C_jama.2024.4183'!$D$2:$D$25,MATCH("2024::jama.2024.4183::C003",'C_jama.2024.4183'!$A$2:$A$25,0))="retain",INDEX('C_jama.2024.4183'!$E$2:$E$25,MATCH("2024::jama.2024.4183::C003",'C_jama.2024.4183'!$A$2:$A$25,0))="statistical_results"),IF(INDEX('C_jama.2024.4183'!$I$2:$I$25,MATCH("2024::jama.2024.4183::C003",'C_jama.2024.4183'!$A$2:$A$25,0))="","",INDEX('C_jama.2024.4183'!$I$2:$I$25,MATCH("2024::jama.2024.4183::C003",'C_jama.2024.4183'!$A$2:$A$25,0))),"not_applicable")</x:f>
        <x:v>not_applicable</x:v>
      </x:c>
      <x:c r="W55" s="3" t="str">
        <x:f>IF(AND(INDEX('C_jama.2024.4183'!$D$2:$D$25,MATCH("2024::jama.2024.4183::C003",'C_jama.2024.4183'!$A$2:$A$25,0))="retain",INDEX('C_jama.2024.4183'!$E$2:$E$25,MATCH("2024::jama.2024.4183::C003",'C_jama.2024.4183'!$A$2:$A$25,0))="statistical_results"),IF(INDEX('C_jama.2024.4183'!$J$2:$J$25,MATCH("2024::jama.2024.4183::C003",'C_jama.2024.4183'!$A$2:$A$25,0))="","",INDEX('C_jama.2024.4183'!$J$2:$J$25,MATCH("2024::jama.2024.4183::C003",'C_jama.2024.4183'!$A$2:$A$25,0))),"not_applicable")</x:f>
        <x:v>not_applicable</x:v>
      </x:c>
      <x:c r="X55" s="3" t="str">
        <x:f>IF(AND(INDEX('C_jama.2024.4183'!$D$2:$D$25,MATCH("2024::jama.2024.4183::C003",'C_jama.2024.4183'!$A$2:$A$25,0))="retain",OR(INDEX('C_jama.2024.4183'!$E$2:$E$25,MATCH("2024::jama.2024.4183::C003",'C_jama.2024.4183'!$A$2:$A$25,0))="report_internal_inconsistency",INDEX('C_jama.2024.4183'!$E$2:$E$25,MATCH("2024::jama.2024.4183::C003",'C_jama.2024.4183'!$A$2:$A$25,0))="plan_material")),IF(INDEX('C_jama.2024.4183'!$K$2:$K$25,MATCH("2024::jama.2024.4183::C003",'C_jama.2024.4183'!$A$2:$A$25,0))="","",INDEX('C_jama.2024.4183'!$K$2:$K$25,MATCH("2024::jama.2024.4183::C003",'C_jama.2024.4183'!$A$2:$A$25,0))),"not_applicable")</x:f>
        <x:v>not_applicable</x:v>
      </x:c>
      <x:c r="Y55" s="3" t="str">
        <x:f>IF(AND(INDEX('C_jama.2024.4183'!$D$2:$D$25,MATCH("2024::jama.2024.4183::C003",'C_jama.2024.4183'!$A$2:$A$25,0))="retain",INDEX('C_jama.2024.4183'!$E$2:$E$25,MATCH("2024::jama.2024.4183::C003",'C_jama.2024.4183'!$A$2:$A$25,0))="protocol_report"),IF(INDEX('C_jama.2024.4183'!$L$2:$L$25,MATCH("2024::jama.2024.4183::C003",'C_jama.2024.4183'!$A$2:$A$25,0))="","",INDEX('C_jama.2024.4183'!$L$2:$L$25,MATCH("2024::jama.2024.4183::C003",'C_jama.2024.4183'!$A$2:$A$25,0))),"not_applicable")</x:f>
        <x:v>not_applicable</x:v>
      </x:c>
      <x:c r="Z55" s="3" t="str">
        <x:f>IF(INDEX('C_jama.2024.4183'!$R$2:$R$25,MATCH("2024::jama.2024.4183::C003",'C_jama.2024.4183'!$A$2:$A$25,0))="","",INDEX('C_jama.2024.4183'!$R$2:$R$25,MATCH("2024::jama.2024.4183::C003",'C_jama.2024.4183'!$A$2:$A$25,0)))</x:f>
      </x:c>
      <x:c r="AA55" s="3" t="str">
        <x:f>IF(INDEX('C_jama.2024.4183'!$N$2:$N$25,MATCH("2024::jama.2024.4183::C003",'C_jama.2024.4183'!$A$2:$A$25,0))="","",INDEX('C_jama.2024.4183'!$N$2:$N$25,MATCH("2024::jama.2024.4183::C003",'C_jama.2024.4183'!$A$2:$A$25,0)))</x:f>
      </x:c>
      <x:c r="AB55" s="3" t="str">
        <x:f>IF(INDEX('C_jama.2024.4183'!$O$2:$O$25,MATCH("2024::jama.2024.4183::C003",'C_jama.2024.4183'!$A$2:$A$25,0))="","",INDEX('C_jama.2024.4183'!$O$2:$O$25,MATCH("2024::jama.2024.4183::C003",'C_jama.2024.4183'!$A$2:$A$25,0)))</x:f>
      </x:c>
      <x:c r="AC55" s="3" t="str">
        <x:f>IF(INDEX('C_jama.2024.4183'!$P$2:$P$25,MATCH("2024::jama.2024.4183::C003",'C_jama.2024.4183'!$A$2:$A$25,0))="","",INDEX('C_jama.2024.4183'!$P$2:$P$25,MATCH("2024::jama.2024.4183::C003",'C_jama.2024.4183'!$A$2:$A$25,0)))</x:f>
      </x:c>
      <x:c r="AD55" s="3" t="str">
        <x:f>IF(INDEX('C_jama.2024.4183'!$Q$2:$Q$25,MATCH("2024::jama.2024.4183::C003",'C_jama.2024.4183'!$A$2:$A$25,0))="","",INDEX('C_jama.2024.4183'!$Q$2:$Q$25,MATCH("2024::jama.2024.4183::C003",'C_jama.2024.4183'!$A$2:$A$25,0)))</x:f>
      </x:c>
    </x:row>
    <x:row r="56" ht="65" customHeight="1">
      <x:c r="A56" s="6" t="n">
        <x:v>2024</x:v>
      </x:c>
      <x:c r="B56" s="6" t="str">
        <x:v>jama.2024.4183</x:v>
      </x:c>
      <x:c r="C56" s="6" t="str">
        <x:v>2024::jama.2024.4183::C004</x:v>
      </x:c>
      <x:c r="D56" s="6" t="str">
        <x:v>S_W</x:v>
      </x:c>
      <x:c r="E56" s="6" t="n">
        <x:f>Setup!$B$2</x:f>
        <x:v>0</x:v>
      </x:c>
      <x:c r="F56" s="6" t="str">
        <x:f>IF(Setup!$B$4="","",Setup!$B$4)</x:f>
      </x:c>
      <x:c r="G56" s="6" t="str">
        <x:f>IFERROR(INDEX('C_jama.2024.4183'!$G$2:$G$25,MATCH("2024::jama.2024.4183::C004",'C_jama.2024.4183'!$A$2:$A$25,0)),"CHECK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IF(Setup!$B$6="primary","",IFERROR(IF(INDEX('Primary_snapshot'!$B$2:$B$92,MATCH(C56,'Primary_snapshot'!$A$2:$A$92,0))="","",INDEX('Primary_snapshot'!$B$2:$B$92,MATCH(C56,'Primary_snapshot'!$A$2:$A$92,0))),"SNAPSHOT MISSING"))</x:f>
      </x:c>
      <x:c r="L56" s="6" t="str">
        <x:f>IF(Setup!$B$6="primary","",IFERROR(IF(INDEX('Primary_snapshot'!$C$2:$C$92,MATCH(C56,'Primary_snapshot'!$A$2:$A$92,0))="","",INDEX('Primary_snapshot'!$C$2:$C$92,MATCH(C56,'Primary_snapshot'!$A$2:$A$92,0))),"SNAPSHOT MISSING"))</x:f>
      </x:c>
      <x:c r="M56" s="6" t="str">
        <x:f>IF(Setup!$B$6="primary","",IFERROR(IF(INDEX('Primary_snapshot'!$D$2:$D$92,MATCH(C56,'Primary_snapshot'!$A$2:$A$92,0))="","",INDEX('Primary_snapshot'!$D$2:$D$92,MATCH(C56,'Primary_snapshot'!$A$2:$A$92,0))),"SNAPSHOT MISSING"))</x:f>
      </x:c>
      <x:c r="N56" s="6" t="str">
        <x:f>IF(Setup!$B$6="primary","",IFERROR(IF(INDEX('Primary_snapshot'!$E$2:$E$92,MATCH(C56,'Primary_snapshot'!$A$2:$A$92,0))="","",INDEX('Primary_snapshot'!$E$2:$E$92,MATCH(C56,'Primary_snapshot'!$A$2:$A$92,0))),"SNAPSHOT MISSING"))</x:f>
      </x:c>
      <x:c r="O56" s="6" t="str">
        <x:f>IF(Setup!$B$6="primary","",IFERROR(IF(INDEX('Primary_snapshot'!$F$2:$F$92,MATCH(C56,'Primary_snapshot'!$A$2:$A$92,0))="","",INDEX('Primary_snapshot'!$F$2:$F$92,MATCH(C56,'Primary_snapshot'!$A$2:$A$92,0))),"SNAPSHOT MISSING"))</x:f>
      </x:c>
      <x:c r="P56" s="6" t="str">
        <x:f>IF(Setup!$B$6="primary","",IFERROR(IF(INDEX('Primary_snapshot'!$G$2:$G$92,MATCH(C56,'Primary_snapshot'!$A$2:$A$92,0))="","",INDEX('Primary_snapshot'!$G$2:$G$92,MATCH(C56,'Primary_snapshot'!$A$2:$A$92,0))),"SNAPSHOT MISSING"))</x:f>
      </x:c>
      <x:c r="Q56" s="6" t="str">
        <x:f>IF(Setup!$B$6="primary","",IFERROR(IF(INDEX('Primary_snapshot'!$H$2:$H$92,MATCH(C56,'Primary_snapshot'!$A$2:$A$92,0))="","",INDEX('Primary_snapshot'!$H$2:$H$92,MATCH(C56,'Primary_snapshot'!$A$2:$A$92,0))),"SNAPSHOT MISSING"))</x:f>
      </x:c>
      <x:c r="R56" s="6" t="str">
        <x:f>IF(Setup!$B$6="primary","",IFERROR(IF(INDEX('Primary_snapshot'!$I$2:$I$92,MATCH(C56,'Primary_snapshot'!$A$2:$A$92,0))="","",INDEX('Primary_snapshot'!$I$2:$I$92,MATCH(C56,'Primary_snapshot'!$A$2:$A$92,0))),"SNAPSHOT MISSING"))</x:f>
      </x:c>
      <x:c r="S56" s="6" t="str">
        <x:f>IF(INDEX('C_jama.2024.4183'!$D$2:$D$25,MATCH("2024::jama.2024.4183::C004",'C_jama.2024.4183'!$A$2:$A$25,0))="","",INDEX('C_jama.2024.4183'!$D$2:$D$25,MATCH("2024::jama.2024.4183::C004",'C_jama.2024.4183'!$A$2:$A$25,0)))</x:f>
      </x:c>
      <x:c r="T56" s="6" t="str">
        <x:f>IF(INDEX('C_jama.2024.4183'!$E$2:$E$25,MATCH("2024::jama.2024.4183::C004",'C_jama.2024.4183'!$A$2:$A$25,0))="","",INDEX('C_jama.2024.4183'!$E$2:$E$25,MATCH("2024::jama.2024.4183::C004",'C_jama.2024.4183'!$A$2:$A$25,0)))</x:f>
        <x:v>statistical_results</x:v>
      </x:c>
      <x:c r="U56" s="6" t="str">
        <x:f>IF(AND(INDEX('C_jama.2024.4183'!$D$2:$D$25,MATCH("2024::jama.2024.4183::C004",'C_jama.2024.4183'!$A$2:$A$25,0))="retain",INDEX('C_jama.2024.4183'!$E$2:$E$25,MATCH("2024::jama.2024.4183::C004",'C_jama.2024.4183'!$A$2:$A$25,0))="statistical_results"),IF(INDEX('C_jama.2024.4183'!$H$2:$H$25,MATCH("2024::jama.2024.4183::C004",'C_jama.2024.4183'!$A$2:$A$25,0))="","",INDEX('C_jama.2024.4183'!$H$2:$H$25,MATCH("2024::jama.2024.4183::C004",'C_jama.2024.4183'!$A$2:$A$25,0))),"not_applicable")</x:f>
        <x:v>not_applicable</x:v>
      </x:c>
      <x:c r="V56" s="6" t="str">
        <x:f>IF(AND(INDEX('C_jama.2024.4183'!$D$2:$D$25,MATCH("2024::jama.2024.4183::C004",'C_jama.2024.4183'!$A$2:$A$25,0))="retain",INDEX('C_jama.2024.4183'!$E$2:$E$25,MATCH("2024::jama.2024.4183::C004",'C_jama.2024.4183'!$A$2:$A$25,0))="statistical_results"),IF(INDEX('C_jama.2024.4183'!$I$2:$I$25,MATCH("2024::jama.2024.4183::C004",'C_jama.2024.4183'!$A$2:$A$25,0))="","",INDEX('C_jama.2024.4183'!$I$2:$I$25,MATCH("2024::jama.2024.4183::C004",'C_jama.2024.4183'!$A$2:$A$25,0))),"not_applicable")</x:f>
        <x:v>not_applicable</x:v>
      </x:c>
      <x:c r="W56" s="6" t="str">
        <x:f>IF(AND(INDEX('C_jama.2024.4183'!$D$2:$D$25,MATCH("2024::jama.2024.4183::C004",'C_jama.2024.4183'!$A$2:$A$25,0))="retain",INDEX('C_jama.2024.4183'!$E$2:$E$25,MATCH("2024::jama.2024.4183::C004",'C_jama.2024.4183'!$A$2:$A$25,0))="statistical_results"),IF(INDEX('C_jama.2024.4183'!$J$2:$J$25,MATCH("2024::jama.2024.4183::C004",'C_jama.2024.4183'!$A$2:$A$25,0))="","",INDEX('C_jama.2024.4183'!$J$2:$J$25,MATCH("2024::jama.2024.4183::C004",'C_jama.2024.4183'!$A$2:$A$25,0))),"not_applicable")</x:f>
        <x:v>not_applicable</x:v>
      </x:c>
      <x:c r="X56" s="6" t="str">
        <x:f>IF(AND(INDEX('C_jama.2024.4183'!$D$2:$D$25,MATCH("2024::jama.2024.4183::C004",'C_jama.2024.4183'!$A$2:$A$25,0))="retain",OR(INDEX('C_jama.2024.4183'!$E$2:$E$25,MATCH("2024::jama.2024.4183::C004",'C_jama.2024.4183'!$A$2:$A$25,0))="report_internal_inconsistency",INDEX('C_jama.2024.4183'!$E$2:$E$25,MATCH("2024::jama.2024.4183::C004",'C_jama.2024.4183'!$A$2:$A$25,0))="plan_material")),IF(INDEX('C_jama.2024.4183'!$K$2:$K$25,MATCH("2024::jama.2024.4183::C004",'C_jama.2024.4183'!$A$2:$A$25,0))="","",INDEX('C_jama.2024.4183'!$K$2:$K$25,MATCH("2024::jama.2024.4183::C004",'C_jama.2024.4183'!$A$2:$A$25,0))),"not_applicable")</x:f>
        <x:v>not_applicable</x:v>
      </x:c>
      <x:c r="Y56" s="6" t="str">
        <x:f>IF(AND(INDEX('C_jama.2024.4183'!$D$2:$D$25,MATCH("2024::jama.2024.4183::C004",'C_jama.2024.4183'!$A$2:$A$25,0))="retain",INDEX('C_jama.2024.4183'!$E$2:$E$25,MATCH("2024::jama.2024.4183::C004",'C_jama.2024.4183'!$A$2:$A$25,0))="protocol_report"),IF(INDEX('C_jama.2024.4183'!$L$2:$L$25,MATCH("2024::jama.2024.4183::C004",'C_jama.2024.4183'!$A$2:$A$25,0))="","",INDEX('C_jama.2024.4183'!$L$2:$L$25,MATCH("2024::jama.2024.4183::C004",'C_jama.2024.4183'!$A$2:$A$25,0))),"not_applicable")</x:f>
        <x:v>not_applicable</x:v>
      </x:c>
      <x:c r="Z56" s="6" t="str">
        <x:f>IF(INDEX('C_jama.2024.4183'!$R$2:$R$25,MATCH("2024::jama.2024.4183::C004",'C_jama.2024.4183'!$A$2:$A$25,0))="","",INDEX('C_jama.2024.4183'!$R$2:$R$25,MATCH("2024::jama.2024.4183::C004",'C_jama.2024.4183'!$A$2:$A$25,0)))</x:f>
      </x:c>
      <x:c r="AA56" s="6" t="str">
        <x:f>IF(INDEX('C_jama.2024.4183'!$N$2:$N$25,MATCH("2024::jama.2024.4183::C004",'C_jama.2024.4183'!$A$2:$A$25,0))="","",INDEX('C_jama.2024.4183'!$N$2:$N$25,MATCH("2024::jama.2024.4183::C004",'C_jama.2024.4183'!$A$2:$A$25,0)))</x:f>
      </x:c>
      <x:c r="AB56" s="6" t="str">
        <x:f>IF(INDEX('C_jama.2024.4183'!$O$2:$O$25,MATCH("2024::jama.2024.4183::C004",'C_jama.2024.4183'!$A$2:$A$25,0))="","",INDEX('C_jama.2024.4183'!$O$2:$O$25,MATCH("2024::jama.2024.4183::C004",'C_jama.2024.4183'!$A$2:$A$25,0)))</x:f>
      </x:c>
      <x:c r="AC56" s="6" t="str">
        <x:f>IF(INDEX('C_jama.2024.4183'!$P$2:$P$25,MATCH("2024::jama.2024.4183::C004",'C_jama.2024.4183'!$A$2:$A$25,0))="","",INDEX('C_jama.2024.4183'!$P$2:$P$25,MATCH("2024::jama.2024.4183::C004",'C_jama.2024.4183'!$A$2:$A$25,0)))</x:f>
      </x:c>
      <x:c r="AD56" s="6" t="str">
        <x:f>IF(INDEX('C_jama.2024.4183'!$Q$2:$Q$25,MATCH("2024::jama.2024.4183::C004",'C_jama.2024.4183'!$A$2:$A$25,0))="","",INDEX('C_jama.2024.4183'!$Q$2:$Q$25,MATCH("2024::jama.2024.4183::C004",'C_jama.2024.4183'!$A$2:$A$25,0)))</x:f>
      </x:c>
    </x:row>
    <x:row r="57" ht="65" customHeight="1">
      <x:c r="A57" s="3" t="n">
        <x:v>2024</x:v>
      </x:c>
      <x:c r="B57" s="3" t="str">
        <x:v>jama.2024.4183</x:v>
      </x:c>
      <x:c r="C57" s="3" t="str">
        <x:v>2024::jama.2024.4183::C005</x:v>
      </x:c>
      <x:c r="D57" s="3" t="str">
        <x:v>S_C</x:v>
      </x:c>
      <x:c r="E57" s="3" t="n">
        <x:f>Setup!$B$2</x:f>
        <x:v>0</x:v>
      </x:c>
      <x:c r="F57" s="3" t="str">
        <x:f>IF(Setup!$B$4="","",Setup!$B$4)</x:f>
      </x:c>
      <x:c r="G57" s="3" t="str">
        <x:f>IFERROR(INDEX('C_jama.2024.4183'!$G$2:$G$25,MATCH("2024::jama.2024.4183::C005",'C_jama.2024.4183'!$A$2:$A$25,0)),"CHECK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statistical_results</x:v>
      </x:c>
      <x:c r="K57" s="3" t="str">
        <x:f>IF(Setup!$B$6="primary","",IFERROR(IF(INDEX('Primary_snapshot'!$B$2:$B$92,MATCH(C57,'Primary_snapshot'!$A$2:$A$92,0))="","",INDEX('Primary_snapshot'!$B$2:$B$92,MATCH(C57,'Primary_snapshot'!$A$2:$A$92,0))),"SNAPSHOT MISSING"))</x:f>
      </x:c>
      <x:c r="L57" s="3" t="str">
        <x:f>IF(Setup!$B$6="primary","",IFERROR(IF(INDEX('Primary_snapshot'!$C$2:$C$92,MATCH(C57,'Primary_snapshot'!$A$2:$A$92,0))="","",INDEX('Primary_snapshot'!$C$2:$C$92,MATCH(C57,'Primary_snapshot'!$A$2:$A$92,0))),"SNAPSHOT MISSING"))</x:f>
      </x:c>
      <x:c r="M57" s="3" t="str">
        <x:f>IF(Setup!$B$6="primary","",IFERROR(IF(INDEX('Primary_snapshot'!$D$2:$D$92,MATCH(C57,'Primary_snapshot'!$A$2:$A$92,0))="","",INDEX('Primary_snapshot'!$D$2:$D$92,MATCH(C57,'Primary_snapshot'!$A$2:$A$92,0))),"SNAPSHOT MISSING"))</x:f>
      </x:c>
      <x:c r="N57" s="3" t="str">
        <x:f>IF(Setup!$B$6="primary","",IFERROR(IF(INDEX('Primary_snapshot'!$E$2:$E$92,MATCH(C57,'Primary_snapshot'!$A$2:$A$92,0))="","",INDEX('Primary_snapshot'!$E$2:$E$92,MATCH(C57,'Primary_snapshot'!$A$2:$A$92,0))),"SNAPSHOT MISSING"))</x:f>
      </x:c>
      <x:c r="O57" s="3" t="str">
        <x:f>IF(Setup!$B$6="primary","",IFERROR(IF(INDEX('Primary_snapshot'!$F$2:$F$92,MATCH(C57,'Primary_snapshot'!$A$2:$A$92,0))="","",INDEX('Primary_snapshot'!$F$2:$F$92,MATCH(C57,'Primary_snapshot'!$A$2:$A$92,0))),"SNAPSHOT MISSING"))</x:f>
      </x:c>
      <x:c r="P57" s="3" t="str">
        <x:f>IF(Setup!$B$6="primary","",IFERROR(IF(INDEX('Primary_snapshot'!$G$2:$G$92,MATCH(C57,'Primary_snapshot'!$A$2:$A$92,0))="","",INDEX('Primary_snapshot'!$G$2:$G$92,MATCH(C57,'Primary_snapshot'!$A$2:$A$92,0))),"SNAPSHOT MISSING"))</x:f>
      </x:c>
      <x:c r="Q57" s="3" t="str">
        <x:f>IF(Setup!$B$6="primary","",IFERROR(IF(INDEX('Primary_snapshot'!$H$2:$H$92,MATCH(C57,'Primary_snapshot'!$A$2:$A$92,0))="","",INDEX('Primary_snapshot'!$H$2:$H$92,MATCH(C57,'Primary_snapshot'!$A$2:$A$92,0))),"SNAPSHOT MISSING"))</x:f>
      </x:c>
      <x:c r="R57" s="3" t="str">
        <x:f>IF(Setup!$B$6="primary","",IFERROR(IF(INDEX('Primary_snapshot'!$I$2:$I$92,MATCH(C57,'Primary_snapshot'!$A$2:$A$92,0))="","",INDEX('Primary_snapshot'!$I$2:$I$92,MATCH(C57,'Primary_snapshot'!$A$2:$A$92,0))),"SNAPSHOT MISSING"))</x:f>
      </x:c>
      <x:c r="S57" s="3" t="str">
        <x:f>IF(INDEX('C_jama.2024.4183'!$D$2:$D$25,MATCH("2024::jama.2024.4183::C005",'C_jama.2024.4183'!$A$2:$A$25,0))="","",INDEX('C_jama.2024.4183'!$D$2:$D$25,MATCH("2024::jama.2024.4183::C005",'C_jama.2024.4183'!$A$2:$A$25,0)))</x:f>
      </x:c>
      <x:c r="T57" s="3" t="str">
        <x:f>IF(INDEX('C_jama.2024.4183'!$E$2:$E$25,MATCH("2024::jama.2024.4183::C005",'C_jama.2024.4183'!$A$2:$A$25,0))="","",INDEX('C_jama.2024.4183'!$E$2:$E$25,MATCH("2024::jama.2024.4183::C005",'C_jama.2024.4183'!$A$2:$A$25,0)))</x:f>
        <x:v>statistical_results</x:v>
      </x:c>
      <x:c r="U57" s="3" t="str">
        <x:f>IF(AND(INDEX('C_jama.2024.4183'!$D$2:$D$25,MATCH("2024::jama.2024.4183::C005",'C_jama.2024.4183'!$A$2:$A$25,0))="retain",INDEX('C_jama.2024.4183'!$E$2:$E$25,MATCH("2024::jama.2024.4183::C005",'C_jama.2024.4183'!$A$2:$A$25,0))="statistical_results"),IF(INDEX('C_jama.2024.4183'!$H$2:$H$25,MATCH("2024::jama.2024.4183::C005",'C_jama.2024.4183'!$A$2:$A$25,0))="","",INDEX('C_jama.2024.4183'!$H$2:$H$25,MATCH("2024::jama.2024.4183::C005",'C_jama.2024.4183'!$A$2:$A$25,0))),"not_applicable")</x:f>
        <x:v>not_applicable</x:v>
      </x:c>
      <x:c r="V57" s="3" t="str">
        <x:f>IF(AND(INDEX('C_jama.2024.4183'!$D$2:$D$25,MATCH("2024::jama.2024.4183::C005",'C_jama.2024.4183'!$A$2:$A$25,0))="retain",INDEX('C_jama.2024.4183'!$E$2:$E$25,MATCH("2024::jama.2024.4183::C005",'C_jama.2024.4183'!$A$2:$A$25,0))="statistical_results"),IF(INDEX('C_jama.2024.4183'!$I$2:$I$25,MATCH("2024::jama.2024.4183::C005",'C_jama.2024.4183'!$A$2:$A$25,0))="","",INDEX('C_jama.2024.4183'!$I$2:$I$25,MATCH("2024::jama.2024.4183::C005",'C_jama.2024.4183'!$A$2:$A$25,0))),"not_applicable")</x:f>
        <x:v>not_applicable</x:v>
      </x:c>
      <x:c r="W57" s="3" t="str">
        <x:f>IF(AND(INDEX('C_jama.2024.4183'!$D$2:$D$25,MATCH("2024::jama.2024.4183::C005",'C_jama.2024.4183'!$A$2:$A$25,0))="retain",INDEX('C_jama.2024.4183'!$E$2:$E$25,MATCH("2024::jama.2024.4183::C005",'C_jama.2024.4183'!$A$2:$A$25,0))="statistical_results"),IF(INDEX('C_jama.2024.4183'!$J$2:$J$25,MATCH("2024::jama.2024.4183::C005",'C_jama.2024.4183'!$A$2:$A$25,0))="","",INDEX('C_jama.2024.4183'!$J$2:$J$25,MATCH("2024::jama.2024.4183::C005",'C_jama.2024.4183'!$A$2:$A$25,0))),"not_applicable")</x:f>
        <x:v>not_applicable</x:v>
      </x:c>
      <x:c r="X57" s="3" t="str">
        <x:f>IF(AND(INDEX('C_jama.2024.4183'!$D$2:$D$25,MATCH("2024::jama.2024.4183::C005",'C_jama.2024.4183'!$A$2:$A$25,0))="retain",OR(INDEX('C_jama.2024.4183'!$E$2:$E$25,MATCH("2024::jama.2024.4183::C005",'C_jama.2024.4183'!$A$2:$A$25,0))="report_internal_inconsistency",INDEX('C_jama.2024.4183'!$E$2:$E$25,MATCH("2024::jama.2024.4183::C005",'C_jama.2024.4183'!$A$2:$A$25,0))="plan_material")),IF(INDEX('C_jama.2024.4183'!$K$2:$K$25,MATCH("2024::jama.2024.4183::C005",'C_jama.2024.4183'!$A$2:$A$25,0))="","",INDEX('C_jama.2024.4183'!$K$2:$K$25,MATCH("2024::jama.2024.4183::C005",'C_jama.2024.4183'!$A$2:$A$25,0))),"not_applicable")</x:f>
        <x:v>not_applicable</x:v>
      </x:c>
      <x:c r="Y57" s="3" t="str">
        <x:f>IF(AND(INDEX('C_jama.2024.4183'!$D$2:$D$25,MATCH("2024::jama.2024.4183::C005",'C_jama.2024.4183'!$A$2:$A$25,0))="retain",INDEX('C_jama.2024.4183'!$E$2:$E$25,MATCH("2024::jama.2024.4183::C005",'C_jama.2024.4183'!$A$2:$A$25,0))="protocol_report"),IF(INDEX('C_jama.2024.4183'!$L$2:$L$25,MATCH("2024::jama.2024.4183::C005",'C_jama.2024.4183'!$A$2:$A$25,0))="","",INDEX('C_jama.2024.4183'!$L$2:$L$25,MATCH("2024::jama.2024.4183::C005",'C_jama.2024.4183'!$A$2:$A$25,0))),"not_applicable")</x:f>
        <x:v>not_applicable</x:v>
      </x:c>
      <x:c r="Z57" s="3" t="str">
        <x:f>IF(INDEX('C_jama.2024.4183'!$R$2:$R$25,MATCH("2024::jama.2024.4183::C005",'C_jama.2024.4183'!$A$2:$A$25,0))="","",INDEX('C_jama.2024.4183'!$R$2:$R$25,MATCH("2024::jama.2024.4183::C005",'C_jama.2024.4183'!$A$2:$A$25,0)))</x:f>
      </x:c>
      <x:c r="AA57" s="3" t="str">
        <x:f>IF(INDEX('C_jama.2024.4183'!$N$2:$N$25,MATCH("2024::jama.2024.4183::C005",'C_jama.2024.4183'!$A$2:$A$25,0))="","",INDEX('C_jama.2024.4183'!$N$2:$N$25,MATCH("2024::jama.2024.4183::C005",'C_jama.2024.4183'!$A$2:$A$25,0)))</x:f>
      </x:c>
      <x:c r="AB57" s="3" t="str">
        <x:f>IF(INDEX('C_jama.2024.4183'!$O$2:$O$25,MATCH("2024::jama.2024.4183::C005",'C_jama.2024.4183'!$A$2:$A$25,0))="","",INDEX('C_jama.2024.4183'!$O$2:$O$25,MATCH("2024::jama.2024.4183::C005",'C_jama.2024.4183'!$A$2:$A$25,0)))</x:f>
      </x:c>
      <x:c r="AC57" s="3" t="str">
        <x:f>IF(INDEX('C_jama.2024.4183'!$P$2:$P$25,MATCH("2024::jama.2024.4183::C005",'C_jama.2024.4183'!$A$2:$A$25,0))="","",INDEX('C_jama.2024.4183'!$P$2:$P$25,MATCH("2024::jama.2024.4183::C005",'C_jama.2024.4183'!$A$2:$A$25,0)))</x:f>
      </x:c>
      <x:c r="AD57" s="3" t="str">
        <x:f>IF(INDEX('C_jama.2024.4183'!$Q$2:$Q$25,MATCH("2024::jama.2024.4183::C005",'C_jama.2024.4183'!$A$2:$A$25,0))="","",INDEX('C_jama.2024.4183'!$Q$2:$Q$25,MATCH("2024::jama.2024.4183::C005",'C_jama.2024.4183'!$A$2:$A$25,0)))</x:f>
      </x:c>
    </x:row>
    <x:row r="58" ht="65" customHeight="1">
      <x:c r="A58" s="6" t="n">
        <x:v>2024</x:v>
      </x:c>
      <x:c r="B58" s="6" t="str">
        <x:v>jama.2024.4183</x:v>
      </x:c>
      <x:c r="C58" s="6" t="str">
        <x:v>2024::jama.2024.4183::C006</x:v>
      </x:c>
      <x:c r="D58" s="6" t="str">
        <x:v>S_C</x:v>
      </x:c>
      <x:c r="E58" s="6" t="n">
        <x:f>Setup!$B$2</x:f>
        <x:v>0</x:v>
      </x:c>
      <x:c r="F58" s="6" t="str">
        <x:f>IF(Setup!$B$4="","",Setup!$B$4)</x:f>
      </x:c>
      <x:c r="G58" s="6" t="str">
        <x:f>IFERROR(INDEX('C_jama.2024.4183'!$G$2:$G$25,MATCH("2024::jama.2024.4183::C006",'C_jama.2024.4183'!$A$2:$A$25,0)),"CHECK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IF(Setup!$B$6="primary","",IFERROR(IF(INDEX('Primary_snapshot'!$B$2:$B$92,MATCH(C58,'Primary_snapshot'!$A$2:$A$92,0))="","",INDEX('Primary_snapshot'!$B$2:$B$92,MATCH(C58,'Primary_snapshot'!$A$2:$A$92,0))),"SNAPSHOT MISSING"))</x:f>
      </x:c>
      <x:c r="L58" s="6" t="str">
        <x:f>IF(Setup!$B$6="primary","",IFERROR(IF(INDEX('Primary_snapshot'!$C$2:$C$92,MATCH(C58,'Primary_snapshot'!$A$2:$A$92,0))="","",INDEX('Primary_snapshot'!$C$2:$C$92,MATCH(C58,'Primary_snapshot'!$A$2:$A$92,0))),"SNAPSHOT MISSING"))</x:f>
      </x:c>
      <x:c r="M58" s="6" t="str">
        <x:f>IF(Setup!$B$6="primary","",IFERROR(IF(INDEX('Primary_snapshot'!$D$2:$D$92,MATCH(C58,'Primary_snapshot'!$A$2:$A$92,0))="","",INDEX('Primary_snapshot'!$D$2:$D$92,MATCH(C58,'Primary_snapshot'!$A$2:$A$92,0))),"SNAPSHOT MISSING"))</x:f>
      </x:c>
      <x:c r="N58" s="6" t="str">
        <x:f>IF(Setup!$B$6="primary","",IFERROR(IF(INDEX('Primary_snapshot'!$E$2:$E$92,MATCH(C58,'Primary_snapshot'!$A$2:$A$92,0))="","",INDEX('Primary_snapshot'!$E$2:$E$92,MATCH(C58,'Primary_snapshot'!$A$2:$A$92,0))),"SNAPSHOT MISSING"))</x:f>
      </x:c>
      <x:c r="O58" s="6" t="str">
        <x:f>IF(Setup!$B$6="primary","",IFERROR(IF(INDEX('Primary_snapshot'!$F$2:$F$92,MATCH(C58,'Primary_snapshot'!$A$2:$A$92,0))="","",INDEX('Primary_snapshot'!$F$2:$F$92,MATCH(C58,'Primary_snapshot'!$A$2:$A$92,0))),"SNAPSHOT MISSING"))</x:f>
      </x:c>
      <x:c r="P58" s="6" t="str">
        <x:f>IF(Setup!$B$6="primary","",IFERROR(IF(INDEX('Primary_snapshot'!$G$2:$G$92,MATCH(C58,'Primary_snapshot'!$A$2:$A$92,0))="","",INDEX('Primary_snapshot'!$G$2:$G$92,MATCH(C58,'Primary_snapshot'!$A$2:$A$92,0))),"SNAPSHOT MISSING"))</x:f>
      </x:c>
      <x:c r="Q58" s="6" t="str">
        <x:f>IF(Setup!$B$6="primary","",IFERROR(IF(INDEX('Primary_snapshot'!$H$2:$H$92,MATCH(C58,'Primary_snapshot'!$A$2:$A$92,0))="","",INDEX('Primary_snapshot'!$H$2:$H$92,MATCH(C58,'Primary_snapshot'!$A$2:$A$92,0))),"SNAPSHOT MISSING"))</x:f>
      </x:c>
      <x:c r="R58" s="6" t="str">
        <x:f>IF(Setup!$B$6="primary","",IFERROR(IF(INDEX('Primary_snapshot'!$I$2:$I$92,MATCH(C58,'Primary_snapshot'!$A$2:$A$92,0))="","",INDEX('Primary_snapshot'!$I$2:$I$92,MATCH(C58,'Primary_snapshot'!$A$2:$A$92,0))),"SNAPSHOT MISSING"))</x:f>
      </x:c>
      <x:c r="S58" s="6" t="str">
        <x:f>IF(INDEX('C_jama.2024.4183'!$D$2:$D$25,MATCH("2024::jama.2024.4183::C006",'C_jama.2024.4183'!$A$2:$A$25,0))="","",INDEX('C_jama.2024.4183'!$D$2:$D$25,MATCH("2024::jama.2024.4183::C006",'C_jama.2024.4183'!$A$2:$A$25,0)))</x:f>
      </x:c>
      <x:c r="T58" s="6" t="str">
        <x:f>IF(INDEX('C_jama.2024.4183'!$E$2:$E$25,MATCH("2024::jama.2024.4183::C006",'C_jama.2024.4183'!$A$2:$A$25,0))="","",INDEX('C_jama.2024.4183'!$E$2:$E$25,MATCH("2024::jama.2024.4183::C006",'C_jama.2024.4183'!$A$2:$A$25,0)))</x:f>
        <x:v>statistical_results</x:v>
      </x:c>
      <x:c r="U58" s="6" t="str">
        <x:f>IF(AND(INDEX('C_jama.2024.4183'!$D$2:$D$25,MATCH("2024::jama.2024.4183::C006",'C_jama.2024.4183'!$A$2:$A$25,0))="retain",INDEX('C_jama.2024.4183'!$E$2:$E$25,MATCH("2024::jama.2024.4183::C006",'C_jama.2024.4183'!$A$2:$A$25,0))="statistical_results"),IF(INDEX('C_jama.2024.4183'!$H$2:$H$25,MATCH("2024::jama.2024.4183::C006",'C_jama.2024.4183'!$A$2:$A$25,0))="","",INDEX('C_jama.2024.4183'!$H$2:$H$25,MATCH("2024::jama.2024.4183::C006",'C_jama.2024.4183'!$A$2:$A$25,0))),"not_applicable")</x:f>
        <x:v>not_applicable</x:v>
      </x:c>
      <x:c r="V58" s="6" t="str">
        <x:f>IF(AND(INDEX('C_jama.2024.4183'!$D$2:$D$25,MATCH("2024::jama.2024.4183::C006",'C_jama.2024.4183'!$A$2:$A$25,0))="retain",INDEX('C_jama.2024.4183'!$E$2:$E$25,MATCH("2024::jama.2024.4183::C006",'C_jama.2024.4183'!$A$2:$A$25,0))="statistical_results"),IF(INDEX('C_jama.2024.4183'!$I$2:$I$25,MATCH("2024::jama.2024.4183::C006",'C_jama.2024.4183'!$A$2:$A$25,0))="","",INDEX('C_jama.2024.4183'!$I$2:$I$25,MATCH("2024::jama.2024.4183::C006",'C_jama.2024.4183'!$A$2:$A$25,0))),"not_applicable")</x:f>
        <x:v>not_applicable</x:v>
      </x:c>
      <x:c r="W58" s="6" t="str">
        <x:f>IF(AND(INDEX('C_jama.2024.4183'!$D$2:$D$25,MATCH("2024::jama.2024.4183::C006",'C_jama.2024.4183'!$A$2:$A$25,0))="retain",INDEX('C_jama.2024.4183'!$E$2:$E$25,MATCH("2024::jama.2024.4183::C006",'C_jama.2024.4183'!$A$2:$A$25,0))="statistical_results"),IF(INDEX('C_jama.2024.4183'!$J$2:$J$25,MATCH("2024::jama.2024.4183::C006",'C_jama.2024.4183'!$A$2:$A$25,0))="","",INDEX('C_jama.2024.4183'!$J$2:$J$25,MATCH("2024::jama.2024.4183::C006",'C_jama.2024.4183'!$A$2:$A$25,0))),"not_applicable")</x:f>
        <x:v>not_applicable</x:v>
      </x:c>
      <x:c r="X58" s="6" t="str">
        <x:f>IF(AND(INDEX('C_jama.2024.4183'!$D$2:$D$25,MATCH("2024::jama.2024.4183::C006",'C_jama.2024.4183'!$A$2:$A$25,0))="retain",OR(INDEX('C_jama.2024.4183'!$E$2:$E$25,MATCH("2024::jama.2024.4183::C006",'C_jama.2024.4183'!$A$2:$A$25,0))="report_internal_inconsistency",INDEX('C_jama.2024.4183'!$E$2:$E$25,MATCH("2024::jama.2024.4183::C006",'C_jama.2024.4183'!$A$2:$A$25,0))="plan_material")),IF(INDEX('C_jama.2024.4183'!$K$2:$K$25,MATCH("2024::jama.2024.4183::C006",'C_jama.2024.4183'!$A$2:$A$25,0))="","",INDEX('C_jama.2024.4183'!$K$2:$K$25,MATCH("2024::jama.2024.4183::C006",'C_jama.2024.4183'!$A$2:$A$25,0))),"not_applicable")</x:f>
        <x:v>not_applicable</x:v>
      </x:c>
      <x:c r="Y58" s="6" t="str">
        <x:f>IF(AND(INDEX('C_jama.2024.4183'!$D$2:$D$25,MATCH("2024::jama.2024.4183::C006",'C_jama.2024.4183'!$A$2:$A$25,0))="retain",INDEX('C_jama.2024.4183'!$E$2:$E$25,MATCH("2024::jama.2024.4183::C006",'C_jama.2024.4183'!$A$2:$A$25,0))="protocol_report"),IF(INDEX('C_jama.2024.4183'!$L$2:$L$25,MATCH("2024::jama.2024.4183::C006",'C_jama.2024.4183'!$A$2:$A$25,0))="","",INDEX('C_jama.2024.4183'!$L$2:$L$25,MATCH("2024::jama.2024.4183::C006",'C_jama.2024.4183'!$A$2:$A$25,0))),"not_applicable")</x:f>
        <x:v>not_applicable</x:v>
      </x:c>
      <x:c r="Z58" s="6" t="str">
        <x:f>IF(INDEX('C_jama.2024.4183'!$R$2:$R$25,MATCH("2024::jama.2024.4183::C006",'C_jama.2024.4183'!$A$2:$A$25,0))="","",INDEX('C_jama.2024.4183'!$R$2:$R$25,MATCH("2024::jama.2024.4183::C006",'C_jama.2024.4183'!$A$2:$A$25,0)))</x:f>
      </x:c>
      <x:c r="AA58" s="6" t="str">
        <x:f>IF(INDEX('C_jama.2024.4183'!$N$2:$N$25,MATCH("2024::jama.2024.4183::C006",'C_jama.2024.4183'!$A$2:$A$25,0))="","",INDEX('C_jama.2024.4183'!$N$2:$N$25,MATCH("2024::jama.2024.4183::C006",'C_jama.2024.4183'!$A$2:$A$25,0)))</x:f>
      </x:c>
      <x:c r="AB58" s="6" t="str">
        <x:f>IF(INDEX('C_jama.2024.4183'!$O$2:$O$25,MATCH("2024::jama.2024.4183::C006",'C_jama.2024.4183'!$A$2:$A$25,0))="","",INDEX('C_jama.2024.4183'!$O$2:$O$25,MATCH("2024::jama.2024.4183::C006",'C_jama.2024.4183'!$A$2:$A$25,0)))</x:f>
      </x:c>
      <x:c r="AC58" s="6" t="str">
        <x:f>IF(INDEX('C_jama.2024.4183'!$P$2:$P$25,MATCH("2024::jama.2024.4183::C006",'C_jama.2024.4183'!$A$2:$A$25,0))="","",INDEX('C_jama.2024.4183'!$P$2:$P$25,MATCH("2024::jama.2024.4183::C006",'C_jama.2024.4183'!$A$2:$A$25,0)))</x:f>
      </x:c>
      <x:c r="AD58" s="6" t="str">
        <x:f>IF(INDEX('C_jama.2024.4183'!$Q$2:$Q$25,MATCH("2024::jama.2024.4183::C006",'C_jama.2024.4183'!$A$2:$A$25,0))="","",INDEX('C_jama.2024.4183'!$Q$2:$Q$25,MATCH("2024::jama.2024.4183::C006",'C_jama.2024.4183'!$A$2:$A$25,0)))</x:f>
      </x:c>
    </x:row>
    <x:row r="59" ht="65" customHeight="1">
      <x:c r="A59" s="3" t="n">
        <x:v>2024</x:v>
      </x:c>
      <x:c r="B59" s="3" t="str">
        <x:v>jama.2024.4183</x:v>
      </x:c>
      <x:c r="C59" s="3" t="str">
        <x:v>2024::jama.2024.4183::C007</x:v>
      </x:c>
      <x:c r="D59" s="3" t="str">
        <x:v>S_C</x:v>
      </x:c>
      <x:c r="E59" s="3" t="n">
        <x:f>Setup!$B$2</x:f>
        <x:v>0</x:v>
      </x:c>
      <x:c r="F59" s="3" t="str">
        <x:f>IF(Setup!$B$4="","",Setup!$B$4)</x:f>
      </x:c>
      <x:c r="G59" s="3" t="str">
        <x:f>IFERROR(INDEX('C_jama.2024.4183'!$G$2:$G$25,MATCH("2024::jama.2024.4183::C007",'C_jama.2024.4183'!$A$2:$A$25,0)),"CHECK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report_internal_inconsistency</x:v>
      </x:c>
      <x:c r="K59" s="3" t="str">
        <x:f>IF(Setup!$B$6="primary","",IFERROR(IF(INDEX('Primary_snapshot'!$B$2:$B$92,MATCH(C59,'Primary_snapshot'!$A$2:$A$92,0))="","",INDEX('Primary_snapshot'!$B$2:$B$92,MATCH(C59,'Primary_snapshot'!$A$2:$A$92,0))),"SNAPSHOT MISSING"))</x:f>
      </x:c>
      <x:c r="L59" s="3" t="str">
        <x:f>IF(Setup!$B$6="primary","",IFERROR(IF(INDEX('Primary_snapshot'!$C$2:$C$92,MATCH(C59,'Primary_snapshot'!$A$2:$A$92,0))="","",INDEX('Primary_snapshot'!$C$2:$C$92,MATCH(C59,'Primary_snapshot'!$A$2:$A$92,0))),"SNAPSHOT MISSING"))</x:f>
      </x:c>
      <x:c r="M59" s="3" t="str">
        <x:f>IF(Setup!$B$6="primary","",IFERROR(IF(INDEX('Primary_snapshot'!$D$2:$D$92,MATCH(C59,'Primary_snapshot'!$A$2:$A$92,0))="","",INDEX('Primary_snapshot'!$D$2:$D$92,MATCH(C59,'Primary_snapshot'!$A$2:$A$92,0))),"SNAPSHOT MISSING"))</x:f>
      </x:c>
      <x:c r="N59" s="3" t="str">
        <x:f>IF(Setup!$B$6="primary","",IFERROR(IF(INDEX('Primary_snapshot'!$E$2:$E$92,MATCH(C59,'Primary_snapshot'!$A$2:$A$92,0))="","",INDEX('Primary_snapshot'!$E$2:$E$92,MATCH(C59,'Primary_snapshot'!$A$2:$A$92,0))),"SNAPSHOT MISSING"))</x:f>
      </x:c>
      <x:c r="O59" s="3" t="str">
        <x:f>IF(Setup!$B$6="primary","",IFERROR(IF(INDEX('Primary_snapshot'!$F$2:$F$92,MATCH(C59,'Primary_snapshot'!$A$2:$A$92,0))="","",INDEX('Primary_snapshot'!$F$2:$F$92,MATCH(C59,'Primary_snapshot'!$A$2:$A$92,0))),"SNAPSHOT MISSING"))</x:f>
      </x:c>
      <x:c r="P59" s="3" t="str">
        <x:f>IF(Setup!$B$6="primary","",IFERROR(IF(INDEX('Primary_snapshot'!$G$2:$G$92,MATCH(C59,'Primary_snapshot'!$A$2:$A$92,0))="","",INDEX('Primary_snapshot'!$G$2:$G$92,MATCH(C59,'Primary_snapshot'!$A$2:$A$92,0))),"SNAPSHOT MISSING"))</x:f>
      </x:c>
      <x:c r="Q59" s="3" t="str">
        <x:f>IF(Setup!$B$6="primary","",IFERROR(IF(INDEX('Primary_snapshot'!$H$2:$H$92,MATCH(C59,'Primary_snapshot'!$A$2:$A$92,0))="","",INDEX('Primary_snapshot'!$H$2:$H$92,MATCH(C59,'Primary_snapshot'!$A$2:$A$92,0))),"SNAPSHOT MISSING"))</x:f>
      </x:c>
      <x:c r="R59" s="3" t="str">
        <x:f>IF(Setup!$B$6="primary","",IFERROR(IF(INDEX('Primary_snapshot'!$I$2:$I$92,MATCH(C59,'Primary_snapshot'!$A$2:$A$92,0))="","",INDEX('Primary_snapshot'!$I$2:$I$92,MATCH(C59,'Primary_snapshot'!$A$2:$A$92,0))),"SNAPSHOT MISSING"))</x:f>
      </x:c>
      <x:c r="S59" s="3" t="str">
        <x:f>IF(INDEX('C_jama.2024.4183'!$D$2:$D$25,MATCH("2024::jama.2024.4183::C007",'C_jama.2024.4183'!$A$2:$A$25,0))="","",INDEX('C_jama.2024.4183'!$D$2:$D$25,MATCH("2024::jama.2024.4183::C007",'C_jama.2024.4183'!$A$2:$A$25,0)))</x:f>
      </x:c>
      <x:c r="T59" s="3" t="str">
        <x:f>IF(INDEX('C_jama.2024.4183'!$E$2:$E$25,MATCH("2024::jama.2024.4183::C007",'C_jama.2024.4183'!$A$2:$A$25,0))="","",INDEX('C_jama.2024.4183'!$E$2:$E$25,MATCH("2024::jama.2024.4183::C007",'C_jama.2024.4183'!$A$2:$A$25,0)))</x:f>
        <x:v>report_internal_inconsistency</x:v>
      </x:c>
      <x:c r="U59" s="3" t="str">
        <x:f>IF(AND(INDEX('C_jama.2024.4183'!$D$2:$D$25,MATCH("2024::jama.2024.4183::C007",'C_jama.2024.4183'!$A$2:$A$25,0))="retain",INDEX('C_jama.2024.4183'!$E$2:$E$25,MATCH("2024::jama.2024.4183::C007",'C_jama.2024.4183'!$A$2:$A$25,0))="statistical_results"),IF(INDEX('C_jama.2024.4183'!$H$2:$H$25,MATCH("2024::jama.2024.4183::C007",'C_jama.2024.4183'!$A$2:$A$25,0))="","",INDEX('C_jama.2024.4183'!$H$2:$H$25,MATCH("2024::jama.2024.4183::C007",'C_jama.2024.4183'!$A$2:$A$25,0))),"not_applicable")</x:f>
        <x:v>not_applicable</x:v>
      </x:c>
      <x:c r="V59" s="3" t="str">
        <x:f>IF(AND(INDEX('C_jama.2024.4183'!$D$2:$D$25,MATCH("2024::jama.2024.4183::C007",'C_jama.2024.4183'!$A$2:$A$25,0))="retain",INDEX('C_jama.2024.4183'!$E$2:$E$25,MATCH("2024::jama.2024.4183::C007",'C_jama.2024.4183'!$A$2:$A$25,0))="statistical_results"),IF(INDEX('C_jama.2024.4183'!$I$2:$I$25,MATCH("2024::jama.2024.4183::C007",'C_jama.2024.4183'!$A$2:$A$25,0))="","",INDEX('C_jama.2024.4183'!$I$2:$I$25,MATCH("2024::jama.2024.4183::C007",'C_jama.2024.4183'!$A$2:$A$25,0))),"not_applicable")</x:f>
        <x:v>not_applicable</x:v>
      </x:c>
      <x:c r="W59" s="3" t="str">
        <x:f>IF(AND(INDEX('C_jama.2024.4183'!$D$2:$D$25,MATCH("2024::jama.2024.4183::C007",'C_jama.2024.4183'!$A$2:$A$25,0))="retain",INDEX('C_jama.2024.4183'!$E$2:$E$25,MATCH("2024::jama.2024.4183::C007",'C_jama.2024.4183'!$A$2:$A$25,0))="statistical_results"),IF(INDEX('C_jama.2024.4183'!$J$2:$J$25,MATCH("2024::jama.2024.4183::C007",'C_jama.2024.4183'!$A$2:$A$25,0))="","",INDEX('C_jama.2024.4183'!$J$2:$J$25,MATCH("2024::jama.2024.4183::C007",'C_jama.2024.4183'!$A$2:$A$25,0))),"not_applicable")</x:f>
        <x:v>not_applicable</x:v>
      </x:c>
      <x:c r="X59" s="3" t="str">
        <x:f>IF(AND(INDEX('C_jama.2024.4183'!$D$2:$D$25,MATCH("2024::jama.2024.4183::C007",'C_jama.2024.4183'!$A$2:$A$25,0))="retain",OR(INDEX('C_jama.2024.4183'!$E$2:$E$25,MATCH("2024::jama.2024.4183::C007",'C_jama.2024.4183'!$A$2:$A$25,0))="report_internal_inconsistency",INDEX('C_jama.2024.4183'!$E$2:$E$25,MATCH("2024::jama.2024.4183::C007",'C_jama.2024.4183'!$A$2:$A$25,0))="plan_material")),IF(INDEX('C_jama.2024.4183'!$K$2:$K$25,MATCH("2024::jama.2024.4183::C007",'C_jama.2024.4183'!$A$2:$A$25,0))="","",INDEX('C_jama.2024.4183'!$K$2:$K$25,MATCH("2024::jama.2024.4183::C007",'C_jama.2024.4183'!$A$2:$A$25,0))),"not_applicable")</x:f>
        <x:v>not_applicable</x:v>
      </x:c>
      <x:c r="Y59" s="3" t="str">
        <x:f>IF(AND(INDEX('C_jama.2024.4183'!$D$2:$D$25,MATCH("2024::jama.2024.4183::C007",'C_jama.2024.4183'!$A$2:$A$25,0))="retain",INDEX('C_jama.2024.4183'!$E$2:$E$25,MATCH("2024::jama.2024.4183::C007",'C_jama.2024.4183'!$A$2:$A$25,0))="protocol_report"),IF(INDEX('C_jama.2024.4183'!$L$2:$L$25,MATCH("2024::jama.2024.4183::C007",'C_jama.2024.4183'!$A$2:$A$25,0))="","",INDEX('C_jama.2024.4183'!$L$2:$L$25,MATCH("2024::jama.2024.4183::C007",'C_jama.2024.4183'!$A$2:$A$25,0))),"not_applicable")</x:f>
        <x:v>not_applicable</x:v>
      </x:c>
      <x:c r="Z59" s="3" t="str">
        <x:f>IF(INDEX('C_jama.2024.4183'!$R$2:$R$25,MATCH("2024::jama.2024.4183::C007",'C_jama.2024.4183'!$A$2:$A$25,0))="","",INDEX('C_jama.2024.4183'!$R$2:$R$25,MATCH("2024::jama.2024.4183::C007",'C_jama.2024.4183'!$A$2:$A$25,0)))</x:f>
      </x:c>
      <x:c r="AA59" s="3" t="str">
        <x:f>IF(INDEX('C_jama.2024.4183'!$N$2:$N$25,MATCH("2024::jama.2024.4183::C007",'C_jama.2024.4183'!$A$2:$A$25,0))="","",INDEX('C_jama.2024.4183'!$N$2:$N$25,MATCH("2024::jama.2024.4183::C007",'C_jama.2024.4183'!$A$2:$A$25,0)))</x:f>
      </x:c>
      <x:c r="AB59" s="3" t="str">
        <x:f>IF(INDEX('C_jama.2024.4183'!$O$2:$O$25,MATCH("2024::jama.2024.4183::C007",'C_jama.2024.4183'!$A$2:$A$25,0))="","",INDEX('C_jama.2024.4183'!$O$2:$O$25,MATCH("2024::jama.2024.4183::C007",'C_jama.2024.4183'!$A$2:$A$25,0)))</x:f>
      </x:c>
      <x:c r="AC59" s="3" t="str">
        <x:f>IF(INDEX('C_jama.2024.4183'!$P$2:$P$25,MATCH("2024::jama.2024.4183::C007",'C_jama.2024.4183'!$A$2:$A$25,0))="","",INDEX('C_jama.2024.4183'!$P$2:$P$25,MATCH("2024::jama.2024.4183::C007",'C_jama.2024.4183'!$A$2:$A$25,0)))</x:f>
      </x:c>
      <x:c r="AD59" s="3" t="str">
        <x:f>IF(INDEX('C_jama.2024.4183'!$Q$2:$Q$25,MATCH("2024::jama.2024.4183::C007",'C_jama.2024.4183'!$A$2:$A$25,0))="","",INDEX('C_jama.2024.4183'!$Q$2:$Q$25,MATCH("2024::jama.2024.4183::C007",'C_jama.2024.4183'!$A$2:$A$25,0)))</x:f>
      </x:c>
    </x:row>
    <x:row r="60" ht="65" customHeight="1">
      <x:c r="A60" s="6" t="n">
        <x:v>2024</x:v>
      </x:c>
      <x:c r="B60" s="6" t="str">
        <x:v>jama.2024.4183</x:v>
      </x:c>
      <x:c r="C60" s="6" t="str">
        <x:v>2024::jama.2024.4183::C008</x:v>
      </x:c>
      <x:c r="D60" s="6" t="str">
        <x:v>S_C</x:v>
      </x:c>
      <x:c r="E60" s="6" t="n">
        <x:f>Setup!$B$2</x:f>
        <x:v>0</x:v>
      </x:c>
      <x:c r="F60" s="6" t="str">
        <x:f>IF(Setup!$B$4="","",Setup!$B$4)</x:f>
      </x:c>
      <x:c r="G60" s="6" t="str">
        <x:f>IFERROR(INDEX('C_jama.2024.4183'!$G$2:$G$25,MATCH("2024::jama.2024.4183::C008",'C_jama.2024.4183'!$A$2:$A$25,0)),"CHECK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statistical_results</x:v>
      </x:c>
      <x:c r="K60" s="6" t="str">
        <x:f>IF(Setup!$B$6="primary","",IFERROR(IF(INDEX('Primary_snapshot'!$B$2:$B$92,MATCH(C60,'Primary_snapshot'!$A$2:$A$92,0))="","",INDEX('Primary_snapshot'!$B$2:$B$92,MATCH(C60,'Primary_snapshot'!$A$2:$A$92,0))),"SNAPSHOT MISSING"))</x:f>
      </x:c>
      <x:c r="L60" s="6" t="str">
        <x:f>IF(Setup!$B$6="primary","",IFERROR(IF(INDEX('Primary_snapshot'!$C$2:$C$92,MATCH(C60,'Primary_snapshot'!$A$2:$A$92,0))="","",INDEX('Primary_snapshot'!$C$2:$C$92,MATCH(C60,'Primary_snapshot'!$A$2:$A$92,0))),"SNAPSHOT MISSING"))</x:f>
      </x:c>
      <x:c r="M60" s="6" t="str">
        <x:f>IF(Setup!$B$6="primary","",IFERROR(IF(INDEX('Primary_snapshot'!$D$2:$D$92,MATCH(C60,'Primary_snapshot'!$A$2:$A$92,0))="","",INDEX('Primary_snapshot'!$D$2:$D$92,MATCH(C60,'Primary_snapshot'!$A$2:$A$92,0))),"SNAPSHOT MISSING"))</x:f>
      </x:c>
      <x:c r="N60" s="6" t="str">
        <x:f>IF(Setup!$B$6="primary","",IFERROR(IF(INDEX('Primary_snapshot'!$E$2:$E$92,MATCH(C60,'Primary_snapshot'!$A$2:$A$92,0))="","",INDEX('Primary_snapshot'!$E$2:$E$92,MATCH(C60,'Primary_snapshot'!$A$2:$A$92,0))),"SNAPSHOT MISSING"))</x:f>
      </x:c>
      <x:c r="O60" s="6" t="str">
        <x:f>IF(Setup!$B$6="primary","",IFERROR(IF(INDEX('Primary_snapshot'!$F$2:$F$92,MATCH(C60,'Primary_snapshot'!$A$2:$A$92,0))="","",INDEX('Primary_snapshot'!$F$2:$F$92,MATCH(C60,'Primary_snapshot'!$A$2:$A$92,0))),"SNAPSHOT MISSING"))</x:f>
      </x:c>
      <x:c r="P60" s="6" t="str">
        <x:f>IF(Setup!$B$6="primary","",IFERROR(IF(INDEX('Primary_snapshot'!$G$2:$G$92,MATCH(C60,'Primary_snapshot'!$A$2:$A$92,0))="","",INDEX('Primary_snapshot'!$G$2:$G$92,MATCH(C60,'Primary_snapshot'!$A$2:$A$92,0))),"SNAPSHOT MISSING"))</x:f>
      </x:c>
      <x:c r="Q60" s="6" t="str">
        <x:f>IF(Setup!$B$6="primary","",IFERROR(IF(INDEX('Primary_snapshot'!$H$2:$H$92,MATCH(C60,'Primary_snapshot'!$A$2:$A$92,0))="","",INDEX('Primary_snapshot'!$H$2:$H$92,MATCH(C60,'Primary_snapshot'!$A$2:$A$92,0))),"SNAPSHOT MISSING"))</x:f>
      </x:c>
      <x:c r="R60" s="6" t="str">
        <x:f>IF(Setup!$B$6="primary","",IFERROR(IF(INDEX('Primary_snapshot'!$I$2:$I$92,MATCH(C60,'Primary_snapshot'!$A$2:$A$92,0))="","",INDEX('Primary_snapshot'!$I$2:$I$92,MATCH(C60,'Primary_snapshot'!$A$2:$A$92,0))),"SNAPSHOT MISSING"))</x:f>
      </x:c>
      <x:c r="S60" s="6" t="str">
        <x:f>IF(INDEX('C_jama.2024.4183'!$D$2:$D$25,MATCH("2024::jama.2024.4183::C008",'C_jama.2024.4183'!$A$2:$A$25,0))="","",INDEX('C_jama.2024.4183'!$D$2:$D$25,MATCH("2024::jama.2024.4183::C008",'C_jama.2024.4183'!$A$2:$A$25,0)))</x:f>
      </x:c>
      <x:c r="T60" s="6" t="str">
        <x:f>IF(INDEX('C_jama.2024.4183'!$E$2:$E$25,MATCH("2024::jama.2024.4183::C008",'C_jama.2024.4183'!$A$2:$A$25,0))="","",INDEX('C_jama.2024.4183'!$E$2:$E$25,MATCH("2024::jama.2024.4183::C008",'C_jama.2024.4183'!$A$2:$A$25,0)))</x:f>
        <x:v>statistical_results</x:v>
      </x:c>
      <x:c r="U60" s="6" t="str">
        <x:f>IF(AND(INDEX('C_jama.2024.4183'!$D$2:$D$25,MATCH("2024::jama.2024.4183::C008",'C_jama.2024.4183'!$A$2:$A$25,0))="retain",INDEX('C_jama.2024.4183'!$E$2:$E$25,MATCH("2024::jama.2024.4183::C008",'C_jama.2024.4183'!$A$2:$A$25,0))="statistical_results"),IF(INDEX('C_jama.2024.4183'!$H$2:$H$25,MATCH("2024::jama.2024.4183::C008",'C_jama.2024.4183'!$A$2:$A$25,0))="","",INDEX('C_jama.2024.4183'!$H$2:$H$25,MATCH("2024::jama.2024.4183::C008",'C_jama.2024.4183'!$A$2:$A$25,0))),"not_applicable")</x:f>
        <x:v>not_applicable</x:v>
      </x:c>
      <x:c r="V60" s="6" t="str">
        <x:f>IF(AND(INDEX('C_jama.2024.4183'!$D$2:$D$25,MATCH("2024::jama.2024.4183::C008",'C_jama.2024.4183'!$A$2:$A$25,0))="retain",INDEX('C_jama.2024.4183'!$E$2:$E$25,MATCH("2024::jama.2024.4183::C008",'C_jama.2024.4183'!$A$2:$A$25,0))="statistical_results"),IF(INDEX('C_jama.2024.4183'!$I$2:$I$25,MATCH("2024::jama.2024.4183::C008",'C_jama.2024.4183'!$A$2:$A$25,0))="","",INDEX('C_jama.2024.4183'!$I$2:$I$25,MATCH("2024::jama.2024.4183::C008",'C_jama.2024.4183'!$A$2:$A$25,0))),"not_applicable")</x:f>
        <x:v>not_applicable</x:v>
      </x:c>
      <x:c r="W60" s="6" t="str">
        <x:f>IF(AND(INDEX('C_jama.2024.4183'!$D$2:$D$25,MATCH("2024::jama.2024.4183::C008",'C_jama.2024.4183'!$A$2:$A$25,0))="retain",INDEX('C_jama.2024.4183'!$E$2:$E$25,MATCH("2024::jama.2024.4183::C008",'C_jama.2024.4183'!$A$2:$A$25,0))="statistical_results"),IF(INDEX('C_jama.2024.4183'!$J$2:$J$25,MATCH("2024::jama.2024.4183::C008",'C_jama.2024.4183'!$A$2:$A$25,0))="","",INDEX('C_jama.2024.4183'!$J$2:$J$25,MATCH("2024::jama.2024.4183::C008",'C_jama.2024.4183'!$A$2:$A$25,0))),"not_applicable")</x:f>
        <x:v>not_applicable</x:v>
      </x:c>
      <x:c r="X60" s="6" t="str">
        <x:f>IF(AND(INDEX('C_jama.2024.4183'!$D$2:$D$25,MATCH("2024::jama.2024.4183::C008",'C_jama.2024.4183'!$A$2:$A$25,0))="retain",OR(INDEX('C_jama.2024.4183'!$E$2:$E$25,MATCH("2024::jama.2024.4183::C008",'C_jama.2024.4183'!$A$2:$A$25,0))="report_internal_inconsistency",INDEX('C_jama.2024.4183'!$E$2:$E$25,MATCH("2024::jama.2024.4183::C008",'C_jama.2024.4183'!$A$2:$A$25,0))="plan_material")),IF(INDEX('C_jama.2024.4183'!$K$2:$K$25,MATCH("2024::jama.2024.4183::C008",'C_jama.2024.4183'!$A$2:$A$25,0))="","",INDEX('C_jama.2024.4183'!$K$2:$K$25,MATCH("2024::jama.2024.4183::C008",'C_jama.2024.4183'!$A$2:$A$25,0))),"not_applicable")</x:f>
        <x:v>not_applicable</x:v>
      </x:c>
      <x:c r="Y60" s="6" t="str">
        <x:f>IF(AND(INDEX('C_jama.2024.4183'!$D$2:$D$25,MATCH("2024::jama.2024.4183::C008",'C_jama.2024.4183'!$A$2:$A$25,0))="retain",INDEX('C_jama.2024.4183'!$E$2:$E$25,MATCH("2024::jama.2024.4183::C008",'C_jama.2024.4183'!$A$2:$A$25,0))="protocol_report"),IF(INDEX('C_jama.2024.4183'!$L$2:$L$25,MATCH("2024::jama.2024.4183::C008",'C_jama.2024.4183'!$A$2:$A$25,0))="","",INDEX('C_jama.2024.4183'!$L$2:$L$25,MATCH("2024::jama.2024.4183::C008",'C_jama.2024.4183'!$A$2:$A$25,0))),"not_applicable")</x:f>
        <x:v>not_applicable</x:v>
      </x:c>
      <x:c r="Z60" s="6" t="str">
        <x:f>IF(INDEX('C_jama.2024.4183'!$R$2:$R$25,MATCH("2024::jama.2024.4183::C008",'C_jama.2024.4183'!$A$2:$A$25,0))="","",INDEX('C_jama.2024.4183'!$R$2:$R$25,MATCH("2024::jama.2024.4183::C008",'C_jama.2024.4183'!$A$2:$A$25,0)))</x:f>
      </x:c>
      <x:c r="AA60" s="6" t="str">
        <x:f>IF(INDEX('C_jama.2024.4183'!$N$2:$N$25,MATCH("2024::jama.2024.4183::C008",'C_jama.2024.4183'!$A$2:$A$25,0))="","",INDEX('C_jama.2024.4183'!$N$2:$N$25,MATCH("2024::jama.2024.4183::C008",'C_jama.2024.4183'!$A$2:$A$25,0)))</x:f>
      </x:c>
      <x:c r="AB60" s="6" t="str">
        <x:f>IF(INDEX('C_jama.2024.4183'!$O$2:$O$25,MATCH("2024::jama.2024.4183::C008",'C_jama.2024.4183'!$A$2:$A$25,0))="","",INDEX('C_jama.2024.4183'!$O$2:$O$25,MATCH("2024::jama.2024.4183::C008",'C_jama.2024.4183'!$A$2:$A$25,0)))</x:f>
      </x:c>
      <x:c r="AC60" s="6" t="str">
        <x:f>IF(INDEX('C_jama.2024.4183'!$P$2:$P$25,MATCH("2024::jama.2024.4183::C008",'C_jama.2024.4183'!$A$2:$A$25,0))="","",INDEX('C_jama.2024.4183'!$P$2:$P$25,MATCH("2024::jama.2024.4183::C008",'C_jama.2024.4183'!$A$2:$A$25,0)))</x:f>
      </x:c>
      <x:c r="AD60" s="6" t="str">
        <x:f>IF(INDEX('C_jama.2024.4183'!$Q$2:$Q$25,MATCH("2024::jama.2024.4183::C008",'C_jama.2024.4183'!$A$2:$A$25,0))="","",INDEX('C_jama.2024.4183'!$Q$2:$Q$25,MATCH("2024::jama.2024.4183::C008",'C_jama.2024.4183'!$A$2:$A$25,0)))</x:f>
      </x:c>
    </x:row>
    <x:row r="61" ht="65" customHeight="1">
      <x:c r="A61" s="3" t="n">
        <x:v>2024</x:v>
      </x:c>
      <x:c r="B61" s="3" t="str">
        <x:v>jama.2024.4183</x:v>
      </x:c>
      <x:c r="C61" s="3" t="str">
        <x:v>2024::jama.2024.4183::C009</x:v>
      </x:c>
      <x:c r="D61" s="3" t="str">
        <x:v>S_C</x:v>
      </x:c>
      <x:c r="E61" s="3" t="n">
        <x:f>Setup!$B$2</x:f>
        <x:v>0</x:v>
      </x:c>
      <x:c r="F61" s="3" t="str">
        <x:f>IF(Setup!$B$4="","",Setup!$B$4)</x:f>
      </x:c>
      <x:c r="G61" s="3" t="str">
        <x:f>IFERROR(INDEX('C_jama.2024.4183'!$G$2:$G$25,MATCH("2024::jama.2024.4183::C009",'C_jama.2024.4183'!$A$2:$A$25,0)),"CHECK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IF(Setup!$B$6="primary","",IFERROR(IF(INDEX('Primary_snapshot'!$B$2:$B$92,MATCH(C61,'Primary_snapshot'!$A$2:$A$92,0))="","",INDEX('Primary_snapshot'!$B$2:$B$92,MATCH(C61,'Primary_snapshot'!$A$2:$A$92,0))),"SNAPSHOT MISSING"))</x:f>
      </x:c>
      <x:c r="L61" s="3" t="str">
        <x:f>IF(Setup!$B$6="primary","",IFERROR(IF(INDEX('Primary_snapshot'!$C$2:$C$92,MATCH(C61,'Primary_snapshot'!$A$2:$A$92,0))="","",INDEX('Primary_snapshot'!$C$2:$C$92,MATCH(C61,'Primary_snapshot'!$A$2:$A$92,0))),"SNAPSHOT MISSING"))</x:f>
      </x:c>
      <x:c r="M61" s="3" t="str">
        <x:f>IF(Setup!$B$6="primary","",IFERROR(IF(INDEX('Primary_snapshot'!$D$2:$D$92,MATCH(C61,'Primary_snapshot'!$A$2:$A$92,0))="","",INDEX('Primary_snapshot'!$D$2:$D$92,MATCH(C61,'Primary_snapshot'!$A$2:$A$92,0))),"SNAPSHOT MISSING"))</x:f>
      </x:c>
      <x:c r="N61" s="3" t="str">
        <x:f>IF(Setup!$B$6="primary","",IFERROR(IF(INDEX('Primary_snapshot'!$E$2:$E$92,MATCH(C61,'Primary_snapshot'!$A$2:$A$92,0))="","",INDEX('Primary_snapshot'!$E$2:$E$92,MATCH(C61,'Primary_snapshot'!$A$2:$A$92,0))),"SNAPSHOT MISSING"))</x:f>
      </x:c>
      <x:c r="O61" s="3" t="str">
        <x:f>IF(Setup!$B$6="primary","",IFERROR(IF(INDEX('Primary_snapshot'!$F$2:$F$92,MATCH(C61,'Primary_snapshot'!$A$2:$A$92,0))="","",INDEX('Primary_snapshot'!$F$2:$F$92,MATCH(C61,'Primary_snapshot'!$A$2:$A$92,0))),"SNAPSHOT MISSING"))</x:f>
      </x:c>
      <x:c r="P61" s="3" t="str">
        <x:f>IF(Setup!$B$6="primary","",IFERROR(IF(INDEX('Primary_snapshot'!$G$2:$G$92,MATCH(C61,'Primary_snapshot'!$A$2:$A$92,0))="","",INDEX('Primary_snapshot'!$G$2:$G$92,MATCH(C61,'Primary_snapshot'!$A$2:$A$92,0))),"SNAPSHOT MISSING"))</x:f>
      </x:c>
      <x:c r="Q61" s="3" t="str">
        <x:f>IF(Setup!$B$6="primary","",IFERROR(IF(INDEX('Primary_snapshot'!$H$2:$H$92,MATCH(C61,'Primary_snapshot'!$A$2:$A$92,0))="","",INDEX('Primary_snapshot'!$H$2:$H$92,MATCH(C61,'Primary_snapshot'!$A$2:$A$92,0))),"SNAPSHOT MISSING"))</x:f>
      </x:c>
      <x:c r="R61" s="3" t="str">
        <x:f>IF(Setup!$B$6="primary","",IFERROR(IF(INDEX('Primary_snapshot'!$I$2:$I$92,MATCH(C61,'Primary_snapshot'!$A$2:$A$92,0))="","",INDEX('Primary_snapshot'!$I$2:$I$92,MATCH(C61,'Primary_snapshot'!$A$2:$A$92,0))),"SNAPSHOT MISSING"))</x:f>
      </x:c>
      <x:c r="S61" s="3" t="str">
        <x:f>IF(INDEX('C_jama.2024.4183'!$D$2:$D$25,MATCH("2024::jama.2024.4183::C009",'C_jama.2024.4183'!$A$2:$A$25,0))="","",INDEX('C_jama.2024.4183'!$D$2:$D$25,MATCH("2024::jama.2024.4183::C009",'C_jama.2024.4183'!$A$2:$A$25,0)))</x:f>
      </x:c>
      <x:c r="T61" s="3" t="str">
        <x:f>IF(INDEX('C_jama.2024.4183'!$E$2:$E$25,MATCH("2024::jama.2024.4183::C009",'C_jama.2024.4183'!$A$2:$A$25,0))="","",INDEX('C_jama.2024.4183'!$E$2:$E$25,MATCH("2024::jama.2024.4183::C009",'C_jama.2024.4183'!$A$2:$A$25,0)))</x:f>
        <x:v>statistical_results</x:v>
      </x:c>
      <x:c r="U61" s="3" t="str">
        <x:f>IF(AND(INDEX('C_jama.2024.4183'!$D$2:$D$25,MATCH("2024::jama.2024.4183::C009",'C_jama.2024.4183'!$A$2:$A$25,0))="retain",INDEX('C_jama.2024.4183'!$E$2:$E$25,MATCH("2024::jama.2024.4183::C009",'C_jama.2024.4183'!$A$2:$A$25,0))="statistical_results"),IF(INDEX('C_jama.2024.4183'!$H$2:$H$25,MATCH("2024::jama.2024.4183::C009",'C_jama.2024.4183'!$A$2:$A$25,0))="","",INDEX('C_jama.2024.4183'!$H$2:$H$25,MATCH("2024::jama.2024.4183::C009",'C_jama.2024.4183'!$A$2:$A$25,0))),"not_applicable")</x:f>
        <x:v>not_applicable</x:v>
      </x:c>
      <x:c r="V61" s="3" t="str">
        <x:f>IF(AND(INDEX('C_jama.2024.4183'!$D$2:$D$25,MATCH("2024::jama.2024.4183::C009",'C_jama.2024.4183'!$A$2:$A$25,0))="retain",INDEX('C_jama.2024.4183'!$E$2:$E$25,MATCH("2024::jama.2024.4183::C009",'C_jama.2024.4183'!$A$2:$A$25,0))="statistical_results"),IF(INDEX('C_jama.2024.4183'!$I$2:$I$25,MATCH("2024::jama.2024.4183::C009",'C_jama.2024.4183'!$A$2:$A$25,0))="","",INDEX('C_jama.2024.4183'!$I$2:$I$25,MATCH("2024::jama.2024.4183::C009",'C_jama.2024.4183'!$A$2:$A$25,0))),"not_applicable")</x:f>
        <x:v>not_applicable</x:v>
      </x:c>
      <x:c r="W61" s="3" t="str">
        <x:f>IF(AND(INDEX('C_jama.2024.4183'!$D$2:$D$25,MATCH("2024::jama.2024.4183::C009",'C_jama.2024.4183'!$A$2:$A$25,0))="retain",INDEX('C_jama.2024.4183'!$E$2:$E$25,MATCH("2024::jama.2024.4183::C009",'C_jama.2024.4183'!$A$2:$A$25,0))="statistical_results"),IF(INDEX('C_jama.2024.4183'!$J$2:$J$25,MATCH("2024::jama.2024.4183::C009",'C_jama.2024.4183'!$A$2:$A$25,0))="","",INDEX('C_jama.2024.4183'!$J$2:$J$25,MATCH("2024::jama.2024.4183::C009",'C_jama.2024.4183'!$A$2:$A$25,0))),"not_applicable")</x:f>
        <x:v>not_applicable</x:v>
      </x:c>
      <x:c r="X61" s="3" t="str">
        <x:f>IF(AND(INDEX('C_jama.2024.4183'!$D$2:$D$25,MATCH("2024::jama.2024.4183::C009",'C_jama.2024.4183'!$A$2:$A$25,0))="retain",OR(INDEX('C_jama.2024.4183'!$E$2:$E$25,MATCH("2024::jama.2024.4183::C009",'C_jama.2024.4183'!$A$2:$A$25,0))="report_internal_inconsistency",INDEX('C_jama.2024.4183'!$E$2:$E$25,MATCH("2024::jama.2024.4183::C009",'C_jama.2024.4183'!$A$2:$A$25,0))="plan_material")),IF(INDEX('C_jama.2024.4183'!$K$2:$K$25,MATCH("2024::jama.2024.4183::C009",'C_jama.2024.4183'!$A$2:$A$25,0))="","",INDEX('C_jama.2024.4183'!$K$2:$K$25,MATCH("2024::jama.2024.4183::C009",'C_jama.2024.4183'!$A$2:$A$25,0))),"not_applicable")</x:f>
        <x:v>not_applicable</x:v>
      </x:c>
      <x:c r="Y61" s="3" t="str">
        <x:f>IF(AND(INDEX('C_jama.2024.4183'!$D$2:$D$25,MATCH("2024::jama.2024.4183::C009",'C_jama.2024.4183'!$A$2:$A$25,0))="retain",INDEX('C_jama.2024.4183'!$E$2:$E$25,MATCH("2024::jama.2024.4183::C009",'C_jama.2024.4183'!$A$2:$A$25,0))="protocol_report"),IF(INDEX('C_jama.2024.4183'!$L$2:$L$25,MATCH("2024::jama.2024.4183::C009",'C_jama.2024.4183'!$A$2:$A$25,0))="","",INDEX('C_jama.2024.4183'!$L$2:$L$25,MATCH("2024::jama.2024.4183::C009",'C_jama.2024.4183'!$A$2:$A$25,0))),"not_applicable")</x:f>
        <x:v>not_applicable</x:v>
      </x:c>
      <x:c r="Z61" s="3" t="str">
        <x:f>IF(INDEX('C_jama.2024.4183'!$R$2:$R$25,MATCH("2024::jama.2024.4183::C009",'C_jama.2024.4183'!$A$2:$A$25,0))="","",INDEX('C_jama.2024.4183'!$R$2:$R$25,MATCH("2024::jama.2024.4183::C009",'C_jama.2024.4183'!$A$2:$A$25,0)))</x:f>
      </x:c>
      <x:c r="AA61" s="3" t="str">
        <x:f>IF(INDEX('C_jama.2024.4183'!$N$2:$N$25,MATCH("2024::jama.2024.4183::C009",'C_jama.2024.4183'!$A$2:$A$25,0))="","",INDEX('C_jama.2024.4183'!$N$2:$N$25,MATCH("2024::jama.2024.4183::C009",'C_jama.2024.4183'!$A$2:$A$25,0)))</x:f>
      </x:c>
      <x:c r="AB61" s="3" t="str">
        <x:f>IF(INDEX('C_jama.2024.4183'!$O$2:$O$25,MATCH("2024::jama.2024.4183::C009",'C_jama.2024.4183'!$A$2:$A$25,0))="","",INDEX('C_jama.2024.4183'!$O$2:$O$25,MATCH("2024::jama.2024.4183::C009",'C_jama.2024.4183'!$A$2:$A$25,0)))</x:f>
      </x:c>
      <x:c r="AC61" s="3" t="str">
        <x:f>IF(INDEX('C_jama.2024.4183'!$P$2:$P$25,MATCH("2024::jama.2024.4183::C009",'C_jama.2024.4183'!$A$2:$A$25,0))="","",INDEX('C_jama.2024.4183'!$P$2:$P$25,MATCH("2024::jama.2024.4183::C009",'C_jama.2024.4183'!$A$2:$A$25,0)))</x:f>
      </x:c>
      <x:c r="AD61" s="3" t="str">
        <x:f>IF(INDEX('C_jama.2024.4183'!$Q$2:$Q$25,MATCH("2024::jama.2024.4183::C009",'C_jama.2024.4183'!$A$2:$A$25,0))="","",INDEX('C_jama.2024.4183'!$Q$2:$Q$25,MATCH("2024::jama.2024.4183::C009",'C_jama.2024.4183'!$A$2:$A$25,0)))</x:f>
      </x:c>
    </x:row>
    <x:row r="62" ht="65" customHeight="1">
      <x:c r="A62" s="6" t="n">
        <x:v>2024</x:v>
      </x:c>
      <x:c r="B62" s="6" t="str">
        <x:v>jama.2024.4183</x:v>
      </x:c>
      <x:c r="C62" s="6" t="str">
        <x:v>2024::jama.2024.4183::C010</x:v>
      </x:c>
      <x:c r="D62" s="6" t="str">
        <x:v>P_P</x:v>
      </x:c>
      <x:c r="E62" s="6" t="n">
        <x:f>Setup!$B$2</x:f>
        <x:v>0</x:v>
      </x:c>
      <x:c r="F62" s="6" t="str">
        <x:f>IF(Setup!$B$4="","",Setup!$B$4)</x:f>
      </x:c>
      <x:c r="G62" s="6" t="str">
        <x:f>IFERROR(INDEX('C_jama.2024.4183'!$G$2:$G$25,MATCH("2024::jama.2024.4183::C010",'C_jama.2024.4183'!$A$2:$A$25,0)),"CHECK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plan_material</x:v>
      </x:c>
      <x:c r="K62" s="6" t="str">
        <x:f>IF(Setup!$B$6="primary","",IFERROR(IF(INDEX('Primary_snapshot'!$B$2:$B$92,MATCH(C62,'Primary_snapshot'!$A$2:$A$92,0))="","",INDEX('Primary_snapshot'!$B$2:$B$92,MATCH(C62,'Primary_snapshot'!$A$2:$A$92,0))),"SNAPSHOT MISSING"))</x:f>
      </x:c>
      <x:c r="L62" s="6" t="str">
        <x:f>IF(Setup!$B$6="primary","",IFERROR(IF(INDEX('Primary_snapshot'!$C$2:$C$92,MATCH(C62,'Primary_snapshot'!$A$2:$A$92,0))="","",INDEX('Primary_snapshot'!$C$2:$C$92,MATCH(C62,'Primary_snapshot'!$A$2:$A$92,0))),"SNAPSHOT MISSING"))</x:f>
      </x:c>
      <x:c r="M62" s="6" t="str">
        <x:f>IF(Setup!$B$6="primary","",IFERROR(IF(INDEX('Primary_snapshot'!$D$2:$D$92,MATCH(C62,'Primary_snapshot'!$A$2:$A$92,0))="","",INDEX('Primary_snapshot'!$D$2:$D$92,MATCH(C62,'Primary_snapshot'!$A$2:$A$92,0))),"SNAPSHOT MISSING"))</x:f>
      </x:c>
      <x:c r="N62" s="6" t="str">
        <x:f>IF(Setup!$B$6="primary","",IFERROR(IF(INDEX('Primary_snapshot'!$E$2:$E$92,MATCH(C62,'Primary_snapshot'!$A$2:$A$92,0))="","",INDEX('Primary_snapshot'!$E$2:$E$92,MATCH(C62,'Primary_snapshot'!$A$2:$A$92,0))),"SNAPSHOT MISSING"))</x:f>
      </x:c>
      <x:c r="O62" s="6" t="str">
        <x:f>IF(Setup!$B$6="primary","",IFERROR(IF(INDEX('Primary_snapshot'!$F$2:$F$92,MATCH(C62,'Primary_snapshot'!$A$2:$A$92,0))="","",INDEX('Primary_snapshot'!$F$2:$F$92,MATCH(C62,'Primary_snapshot'!$A$2:$A$92,0))),"SNAPSHOT MISSING"))</x:f>
      </x:c>
      <x:c r="P62" s="6" t="str">
        <x:f>IF(Setup!$B$6="primary","",IFERROR(IF(INDEX('Primary_snapshot'!$G$2:$G$92,MATCH(C62,'Primary_snapshot'!$A$2:$A$92,0))="","",INDEX('Primary_snapshot'!$G$2:$G$92,MATCH(C62,'Primary_snapshot'!$A$2:$A$92,0))),"SNAPSHOT MISSING"))</x:f>
      </x:c>
      <x:c r="Q62" s="6" t="str">
        <x:f>IF(Setup!$B$6="primary","",IFERROR(IF(INDEX('Primary_snapshot'!$H$2:$H$92,MATCH(C62,'Primary_snapshot'!$A$2:$A$92,0))="","",INDEX('Primary_snapshot'!$H$2:$H$92,MATCH(C62,'Primary_snapshot'!$A$2:$A$92,0))),"SNAPSHOT MISSING"))</x:f>
      </x:c>
      <x:c r="R62" s="6" t="str">
        <x:f>IF(Setup!$B$6="primary","",IFERROR(IF(INDEX('Primary_snapshot'!$I$2:$I$92,MATCH(C62,'Primary_snapshot'!$A$2:$A$92,0))="","",INDEX('Primary_snapshot'!$I$2:$I$92,MATCH(C62,'Primary_snapshot'!$A$2:$A$92,0))),"SNAPSHOT MISSING"))</x:f>
      </x:c>
      <x:c r="S62" s="6" t="str">
        <x:f>IF(INDEX('C_jama.2024.4183'!$D$2:$D$25,MATCH("2024::jama.2024.4183::C010",'C_jama.2024.4183'!$A$2:$A$25,0))="","",INDEX('C_jama.2024.4183'!$D$2:$D$25,MATCH("2024::jama.2024.4183::C010",'C_jama.2024.4183'!$A$2:$A$25,0)))</x:f>
      </x:c>
      <x:c r="T62" s="6" t="str">
        <x:f>IF(INDEX('C_jama.2024.4183'!$E$2:$E$25,MATCH("2024::jama.2024.4183::C010",'C_jama.2024.4183'!$A$2:$A$25,0))="","",INDEX('C_jama.2024.4183'!$E$2:$E$25,MATCH("2024::jama.2024.4183::C010",'C_jama.2024.4183'!$A$2:$A$25,0)))</x:f>
        <x:v>plan_material</x:v>
      </x:c>
      <x:c r="U62" s="6" t="str">
        <x:f>IF(AND(INDEX('C_jama.2024.4183'!$D$2:$D$25,MATCH("2024::jama.2024.4183::C010",'C_jama.2024.4183'!$A$2:$A$25,0))="retain",INDEX('C_jama.2024.4183'!$E$2:$E$25,MATCH("2024::jama.2024.4183::C010",'C_jama.2024.4183'!$A$2:$A$25,0))="statistical_results"),IF(INDEX('C_jama.2024.4183'!$H$2:$H$25,MATCH("2024::jama.2024.4183::C010",'C_jama.2024.4183'!$A$2:$A$25,0))="","",INDEX('C_jama.2024.4183'!$H$2:$H$25,MATCH("2024::jama.2024.4183::C010",'C_jama.2024.4183'!$A$2:$A$25,0))),"not_applicable")</x:f>
        <x:v>not_applicable</x:v>
      </x:c>
      <x:c r="V62" s="6" t="str">
        <x:f>IF(AND(INDEX('C_jama.2024.4183'!$D$2:$D$25,MATCH("2024::jama.2024.4183::C010",'C_jama.2024.4183'!$A$2:$A$25,0))="retain",INDEX('C_jama.2024.4183'!$E$2:$E$25,MATCH("2024::jama.2024.4183::C010",'C_jama.2024.4183'!$A$2:$A$25,0))="statistical_results"),IF(INDEX('C_jama.2024.4183'!$I$2:$I$25,MATCH("2024::jama.2024.4183::C010",'C_jama.2024.4183'!$A$2:$A$25,0))="","",INDEX('C_jama.2024.4183'!$I$2:$I$25,MATCH("2024::jama.2024.4183::C010",'C_jama.2024.4183'!$A$2:$A$25,0))),"not_applicable")</x:f>
        <x:v>not_applicable</x:v>
      </x:c>
      <x:c r="W62" s="6" t="str">
        <x:f>IF(AND(INDEX('C_jama.2024.4183'!$D$2:$D$25,MATCH("2024::jama.2024.4183::C010",'C_jama.2024.4183'!$A$2:$A$25,0))="retain",INDEX('C_jama.2024.4183'!$E$2:$E$25,MATCH("2024::jama.2024.4183::C010",'C_jama.2024.4183'!$A$2:$A$25,0))="statistical_results"),IF(INDEX('C_jama.2024.4183'!$J$2:$J$25,MATCH("2024::jama.2024.4183::C010",'C_jama.2024.4183'!$A$2:$A$25,0))="","",INDEX('C_jama.2024.4183'!$J$2:$J$25,MATCH("2024::jama.2024.4183::C010",'C_jama.2024.4183'!$A$2:$A$25,0))),"not_applicable")</x:f>
        <x:v>not_applicable</x:v>
      </x:c>
      <x:c r="X62" s="6" t="str">
        <x:f>IF(AND(INDEX('C_jama.2024.4183'!$D$2:$D$25,MATCH("2024::jama.2024.4183::C010",'C_jama.2024.4183'!$A$2:$A$25,0))="retain",OR(INDEX('C_jama.2024.4183'!$E$2:$E$25,MATCH("2024::jama.2024.4183::C010",'C_jama.2024.4183'!$A$2:$A$25,0))="report_internal_inconsistency",INDEX('C_jama.2024.4183'!$E$2:$E$25,MATCH("2024::jama.2024.4183::C010",'C_jama.2024.4183'!$A$2:$A$25,0))="plan_material")),IF(INDEX('C_jama.2024.4183'!$K$2:$K$25,MATCH("2024::jama.2024.4183::C010",'C_jama.2024.4183'!$A$2:$A$25,0))="","",INDEX('C_jama.2024.4183'!$K$2:$K$25,MATCH("2024::jama.2024.4183::C010",'C_jama.2024.4183'!$A$2:$A$25,0))),"not_applicable")</x:f>
        <x:v>not_applicable</x:v>
      </x:c>
      <x:c r="Y62" s="6" t="str">
        <x:f>IF(AND(INDEX('C_jama.2024.4183'!$D$2:$D$25,MATCH("2024::jama.2024.4183::C010",'C_jama.2024.4183'!$A$2:$A$25,0))="retain",INDEX('C_jama.2024.4183'!$E$2:$E$25,MATCH("2024::jama.2024.4183::C010",'C_jama.2024.4183'!$A$2:$A$25,0))="protocol_report"),IF(INDEX('C_jama.2024.4183'!$L$2:$L$25,MATCH("2024::jama.2024.4183::C010",'C_jama.2024.4183'!$A$2:$A$25,0))="","",INDEX('C_jama.2024.4183'!$L$2:$L$25,MATCH("2024::jama.2024.4183::C010",'C_jama.2024.4183'!$A$2:$A$25,0))),"not_applicable")</x:f>
        <x:v>not_applicable</x:v>
      </x:c>
      <x:c r="Z62" s="6" t="str">
        <x:f>IF(INDEX('C_jama.2024.4183'!$R$2:$R$25,MATCH("2024::jama.2024.4183::C010",'C_jama.2024.4183'!$A$2:$A$25,0))="","",INDEX('C_jama.2024.4183'!$R$2:$R$25,MATCH("2024::jama.2024.4183::C010",'C_jama.2024.4183'!$A$2:$A$25,0)))</x:f>
      </x:c>
      <x:c r="AA62" s="6" t="str">
        <x:f>IF(INDEX('C_jama.2024.4183'!$N$2:$N$25,MATCH("2024::jama.2024.4183::C010",'C_jama.2024.4183'!$A$2:$A$25,0))="","",INDEX('C_jama.2024.4183'!$N$2:$N$25,MATCH("2024::jama.2024.4183::C010",'C_jama.2024.4183'!$A$2:$A$25,0)))</x:f>
      </x:c>
      <x:c r="AB62" s="6" t="str">
        <x:f>IF(INDEX('C_jama.2024.4183'!$O$2:$O$25,MATCH("2024::jama.2024.4183::C010",'C_jama.2024.4183'!$A$2:$A$25,0))="","",INDEX('C_jama.2024.4183'!$O$2:$O$25,MATCH("2024::jama.2024.4183::C010",'C_jama.2024.4183'!$A$2:$A$25,0)))</x:f>
      </x:c>
      <x:c r="AC62" s="6" t="str">
        <x:f>IF(INDEX('C_jama.2024.4183'!$P$2:$P$25,MATCH("2024::jama.2024.4183::C010",'C_jama.2024.4183'!$A$2:$A$25,0))="","",INDEX('C_jama.2024.4183'!$P$2:$P$25,MATCH("2024::jama.2024.4183::C010",'C_jama.2024.4183'!$A$2:$A$25,0)))</x:f>
      </x:c>
      <x:c r="AD62" s="6" t="str">
        <x:f>IF(INDEX('C_jama.2024.4183'!$Q$2:$Q$25,MATCH("2024::jama.2024.4183::C010",'C_jama.2024.4183'!$A$2:$A$25,0))="","",INDEX('C_jama.2024.4183'!$Q$2:$Q$25,MATCH("2024::jama.2024.4183::C010",'C_jama.2024.4183'!$A$2:$A$25,0)))</x:f>
      </x:c>
    </x:row>
    <x:row r="63" ht="65" customHeight="1">
      <x:c r="A63" s="3" t="n">
        <x:v>2024</x:v>
      </x:c>
      <x:c r="B63" s="3" t="str">
        <x:v>jama.2024.4183</x:v>
      </x:c>
      <x:c r="C63" s="3" t="str">
        <x:v>2024::jama.2024.4183::C011</x:v>
      </x:c>
      <x:c r="D63" s="3" t="str">
        <x:v>P_P</x:v>
      </x:c>
      <x:c r="E63" s="3" t="n">
        <x:f>Setup!$B$2</x:f>
        <x:v>0</x:v>
      </x:c>
      <x:c r="F63" s="3" t="str">
        <x:f>IF(Setup!$B$4="","",Setup!$B$4)</x:f>
      </x:c>
      <x:c r="G63" s="3" t="str">
        <x:f>IFERROR(INDEX('C_jama.2024.4183'!$G$2:$G$25,MATCH("2024::jama.2024.4183::C011",'C_jama.2024.4183'!$A$2:$A$25,0)),"CHECK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plan_material</x:v>
      </x:c>
      <x:c r="K63" s="3" t="str">
        <x:f>IF(Setup!$B$6="primary","",IFERROR(IF(INDEX('Primary_snapshot'!$B$2:$B$92,MATCH(C63,'Primary_snapshot'!$A$2:$A$92,0))="","",INDEX('Primary_snapshot'!$B$2:$B$92,MATCH(C63,'Primary_snapshot'!$A$2:$A$92,0))),"SNAPSHOT MISSING"))</x:f>
      </x:c>
      <x:c r="L63" s="3" t="str">
        <x:f>IF(Setup!$B$6="primary","",IFERROR(IF(INDEX('Primary_snapshot'!$C$2:$C$92,MATCH(C63,'Primary_snapshot'!$A$2:$A$92,0))="","",INDEX('Primary_snapshot'!$C$2:$C$92,MATCH(C63,'Primary_snapshot'!$A$2:$A$92,0))),"SNAPSHOT MISSING"))</x:f>
      </x:c>
      <x:c r="M63" s="3" t="str">
        <x:f>IF(Setup!$B$6="primary","",IFERROR(IF(INDEX('Primary_snapshot'!$D$2:$D$92,MATCH(C63,'Primary_snapshot'!$A$2:$A$92,0))="","",INDEX('Primary_snapshot'!$D$2:$D$92,MATCH(C63,'Primary_snapshot'!$A$2:$A$92,0))),"SNAPSHOT MISSING"))</x:f>
      </x:c>
      <x:c r="N63" s="3" t="str">
        <x:f>IF(Setup!$B$6="primary","",IFERROR(IF(INDEX('Primary_snapshot'!$E$2:$E$92,MATCH(C63,'Primary_snapshot'!$A$2:$A$92,0))="","",INDEX('Primary_snapshot'!$E$2:$E$92,MATCH(C63,'Primary_snapshot'!$A$2:$A$92,0))),"SNAPSHOT MISSING"))</x:f>
      </x:c>
      <x:c r="O63" s="3" t="str">
        <x:f>IF(Setup!$B$6="primary","",IFERROR(IF(INDEX('Primary_snapshot'!$F$2:$F$92,MATCH(C63,'Primary_snapshot'!$A$2:$A$92,0))="","",INDEX('Primary_snapshot'!$F$2:$F$92,MATCH(C63,'Primary_snapshot'!$A$2:$A$92,0))),"SNAPSHOT MISSING"))</x:f>
      </x:c>
      <x:c r="P63" s="3" t="str">
        <x:f>IF(Setup!$B$6="primary","",IFERROR(IF(INDEX('Primary_snapshot'!$G$2:$G$92,MATCH(C63,'Primary_snapshot'!$A$2:$A$92,0))="","",INDEX('Primary_snapshot'!$G$2:$G$92,MATCH(C63,'Primary_snapshot'!$A$2:$A$92,0))),"SNAPSHOT MISSING"))</x:f>
      </x:c>
      <x:c r="Q63" s="3" t="str">
        <x:f>IF(Setup!$B$6="primary","",IFERROR(IF(INDEX('Primary_snapshot'!$H$2:$H$92,MATCH(C63,'Primary_snapshot'!$A$2:$A$92,0))="","",INDEX('Primary_snapshot'!$H$2:$H$92,MATCH(C63,'Primary_snapshot'!$A$2:$A$92,0))),"SNAPSHOT MISSING"))</x:f>
      </x:c>
      <x:c r="R63" s="3" t="str">
        <x:f>IF(Setup!$B$6="primary","",IFERROR(IF(INDEX('Primary_snapshot'!$I$2:$I$92,MATCH(C63,'Primary_snapshot'!$A$2:$A$92,0))="","",INDEX('Primary_snapshot'!$I$2:$I$92,MATCH(C63,'Primary_snapshot'!$A$2:$A$92,0))),"SNAPSHOT MISSING"))</x:f>
      </x:c>
      <x:c r="S63" s="3" t="str">
        <x:f>IF(INDEX('C_jama.2024.4183'!$D$2:$D$25,MATCH("2024::jama.2024.4183::C011",'C_jama.2024.4183'!$A$2:$A$25,0))="","",INDEX('C_jama.2024.4183'!$D$2:$D$25,MATCH("2024::jama.2024.4183::C011",'C_jama.2024.4183'!$A$2:$A$25,0)))</x:f>
      </x:c>
      <x:c r="T63" s="3" t="str">
        <x:f>IF(INDEX('C_jama.2024.4183'!$E$2:$E$25,MATCH("2024::jama.2024.4183::C011",'C_jama.2024.4183'!$A$2:$A$25,0))="","",INDEX('C_jama.2024.4183'!$E$2:$E$25,MATCH("2024::jama.2024.4183::C011",'C_jama.2024.4183'!$A$2:$A$25,0)))</x:f>
        <x:v>plan_material</x:v>
      </x:c>
      <x:c r="U63" s="3" t="str">
        <x:f>IF(AND(INDEX('C_jama.2024.4183'!$D$2:$D$25,MATCH("2024::jama.2024.4183::C011",'C_jama.2024.4183'!$A$2:$A$25,0))="retain",INDEX('C_jama.2024.4183'!$E$2:$E$25,MATCH("2024::jama.2024.4183::C011",'C_jama.2024.4183'!$A$2:$A$25,0))="statistical_results"),IF(INDEX('C_jama.2024.4183'!$H$2:$H$25,MATCH("2024::jama.2024.4183::C011",'C_jama.2024.4183'!$A$2:$A$25,0))="","",INDEX('C_jama.2024.4183'!$H$2:$H$25,MATCH("2024::jama.2024.4183::C011",'C_jama.2024.4183'!$A$2:$A$25,0))),"not_applicable")</x:f>
        <x:v>not_applicable</x:v>
      </x:c>
      <x:c r="V63" s="3" t="str">
        <x:f>IF(AND(INDEX('C_jama.2024.4183'!$D$2:$D$25,MATCH("2024::jama.2024.4183::C011",'C_jama.2024.4183'!$A$2:$A$25,0))="retain",INDEX('C_jama.2024.4183'!$E$2:$E$25,MATCH("2024::jama.2024.4183::C011",'C_jama.2024.4183'!$A$2:$A$25,0))="statistical_results"),IF(INDEX('C_jama.2024.4183'!$I$2:$I$25,MATCH("2024::jama.2024.4183::C011",'C_jama.2024.4183'!$A$2:$A$25,0))="","",INDEX('C_jama.2024.4183'!$I$2:$I$25,MATCH("2024::jama.2024.4183::C011",'C_jama.2024.4183'!$A$2:$A$25,0))),"not_applicable")</x:f>
        <x:v>not_applicable</x:v>
      </x:c>
      <x:c r="W63" s="3" t="str">
        <x:f>IF(AND(INDEX('C_jama.2024.4183'!$D$2:$D$25,MATCH("2024::jama.2024.4183::C011",'C_jama.2024.4183'!$A$2:$A$25,0))="retain",INDEX('C_jama.2024.4183'!$E$2:$E$25,MATCH("2024::jama.2024.4183::C011",'C_jama.2024.4183'!$A$2:$A$25,0))="statistical_results"),IF(INDEX('C_jama.2024.4183'!$J$2:$J$25,MATCH("2024::jama.2024.4183::C011",'C_jama.2024.4183'!$A$2:$A$25,0))="","",INDEX('C_jama.2024.4183'!$J$2:$J$25,MATCH("2024::jama.2024.4183::C011",'C_jama.2024.4183'!$A$2:$A$25,0))),"not_applicable")</x:f>
        <x:v>not_applicable</x:v>
      </x:c>
      <x:c r="X63" s="3" t="str">
        <x:f>IF(AND(INDEX('C_jama.2024.4183'!$D$2:$D$25,MATCH("2024::jama.2024.4183::C011",'C_jama.2024.4183'!$A$2:$A$25,0))="retain",OR(INDEX('C_jama.2024.4183'!$E$2:$E$25,MATCH("2024::jama.2024.4183::C011",'C_jama.2024.4183'!$A$2:$A$25,0))="report_internal_inconsistency",INDEX('C_jama.2024.4183'!$E$2:$E$25,MATCH("2024::jama.2024.4183::C011",'C_jama.2024.4183'!$A$2:$A$25,0))="plan_material")),IF(INDEX('C_jama.2024.4183'!$K$2:$K$25,MATCH("2024::jama.2024.4183::C011",'C_jama.2024.4183'!$A$2:$A$25,0))="","",INDEX('C_jama.2024.4183'!$K$2:$K$25,MATCH("2024::jama.2024.4183::C011",'C_jama.2024.4183'!$A$2:$A$25,0))),"not_applicable")</x:f>
        <x:v>not_applicable</x:v>
      </x:c>
      <x:c r="Y63" s="3" t="str">
        <x:f>IF(AND(INDEX('C_jama.2024.4183'!$D$2:$D$25,MATCH("2024::jama.2024.4183::C011",'C_jama.2024.4183'!$A$2:$A$25,0))="retain",INDEX('C_jama.2024.4183'!$E$2:$E$25,MATCH("2024::jama.2024.4183::C011",'C_jama.2024.4183'!$A$2:$A$25,0))="protocol_report"),IF(INDEX('C_jama.2024.4183'!$L$2:$L$25,MATCH("2024::jama.2024.4183::C011",'C_jama.2024.4183'!$A$2:$A$25,0))="","",INDEX('C_jama.2024.4183'!$L$2:$L$25,MATCH("2024::jama.2024.4183::C011",'C_jama.2024.4183'!$A$2:$A$25,0))),"not_applicable")</x:f>
        <x:v>not_applicable</x:v>
      </x:c>
      <x:c r="Z63" s="3" t="str">
        <x:f>IF(INDEX('C_jama.2024.4183'!$R$2:$R$25,MATCH("2024::jama.2024.4183::C011",'C_jama.2024.4183'!$A$2:$A$25,0))="","",INDEX('C_jama.2024.4183'!$R$2:$R$25,MATCH("2024::jama.2024.4183::C011",'C_jama.2024.4183'!$A$2:$A$25,0)))</x:f>
      </x:c>
      <x:c r="AA63" s="3" t="str">
        <x:f>IF(INDEX('C_jama.2024.4183'!$N$2:$N$25,MATCH("2024::jama.2024.4183::C011",'C_jama.2024.4183'!$A$2:$A$25,0))="","",INDEX('C_jama.2024.4183'!$N$2:$N$25,MATCH("2024::jama.2024.4183::C011",'C_jama.2024.4183'!$A$2:$A$25,0)))</x:f>
      </x:c>
      <x:c r="AB63" s="3" t="str">
        <x:f>IF(INDEX('C_jama.2024.4183'!$O$2:$O$25,MATCH("2024::jama.2024.4183::C011",'C_jama.2024.4183'!$A$2:$A$25,0))="","",INDEX('C_jama.2024.4183'!$O$2:$O$25,MATCH("2024::jama.2024.4183::C011",'C_jama.2024.4183'!$A$2:$A$25,0)))</x:f>
      </x:c>
      <x:c r="AC63" s="3" t="str">
        <x:f>IF(INDEX('C_jama.2024.4183'!$P$2:$P$25,MATCH("2024::jama.2024.4183::C011",'C_jama.2024.4183'!$A$2:$A$25,0))="","",INDEX('C_jama.2024.4183'!$P$2:$P$25,MATCH("2024::jama.2024.4183::C011",'C_jama.2024.4183'!$A$2:$A$25,0)))</x:f>
      </x:c>
      <x:c r="AD63" s="3" t="str">
        <x:f>IF(INDEX('C_jama.2024.4183'!$Q$2:$Q$25,MATCH("2024::jama.2024.4183::C011",'C_jama.2024.4183'!$A$2:$A$25,0))="","",INDEX('C_jama.2024.4183'!$Q$2:$Q$25,MATCH("2024::jama.2024.4183::C011",'C_jama.2024.4183'!$A$2:$A$25,0)))</x:f>
      </x:c>
    </x:row>
    <x:row r="64" ht="65" customHeight="1">
      <x:c r="A64" s="6" t="n">
        <x:v>2024</x:v>
      </x:c>
      <x:c r="B64" s="6" t="str">
        <x:v>jama.2024.4183</x:v>
      </x:c>
      <x:c r="C64" s="6" t="str">
        <x:v>2024::jama.2024.4183::C012</x:v>
      </x:c>
      <x:c r="D64" s="6" t="str">
        <x:v>P_P</x:v>
      </x:c>
      <x:c r="E64" s="6" t="n">
        <x:f>Setup!$B$2</x:f>
        <x:v>0</x:v>
      </x:c>
      <x:c r="F64" s="6" t="str">
        <x:f>IF(Setup!$B$4="","",Setup!$B$4)</x:f>
      </x:c>
      <x:c r="G64" s="6" t="str">
        <x:f>IFERROR(INDEX('C_jama.2024.4183'!$G$2:$G$25,MATCH("2024::jama.2024.4183::C012",'C_jama.2024.4183'!$A$2:$A$25,0)),"CHECK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plan_material</x:v>
      </x:c>
      <x:c r="K64" s="6" t="str">
        <x:f>IF(Setup!$B$6="primary","",IFERROR(IF(INDEX('Primary_snapshot'!$B$2:$B$92,MATCH(C64,'Primary_snapshot'!$A$2:$A$92,0))="","",INDEX('Primary_snapshot'!$B$2:$B$92,MATCH(C64,'Primary_snapshot'!$A$2:$A$92,0))),"SNAPSHOT MISSING"))</x:f>
      </x:c>
      <x:c r="L64" s="6" t="str">
        <x:f>IF(Setup!$B$6="primary","",IFERROR(IF(INDEX('Primary_snapshot'!$C$2:$C$92,MATCH(C64,'Primary_snapshot'!$A$2:$A$92,0))="","",INDEX('Primary_snapshot'!$C$2:$C$92,MATCH(C64,'Primary_snapshot'!$A$2:$A$92,0))),"SNAPSHOT MISSING"))</x:f>
      </x:c>
      <x:c r="M64" s="6" t="str">
        <x:f>IF(Setup!$B$6="primary","",IFERROR(IF(INDEX('Primary_snapshot'!$D$2:$D$92,MATCH(C64,'Primary_snapshot'!$A$2:$A$92,0))="","",INDEX('Primary_snapshot'!$D$2:$D$92,MATCH(C64,'Primary_snapshot'!$A$2:$A$92,0))),"SNAPSHOT MISSING"))</x:f>
      </x:c>
      <x:c r="N64" s="6" t="str">
        <x:f>IF(Setup!$B$6="primary","",IFERROR(IF(INDEX('Primary_snapshot'!$E$2:$E$92,MATCH(C64,'Primary_snapshot'!$A$2:$A$92,0))="","",INDEX('Primary_snapshot'!$E$2:$E$92,MATCH(C64,'Primary_snapshot'!$A$2:$A$92,0))),"SNAPSHOT MISSING"))</x:f>
      </x:c>
      <x:c r="O64" s="6" t="str">
        <x:f>IF(Setup!$B$6="primary","",IFERROR(IF(INDEX('Primary_snapshot'!$F$2:$F$92,MATCH(C64,'Primary_snapshot'!$A$2:$A$92,0))="","",INDEX('Primary_snapshot'!$F$2:$F$92,MATCH(C64,'Primary_snapshot'!$A$2:$A$92,0))),"SNAPSHOT MISSING"))</x:f>
      </x:c>
      <x:c r="P64" s="6" t="str">
        <x:f>IF(Setup!$B$6="primary","",IFERROR(IF(INDEX('Primary_snapshot'!$G$2:$G$92,MATCH(C64,'Primary_snapshot'!$A$2:$A$92,0))="","",INDEX('Primary_snapshot'!$G$2:$G$92,MATCH(C64,'Primary_snapshot'!$A$2:$A$92,0))),"SNAPSHOT MISSING"))</x:f>
      </x:c>
      <x:c r="Q64" s="6" t="str">
        <x:f>IF(Setup!$B$6="primary","",IFERROR(IF(INDEX('Primary_snapshot'!$H$2:$H$92,MATCH(C64,'Primary_snapshot'!$A$2:$A$92,0))="","",INDEX('Primary_snapshot'!$H$2:$H$92,MATCH(C64,'Primary_snapshot'!$A$2:$A$92,0))),"SNAPSHOT MISSING"))</x:f>
      </x:c>
      <x:c r="R64" s="6" t="str">
        <x:f>IF(Setup!$B$6="primary","",IFERROR(IF(INDEX('Primary_snapshot'!$I$2:$I$92,MATCH(C64,'Primary_snapshot'!$A$2:$A$92,0))="","",INDEX('Primary_snapshot'!$I$2:$I$92,MATCH(C64,'Primary_snapshot'!$A$2:$A$92,0))),"SNAPSHOT MISSING"))</x:f>
      </x:c>
      <x:c r="S64" s="6" t="str">
        <x:f>IF(INDEX('C_jama.2024.4183'!$D$2:$D$25,MATCH("2024::jama.2024.4183::C012",'C_jama.2024.4183'!$A$2:$A$25,0))="","",INDEX('C_jama.2024.4183'!$D$2:$D$25,MATCH("2024::jama.2024.4183::C012",'C_jama.2024.4183'!$A$2:$A$25,0)))</x:f>
      </x:c>
      <x:c r="T64" s="6" t="str">
        <x:f>IF(INDEX('C_jama.2024.4183'!$E$2:$E$25,MATCH("2024::jama.2024.4183::C012",'C_jama.2024.4183'!$A$2:$A$25,0))="","",INDEX('C_jama.2024.4183'!$E$2:$E$25,MATCH("2024::jama.2024.4183::C012",'C_jama.2024.4183'!$A$2:$A$25,0)))</x:f>
        <x:v>plan_material</x:v>
      </x:c>
      <x:c r="U64" s="6" t="str">
        <x:f>IF(AND(INDEX('C_jama.2024.4183'!$D$2:$D$25,MATCH("2024::jama.2024.4183::C012",'C_jama.2024.4183'!$A$2:$A$25,0))="retain",INDEX('C_jama.2024.4183'!$E$2:$E$25,MATCH("2024::jama.2024.4183::C012",'C_jama.2024.4183'!$A$2:$A$25,0))="statistical_results"),IF(INDEX('C_jama.2024.4183'!$H$2:$H$25,MATCH("2024::jama.2024.4183::C012",'C_jama.2024.4183'!$A$2:$A$25,0))="","",INDEX('C_jama.2024.4183'!$H$2:$H$25,MATCH("2024::jama.2024.4183::C012",'C_jama.2024.4183'!$A$2:$A$25,0))),"not_applicable")</x:f>
        <x:v>not_applicable</x:v>
      </x:c>
      <x:c r="V64" s="6" t="str">
        <x:f>IF(AND(INDEX('C_jama.2024.4183'!$D$2:$D$25,MATCH("2024::jama.2024.4183::C012",'C_jama.2024.4183'!$A$2:$A$25,0))="retain",INDEX('C_jama.2024.4183'!$E$2:$E$25,MATCH("2024::jama.2024.4183::C012",'C_jama.2024.4183'!$A$2:$A$25,0))="statistical_results"),IF(INDEX('C_jama.2024.4183'!$I$2:$I$25,MATCH("2024::jama.2024.4183::C012",'C_jama.2024.4183'!$A$2:$A$25,0))="","",INDEX('C_jama.2024.4183'!$I$2:$I$25,MATCH("2024::jama.2024.4183::C012",'C_jama.2024.4183'!$A$2:$A$25,0))),"not_applicable")</x:f>
        <x:v>not_applicable</x:v>
      </x:c>
      <x:c r="W64" s="6" t="str">
        <x:f>IF(AND(INDEX('C_jama.2024.4183'!$D$2:$D$25,MATCH("2024::jama.2024.4183::C012",'C_jama.2024.4183'!$A$2:$A$25,0))="retain",INDEX('C_jama.2024.4183'!$E$2:$E$25,MATCH("2024::jama.2024.4183::C012",'C_jama.2024.4183'!$A$2:$A$25,0))="statistical_results"),IF(INDEX('C_jama.2024.4183'!$J$2:$J$25,MATCH("2024::jama.2024.4183::C012",'C_jama.2024.4183'!$A$2:$A$25,0))="","",INDEX('C_jama.2024.4183'!$J$2:$J$25,MATCH("2024::jama.2024.4183::C012",'C_jama.2024.4183'!$A$2:$A$25,0))),"not_applicable")</x:f>
        <x:v>not_applicable</x:v>
      </x:c>
      <x:c r="X64" s="6" t="str">
        <x:f>IF(AND(INDEX('C_jama.2024.4183'!$D$2:$D$25,MATCH("2024::jama.2024.4183::C012",'C_jama.2024.4183'!$A$2:$A$25,0))="retain",OR(INDEX('C_jama.2024.4183'!$E$2:$E$25,MATCH("2024::jama.2024.4183::C012",'C_jama.2024.4183'!$A$2:$A$25,0))="report_internal_inconsistency",INDEX('C_jama.2024.4183'!$E$2:$E$25,MATCH("2024::jama.2024.4183::C012",'C_jama.2024.4183'!$A$2:$A$25,0))="plan_material")),IF(INDEX('C_jama.2024.4183'!$K$2:$K$25,MATCH("2024::jama.2024.4183::C012",'C_jama.2024.4183'!$A$2:$A$25,0))="","",INDEX('C_jama.2024.4183'!$K$2:$K$25,MATCH("2024::jama.2024.4183::C012",'C_jama.2024.4183'!$A$2:$A$25,0))),"not_applicable")</x:f>
        <x:v>not_applicable</x:v>
      </x:c>
      <x:c r="Y64" s="6" t="str">
        <x:f>IF(AND(INDEX('C_jama.2024.4183'!$D$2:$D$25,MATCH("2024::jama.2024.4183::C012",'C_jama.2024.4183'!$A$2:$A$25,0))="retain",INDEX('C_jama.2024.4183'!$E$2:$E$25,MATCH("2024::jama.2024.4183::C012",'C_jama.2024.4183'!$A$2:$A$25,0))="protocol_report"),IF(INDEX('C_jama.2024.4183'!$L$2:$L$25,MATCH("2024::jama.2024.4183::C012",'C_jama.2024.4183'!$A$2:$A$25,0))="","",INDEX('C_jama.2024.4183'!$L$2:$L$25,MATCH("2024::jama.2024.4183::C012",'C_jama.2024.4183'!$A$2:$A$25,0))),"not_applicable")</x:f>
        <x:v>not_applicable</x:v>
      </x:c>
      <x:c r="Z64" s="6" t="str">
        <x:f>IF(INDEX('C_jama.2024.4183'!$R$2:$R$25,MATCH("2024::jama.2024.4183::C012",'C_jama.2024.4183'!$A$2:$A$25,0))="","",INDEX('C_jama.2024.4183'!$R$2:$R$25,MATCH("2024::jama.2024.4183::C012",'C_jama.2024.4183'!$A$2:$A$25,0)))</x:f>
      </x:c>
      <x:c r="AA64" s="6" t="str">
        <x:f>IF(INDEX('C_jama.2024.4183'!$N$2:$N$25,MATCH("2024::jama.2024.4183::C012",'C_jama.2024.4183'!$A$2:$A$25,0))="","",INDEX('C_jama.2024.4183'!$N$2:$N$25,MATCH("2024::jama.2024.4183::C012",'C_jama.2024.4183'!$A$2:$A$25,0)))</x:f>
      </x:c>
      <x:c r="AB64" s="6" t="str">
        <x:f>IF(INDEX('C_jama.2024.4183'!$O$2:$O$25,MATCH("2024::jama.2024.4183::C012",'C_jama.2024.4183'!$A$2:$A$25,0))="","",INDEX('C_jama.2024.4183'!$O$2:$O$25,MATCH("2024::jama.2024.4183::C012",'C_jama.2024.4183'!$A$2:$A$25,0)))</x:f>
      </x:c>
      <x:c r="AC64" s="6" t="str">
        <x:f>IF(INDEX('C_jama.2024.4183'!$P$2:$P$25,MATCH("2024::jama.2024.4183::C012",'C_jama.2024.4183'!$A$2:$A$25,0))="","",INDEX('C_jama.2024.4183'!$P$2:$P$25,MATCH("2024::jama.2024.4183::C012",'C_jama.2024.4183'!$A$2:$A$25,0)))</x:f>
      </x:c>
      <x:c r="AD64" s="6" t="str">
        <x:f>IF(INDEX('C_jama.2024.4183'!$Q$2:$Q$25,MATCH("2024::jama.2024.4183::C012",'C_jama.2024.4183'!$A$2:$A$25,0))="","",INDEX('C_jama.2024.4183'!$Q$2:$Q$25,MATCH("2024::jama.2024.4183::C012",'C_jama.2024.4183'!$A$2:$A$25,0)))</x:f>
      </x:c>
    </x:row>
    <x:row r="65" ht="65" customHeight="1">
      <x:c r="A65" s="3" t="n">
        <x:v>2024</x:v>
      </x:c>
      <x:c r="B65" s="3" t="str">
        <x:v>jama.2024.4183</x:v>
      </x:c>
      <x:c r="C65" s="3" t="str">
        <x:v>2024::jama.2024.4183::C013</x:v>
      </x:c>
      <x:c r="D65" s="3" t="str">
        <x:v>S_W</x:v>
      </x:c>
      <x:c r="E65" s="3" t="n">
        <x:f>Setup!$B$2</x:f>
        <x:v>0</x:v>
      </x:c>
      <x:c r="F65" s="3" t="str">
        <x:f>IF(Setup!$B$4="","",Setup!$B$4)</x:f>
      </x:c>
      <x:c r="G65" s="3" t="str">
        <x:f>IFERROR(INDEX('C_jama.2024.4183'!$G$2:$G$25,MATCH("2024::jama.2024.4183::C013",'C_jama.2024.4183'!$A$2:$A$25,0)),"CHECK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report_internal_inconsistency</x:v>
      </x:c>
      <x:c r="K65" s="3" t="str">
        <x:f>IF(Setup!$B$6="primary","",IFERROR(IF(INDEX('Primary_snapshot'!$B$2:$B$92,MATCH(C65,'Primary_snapshot'!$A$2:$A$92,0))="","",INDEX('Primary_snapshot'!$B$2:$B$92,MATCH(C65,'Primary_snapshot'!$A$2:$A$92,0))),"SNAPSHOT MISSING"))</x:f>
      </x:c>
      <x:c r="L65" s="3" t="str">
        <x:f>IF(Setup!$B$6="primary","",IFERROR(IF(INDEX('Primary_snapshot'!$C$2:$C$92,MATCH(C65,'Primary_snapshot'!$A$2:$A$92,0))="","",INDEX('Primary_snapshot'!$C$2:$C$92,MATCH(C65,'Primary_snapshot'!$A$2:$A$92,0))),"SNAPSHOT MISSING"))</x:f>
      </x:c>
      <x:c r="M65" s="3" t="str">
        <x:f>IF(Setup!$B$6="primary","",IFERROR(IF(INDEX('Primary_snapshot'!$D$2:$D$92,MATCH(C65,'Primary_snapshot'!$A$2:$A$92,0))="","",INDEX('Primary_snapshot'!$D$2:$D$92,MATCH(C65,'Primary_snapshot'!$A$2:$A$92,0))),"SNAPSHOT MISSING"))</x:f>
      </x:c>
      <x:c r="N65" s="3" t="str">
        <x:f>IF(Setup!$B$6="primary","",IFERROR(IF(INDEX('Primary_snapshot'!$E$2:$E$92,MATCH(C65,'Primary_snapshot'!$A$2:$A$92,0))="","",INDEX('Primary_snapshot'!$E$2:$E$92,MATCH(C65,'Primary_snapshot'!$A$2:$A$92,0))),"SNAPSHOT MISSING"))</x:f>
      </x:c>
      <x:c r="O65" s="3" t="str">
        <x:f>IF(Setup!$B$6="primary","",IFERROR(IF(INDEX('Primary_snapshot'!$F$2:$F$92,MATCH(C65,'Primary_snapshot'!$A$2:$A$92,0))="","",INDEX('Primary_snapshot'!$F$2:$F$92,MATCH(C65,'Primary_snapshot'!$A$2:$A$92,0))),"SNAPSHOT MISSING"))</x:f>
      </x:c>
      <x:c r="P65" s="3" t="str">
        <x:f>IF(Setup!$B$6="primary","",IFERROR(IF(INDEX('Primary_snapshot'!$G$2:$G$92,MATCH(C65,'Primary_snapshot'!$A$2:$A$92,0))="","",INDEX('Primary_snapshot'!$G$2:$G$92,MATCH(C65,'Primary_snapshot'!$A$2:$A$92,0))),"SNAPSHOT MISSING"))</x:f>
      </x:c>
      <x:c r="Q65" s="3" t="str">
        <x:f>IF(Setup!$B$6="primary","",IFERROR(IF(INDEX('Primary_snapshot'!$H$2:$H$92,MATCH(C65,'Primary_snapshot'!$A$2:$A$92,0))="","",INDEX('Primary_snapshot'!$H$2:$H$92,MATCH(C65,'Primary_snapshot'!$A$2:$A$92,0))),"SNAPSHOT MISSING"))</x:f>
      </x:c>
      <x:c r="R65" s="3" t="str">
        <x:f>IF(Setup!$B$6="primary","",IFERROR(IF(INDEX('Primary_snapshot'!$I$2:$I$92,MATCH(C65,'Primary_snapshot'!$A$2:$A$92,0))="","",INDEX('Primary_snapshot'!$I$2:$I$92,MATCH(C65,'Primary_snapshot'!$A$2:$A$92,0))),"SNAPSHOT MISSING"))</x:f>
      </x:c>
      <x:c r="S65" s="3" t="str">
        <x:f>IF(INDEX('C_jama.2024.4183'!$D$2:$D$25,MATCH("2024::jama.2024.4183::C013",'C_jama.2024.4183'!$A$2:$A$25,0))="","",INDEX('C_jama.2024.4183'!$D$2:$D$25,MATCH("2024::jama.2024.4183::C013",'C_jama.2024.4183'!$A$2:$A$25,0)))</x:f>
      </x:c>
      <x:c r="T65" s="3" t="str">
        <x:f>IF(INDEX('C_jama.2024.4183'!$E$2:$E$25,MATCH("2024::jama.2024.4183::C013",'C_jama.2024.4183'!$A$2:$A$25,0))="","",INDEX('C_jama.2024.4183'!$E$2:$E$25,MATCH("2024::jama.2024.4183::C013",'C_jama.2024.4183'!$A$2:$A$25,0)))</x:f>
        <x:v>report_internal_inconsistency</x:v>
      </x:c>
      <x:c r="U65" s="3" t="str">
        <x:f>IF(AND(INDEX('C_jama.2024.4183'!$D$2:$D$25,MATCH("2024::jama.2024.4183::C013",'C_jama.2024.4183'!$A$2:$A$25,0))="retain",INDEX('C_jama.2024.4183'!$E$2:$E$25,MATCH("2024::jama.2024.4183::C013",'C_jama.2024.4183'!$A$2:$A$25,0))="statistical_results"),IF(INDEX('C_jama.2024.4183'!$H$2:$H$25,MATCH("2024::jama.2024.4183::C013",'C_jama.2024.4183'!$A$2:$A$25,0))="","",INDEX('C_jama.2024.4183'!$H$2:$H$25,MATCH("2024::jama.2024.4183::C013",'C_jama.2024.4183'!$A$2:$A$25,0))),"not_applicable")</x:f>
        <x:v>not_applicable</x:v>
      </x:c>
      <x:c r="V65" s="3" t="str">
        <x:f>IF(AND(INDEX('C_jama.2024.4183'!$D$2:$D$25,MATCH("2024::jama.2024.4183::C013",'C_jama.2024.4183'!$A$2:$A$25,0))="retain",INDEX('C_jama.2024.4183'!$E$2:$E$25,MATCH("2024::jama.2024.4183::C013",'C_jama.2024.4183'!$A$2:$A$25,0))="statistical_results"),IF(INDEX('C_jama.2024.4183'!$I$2:$I$25,MATCH("2024::jama.2024.4183::C013",'C_jama.2024.4183'!$A$2:$A$25,0))="","",INDEX('C_jama.2024.4183'!$I$2:$I$25,MATCH("2024::jama.2024.4183::C013",'C_jama.2024.4183'!$A$2:$A$25,0))),"not_applicable")</x:f>
        <x:v>not_applicable</x:v>
      </x:c>
      <x:c r="W65" s="3" t="str">
        <x:f>IF(AND(INDEX('C_jama.2024.4183'!$D$2:$D$25,MATCH("2024::jama.2024.4183::C013",'C_jama.2024.4183'!$A$2:$A$25,0))="retain",INDEX('C_jama.2024.4183'!$E$2:$E$25,MATCH("2024::jama.2024.4183::C013",'C_jama.2024.4183'!$A$2:$A$25,0))="statistical_results"),IF(INDEX('C_jama.2024.4183'!$J$2:$J$25,MATCH("2024::jama.2024.4183::C013",'C_jama.2024.4183'!$A$2:$A$25,0))="","",INDEX('C_jama.2024.4183'!$J$2:$J$25,MATCH("2024::jama.2024.4183::C013",'C_jama.2024.4183'!$A$2:$A$25,0))),"not_applicable")</x:f>
        <x:v>not_applicable</x:v>
      </x:c>
      <x:c r="X65" s="3" t="str">
        <x:f>IF(AND(INDEX('C_jama.2024.4183'!$D$2:$D$25,MATCH("2024::jama.2024.4183::C013",'C_jama.2024.4183'!$A$2:$A$25,0))="retain",OR(INDEX('C_jama.2024.4183'!$E$2:$E$25,MATCH("2024::jama.2024.4183::C013",'C_jama.2024.4183'!$A$2:$A$25,0))="report_internal_inconsistency",INDEX('C_jama.2024.4183'!$E$2:$E$25,MATCH("2024::jama.2024.4183::C013",'C_jama.2024.4183'!$A$2:$A$25,0))="plan_material")),IF(INDEX('C_jama.2024.4183'!$K$2:$K$25,MATCH("2024::jama.2024.4183::C013",'C_jama.2024.4183'!$A$2:$A$25,0))="","",INDEX('C_jama.2024.4183'!$K$2:$K$25,MATCH("2024::jama.2024.4183::C013",'C_jama.2024.4183'!$A$2:$A$25,0))),"not_applicable")</x:f>
        <x:v>not_applicable</x:v>
      </x:c>
      <x:c r="Y65" s="3" t="str">
        <x:f>IF(AND(INDEX('C_jama.2024.4183'!$D$2:$D$25,MATCH("2024::jama.2024.4183::C013",'C_jama.2024.4183'!$A$2:$A$25,0))="retain",INDEX('C_jama.2024.4183'!$E$2:$E$25,MATCH("2024::jama.2024.4183::C013",'C_jama.2024.4183'!$A$2:$A$25,0))="protocol_report"),IF(INDEX('C_jama.2024.4183'!$L$2:$L$25,MATCH("2024::jama.2024.4183::C013",'C_jama.2024.4183'!$A$2:$A$25,0))="","",INDEX('C_jama.2024.4183'!$L$2:$L$25,MATCH("2024::jama.2024.4183::C013",'C_jama.2024.4183'!$A$2:$A$25,0))),"not_applicable")</x:f>
        <x:v>not_applicable</x:v>
      </x:c>
      <x:c r="Z65" s="3" t="str">
        <x:f>IF(INDEX('C_jama.2024.4183'!$R$2:$R$25,MATCH("2024::jama.2024.4183::C013",'C_jama.2024.4183'!$A$2:$A$25,0))="","",INDEX('C_jama.2024.4183'!$R$2:$R$25,MATCH("2024::jama.2024.4183::C013",'C_jama.2024.4183'!$A$2:$A$25,0)))</x:f>
      </x:c>
      <x:c r="AA65" s="3" t="str">
        <x:f>IF(INDEX('C_jama.2024.4183'!$N$2:$N$25,MATCH("2024::jama.2024.4183::C013",'C_jama.2024.4183'!$A$2:$A$25,0))="","",INDEX('C_jama.2024.4183'!$N$2:$N$25,MATCH("2024::jama.2024.4183::C013",'C_jama.2024.4183'!$A$2:$A$25,0)))</x:f>
      </x:c>
      <x:c r="AB65" s="3" t="str">
        <x:f>IF(INDEX('C_jama.2024.4183'!$O$2:$O$25,MATCH("2024::jama.2024.4183::C013",'C_jama.2024.4183'!$A$2:$A$25,0))="","",INDEX('C_jama.2024.4183'!$O$2:$O$25,MATCH("2024::jama.2024.4183::C013",'C_jama.2024.4183'!$A$2:$A$25,0)))</x:f>
      </x:c>
      <x:c r="AC65" s="3" t="str">
        <x:f>IF(INDEX('C_jama.2024.4183'!$P$2:$P$25,MATCH("2024::jama.2024.4183::C013",'C_jama.2024.4183'!$A$2:$A$25,0))="","",INDEX('C_jama.2024.4183'!$P$2:$P$25,MATCH("2024::jama.2024.4183::C013",'C_jama.2024.4183'!$A$2:$A$25,0)))</x:f>
      </x:c>
      <x:c r="AD65" s="3" t="str">
        <x:f>IF(INDEX('C_jama.2024.4183'!$Q$2:$Q$25,MATCH("2024::jama.2024.4183::C013",'C_jama.2024.4183'!$A$2:$A$25,0))="","",INDEX('C_jama.2024.4183'!$Q$2:$Q$25,MATCH("2024::jama.2024.4183::C013",'C_jama.2024.4183'!$A$2:$A$25,0)))</x:f>
      </x:c>
    </x:row>
    <x:row r="66" ht="65" customHeight="1">
      <x:c r="A66" s="6" t="n">
        <x:v>2024</x:v>
      </x:c>
      <x:c r="B66" s="6" t="str">
        <x:v>jama.2024.4183</x:v>
      </x:c>
      <x:c r="C66" s="6" t="str">
        <x:v>2024::jama.2024.4183::C014</x:v>
      </x:c>
      <x:c r="D66" s="6" t="str">
        <x:v>S_W</x:v>
      </x:c>
      <x:c r="E66" s="6" t="n">
        <x:f>Setup!$B$2</x:f>
        <x:v>0</x:v>
      </x:c>
      <x:c r="F66" s="6" t="str">
        <x:f>IF(Setup!$B$4="","",Setup!$B$4)</x:f>
      </x:c>
      <x:c r="G66" s="6" t="str">
        <x:f>IFERROR(INDEX('C_jama.2024.4183'!$G$2:$G$25,MATCH("2024::jama.2024.4183::C014",'C_jama.2024.4183'!$A$2:$A$25,0)),"CHECK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IF(Setup!$B$6="primary","",IFERROR(IF(INDEX('Primary_snapshot'!$B$2:$B$92,MATCH(C66,'Primary_snapshot'!$A$2:$A$92,0))="","",INDEX('Primary_snapshot'!$B$2:$B$92,MATCH(C66,'Primary_snapshot'!$A$2:$A$92,0))),"SNAPSHOT MISSING"))</x:f>
      </x:c>
      <x:c r="L66" s="6" t="str">
        <x:f>IF(Setup!$B$6="primary","",IFERROR(IF(INDEX('Primary_snapshot'!$C$2:$C$92,MATCH(C66,'Primary_snapshot'!$A$2:$A$92,0))="","",INDEX('Primary_snapshot'!$C$2:$C$92,MATCH(C66,'Primary_snapshot'!$A$2:$A$92,0))),"SNAPSHOT MISSING"))</x:f>
      </x:c>
      <x:c r="M66" s="6" t="str">
        <x:f>IF(Setup!$B$6="primary","",IFERROR(IF(INDEX('Primary_snapshot'!$D$2:$D$92,MATCH(C66,'Primary_snapshot'!$A$2:$A$92,0))="","",INDEX('Primary_snapshot'!$D$2:$D$92,MATCH(C66,'Primary_snapshot'!$A$2:$A$92,0))),"SNAPSHOT MISSING"))</x:f>
      </x:c>
      <x:c r="N66" s="6" t="str">
        <x:f>IF(Setup!$B$6="primary","",IFERROR(IF(INDEX('Primary_snapshot'!$E$2:$E$92,MATCH(C66,'Primary_snapshot'!$A$2:$A$92,0))="","",INDEX('Primary_snapshot'!$E$2:$E$92,MATCH(C66,'Primary_snapshot'!$A$2:$A$92,0))),"SNAPSHOT MISSING"))</x:f>
      </x:c>
      <x:c r="O66" s="6" t="str">
        <x:f>IF(Setup!$B$6="primary","",IFERROR(IF(INDEX('Primary_snapshot'!$F$2:$F$92,MATCH(C66,'Primary_snapshot'!$A$2:$A$92,0))="","",INDEX('Primary_snapshot'!$F$2:$F$92,MATCH(C66,'Primary_snapshot'!$A$2:$A$92,0))),"SNAPSHOT MISSING"))</x:f>
      </x:c>
      <x:c r="P66" s="6" t="str">
        <x:f>IF(Setup!$B$6="primary","",IFERROR(IF(INDEX('Primary_snapshot'!$G$2:$G$92,MATCH(C66,'Primary_snapshot'!$A$2:$A$92,0))="","",INDEX('Primary_snapshot'!$G$2:$G$92,MATCH(C66,'Primary_snapshot'!$A$2:$A$92,0))),"SNAPSHOT MISSING"))</x:f>
      </x:c>
      <x:c r="Q66" s="6" t="str">
        <x:f>IF(Setup!$B$6="primary","",IFERROR(IF(INDEX('Primary_snapshot'!$H$2:$H$92,MATCH(C66,'Primary_snapshot'!$A$2:$A$92,0))="","",INDEX('Primary_snapshot'!$H$2:$H$92,MATCH(C66,'Primary_snapshot'!$A$2:$A$92,0))),"SNAPSHOT MISSING"))</x:f>
      </x:c>
      <x:c r="R66" s="6" t="str">
        <x:f>IF(Setup!$B$6="primary","",IFERROR(IF(INDEX('Primary_snapshot'!$I$2:$I$92,MATCH(C66,'Primary_snapshot'!$A$2:$A$92,0))="","",INDEX('Primary_snapshot'!$I$2:$I$92,MATCH(C66,'Primary_snapshot'!$A$2:$A$92,0))),"SNAPSHOT MISSING"))</x:f>
      </x:c>
      <x:c r="S66" s="6" t="str">
        <x:f>IF(INDEX('C_jama.2024.4183'!$D$2:$D$25,MATCH("2024::jama.2024.4183::C014",'C_jama.2024.4183'!$A$2:$A$25,0))="","",INDEX('C_jama.2024.4183'!$D$2:$D$25,MATCH("2024::jama.2024.4183::C014",'C_jama.2024.4183'!$A$2:$A$25,0)))</x:f>
      </x:c>
      <x:c r="T66" s="6" t="str">
        <x:f>IF(INDEX('C_jama.2024.4183'!$E$2:$E$25,MATCH("2024::jama.2024.4183::C014",'C_jama.2024.4183'!$A$2:$A$25,0))="","",INDEX('C_jama.2024.4183'!$E$2:$E$25,MATCH("2024::jama.2024.4183::C014",'C_jama.2024.4183'!$A$2:$A$25,0)))</x:f>
        <x:v>statistical_results</x:v>
      </x:c>
      <x:c r="U66" s="6" t="str">
        <x:f>IF(AND(INDEX('C_jama.2024.4183'!$D$2:$D$25,MATCH("2024::jama.2024.4183::C014",'C_jama.2024.4183'!$A$2:$A$25,0))="retain",INDEX('C_jama.2024.4183'!$E$2:$E$25,MATCH("2024::jama.2024.4183::C014",'C_jama.2024.4183'!$A$2:$A$25,0))="statistical_results"),IF(INDEX('C_jama.2024.4183'!$H$2:$H$25,MATCH("2024::jama.2024.4183::C014",'C_jama.2024.4183'!$A$2:$A$25,0))="","",INDEX('C_jama.2024.4183'!$H$2:$H$25,MATCH("2024::jama.2024.4183::C014",'C_jama.2024.4183'!$A$2:$A$25,0))),"not_applicable")</x:f>
        <x:v>not_applicable</x:v>
      </x:c>
      <x:c r="V66" s="6" t="str">
        <x:f>IF(AND(INDEX('C_jama.2024.4183'!$D$2:$D$25,MATCH("2024::jama.2024.4183::C014",'C_jama.2024.4183'!$A$2:$A$25,0))="retain",INDEX('C_jama.2024.4183'!$E$2:$E$25,MATCH("2024::jama.2024.4183::C014",'C_jama.2024.4183'!$A$2:$A$25,0))="statistical_results"),IF(INDEX('C_jama.2024.4183'!$I$2:$I$25,MATCH("2024::jama.2024.4183::C014",'C_jama.2024.4183'!$A$2:$A$25,0))="","",INDEX('C_jama.2024.4183'!$I$2:$I$25,MATCH("2024::jama.2024.4183::C014",'C_jama.2024.4183'!$A$2:$A$25,0))),"not_applicable")</x:f>
        <x:v>not_applicable</x:v>
      </x:c>
      <x:c r="W66" s="6" t="str">
        <x:f>IF(AND(INDEX('C_jama.2024.4183'!$D$2:$D$25,MATCH("2024::jama.2024.4183::C014",'C_jama.2024.4183'!$A$2:$A$25,0))="retain",INDEX('C_jama.2024.4183'!$E$2:$E$25,MATCH("2024::jama.2024.4183::C014",'C_jama.2024.4183'!$A$2:$A$25,0))="statistical_results"),IF(INDEX('C_jama.2024.4183'!$J$2:$J$25,MATCH("2024::jama.2024.4183::C014",'C_jama.2024.4183'!$A$2:$A$25,0))="","",INDEX('C_jama.2024.4183'!$J$2:$J$25,MATCH("2024::jama.2024.4183::C014",'C_jama.2024.4183'!$A$2:$A$25,0))),"not_applicable")</x:f>
        <x:v>not_applicable</x:v>
      </x:c>
      <x:c r="X66" s="6" t="str">
        <x:f>IF(AND(INDEX('C_jama.2024.4183'!$D$2:$D$25,MATCH("2024::jama.2024.4183::C014",'C_jama.2024.4183'!$A$2:$A$25,0))="retain",OR(INDEX('C_jama.2024.4183'!$E$2:$E$25,MATCH("2024::jama.2024.4183::C014",'C_jama.2024.4183'!$A$2:$A$25,0))="report_internal_inconsistency",INDEX('C_jama.2024.4183'!$E$2:$E$25,MATCH("2024::jama.2024.4183::C014",'C_jama.2024.4183'!$A$2:$A$25,0))="plan_material")),IF(INDEX('C_jama.2024.4183'!$K$2:$K$25,MATCH("2024::jama.2024.4183::C014",'C_jama.2024.4183'!$A$2:$A$25,0))="","",INDEX('C_jama.2024.4183'!$K$2:$K$25,MATCH("2024::jama.2024.4183::C014",'C_jama.2024.4183'!$A$2:$A$25,0))),"not_applicable")</x:f>
        <x:v>not_applicable</x:v>
      </x:c>
      <x:c r="Y66" s="6" t="str">
        <x:f>IF(AND(INDEX('C_jama.2024.4183'!$D$2:$D$25,MATCH("2024::jama.2024.4183::C014",'C_jama.2024.4183'!$A$2:$A$25,0))="retain",INDEX('C_jama.2024.4183'!$E$2:$E$25,MATCH("2024::jama.2024.4183::C014",'C_jama.2024.4183'!$A$2:$A$25,0))="protocol_report"),IF(INDEX('C_jama.2024.4183'!$L$2:$L$25,MATCH("2024::jama.2024.4183::C014",'C_jama.2024.4183'!$A$2:$A$25,0))="","",INDEX('C_jama.2024.4183'!$L$2:$L$25,MATCH("2024::jama.2024.4183::C014",'C_jama.2024.4183'!$A$2:$A$25,0))),"not_applicable")</x:f>
        <x:v>not_applicable</x:v>
      </x:c>
      <x:c r="Z66" s="6" t="str">
        <x:f>IF(INDEX('C_jama.2024.4183'!$R$2:$R$25,MATCH("2024::jama.2024.4183::C014",'C_jama.2024.4183'!$A$2:$A$25,0))="","",INDEX('C_jama.2024.4183'!$R$2:$R$25,MATCH("2024::jama.2024.4183::C014",'C_jama.2024.4183'!$A$2:$A$25,0)))</x:f>
      </x:c>
      <x:c r="AA66" s="6" t="str">
        <x:f>IF(INDEX('C_jama.2024.4183'!$N$2:$N$25,MATCH("2024::jama.2024.4183::C014",'C_jama.2024.4183'!$A$2:$A$25,0))="","",INDEX('C_jama.2024.4183'!$N$2:$N$25,MATCH("2024::jama.2024.4183::C014",'C_jama.2024.4183'!$A$2:$A$25,0)))</x:f>
      </x:c>
      <x:c r="AB66" s="6" t="str">
        <x:f>IF(INDEX('C_jama.2024.4183'!$O$2:$O$25,MATCH("2024::jama.2024.4183::C014",'C_jama.2024.4183'!$A$2:$A$25,0))="","",INDEX('C_jama.2024.4183'!$O$2:$O$25,MATCH("2024::jama.2024.4183::C014",'C_jama.2024.4183'!$A$2:$A$25,0)))</x:f>
      </x:c>
      <x:c r="AC66" s="6" t="str">
        <x:f>IF(INDEX('C_jama.2024.4183'!$P$2:$P$25,MATCH("2024::jama.2024.4183::C014",'C_jama.2024.4183'!$A$2:$A$25,0))="","",INDEX('C_jama.2024.4183'!$P$2:$P$25,MATCH("2024::jama.2024.4183::C014",'C_jama.2024.4183'!$A$2:$A$25,0)))</x:f>
      </x:c>
      <x:c r="AD66" s="6" t="str">
        <x:f>IF(INDEX('C_jama.2024.4183'!$Q$2:$Q$25,MATCH("2024::jama.2024.4183::C014",'C_jama.2024.4183'!$A$2:$A$25,0))="","",INDEX('C_jama.2024.4183'!$Q$2:$Q$25,MATCH("2024::jama.2024.4183::C014",'C_jama.2024.4183'!$A$2:$A$25,0)))</x:f>
      </x:c>
    </x:row>
    <x:row r="67" ht="65" customHeight="1">
      <x:c r="A67" s="3" t="n">
        <x:v>2024</x:v>
      </x:c>
      <x:c r="B67" s="3" t="str">
        <x:v>jama.2024.4183</x:v>
      </x:c>
      <x:c r="C67" s="3" t="str">
        <x:v>2024::jama.2024.4183::C015</x:v>
      </x:c>
      <x:c r="D67" s="3" t="str">
        <x:v>S_W</x:v>
      </x:c>
      <x:c r="E67" s="3" t="n">
        <x:f>Setup!$B$2</x:f>
        <x:v>0</x:v>
      </x:c>
      <x:c r="F67" s="3" t="str">
        <x:f>IF(Setup!$B$4="","",Setup!$B$4)</x:f>
      </x:c>
      <x:c r="G67" s="3" t="str">
        <x:f>IFERROR(INDEX('C_jama.2024.4183'!$G$2:$G$25,MATCH("2024::jama.2024.4183::C015",'C_jama.2024.4183'!$A$2:$A$25,0)),"CHECK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statistical_results</x:v>
      </x:c>
      <x:c r="K67" s="3" t="str">
        <x:f>IF(Setup!$B$6="primary","",IFERROR(IF(INDEX('Primary_snapshot'!$B$2:$B$92,MATCH(C67,'Primary_snapshot'!$A$2:$A$92,0))="","",INDEX('Primary_snapshot'!$B$2:$B$92,MATCH(C67,'Primary_snapshot'!$A$2:$A$92,0))),"SNAPSHOT MISSING"))</x:f>
      </x:c>
      <x:c r="L67" s="3" t="str">
        <x:f>IF(Setup!$B$6="primary","",IFERROR(IF(INDEX('Primary_snapshot'!$C$2:$C$92,MATCH(C67,'Primary_snapshot'!$A$2:$A$92,0))="","",INDEX('Primary_snapshot'!$C$2:$C$92,MATCH(C67,'Primary_snapshot'!$A$2:$A$92,0))),"SNAPSHOT MISSING"))</x:f>
      </x:c>
      <x:c r="M67" s="3" t="str">
        <x:f>IF(Setup!$B$6="primary","",IFERROR(IF(INDEX('Primary_snapshot'!$D$2:$D$92,MATCH(C67,'Primary_snapshot'!$A$2:$A$92,0))="","",INDEX('Primary_snapshot'!$D$2:$D$92,MATCH(C67,'Primary_snapshot'!$A$2:$A$92,0))),"SNAPSHOT MISSING"))</x:f>
      </x:c>
      <x:c r="N67" s="3" t="str">
        <x:f>IF(Setup!$B$6="primary","",IFERROR(IF(INDEX('Primary_snapshot'!$E$2:$E$92,MATCH(C67,'Primary_snapshot'!$A$2:$A$92,0))="","",INDEX('Primary_snapshot'!$E$2:$E$92,MATCH(C67,'Primary_snapshot'!$A$2:$A$92,0))),"SNAPSHOT MISSING"))</x:f>
      </x:c>
      <x:c r="O67" s="3" t="str">
        <x:f>IF(Setup!$B$6="primary","",IFERROR(IF(INDEX('Primary_snapshot'!$F$2:$F$92,MATCH(C67,'Primary_snapshot'!$A$2:$A$92,0))="","",INDEX('Primary_snapshot'!$F$2:$F$92,MATCH(C67,'Primary_snapshot'!$A$2:$A$92,0))),"SNAPSHOT MISSING"))</x:f>
      </x:c>
      <x:c r="P67" s="3" t="str">
        <x:f>IF(Setup!$B$6="primary","",IFERROR(IF(INDEX('Primary_snapshot'!$G$2:$G$92,MATCH(C67,'Primary_snapshot'!$A$2:$A$92,0))="","",INDEX('Primary_snapshot'!$G$2:$G$92,MATCH(C67,'Primary_snapshot'!$A$2:$A$92,0))),"SNAPSHOT MISSING"))</x:f>
      </x:c>
      <x:c r="Q67" s="3" t="str">
        <x:f>IF(Setup!$B$6="primary","",IFERROR(IF(INDEX('Primary_snapshot'!$H$2:$H$92,MATCH(C67,'Primary_snapshot'!$A$2:$A$92,0))="","",INDEX('Primary_snapshot'!$H$2:$H$92,MATCH(C67,'Primary_snapshot'!$A$2:$A$92,0))),"SNAPSHOT MISSING"))</x:f>
      </x:c>
      <x:c r="R67" s="3" t="str">
        <x:f>IF(Setup!$B$6="primary","",IFERROR(IF(INDEX('Primary_snapshot'!$I$2:$I$92,MATCH(C67,'Primary_snapshot'!$A$2:$A$92,0))="","",INDEX('Primary_snapshot'!$I$2:$I$92,MATCH(C67,'Primary_snapshot'!$A$2:$A$92,0))),"SNAPSHOT MISSING"))</x:f>
      </x:c>
      <x:c r="S67" s="3" t="str">
        <x:f>IF(INDEX('C_jama.2024.4183'!$D$2:$D$25,MATCH("2024::jama.2024.4183::C015",'C_jama.2024.4183'!$A$2:$A$25,0))="","",INDEX('C_jama.2024.4183'!$D$2:$D$25,MATCH("2024::jama.2024.4183::C015",'C_jama.2024.4183'!$A$2:$A$25,0)))</x:f>
      </x:c>
      <x:c r="T67" s="3" t="str">
        <x:f>IF(INDEX('C_jama.2024.4183'!$E$2:$E$25,MATCH("2024::jama.2024.4183::C015",'C_jama.2024.4183'!$A$2:$A$25,0))="","",INDEX('C_jama.2024.4183'!$E$2:$E$25,MATCH("2024::jama.2024.4183::C015",'C_jama.2024.4183'!$A$2:$A$25,0)))</x:f>
        <x:v>statistical_results</x:v>
      </x:c>
      <x:c r="U67" s="3" t="str">
        <x:f>IF(AND(INDEX('C_jama.2024.4183'!$D$2:$D$25,MATCH("2024::jama.2024.4183::C015",'C_jama.2024.4183'!$A$2:$A$25,0))="retain",INDEX('C_jama.2024.4183'!$E$2:$E$25,MATCH("2024::jama.2024.4183::C015",'C_jama.2024.4183'!$A$2:$A$25,0))="statistical_results"),IF(INDEX('C_jama.2024.4183'!$H$2:$H$25,MATCH("2024::jama.2024.4183::C015",'C_jama.2024.4183'!$A$2:$A$25,0))="","",INDEX('C_jama.2024.4183'!$H$2:$H$25,MATCH("2024::jama.2024.4183::C015",'C_jama.2024.4183'!$A$2:$A$25,0))),"not_applicable")</x:f>
        <x:v>not_applicable</x:v>
      </x:c>
      <x:c r="V67" s="3" t="str">
        <x:f>IF(AND(INDEX('C_jama.2024.4183'!$D$2:$D$25,MATCH("2024::jama.2024.4183::C015",'C_jama.2024.4183'!$A$2:$A$25,0))="retain",INDEX('C_jama.2024.4183'!$E$2:$E$25,MATCH("2024::jama.2024.4183::C015",'C_jama.2024.4183'!$A$2:$A$25,0))="statistical_results"),IF(INDEX('C_jama.2024.4183'!$I$2:$I$25,MATCH("2024::jama.2024.4183::C015",'C_jama.2024.4183'!$A$2:$A$25,0))="","",INDEX('C_jama.2024.4183'!$I$2:$I$25,MATCH("2024::jama.2024.4183::C015",'C_jama.2024.4183'!$A$2:$A$25,0))),"not_applicable")</x:f>
        <x:v>not_applicable</x:v>
      </x:c>
      <x:c r="W67" s="3" t="str">
        <x:f>IF(AND(INDEX('C_jama.2024.4183'!$D$2:$D$25,MATCH("2024::jama.2024.4183::C015",'C_jama.2024.4183'!$A$2:$A$25,0))="retain",INDEX('C_jama.2024.4183'!$E$2:$E$25,MATCH("2024::jama.2024.4183::C015",'C_jama.2024.4183'!$A$2:$A$25,0))="statistical_results"),IF(INDEX('C_jama.2024.4183'!$J$2:$J$25,MATCH("2024::jama.2024.4183::C015",'C_jama.2024.4183'!$A$2:$A$25,0))="","",INDEX('C_jama.2024.4183'!$J$2:$J$25,MATCH("2024::jama.2024.4183::C015",'C_jama.2024.4183'!$A$2:$A$25,0))),"not_applicable")</x:f>
        <x:v>not_applicable</x:v>
      </x:c>
      <x:c r="X67" s="3" t="str">
        <x:f>IF(AND(INDEX('C_jama.2024.4183'!$D$2:$D$25,MATCH("2024::jama.2024.4183::C015",'C_jama.2024.4183'!$A$2:$A$25,0))="retain",OR(INDEX('C_jama.2024.4183'!$E$2:$E$25,MATCH("2024::jama.2024.4183::C015",'C_jama.2024.4183'!$A$2:$A$25,0))="report_internal_inconsistency",INDEX('C_jama.2024.4183'!$E$2:$E$25,MATCH("2024::jama.2024.4183::C015",'C_jama.2024.4183'!$A$2:$A$25,0))="plan_material")),IF(INDEX('C_jama.2024.4183'!$K$2:$K$25,MATCH("2024::jama.2024.4183::C015",'C_jama.2024.4183'!$A$2:$A$25,0))="","",INDEX('C_jama.2024.4183'!$K$2:$K$25,MATCH("2024::jama.2024.4183::C015",'C_jama.2024.4183'!$A$2:$A$25,0))),"not_applicable")</x:f>
        <x:v>not_applicable</x:v>
      </x:c>
      <x:c r="Y67" s="3" t="str">
        <x:f>IF(AND(INDEX('C_jama.2024.4183'!$D$2:$D$25,MATCH("2024::jama.2024.4183::C015",'C_jama.2024.4183'!$A$2:$A$25,0))="retain",INDEX('C_jama.2024.4183'!$E$2:$E$25,MATCH("2024::jama.2024.4183::C015",'C_jama.2024.4183'!$A$2:$A$25,0))="protocol_report"),IF(INDEX('C_jama.2024.4183'!$L$2:$L$25,MATCH("2024::jama.2024.4183::C015",'C_jama.2024.4183'!$A$2:$A$25,0))="","",INDEX('C_jama.2024.4183'!$L$2:$L$25,MATCH("2024::jama.2024.4183::C015",'C_jama.2024.4183'!$A$2:$A$25,0))),"not_applicable")</x:f>
        <x:v>not_applicable</x:v>
      </x:c>
      <x:c r="Z67" s="3" t="str">
        <x:f>IF(INDEX('C_jama.2024.4183'!$R$2:$R$25,MATCH("2024::jama.2024.4183::C015",'C_jama.2024.4183'!$A$2:$A$25,0))="","",INDEX('C_jama.2024.4183'!$R$2:$R$25,MATCH("2024::jama.2024.4183::C015",'C_jama.2024.4183'!$A$2:$A$25,0)))</x:f>
      </x:c>
      <x:c r="AA67" s="3" t="str">
        <x:f>IF(INDEX('C_jama.2024.4183'!$N$2:$N$25,MATCH("2024::jama.2024.4183::C015",'C_jama.2024.4183'!$A$2:$A$25,0))="","",INDEX('C_jama.2024.4183'!$N$2:$N$25,MATCH("2024::jama.2024.4183::C015",'C_jama.2024.4183'!$A$2:$A$25,0)))</x:f>
      </x:c>
      <x:c r="AB67" s="3" t="str">
        <x:f>IF(INDEX('C_jama.2024.4183'!$O$2:$O$25,MATCH("2024::jama.2024.4183::C015",'C_jama.2024.4183'!$A$2:$A$25,0))="","",INDEX('C_jama.2024.4183'!$O$2:$O$25,MATCH("2024::jama.2024.4183::C015",'C_jama.2024.4183'!$A$2:$A$25,0)))</x:f>
      </x:c>
      <x:c r="AC67" s="3" t="str">
        <x:f>IF(INDEX('C_jama.2024.4183'!$P$2:$P$25,MATCH("2024::jama.2024.4183::C015",'C_jama.2024.4183'!$A$2:$A$25,0))="","",INDEX('C_jama.2024.4183'!$P$2:$P$25,MATCH("2024::jama.2024.4183::C015",'C_jama.2024.4183'!$A$2:$A$25,0)))</x:f>
      </x:c>
      <x:c r="AD67" s="3" t="str">
        <x:f>IF(INDEX('C_jama.2024.4183'!$Q$2:$Q$25,MATCH("2024::jama.2024.4183::C015",'C_jama.2024.4183'!$A$2:$A$25,0))="","",INDEX('C_jama.2024.4183'!$Q$2:$Q$25,MATCH("2024::jama.2024.4183::C015",'C_jama.2024.4183'!$A$2:$A$25,0)))</x:f>
      </x:c>
    </x:row>
    <x:row r="68" ht="65" customHeight="1">
      <x:c r="A68" s="6" t="n">
        <x:v>2024</x:v>
      </x:c>
      <x:c r="B68" s="6" t="str">
        <x:v>jama.2024.4183</x:v>
      </x:c>
      <x:c r="C68" s="6" t="str">
        <x:v>2024::jama.2024.4183::C016</x:v>
      </x:c>
      <x:c r="D68" s="6" t="str">
        <x:v>S_W</x:v>
      </x:c>
      <x:c r="E68" s="6" t="n">
        <x:f>Setup!$B$2</x:f>
        <x:v>0</x:v>
      </x:c>
      <x:c r="F68" s="6" t="str">
        <x:f>IF(Setup!$B$4="","",Setup!$B$4)</x:f>
      </x:c>
      <x:c r="G68" s="6" t="str">
        <x:f>IFERROR(INDEX('C_jama.2024.4183'!$G$2:$G$25,MATCH("2024::jama.2024.4183::C016",'C_jama.2024.4183'!$A$2:$A$25,0)),"CHECK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statistical_results</x:v>
      </x:c>
      <x:c r="K68" s="6" t="str">
        <x:f>IF(Setup!$B$6="primary","",IFERROR(IF(INDEX('Primary_snapshot'!$B$2:$B$92,MATCH(C68,'Primary_snapshot'!$A$2:$A$92,0))="","",INDEX('Primary_snapshot'!$B$2:$B$92,MATCH(C68,'Primary_snapshot'!$A$2:$A$92,0))),"SNAPSHOT MISSING"))</x:f>
      </x:c>
      <x:c r="L68" s="6" t="str">
        <x:f>IF(Setup!$B$6="primary","",IFERROR(IF(INDEX('Primary_snapshot'!$C$2:$C$92,MATCH(C68,'Primary_snapshot'!$A$2:$A$92,0))="","",INDEX('Primary_snapshot'!$C$2:$C$92,MATCH(C68,'Primary_snapshot'!$A$2:$A$92,0))),"SNAPSHOT MISSING"))</x:f>
      </x:c>
      <x:c r="M68" s="6" t="str">
        <x:f>IF(Setup!$B$6="primary","",IFERROR(IF(INDEX('Primary_snapshot'!$D$2:$D$92,MATCH(C68,'Primary_snapshot'!$A$2:$A$92,0))="","",INDEX('Primary_snapshot'!$D$2:$D$92,MATCH(C68,'Primary_snapshot'!$A$2:$A$92,0))),"SNAPSHOT MISSING"))</x:f>
      </x:c>
      <x:c r="N68" s="6" t="str">
        <x:f>IF(Setup!$B$6="primary","",IFERROR(IF(INDEX('Primary_snapshot'!$E$2:$E$92,MATCH(C68,'Primary_snapshot'!$A$2:$A$92,0))="","",INDEX('Primary_snapshot'!$E$2:$E$92,MATCH(C68,'Primary_snapshot'!$A$2:$A$92,0))),"SNAPSHOT MISSING"))</x:f>
      </x:c>
      <x:c r="O68" s="6" t="str">
        <x:f>IF(Setup!$B$6="primary","",IFERROR(IF(INDEX('Primary_snapshot'!$F$2:$F$92,MATCH(C68,'Primary_snapshot'!$A$2:$A$92,0))="","",INDEX('Primary_snapshot'!$F$2:$F$92,MATCH(C68,'Primary_snapshot'!$A$2:$A$92,0))),"SNAPSHOT MISSING"))</x:f>
      </x:c>
      <x:c r="P68" s="6" t="str">
        <x:f>IF(Setup!$B$6="primary","",IFERROR(IF(INDEX('Primary_snapshot'!$G$2:$G$92,MATCH(C68,'Primary_snapshot'!$A$2:$A$92,0))="","",INDEX('Primary_snapshot'!$G$2:$G$92,MATCH(C68,'Primary_snapshot'!$A$2:$A$92,0))),"SNAPSHOT MISSING"))</x:f>
      </x:c>
      <x:c r="Q68" s="6" t="str">
        <x:f>IF(Setup!$B$6="primary","",IFERROR(IF(INDEX('Primary_snapshot'!$H$2:$H$92,MATCH(C68,'Primary_snapshot'!$A$2:$A$92,0))="","",INDEX('Primary_snapshot'!$H$2:$H$92,MATCH(C68,'Primary_snapshot'!$A$2:$A$92,0))),"SNAPSHOT MISSING"))</x:f>
      </x:c>
      <x:c r="R68" s="6" t="str">
        <x:f>IF(Setup!$B$6="primary","",IFERROR(IF(INDEX('Primary_snapshot'!$I$2:$I$92,MATCH(C68,'Primary_snapshot'!$A$2:$A$92,0))="","",INDEX('Primary_snapshot'!$I$2:$I$92,MATCH(C68,'Primary_snapshot'!$A$2:$A$92,0))),"SNAPSHOT MISSING"))</x:f>
      </x:c>
      <x:c r="S68" s="6" t="str">
        <x:f>IF(INDEX('C_jama.2024.4183'!$D$2:$D$25,MATCH("2024::jama.2024.4183::C016",'C_jama.2024.4183'!$A$2:$A$25,0))="","",INDEX('C_jama.2024.4183'!$D$2:$D$25,MATCH("2024::jama.2024.4183::C016",'C_jama.2024.4183'!$A$2:$A$25,0)))</x:f>
      </x:c>
      <x:c r="T68" s="6" t="str">
        <x:f>IF(INDEX('C_jama.2024.4183'!$E$2:$E$25,MATCH("2024::jama.2024.4183::C016",'C_jama.2024.4183'!$A$2:$A$25,0))="","",INDEX('C_jama.2024.4183'!$E$2:$E$25,MATCH("2024::jama.2024.4183::C016",'C_jama.2024.4183'!$A$2:$A$25,0)))</x:f>
        <x:v>statistical_results</x:v>
      </x:c>
      <x:c r="U68" s="6" t="str">
        <x:f>IF(AND(INDEX('C_jama.2024.4183'!$D$2:$D$25,MATCH("2024::jama.2024.4183::C016",'C_jama.2024.4183'!$A$2:$A$25,0))="retain",INDEX('C_jama.2024.4183'!$E$2:$E$25,MATCH("2024::jama.2024.4183::C016",'C_jama.2024.4183'!$A$2:$A$25,0))="statistical_results"),IF(INDEX('C_jama.2024.4183'!$H$2:$H$25,MATCH("2024::jama.2024.4183::C016",'C_jama.2024.4183'!$A$2:$A$25,0))="","",INDEX('C_jama.2024.4183'!$H$2:$H$25,MATCH("2024::jama.2024.4183::C016",'C_jama.2024.4183'!$A$2:$A$25,0))),"not_applicable")</x:f>
        <x:v>not_applicable</x:v>
      </x:c>
      <x:c r="V68" s="6" t="str">
        <x:f>IF(AND(INDEX('C_jama.2024.4183'!$D$2:$D$25,MATCH("2024::jama.2024.4183::C016",'C_jama.2024.4183'!$A$2:$A$25,0))="retain",INDEX('C_jama.2024.4183'!$E$2:$E$25,MATCH("2024::jama.2024.4183::C016",'C_jama.2024.4183'!$A$2:$A$25,0))="statistical_results"),IF(INDEX('C_jama.2024.4183'!$I$2:$I$25,MATCH("2024::jama.2024.4183::C016",'C_jama.2024.4183'!$A$2:$A$25,0))="","",INDEX('C_jama.2024.4183'!$I$2:$I$25,MATCH("2024::jama.2024.4183::C016",'C_jama.2024.4183'!$A$2:$A$25,0))),"not_applicable")</x:f>
        <x:v>not_applicable</x:v>
      </x:c>
      <x:c r="W68" s="6" t="str">
        <x:f>IF(AND(INDEX('C_jama.2024.4183'!$D$2:$D$25,MATCH("2024::jama.2024.4183::C016",'C_jama.2024.4183'!$A$2:$A$25,0))="retain",INDEX('C_jama.2024.4183'!$E$2:$E$25,MATCH("2024::jama.2024.4183::C016",'C_jama.2024.4183'!$A$2:$A$25,0))="statistical_results"),IF(INDEX('C_jama.2024.4183'!$J$2:$J$25,MATCH("2024::jama.2024.4183::C016",'C_jama.2024.4183'!$A$2:$A$25,0))="","",INDEX('C_jama.2024.4183'!$J$2:$J$25,MATCH("2024::jama.2024.4183::C016",'C_jama.2024.4183'!$A$2:$A$25,0))),"not_applicable")</x:f>
        <x:v>not_applicable</x:v>
      </x:c>
      <x:c r="X68" s="6" t="str">
        <x:f>IF(AND(INDEX('C_jama.2024.4183'!$D$2:$D$25,MATCH("2024::jama.2024.4183::C016",'C_jama.2024.4183'!$A$2:$A$25,0))="retain",OR(INDEX('C_jama.2024.4183'!$E$2:$E$25,MATCH("2024::jama.2024.4183::C016",'C_jama.2024.4183'!$A$2:$A$25,0))="report_internal_inconsistency",INDEX('C_jama.2024.4183'!$E$2:$E$25,MATCH("2024::jama.2024.4183::C016",'C_jama.2024.4183'!$A$2:$A$25,0))="plan_material")),IF(INDEX('C_jama.2024.4183'!$K$2:$K$25,MATCH("2024::jama.2024.4183::C016",'C_jama.2024.4183'!$A$2:$A$25,0))="","",INDEX('C_jama.2024.4183'!$K$2:$K$25,MATCH("2024::jama.2024.4183::C016",'C_jama.2024.4183'!$A$2:$A$25,0))),"not_applicable")</x:f>
        <x:v>not_applicable</x:v>
      </x:c>
      <x:c r="Y68" s="6" t="str">
        <x:f>IF(AND(INDEX('C_jama.2024.4183'!$D$2:$D$25,MATCH("2024::jama.2024.4183::C016",'C_jama.2024.4183'!$A$2:$A$25,0))="retain",INDEX('C_jama.2024.4183'!$E$2:$E$25,MATCH("2024::jama.2024.4183::C016",'C_jama.2024.4183'!$A$2:$A$25,0))="protocol_report"),IF(INDEX('C_jama.2024.4183'!$L$2:$L$25,MATCH("2024::jama.2024.4183::C016",'C_jama.2024.4183'!$A$2:$A$25,0))="","",INDEX('C_jama.2024.4183'!$L$2:$L$25,MATCH("2024::jama.2024.4183::C016",'C_jama.2024.4183'!$A$2:$A$25,0))),"not_applicable")</x:f>
        <x:v>not_applicable</x:v>
      </x:c>
      <x:c r="Z68" s="6" t="str">
        <x:f>IF(INDEX('C_jama.2024.4183'!$R$2:$R$25,MATCH("2024::jama.2024.4183::C016",'C_jama.2024.4183'!$A$2:$A$25,0))="","",INDEX('C_jama.2024.4183'!$R$2:$R$25,MATCH("2024::jama.2024.4183::C016",'C_jama.2024.4183'!$A$2:$A$25,0)))</x:f>
      </x:c>
      <x:c r="AA68" s="6" t="str">
        <x:f>IF(INDEX('C_jama.2024.4183'!$N$2:$N$25,MATCH("2024::jama.2024.4183::C016",'C_jama.2024.4183'!$A$2:$A$25,0))="","",INDEX('C_jama.2024.4183'!$N$2:$N$25,MATCH("2024::jama.2024.4183::C016",'C_jama.2024.4183'!$A$2:$A$25,0)))</x:f>
      </x:c>
      <x:c r="AB68" s="6" t="str">
        <x:f>IF(INDEX('C_jama.2024.4183'!$O$2:$O$25,MATCH("2024::jama.2024.4183::C016",'C_jama.2024.4183'!$A$2:$A$25,0))="","",INDEX('C_jama.2024.4183'!$O$2:$O$25,MATCH("2024::jama.2024.4183::C016",'C_jama.2024.4183'!$A$2:$A$25,0)))</x:f>
      </x:c>
      <x:c r="AC68" s="6" t="str">
        <x:f>IF(INDEX('C_jama.2024.4183'!$P$2:$P$25,MATCH("2024::jama.2024.4183::C016",'C_jama.2024.4183'!$A$2:$A$25,0))="","",INDEX('C_jama.2024.4183'!$P$2:$P$25,MATCH("2024::jama.2024.4183::C016",'C_jama.2024.4183'!$A$2:$A$25,0)))</x:f>
      </x:c>
      <x:c r="AD68" s="6" t="str">
        <x:f>IF(INDEX('C_jama.2024.4183'!$Q$2:$Q$25,MATCH("2024::jama.2024.4183::C016",'C_jama.2024.4183'!$A$2:$A$25,0))="","",INDEX('C_jama.2024.4183'!$Q$2:$Q$25,MATCH("2024::jama.2024.4183::C016",'C_jama.2024.4183'!$A$2:$A$25,0)))</x:f>
      </x:c>
    </x:row>
    <x:row r="69" ht="65" customHeight="1">
      <x:c r="A69" s="3" t="n">
        <x:v>2024</x:v>
      </x:c>
      <x:c r="B69" s="3" t="str">
        <x:v>jama.2024.4183</x:v>
      </x:c>
      <x:c r="C69" s="3" t="str">
        <x:v>2024::jama.2024.4183::C017</x:v>
      </x:c>
      <x:c r="D69" s="3" t="str">
        <x:v>S_W</x:v>
      </x:c>
      <x:c r="E69" s="3" t="n">
        <x:f>Setup!$B$2</x:f>
        <x:v>0</x:v>
      </x:c>
      <x:c r="F69" s="3" t="str">
        <x:f>IF(Setup!$B$4="","",Setup!$B$4)</x:f>
      </x:c>
      <x:c r="G69" s="3" t="str">
        <x:f>IFERROR(INDEX('C_jama.2024.4183'!$G$2:$G$25,MATCH("2024::jama.2024.4183::C017",'C_jama.2024.4183'!$A$2:$A$25,0)),"CHECK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statistical_results</x:v>
      </x:c>
      <x:c r="K69" s="3" t="str">
        <x:f>IF(Setup!$B$6="primary","",IFERROR(IF(INDEX('Primary_snapshot'!$B$2:$B$92,MATCH(C69,'Primary_snapshot'!$A$2:$A$92,0))="","",INDEX('Primary_snapshot'!$B$2:$B$92,MATCH(C69,'Primary_snapshot'!$A$2:$A$92,0))),"SNAPSHOT MISSING"))</x:f>
      </x:c>
      <x:c r="L69" s="3" t="str">
        <x:f>IF(Setup!$B$6="primary","",IFERROR(IF(INDEX('Primary_snapshot'!$C$2:$C$92,MATCH(C69,'Primary_snapshot'!$A$2:$A$92,0))="","",INDEX('Primary_snapshot'!$C$2:$C$92,MATCH(C69,'Primary_snapshot'!$A$2:$A$92,0))),"SNAPSHOT MISSING"))</x:f>
      </x:c>
      <x:c r="M69" s="3" t="str">
        <x:f>IF(Setup!$B$6="primary","",IFERROR(IF(INDEX('Primary_snapshot'!$D$2:$D$92,MATCH(C69,'Primary_snapshot'!$A$2:$A$92,0))="","",INDEX('Primary_snapshot'!$D$2:$D$92,MATCH(C69,'Primary_snapshot'!$A$2:$A$92,0))),"SNAPSHOT MISSING"))</x:f>
      </x:c>
      <x:c r="N69" s="3" t="str">
        <x:f>IF(Setup!$B$6="primary","",IFERROR(IF(INDEX('Primary_snapshot'!$E$2:$E$92,MATCH(C69,'Primary_snapshot'!$A$2:$A$92,0))="","",INDEX('Primary_snapshot'!$E$2:$E$92,MATCH(C69,'Primary_snapshot'!$A$2:$A$92,0))),"SNAPSHOT MISSING"))</x:f>
      </x:c>
      <x:c r="O69" s="3" t="str">
        <x:f>IF(Setup!$B$6="primary","",IFERROR(IF(INDEX('Primary_snapshot'!$F$2:$F$92,MATCH(C69,'Primary_snapshot'!$A$2:$A$92,0))="","",INDEX('Primary_snapshot'!$F$2:$F$92,MATCH(C69,'Primary_snapshot'!$A$2:$A$92,0))),"SNAPSHOT MISSING"))</x:f>
      </x:c>
      <x:c r="P69" s="3" t="str">
        <x:f>IF(Setup!$B$6="primary","",IFERROR(IF(INDEX('Primary_snapshot'!$G$2:$G$92,MATCH(C69,'Primary_snapshot'!$A$2:$A$92,0))="","",INDEX('Primary_snapshot'!$G$2:$G$92,MATCH(C69,'Primary_snapshot'!$A$2:$A$92,0))),"SNAPSHOT MISSING"))</x:f>
      </x:c>
      <x:c r="Q69" s="3" t="str">
        <x:f>IF(Setup!$B$6="primary","",IFERROR(IF(INDEX('Primary_snapshot'!$H$2:$H$92,MATCH(C69,'Primary_snapshot'!$A$2:$A$92,0))="","",INDEX('Primary_snapshot'!$H$2:$H$92,MATCH(C69,'Primary_snapshot'!$A$2:$A$92,0))),"SNAPSHOT MISSING"))</x:f>
      </x:c>
      <x:c r="R69" s="3" t="str">
        <x:f>IF(Setup!$B$6="primary","",IFERROR(IF(INDEX('Primary_snapshot'!$I$2:$I$92,MATCH(C69,'Primary_snapshot'!$A$2:$A$92,0))="","",INDEX('Primary_snapshot'!$I$2:$I$92,MATCH(C69,'Primary_snapshot'!$A$2:$A$92,0))),"SNAPSHOT MISSING"))</x:f>
      </x:c>
      <x:c r="S69" s="3" t="str">
        <x:f>IF(INDEX('C_jama.2024.4183'!$D$2:$D$25,MATCH("2024::jama.2024.4183::C017",'C_jama.2024.4183'!$A$2:$A$25,0))="","",INDEX('C_jama.2024.4183'!$D$2:$D$25,MATCH("2024::jama.2024.4183::C017",'C_jama.2024.4183'!$A$2:$A$25,0)))</x:f>
      </x:c>
      <x:c r="T69" s="3" t="str">
        <x:f>IF(INDEX('C_jama.2024.4183'!$E$2:$E$25,MATCH("2024::jama.2024.4183::C017",'C_jama.2024.4183'!$A$2:$A$25,0))="","",INDEX('C_jama.2024.4183'!$E$2:$E$25,MATCH("2024::jama.2024.4183::C017",'C_jama.2024.4183'!$A$2:$A$25,0)))</x:f>
        <x:v>statistical_results</x:v>
      </x:c>
      <x:c r="U69" s="3" t="str">
        <x:f>IF(AND(INDEX('C_jama.2024.4183'!$D$2:$D$25,MATCH("2024::jama.2024.4183::C017",'C_jama.2024.4183'!$A$2:$A$25,0))="retain",INDEX('C_jama.2024.4183'!$E$2:$E$25,MATCH("2024::jama.2024.4183::C017",'C_jama.2024.4183'!$A$2:$A$25,0))="statistical_results"),IF(INDEX('C_jama.2024.4183'!$H$2:$H$25,MATCH("2024::jama.2024.4183::C017",'C_jama.2024.4183'!$A$2:$A$25,0))="","",INDEX('C_jama.2024.4183'!$H$2:$H$25,MATCH("2024::jama.2024.4183::C017",'C_jama.2024.4183'!$A$2:$A$25,0))),"not_applicable")</x:f>
        <x:v>not_applicable</x:v>
      </x:c>
      <x:c r="V69" s="3" t="str">
        <x:f>IF(AND(INDEX('C_jama.2024.4183'!$D$2:$D$25,MATCH("2024::jama.2024.4183::C017",'C_jama.2024.4183'!$A$2:$A$25,0))="retain",INDEX('C_jama.2024.4183'!$E$2:$E$25,MATCH("2024::jama.2024.4183::C017",'C_jama.2024.4183'!$A$2:$A$25,0))="statistical_results"),IF(INDEX('C_jama.2024.4183'!$I$2:$I$25,MATCH("2024::jama.2024.4183::C017",'C_jama.2024.4183'!$A$2:$A$25,0))="","",INDEX('C_jama.2024.4183'!$I$2:$I$25,MATCH("2024::jama.2024.4183::C017",'C_jama.2024.4183'!$A$2:$A$25,0))),"not_applicable")</x:f>
        <x:v>not_applicable</x:v>
      </x:c>
      <x:c r="W69" s="3" t="str">
        <x:f>IF(AND(INDEX('C_jama.2024.4183'!$D$2:$D$25,MATCH("2024::jama.2024.4183::C017",'C_jama.2024.4183'!$A$2:$A$25,0))="retain",INDEX('C_jama.2024.4183'!$E$2:$E$25,MATCH("2024::jama.2024.4183::C017",'C_jama.2024.4183'!$A$2:$A$25,0))="statistical_results"),IF(INDEX('C_jama.2024.4183'!$J$2:$J$25,MATCH("2024::jama.2024.4183::C017",'C_jama.2024.4183'!$A$2:$A$25,0))="","",INDEX('C_jama.2024.4183'!$J$2:$J$25,MATCH("2024::jama.2024.4183::C017",'C_jama.2024.4183'!$A$2:$A$25,0))),"not_applicable")</x:f>
        <x:v>not_applicable</x:v>
      </x:c>
      <x:c r="X69" s="3" t="str">
        <x:f>IF(AND(INDEX('C_jama.2024.4183'!$D$2:$D$25,MATCH("2024::jama.2024.4183::C017",'C_jama.2024.4183'!$A$2:$A$25,0))="retain",OR(INDEX('C_jama.2024.4183'!$E$2:$E$25,MATCH("2024::jama.2024.4183::C017",'C_jama.2024.4183'!$A$2:$A$25,0))="report_internal_inconsistency",INDEX('C_jama.2024.4183'!$E$2:$E$25,MATCH("2024::jama.2024.4183::C017",'C_jama.2024.4183'!$A$2:$A$25,0))="plan_material")),IF(INDEX('C_jama.2024.4183'!$K$2:$K$25,MATCH("2024::jama.2024.4183::C017",'C_jama.2024.4183'!$A$2:$A$25,0))="","",INDEX('C_jama.2024.4183'!$K$2:$K$25,MATCH("2024::jama.2024.4183::C017",'C_jama.2024.4183'!$A$2:$A$25,0))),"not_applicable")</x:f>
        <x:v>not_applicable</x:v>
      </x:c>
      <x:c r="Y69" s="3" t="str">
        <x:f>IF(AND(INDEX('C_jama.2024.4183'!$D$2:$D$25,MATCH("2024::jama.2024.4183::C017",'C_jama.2024.4183'!$A$2:$A$25,0))="retain",INDEX('C_jama.2024.4183'!$E$2:$E$25,MATCH("2024::jama.2024.4183::C017",'C_jama.2024.4183'!$A$2:$A$25,0))="protocol_report"),IF(INDEX('C_jama.2024.4183'!$L$2:$L$25,MATCH("2024::jama.2024.4183::C017",'C_jama.2024.4183'!$A$2:$A$25,0))="","",INDEX('C_jama.2024.4183'!$L$2:$L$25,MATCH("2024::jama.2024.4183::C017",'C_jama.2024.4183'!$A$2:$A$25,0))),"not_applicable")</x:f>
        <x:v>not_applicable</x:v>
      </x:c>
      <x:c r="Z69" s="3" t="str">
        <x:f>IF(INDEX('C_jama.2024.4183'!$R$2:$R$25,MATCH("2024::jama.2024.4183::C017",'C_jama.2024.4183'!$A$2:$A$25,0))="","",INDEX('C_jama.2024.4183'!$R$2:$R$25,MATCH("2024::jama.2024.4183::C017",'C_jama.2024.4183'!$A$2:$A$25,0)))</x:f>
      </x:c>
      <x:c r="AA69" s="3" t="str">
        <x:f>IF(INDEX('C_jama.2024.4183'!$N$2:$N$25,MATCH("2024::jama.2024.4183::C017",'C_jama.2024.4183'!$A$2:$A$25,0))="","",INDEX('C_jama.2024.4183'!$N$2:$N$25,MATCH("2024::jama.2024.4183::C017",'C_jama.2024.4183'!$A$2:$A$25,0)))</x:f>
      </x:c>
      <x:c r="AB69" s="3" t="str">
        <x:f>IF(INDEX('C_jama.2024.4183'!$O$2:$O$25,MATCH("2024::jama.2024.4183::C017",'C_jama.2024.4183'!$A$2:$A$25,0))="","",INDEX('C_jama.2024.4183'!$O$2:$O$25,MATCH("2024::jama.2024.4183::C017",'C_jama.2024.4183'!$A$2:$A$25,0)))</x:f>
      </x:c>
      <x:c r="AC69" s="3" t="str">
        <x:f>IF(INDEX('C_jama.2024.4183'!$P$2:$P$25,MATCH("2024::jama.2024.4183::C017",'C_jama.2024.4183'!$A$2:$A$25,0))="","",INDEX('C_jama.2024.4183'!$P$2:$P$25,MATCH("2024::jama.2024.4183::C017",'C_jama.2024.4183'!$A$2:$A$25,0)))</x:f>
      </x:c>
      <x:c r="AD69" s="3" t="str">
        <x:f>IF(INDEX('C_jama.2024.4183'!$Q$2:$Q$25,MATCH("2024::jama.2024.4183::C017",'C_jama.2024.4183'!$A$2:$A$25,0))="","",INDEX('C_jama.2024.4183'!$Q$2:$Q$25,MATCH("2024::jama.2024.4183::C017",'C_jama.2024.4183'!$A$2:$A$25,0)))</x:f>
      </x:c>
    </x:row>
    <x:row r="70" ht="65" customHeight="1">
      <x:c r="A70" s="6" t="n">
        <x:v>2024</x:v>
      </x:c>
      <x:c r="B70" s="6" t="str">
        <x:v>jama.2024.4183</x:v>
      </x:c>
      <x:c r="C70" s="6" t="str">
        <x:v>2024::jama.2024.4183::C018</x:v>
      </x:c>
      <x:c r="D70" s="6" t="str">
        <x:v>S_W</x:v>
      </x:c>
      <x:c r="E70" s="6" t="n">
        <x:f>Setup!$B$2</x:f>
        <x:v>0</x:v>
      </x:c>
      <x:c r="F70" s="6" t="str">
        <x:f>IF(Setup!$B$4="","",Setup!$B$4)</x:f>
      </x:c>
      <x:c r="G70" s="6" t="str">
        <x:f>IFERROR(INDEX('C_jama.2024.4183'!$G$2:$G$25,MATCH("2024::jama.2024.4183::C018",'C_jama.2024.4183'!$A$2:$A$25,0)),"CHECK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IF(Setup!$B$6="primary","",IFERROR(IF(INDEX('Primary_snapshot'!$B$2:$B$92,MATCH(C70,'Primary_snapshot'!$A$2:$A$92,0))="","",INDEX('Primary_snapshot'!$B$2:$B$92,MATCH(C70,'Primary_snapshot'!$A$2:$A$92,0))),"SNAPSHOT MISSING"))</x:f>
      </x:c>
      <x:c r="L70" s="6" t="str">
        <x:f>IF(Setup!$B$6="primary","",IFERROR(IF(INDEX('Primary_snapshot'!$C$2:$C$92,MATCH(C70,'Primary_snapshot'!$A$2:$A$92,0))="","",INDEX('Primary_snapshot'!$C$2:$C$92,MATCH(C70,'Primary_snapshot'!$A$2:$A$92,0))),"SNAPSHOT MISSING"))</x:f>
      </x:c>
      <x:c r="M70" s="6" t="str">
        <x:f>IF(Setup!$B$6="primary","",IFERROR(IF(INDEX('Primary_snapshot'!$D$2:$D$92,MATCH(C70,'Primary_snapshot'!$A$2:$A$92,0))="","",INDEX('Primary_snapshot'!$D$2:$D$92,MATCH(C70,'Primary_snapshot'!$A$2:$A$92,0))),"SNAPSHOT MISSING"))</x:f>
      </x:c>
      <x:c r="N70" s="6" t="str">
        <x:f>IF(Setup!$B$6="primary","",IFERROR(IF(INDEX('Primary_snapshot'!$E$2:$E$92,MATCH(C70,'Primary_snapshot'!$A$2:$A$92,0))="","",INDEX('Primary_snapshot'!$E$2:$E$92,MATCH(C70,'Primary_snapshot'!$A$2:$A$92,0))),"SNAPSHOT MISSING"))</x:f>
      </x:c>
      <x:c r="O70" s="6" t="str">
        <x:f>IF(Setup!$B$6="primary","",IFERROR(IF(INDEX('Primary_snapshot'!$F$2:$F$92,MATCH(C70,'Primary_snapshot'!$A$2:$A$92,0))="","",INDEX('Primary_snapshot'!$F$2:$F$92,MATCH(C70,'Primary_snapshot'!$A$2:$A$92,0))),"SNAPSHOT MISSING"))</x:f>
      </x:c>
      <x:c r="P70" s="6" t="str">
        <x:f>IF(Setup!$B$6="primary","",IFERROR(IF(INDEX('Primary_snapshot'!$G$2:$G$92,MATCH(C70,'Primary_snapshot'!$A$2:$A$92,0))="","",INDEX('Primary_snapshot'!$G$2:$G$92,MATCH(C70,'Primary_snapshot'!$A$2:$A$92,0))),"SNAPSHOT MISSING"))</x:f>
      </x:c>
      <x:c r="Q70" s="6" t="str">
        <x:f>IF(Setup!$B$6="primary","",IFERROR(IF(INDEX('Primary_snapshot'!$H$2:$H$92,MATCH(C70,'Primary_snapshot'!$A$2:$A$92,0))="","",INDEX('Primary_snapshot'!$H$2:$H$92,MATCH(C70,'Primary_snapshot'!$A$2:$A$92,0))),"SNAPSHOT MISSING"))</x:f>
      </x:c>
      <x:c r="R70" s="6" t="str">
        <x:f>IF(Setup!$B$6="primary","",IFERROR(IF(INDEX('Primary_snapshot'!$I$2:$I$92,MATCH(C70,'Primary_snapshot'!$A$2:$A$92,0))="","",INDEX('Primary_snapshot'!$I$2:$I$92,MATCH(C70,'Primary_snapshot'!$A$2:$A$92,0))),"SNAPSHOT MISSING"))</x:f>
      </x:c>
      <x:c r="S70" s="6" t="str">
        <x:f>IF(INDEX('C_jama.2024.4183'!$D$2:$D$25,MATCH("2024::jama.2024.4183::C018",'C_jama.2024.4183'!$A$2:$A$25,0))="","",INDEX('C_jama.2024.4183'!$D$2:$D$25,MATCH("2024::jama.2024.4183::C018",'C_jama.2024.4183'!$A$2:$A$25,0)))</x:f>
      </x:c>
      <x:c r="T70" s="6" t="str">
        <x:f>IF(INDEX('C_jama.2024.4183'!$E$2:$E$25,MATCH("2024::jama.2024.4183::C018",'C_jama.2024.4183'!$A$2:$A$25,0))="","",INDEX('C_jama.2024.4183'!$E$2:$E$25,MATCH("2024::jama.2024.4183::C018",'C_jama.2024.4183'!$A$2:$A$25,0)))</x:f>
        <x:v>statistical_results</x:v>
      </x:c>
      <x:c r="U70" s="6" t="str">
        <x:f>IF(AND(INDEX('C_jama.2024.4183'!$D$2:$D$25,MATCH("2024::jama.2024.4183::C018",'C_jama.2024.4183'!$A$2:$A$25,0))="retain",INDEX('C_jama.2024.4183'!$E$2:$E$25,MATCH("2024::jama.2024.4183::C018",'C_jama.2024.4183'!$A$2:$A$25,0))="statistical_results"),IF(INDEX('C_jama.2024.4183'!$H$2:$H$25,MATCH("2024::jama.2024.4183::C018",'C_jama.2024.4183'!$A$2:$A$25,0))="","",INDEX('C_jama.2024.4183'!$H$2:$H$25,MATCH("2024::jama.2024.4183::C018",'C_jama.2024.4183'!$A$2:$A$25,0))),"not_applicable")</x:f>
        <x:v>not_applicable</x:v>
      </x:c>
      <x:c r="V70" s="6" t="str">
        <x:f>IF(AND(INDEX('C_jama.2024.4183'!$D$2:$D$25,MATCH("2024::jama.2024.4183::C018",'C_jama.2024.4183'!$A$2:$A$25,0))="retain",INDEX('C_jama.2024.4183'!$E$2:$E$25,MATCH("2024::jama.2024.4183::C018",'C_jama.2024.4183'!$A$2:$A$25,0))="statistical_results"),IF(INDEX('C_jama.2024.4183'!$I$2:$I$25,MATCH("2024::jama.2024.4183::C018",'C_jama.2024.4183'!$A$2:$A$25,0))="","",INDEX('C_jama.2024.4183'!$I$2:$I$25,MATCH("2024::jama.2024.4183::C018",'C_jama.2024.4183'!$A$2:$A$25,0))),"not_applicable")</x:f>
        <x:v>not_applicable</x:v>
      </x:c>
      <x:c r="W70" s="6" t="str">
        <x:f>IF(AND(INDEX('C_jama.2024.4183'!$D$2:$D$25,MATCH("2024::jama.2024.4183::C018",'C_jama.2024.4183'!$A$2:$A$25,0))="retain",INDEX('C_jama.2024.4183'!$E$2:$E$25,MATCH("2024::jama.2024.4183::C018",'C_jama.2024.4183'!$A$2:$A$25,0))="statistical_results"),IF(INDEX('C_jama.2024.4183'!$J$2:$J$25,MATCH("2024::jama.2024.4183::C018",'C_jama.2024.4183'!$A$2:$A$25,0))="","",INDEX('C_jama.2024.4183'!$J$2:$J$25,MATCH("2024::jama.2024.4183::C018",'C_jama.2024.4183'!$A$2:$A$25,0))),"not_applicable")</x:f>
        <x:v>not_applicable</x:v>
      </x:c>
      <x:c r="X70" s="6" t="str">
        <x:f>IF(AND(INDEX('C_jama.2024.4183'!$D$2:$D$25,MATCH("2024::jama.2024.4183::C018",'C_jama.2024.4183'!$A$2:$A$25,0))="retain",OR(INDEX('C_jama.2024.4183'!$E$2:$E$25,MATCH("2024::jama.2024.4183::C018",'C_jama.2024.4183'!$A$2:$A$25,0))="report_internal_inconsistency",INDEX('C_jama.2024.4183'!$E$2:$E$25,MATCH("2024::jama.2024.4183::C018",'C_jama.2024.4183'!$A$2:$A$25,0))="plan_material")),IF(INDEX('C_jama.2024.4183'!$K$2:$K$25,MATCH("2024::jama.2024.4183::C018",'C_jama.2024.4183'!$A$2:$A$25,0))="","",INDEX('C_jama.2024.4183'!$K$2:$K$25,MATCH("2024::jama.2024.4183::C018",'C_jama.2024.4183'!$A$2:$A$25,0))),"not_applicable")</x:f>
        <x:v>not_applicable</x:v>
      </x:c>
      <x:c r="Y70" s="6" t="str">
        <x:f>IF(AND(INDEX('C_jama.2024.4183'!$D$2:$D$25,MATCH("2024::jama.2024.4183::C018",'C_jama.2024.4183'!$A$2:$A$25,0))="retain",INDEX('C_jama.2024.4183'!$E$2:$E$25,MATCH("2024::jama.2024.4183::C018",'C_jama.2024.4183'!$A$2:$A$25,0))="protocol_report"),IF(INDEX('C_jama.2024.4183'!$L$2:$L$25,MATCH("2024::jama.2024.4183::C018",'C_jama.2024.4183'!$A$2:$A$25,0))="","",INDEX('C_jama.2024.4183'!$L$2:$L$25,MATCH("2024::jama.2024.4183::C018",'C_jama.2024.4183'!$A$2:$A$25,0))),"not_applicable")</x:f>
        <x:v>not_applicable</x:v>
      </x:c>
      <x:c r="Z70" s="6" t="str">
        <x:f>IF(INDEX('C_jama.2024.4183'!$R$2:$R$25,MATCH("2024::jama.2024.4183::C018",'C_jama.2024.4183'!$A$2:$A$25,0))="","",INDEX('C_jama.2024.4183'!$R$2:$R$25,MATCH("2024::jama.2024.4183::C018",'C_jama.2024.4183'!$A$2:$A$25,0)))</x:f>
      </x:c>
      <x:c r="AA70" s="6" t="str">
        <x:f>IF(INDEX('C_jama.2024.4183'!$N$2:$N$25,MATCH("2024::jama.2024.4183::C018",'C_jama.2024.4183'!$A$2:$A$25,0))="","",INDEX('C_jama.2024.4183'!$N$2:$N$25,MATCH("2024::jama.2024.4183::C018",'C_jama.2024.4183'!$A$2:$A$25,0)))</x:f>
      </x:c>
      <x:c r="AB70" s="6" t="str">
        <x:f>IF(INDEX('C_jama.2024.4183'!$O$2:$O$25,MATCH("2024::jama.2024.4183::C018",'C_jama.2024.4183'!$A$2:$A$25,0))="","",INDEX('C_jama.2024.4183'!$O$2:$O$25,MATCH("2024::jama.2024.4183::C018",'C_jama.2024.4183'!$A$2:$A$25,0)))</x:f>
      </x:c>
      <x:c r="AC70" s="6" t="str">
        <x:f>IF(INDEX('C_jama.2024.4183'!$P$2:$P$25,MATCH("2024::jama.2024.4183::C018",'C_jama.2024.4183'!$A$2:$A$25,0))="","",INDEX('C_jama.2024.4183'!$P$2:$P$25,MATCH("2024::jama.2024.4183::C018",'C_jama.2024.4183'!$A$2:$A$25,0)))</x:f>
      </x:c>
      <x:c r="AD70" s="6" t="str">
        <x:f>IF(INDEX('C_jama.2024.4183'!$Q$2:$Q$25,MATCH("2024::jama.2024.4183::C018",'C_jama.2024.4183'!$A$2:$A$25,0))="","",INDEX('C_jama.2024.4183'!$Q$2:$Q$25,MATCH("2024::jama.2024.4183::C018",'C_jama.2024.4183'!$A$2:$A$25,0)))</x:f>
      </x:c>
    </x:row>
    <x:row r="71" ht="65" customHeight="1">
      <x:c r="A71" s="3" t="n">
        <x:v>2024</x:v>
      </x:c>
      <x:c r="B71" s="3" t="str">
        <x:v>jama.2024.4183</x:v>
      </x:c>
      <x:c r="C71" s="3" t="str">
        <x:v>2024::jama.2024.4183::C019</x:v>
      </x:c>
      <x:c r="D71" s="3" t="str">
        <x:v>S_W</x:v>
      </x:c>
      <x:c r="E71" s="3" t="n">
        <x:f>Setup!$B$2</x:f>
        <x:v>0</x:v>
      </x:c>
      <x:c r="F71" s="3" t="str">
        <x:f>IF(Setup!$B$4="","",Setup!$B$4)</x:f>
      </x:c>
      <x:c r="G71" s="3" t="str">
        <x:f>IFERROR(INDEX('C_jama.2024.4183'!$G$2:$G$25,MATCH("2024::jama.2024.4183::C019",'C_jama.2024.4183'!$A$2:$A$25,0)),"CHECK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report_internal_inconsistency</x:v>
      </x:c>
      <x:c r="K71" s="3" t="str">
        <x:f>IF(Setup!$B$6="primary","",IFERROR(IF(INDEX('Primary_snapshot'!$B$2:$B$92,MATCH(C71,'Primary_snapshot'!$A$2:$A$92,0))="","",INDEX('Primary_snapshot'!$B$2:$B$92,MATCH(C71,'Primary_snapshot'!$A$2:$A$92,0))),"SNAPSHOT MISSING"))</x:f>
      </x:c>
      <x:c r="L71" s="3" t="str">
        <x:f>IF(Setup!$B$6="primary","",IFERROR(IF(INDEX('Primary_snapshot'!$C$2:$C$92,MATCH(C71,'Primary_snapshot'!$A$2:$A$92,0))="","",INDEX('Primary_snapshot'!$C$2:$C$92,MATCH(C71,'Primary_snapshot'!$A$2:$A$92,0))),"SNAPSHOT MISSING"))</x:f>
      </x:c>
      <x:c r="M71" s="3" t="str">
        <x:f>IF(Setup!$B$6="primary","",IFERROR(IF(INDEX('Primary_snapshot'!$D$2:$D$92,MATCH(C71,'Primary_snapshot'!$A$2:$A$92,0))="","",INDEX('Primary_snapshot'!$D$2:$D$92,MATCH(C71,'Primary_snapshot'!$A$2:$A$92,0))),"SNAPSHOT MISSING"))</x:f>
      </x:c>
      <x:c r="N71" s="3" t="str">
        <x:f>IF(Setup!$B$6="primary","",IFERROR(IF(INDEX('Primary_snapshot'!$E$2:$E$92,MATCH(C71,'Primary_snapshot'!$A$2:$A$92,0))="","",INDEX('Primary_snapshot'!$E$2:$E$92,MATCH(C71,'Primary_snapshot'!$A$2:$A$92,0))),"SNAPSHOT MISSING"))</x:f>
      </x:c>
      <x:c r="O71" s="3" t="str">
        <x:f>IF(Setup!$B$6="primary","",IFERROR(IF(INDEX('Primary_snapshot'!$F$2:$F$92,MATCH(C71,'Primary_snapshot'!$A$2:$A$92,0))="","",INDEX('Primary_snapshot'!$F$2:$F$92,MATCH(C71,'Primary_snapshot'!$A$2:$A$92,0))),"SNAPSHOT MISSING"))</x:f>
      </x:c>
      <x:c r="P71" s="3" t="str">
        <x:f>IF(Setup!$B$6="primary","",IFERROR(IF(INDEX('Primary_snapshot'!$G$2:$G$92,MATCH(C71,'Primary_snapshot'!$A$2:$A$92,0))="","",INDEX('Primary_snapshot'!$G$2:$G$92,MATCH(C71,'Primary_snapshot'!$A$2:$A$92,0))),"SNAPSHOT MISSING"))</x:f>
      </x:c>
      <x:c r="Q71" s="3" t="str">
        <x:f>IF(Setup!$B$6="primary","",IFERROR(IF(INDEX('Primary_snapshot'!$H$2:$H$92,MATCH(C71,'Primary_snapshot'!$A$2:$A$92,0))="","",INDEX('Primary_snapshot'!$H$2:$H$92,MATCH(C71,'Primary_snapshot'!$A$2:$A$92,0))),"SNAPSHOT MISSING"))</x:f>
      </x:c>
      <x:c r="R71" s="3" t="str">
        <x:f>IF(Setup!$B$6="primary","",IFERROR(IF(INDEX('Primary_snapshot'!$I$2:$I$92,MATCH(C71,'Primary_snapshot'!$A$2:$A$92,0))="","",INDEX('Primary_snapshot'!$I$2:$I$92,MATCH(C71,'Primary_snapshot'!$A$2:$A$92,0))),"SNAPSHOT MISSING"))</x:f>
      </x:c>
      <x:c r="S71" s="3" t="str">
        <x:f>IF(INDEX('C_jama.2024.4183'!$D$2:$D$25,MATCH("2024::jama.2024.4183::C019",'C_jama.2024.4183'!$A$2:$A$25,0))="","",INDEX('C_jama.2024.4183'!$D$2:$D$25,MATCH("2024::jama.2024.4183::C019",'C_jama.2024.4183'!$A$2:$A$25,0)))</x:f>
      </x:c>
      <x:c r="T71" s="3" t="str">
        <x:f>IF(INDEX('C_jama.2024.4183'!$E$2:$E$25,MATCH("2024::jama.2024.4183::C019",'C_jama.2024.4183'!$A$2:$A$25,0))="","",INDEX('C_jama.2024.4183'!$E$2:$E$25,MATCH("2024::jama.2024.4183::C019",'C_jama.2024.4183'!$A$2:$A$25,0)))</x:f>
        <x:v>report_internal_inconsistency</x:v>
      </x:c>
      <x:c r="U71" s="3" t="str">
        <x:f>IF(AND(INDEX('C_jama.2024.4183'!$D$2:$D$25,MATCH("2024::jama.2024.4183::C019",'C_jama.2024.4183'!$A$2:$A$25,0))="retain",INDEX('C_jama.2024.4183'!$E$2:$E$25,MATCH("2024::jama.2024.4183::C019",'C_jama.2024.4183'!$A$2:$A$25,0))="statistical_results"),IF(INDEX('C_jama.2024.4183'!$H$2:$H$25,MATCH("2024::jama.2024.4183::C019",'C_jama.2024.4183'!$A$2:$A$25,0))="","",INDEX('C_jama.2024.4183'!$H$2:$H$25,MATCH("2024::jama.2024.4183::C019",'C_jama.2024.4183'!$A$2:$A$25,0))),"not_applicable")</x:f>
        <x:v>not_applicable</x:v>
      </x:c>
      <x:c r="V71" s="3" t="str">
        <x:f>IF(AND(INDEX('C_jama.2024.4183'!$D$2:$D$25,MATCH("2024::jama.2024.4183::C019",'C_jama.2024.4183'!$A$2:$A$25,0))="retain",INDEX('C_jama.2024.4183'!$E$2:$E$25,MATCH("2024::jama.2024.4183::C019",'C_jama.2024.4183'!$A$2:$A$25,0))="statistical_results"),IF(INDEX('C_jama.2024.4183'!$I$2:$I$25,MATCH("2024::jama.2024.4183::C019",'C_jama.2024.4183'!$A$2:$A$25,0))="","",INDEX('C_jama.2024.4183'!$I$2:$I$25,MATCH("2024::jama.2024.4183::C019",'C_jama.2024.4183'!$A$2:$A$25,0))),"not_applicable")</x:f>
        <x:v>not_applicable</x:v>
      </x:c>
      <x:c r="W71" s="3" t="str">
        <x:f>IF(AND(INDEX('C_jama.2024.4183'!$D$2:$D$25,MATCH("2024::jama.2024.4183::C019",'C_jama.2024.4183'!$A$2:$A$25,0))="retain",INDEX('C_jama.2024.4183'!$E$2:$E$25,MATCH("2024::jama.2024.4183::C019",'C_jama.2024.4183'!$A$2:$A$25,0))="statistical_results"),IF(INDEX('C_jama.2024.4183'!$J$2:$J$25,MATCH("2024::jama.2024.4183::C019",'C_jama.2024.4183'!$A$2:$A$25,0))="","",INDEX('C_jama.2024.4183'!$J$2:$J$25,MATCH("2024::jama.2024.4183::C019",'C_jama.2024.4183'!$A$2:$A$25,0))),"not_applicable")</x:f>
        <x:v>not_applicable</x:v>
      </x:c>
      <x:c r="X71" s="3" t="str">
        <x:f>IF(AND(INDEX('C_jama.2024.4183'!$D$2:$D$25,MATCH("2024::jama.2024.4183::C019",'C_jama.2024.4183'!$A$2:$A$25,0))="retain",OR(INDEX('C_jama.2024.4183'!$E$2:$E$25,MATCH("2024::jama.2024.4183::C019",'C_jama.2024.4183'!$A$2:$A$25,0))="report_internal_inconsistency",INDEX('C_jama.2024.4183'!$E$2:$E$25,MATCH("2024::jama.2024.4183::C019",'C_jama.2024.4183'!$A$2:$A$25,0))="plan_material")),IF(INDEX('C_jama.2024.4183'!$K$2:$K$25,MATCH("2024::jama.2024.4183::C019",'C_jama.2024.4183'!$A$2:$A$25,0))="","",INDEX('C_jama.2024.4183'!$K$2:$K$25,MATCH("2024::jama.2024.4183::C019",'C_jama.2024.4183'!$A$2:$A$25,0))),"not_applicable")</x:f>
        <x:v>not_applicable</x:v>
      </x:c>
      <x:c r="Y71" s="3" t="str">
        <x:f>IF(AND(INDEX('C_jama.2024.4183'!$D$2:$D$25,MATCH("2024::jama.2024.4183::C019",'C_jama.2024.4183'!$A$2:$A$25,0))="retain",INDEX('C_jama.2024.4183'!$E$2:$E$25,MATCH("2024::jama.2024.4183::C019",'C_jama.2024.4183'!$A$2:$A$25,0))="protocol_report"),IF(INDEX('C_jama.2024.4183'!$L$2:$L$25,MATCH("2024::jama.2024.4183::C019",'C_jama.2024.4183'!$A$2:$A$25,0))="","",INDEX('C_jama.2024.4183'!$L$2:$L$25,MATCH("2024::jama.2024.4183::C019",'C_jama.2024.4183'!$A$2:$A$25,0))),"not_applicable")</x:f>
        <x:v>not_applicable</x:v>
      </x:c>
      <x:c r="Z71" s="3" t="str">
        <x:f>IF(INDEX('C_jama.2024.4183'!$R$2:$R$25,MATCH("2024::jama.2024.4183::C019",'C_jama.2024.4183'!$A$2:$A$25,0))="","",INDEX('C_jama.2024.4183'!$R$2:$R$25,MATCH("2024::jama.2024.4183::C019",'C_jama.2024.4183'!$A$2:$A$25,0)))</x:f>
      </x:c>
      <x:c r="AA71" s="3" t="str">
        <x:f>IF(INDEX('C_jama.2024.4183'!$N$2:$N$25,MATCH("2024::jama.2024.4183::C019",'C_jama.2024.4183'!$A$2:$A$25,0))="","",INDEX('C_jama.2024.4183'!$N$2:$N$25,MATCH("2024::jama.2024.4183::C019",'C_jama.2024.4183'!$A$2:$A$25,0)))</x:f>
      </x:c>
      <x:c r="AB71" s="3" t="str">
        <x:f>IF(INDEX('C_jama.2024.4183'!$O$2:$O$25,MATCH("2024::jama.2024.4183::C019",'C_jama.2024.4183'!$A$2:$A$25,0))="","",INDEX('C_jama.2024.4183'!$O$2:$O$25,MATCH("2024::jama.2024.4183::C019",'C_jama.2024.4183'!$A$2:$A$25,0)))</x:f>
      </x:c>
      <x:c r="AC71" s="3" t="str">
        <x:f>IF(INDEX('C_jama.2024.4183'!$P$2:$P$25,MATCH("2024::jama.2024.4183::C019",'C_jama.2024.4183'!$A$2:$A$25,0))="","",INDEX('C_jama.2024.4183'!$P$2:$P$25,MATCH("2024::jama.2024.4183::C019",'C_jama.2024.4183'!$A$2:$A$25,0)))</x:f>
      </x:c>
      <x:c r="AD71" s="3" t="str">
        <x:f>IF(INDEX('C_jama.2024.4183'!$Q$2:$Q$25,MATCH("2024::jama.2024.4183::C019",'C_jama.2024.4183'!$A$2:$A$25,0))="","",INDEX('C_jama.2024.4183'!$Q$2:$Q$25,MATCH("2024::jama.2024.4183::C019",'C_jama.2024.4183'!$A$2:$A$25,0)))</x:f>
      </x:c>
    </x:row>
    <x:row r="72" ht="65" customHeight="1">
      <x:c r="A72" s="6" t="n">
        <x:v>2024</x:v>
      </x:c>
      <x:c r="B72" s="6" t="str">
        <x:v>jama.2024.4183</x:v>
      </x:c>
      <x:c r="C72" s="6" t="str">
        <x:v>2024::jama.2024.4183::C020</x:v>
      </x:c>
      <x:c r="D72" s="6" t="str">
        <x:v>S_W</x:v>
      </x:c>
      <x:c r="E72" s="6" t="n">
        <x:f>Setup!$B$2</x:f>
        <x:v>0</x:v>
      </x:c>
      <x:c r="F72" s="6" t="str">
        <x:f>IF(Setup!$B$4="","",Setup!$B$4)</x:f>
      </x:c>
      <x:c r="G72" s="6" t="str">
        <x:f>IFERROR(INDEX('C_jama.2024.4183'!$G$2:$G$25,MATCH("2024::jama.2024.4183::C020",'C_jama.2024.4183'!$A$2:$A$25,0)),"CHECK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statistical_results</x:v>
      </x:c>
      <x:c r="K72" s="6" t="str">
        <x:f>IF(Setup!$B$6="primary","",IFERROR(IF(INDEX('Primary_snapshot'!$B$2:$B$92,MATCH(C72,'Primary_snapshot'!$A$2:$A$92,0))="","",INDEX('Primary_snapshot'!$B$2:$B$92,MATCH(C72,'Primary_snapshot'!$A$2:$A$92,0))),"SNAPSHOT MISSING"))</x:f>
      </x:c>
      <x:c r="L72" s="6" t="str">
        <x:f>IF(Setup!$B$6="primary","",IFERROR(IF(INDEX('Primary_snapshot'!$C$2:$C$92,MATCH(C72,'Primary_snapshot'!$A$2:$A$92,0))="","",INDEX('Primary_snapshot'!$C$2:$C$92,MATCH(C72,'Primary_snapshot'!$A$2:$A$92,0))),"SNAPSHOT MISSING"))</x:f>
      </x:c>
      <x:c r="M72" s="6" t="str">
        <x:f>IF(Setup!$B$6="primary","",IFERROR(IF(INDEX('Primary_snapshot'!$D$2:$D$92,MATCH(C72,'Primary_snapshot'!$A$2:$A$92,0))="","",INDEX('Primary_snapshot'!$D$2:$D$92,MATCH(C72,'Primary_snapshot'!$A$2:$A$92,0))),"SNAPSHOT MISSING"))</x:f>
      </x:c>
      <x:c r="N72" s="6" t="str">
        <x:f>IF(Setup!$B$6="primary","",IFERROR(IF(INDEX('Primary_snapshot'!$E$2:$E$92,MATCH(C72,'Primary_snapshot'!$A$2:$A$92,0))="","",INDEX('Primary_snapshot'!$E$2:$E$92,MATCH(C72,'Primary_snapshot'!$A$2:$A$92,0))),"SNAPSHOT MISSING"))</x:f>
      </x:c>
      <x:c r="O72" s="6" t="str">
        <x:f>IF(Setup!$B$6="primary","",IFERROR(IF(INDEX('Primary_snapshot'!$F$2:$F$92,MATCH(C72,'Primary_snapshot'!$A$2:$A$92,0))="","",INDEX('Primary_snapshot'!$F$2:$F$92,MATCH(C72,'Primary_snapshot'!$A$2:$A$92,0))),"SNAPSHOT MISSING"))</x:f>
      </x:c>
      <x:c r="P72" s="6" t="str">
        <x:f>IF(Setup!$B$6="primary","",IFERROR(IF(INDEX('Primary_snapshot'!$G$2:$G$92,MATCH(C72,'Primary_snapshot'!$A$2:$A$92,0))="","",INDEX('Primary_snapshot'!$G$2:$G$92,MATCH(C72,'Primary_snapshot'!$A$2:$A$92,0))),"SNAPSHOT MISSING"))</x:f>
      </x:c>
      <x:c r="Q72" s="6" t="str">
        <x:f>IF(Setup!$B$6="primary","",IFERROR(IF(INDEX('Primary_snapshot'!$H$2:$H$92,MATCH(C72,'Primary_snapshot'!$A$2:$A$92,0))="","",INDEX('Primary_snapshot'!$H$2:$H$92,MATCH(C72,'Primary_snapshot'!$A$2:$A$92,0))),"SNAPSHOT MISSING"))</x:f>
      </x:c>
      <x:c r="R72" s="6" t="str">
        <x:f>IF(Setup!$B$6="primary","",IFERROR(IF(INDEX('Primary_snapshot'!$I$2:$I$92,MATCH(C72,'Primary_snapshot'!$A$2:$A$92,0))="","",INDEX('Primary_snapshot'!$I$2:$I$92,MATCH(C72,'Primary_snapshot'!$A$2:$A$92,0))),"SNAPSHOT MISSING"))</x:f>
      </x:c>
      <x:c r="S72" s="6" t="str">
        <x:f>IF(INDEX('C_jama.2024.4183'!$D$2:$D$25,MATCH("2024::jama.2024.4183::C020",'C_jama.2024.4183'!$A$2:$A$25,0))="","",INDEX('C_jama.2024.4183'!$D$2:$D$25,MATCH("2024::jama.2024.4183::C020",'C_jama.2024.4183'!$A$2:$A$25,0)))</x:f>
      </x:c>
      <x:c r="T72" s="6" t="str">
        <x:f>IF(INDEX('C_jama.2024.4183'!$E$2:$E$25,MATCH("2024::jama.2024.4183::C020",'C_jama.2024.4183'!$A$2:$A$25,0))="","",INDEX('C_jama.2024.4183'!$E$2:$E$25,MATCH("2024::jama.2024.4183::C020",'C_jama.2024.4183'!$A$2:$A$25,0)))</x:f>
        <x:v>statistical_results</x:v>
      </x:c>
      <x:c r="U72" s="6" t="str">
        <x:f>IF(AND(INDEX('C_jama.2024.4183'!$D$2:$D$25,MATCH("2024::jama.2024.4183::C020",'C_jama.2024.4183'!$A$2:$A$25,0))="retain",INDEX('C_jama.2024.4183'!$E$2:$E$25,MATCH("2024::jama.2024.4183::C020",'C_jama.2024.4183'!$A$2:$A$25,0))="statistical_results"),IF(INDEX('C_jama.2024.4183'!$H$2:$H$25,MATCH("2024::jama.2024.4183::C020",'C_jama.2024.4183'!$A$2:$A$25,0))="","",INDEX('C_jama.2024.4183'!$H$2:$H$25,MATCH("2024::jama.2024.4183::C020",'C_jama.2024.4183'!$A$2:$A$25,0))),"not_applicable")</x:f>
        <x:v>not_applicable</x:v>
      </x:c>
      <x:c r="V72" s="6" t="str">
        <x:f>IF(AND(INDEX('C_jama.2024.4183'!$D$2:$D$25,MATCH("2024::jama.2024.4183::C020",'C_jama.2024.4183'!$A$2:$A$25,0))="retain",INDEX('C_jama.2024.4183'!$E$2:$E$25,MATCH("2024::jama.2024.4183::C020",'C_jama.2024.4183'!$A$2:$A$25,0))="statistical_results"),IF(INDEX('C_jama.2024.4183'!$I$2:$I$25,MATCH("2024::jama.2024.4183::C020",'C_jama.2024.4183'!$A$2:$A$25,0))="","",INDEX('C_jama.2024.4183'!$I$2:$I$25,MATCH("2024::jama.2024.4183::C020",'C_jama.2024.4183'!$A$2:$A$25,0))),"not_applicable")</x:f>
        <x:v>not_applicable</x:v>
      </x:c>
      <x:c r="W72" s="6" t="str">
        <x:f>IF(AND(INDEX('C_jama.2024.4183'!$D$2:$D$25,MATCH("2024::jama.2024.4183::C020",'C_jama.2024.4183'!$A$2:$A$25,0))="retain",INDEX('C_jama.2024.4183'!$E$2:$E$25,MATCH("2024::jama.2024.4183::C020",'C_jama.2024.4183'!$A$2:$A$25,0))="statistical_results"),IF(INDEX('C_jama.2024.4183'!$J$2:$J$25,MATCH("2024::jama.2024.4183::C020",'C_jama.2024.4183'!$A$2:$A$25,0))="","",INDEX('C_jama.2024.4183'!$J$2:$J$25,MATCH("2024::jama.2024.4183::C020",'C_jama.2024.4183'!$A$2:$A$25,0))),"not_applicable")</x:f>
        <x:v>not_applicable</x:v>
      </x:c>
      <x:c r="X72" s="6" t="str">
        <x:f>IF(AND(INDEX('C_jama.2024.4183'!$D$2:$D$25,MATCH("2024::jama.2024.4183::C020",'C_jama.2024.4183'!$A$2:$A$25,0))="retain",OR(INDEX('C_jama.2024.4183'!$E$2:$E$25,MATCH("2024::jama.2024.4183::C020",'C_jama.2024.4183'!$A$2:$A$25,0))="report_internal_inconsistency",INDEX('C_jama.2024.4183'!$E$2:$E$25,MATCH("2024::jama.2024.4183::C020",'C_jama.2024.4183'!$A$2:$A$25,0))="plan_material")),IF(INDEX('C_jama.2024.4183'!$K$2:$K$25,MATCH("2024::jama.2024.4183::C020",'C_jama.2024.4183'!$A$2:$A$25,0))="","",INDEX('C_jama.2024.4183'!$K$2:$K$25,MATCH("2024::jama.2024.4183::C020",'C_jama.2024.4183'!$A$2:$A$25,0))),"not_applicable")</x:f>
        <x:v>not_applicable</x:v>
      </x:c>
      <x:c r="Y72" s="6" t="str">
        <x:f>IF(AND(INDEX('C_jama.2024.4183'!$D$2:$D$25,MATCH("2024::jama.2024.4183::C020",'C_jama.2024.4183'!$A$2:$A$25,0))="retain",INDEX('C_jama.2024.4183'!$E$2:$E$25,MATCH("2024::jama.2024.4183::C020",'C_jama.2024.4183'!$A$2:$A$25,0))="protocol_report"),IF(INDEX('C_jama.2024.4183'!$L$2:$L$25,MATCH("2024::jama.2024.4183::C020",'C_jama.2024.4183'!$A$2:$A$25,0))="","",INDEX('C_jama.2024.4183'!$L$2:$L$25,MATCH("2024::jama.2024.4183::C020",'C_jama.2024.4183'!$A$2:$A$25,0))),"not_applicable")</x:f>
        <x:v>not_applicable</x:v>
      </x:c>
      <x:c r="Z72" s="6" t="str">
        <x:f>IF(INDEX('C_jama.2024.4183'!$R$2:$R$25,MATCH("2024::jama.2024.4183::C020",'C_jama.2024.4183'!$A$2:$A$25,0))="","",INDEX('C_jama.2024.4183'!$R$2:$R$25,MATCH("2024::jama.2024.4183::C020",'C_jama.2024.4183'!$A$2:$A$25,0)))</x:f>
      </x:c>
      <x:c r="AA72" s="6" t="str">
        <x:f>IF(INDEX('C_jama.2024.4183'!$N$2:$N$25,MATCH("2024::jama.2024.4183::C020",'C_jama.2024.4183'!$A$2:$A$25,0))="","",INDEX('C_jama.2024.4183'!$N$2:$N$25,MATCH("2024::jama.2024.4183::C020",'C_jama.2024.4183'!$A$2:$A$25,0)))</x:f>
      </x:c>
      <x:c r="AB72" s="6" t="str">
        <x:f>IF(INDEX('C_jama.2024.4183'!$O$2:$O$25,MATCH("2024::jama.2024.4183::C020",'C_jama.2024.4183'!$A$2:$A$25,0))="","",INDEX('C_jama.2024.4183'!$O$2:$O$25,MATCH("2024::jama.2024.4183::C020",'C_jama.2024.4183'!$A$2:$A$25,0)))</x:f>
      </x:c>
      <x:c r="AC72" s="6" t="str">
        <x:f>IF(INDEX('C_jama.2024.4183'!$P$2:$P$25,MATCH("2024::jama.2024.4183::C020",'C_jama.2024.4183'!$A$2:$A$25,0))="","",INDEX('C_jama.2024.4183'!$P$2:$P$25,MATCH("2024::jama.2024.4183::C020",'C_jama.2024.4183'!$A$2:$A$25,0)))</x:f>
      </x:c>
      <x:c r="AD72" s="6" t="str">
        <x:f>IF(INDEX('C_jama.2024.4183'!$Q$2:$Q$25,MATCH("2024::jama.2024.4183::C020",'C_jama.2024.4183'!$A$2:$A$25,0))="","",INDEX('C_jama.2024.4183'!$Q$2:$Q$25,MATCH("2024::jama.2024.4183::C020",'C_jama.2024.4183'!$A$2:$A$25,0)))</x:f>
      </x:c>
    </x:row>
    <x:row r="73" ht="65" customHeight="1">
      <x:c r="A73" s="3" t="n">
        <x:v>2024</x:v>
      </x:c>
      <x:c r="B73" s="3" t="str">
        <x:v>jama.2024.4183</x:v>
      </x:c>
      <x:c r="C73" s="3" t="str">
        <x:v>2024::jama.2024.4183::C021</x:v>
      </x:c>
      <x:c r="D73" s="3" t="str">
        <x:v>S_W</x:v>
      </x:c>
      <x:c r="E73" s="3" t="n">
        <x:f>Setup!$B$2</x:f>
        <x:v>0</x:v>
      </x:c>
      <x:c r="F73" s="3" t="str">
        <x:f>IF(Setup!$B$4="","",Setup!$B$4)</x:f>
      </x:c>
      <x:c r="G73" s="3" t="str">
        <x:f>IFERROR(INDEX('C_jama.2024.4183'!$G$2:$G$25,MATCH("2024::jama.2024.4183::C021",'C_jama.2024.4183'!$A$2:$A$25,0)),"CHECK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retain</x:v>
      </x:c>
      <x:c r="J73" s="3" t="str">
        <x:v>report_internal_inconsistency</x:v>
      </x:c>
      <x:c r="K73" s="3" t="str">
        <x:f>IF(Setup!$B$6="primary","",IFERROR(IF(INDEX('Primary_snapshot'!$B$2:$B$92,MATCH(C73,'Primary_snapshot'!$A$2:$A$92,0))="","",INDEX('Primary_snapshot'!$B$2:$B$92,MATCH(C73,'Primary_snapshot'!$A$2:$A$92,0))),"SNAPSHOT MISSING"))</x:f>
      </x:c>
      <x:c r="L73" s="3" t="str">
        <x:f>IF(Setup!$B$6="primary","",IFERROR(IF(INDEX('Primary_snapshot'!$C$2:$C$92,MATCH(C73,'Primary_snapshot'!$A$2:$A$92,0))="","",INDEX('Primary_snapshot'!$C$2:$C$92,MATCH(C73,'Primary_snapshot'!$A$2:$A$92,0))),"SNAPSHOT MISSING"))</x:f>
      </x:c>
      <x:c r="M73" s="3" t="str">
        <x:f>IF(Setup!$B$6="primary","",IFERROR(IF(INDEX('Primary_snapshot'!$D$2:$D$92,MATCH(C73,'Primary_snapshot'!$A$2:$A$92,0))="","",INDEX('Primary_snapshot'!$D$2:$D$92,MATCH(C73,'Primary_snapshot'!$A$2:$A$92,0))),"SNAPSHOT MISSING"))</x:f>
      </x:c>
      <x:c r="N73" s="3" t="str">
        <x:f>IF(Setup!$B$6="primary","",IFERROR(IF(INDEX('Primary_snapshot'!$E$2:$E$92,MATCH(C73,'Primary_snapshot'!$A$2:$A$92,0))="","",INDEX('Primary_snapshot'!$E$2:$E$92,MATCH(C73,'Primary_snapshot'!$A$2:$A$92,0))),"SNAPSHOT MISSING"))</x:f>
      </x:c>
      <x:c r="O73" s="3" t="str">
        <x:f>IF(Setup!$B$6="primary","",IFERROR(IF(INDEX('Primary_snapshot'!$F$2:$F$92,MATCH(C73,'Primary_snapshot'!$A$2:$A$92,0))="","",INDEX('Primary_snapshot'!$F$2:$F$92,MATCH(C73,'Primary_snapshot'!$A$2:$A$92,0))),"SNAPSHOT MISSING"))</x:f>
      </x:c>
      <x:c r="P73" s="3" t="str">
        <x:f>IF(Setup!$B$6="primary","",IFERROR(IF(INDEX('Primary_snapshot'!$G$2:$G$92,MATCH(C73,'Primary_snapshot'!$A$2:$A$92,0))="","",INDEX('Primary_snapshot'!$G$2:$G$92,MATCH(C73,'Primary_snapshot'!$A$2:$A$92,0))),"SNAPSHOT MISSING"))</x:f>
      </x:c>
      <x:c r="Q73" s="3" t="str">
        <x:f>IF(Setup!$B$6="primary","",IFERROR(IF(INDEX('Primary_snapshot'!$H$2:$H$92,MATCH(C73,'Primary_snapshot'!$A$2:$A$92,0))="","",INDEX('Primary_snapshot'!$H$2:$H$92,MATCH(C73,'Primary_snapshot'!$A$2:$A$92,0))),"SNAPSHOT MISSING"))</x:f>
      </x:c>
      <x:c r="R73" s="3" t="str">
        <x:f>IF(Setup!$B$6="primary","",IFERROR(IF(INDEX('Primary_snapshot'!$I$2:$I$92,MATCH(C73,'Primary_snapshot'!$A$2:$A$92,0))="","",INDEX('Primary_snapshot'!$I$2:$I$92,MATCH(C73,'Primary_snapshot'!$A$2:$A$92,0))),"SNAPSHOT MISSING"))</x:f>
      </x:c>
      <x:c r="S73" s="3" t="str">
        <x:f>IF(INDEX('C_jama.2024.4183'!$D$2:$D$25,MATCH("2024::jama.2024.4183::C021",'C_jama.2024.4183'!$A$2:$A$25,0))="","",INDEX('C_jama.2024.4183'!$D$2:$D$25,MATCH("2024::jama.2024.4183::C021",'C_jama.2024.4183'!$A$2:$A$25,0)))</x:f>
      </x:c>
      <x:c r="T73" s="3" t="str">
        <x:f>IF(INDEX('C_jama.2024.4183'!$E$2:$E$25,MATCH("2024::jama.2024.4183::C021",'C_jama.2024.4183'!$A$2:$A$25,0))="","",INDEX('C_jama.2024.4183'!$E$2:$E$25,MATCH("2024::jama.2024.4183::C021",'C_jama.2024.4183'!$A$2:$A$25,0)))</x:f>
        <x:v>report_internal_inconsistency</x:v>
      </x:c>
      <x:c r="U73" s="3" t="str">
        <x:f>IF(AND(INDEX('C_jama.2024.4183'!$D$2:$D$25,MATCH("2024::jama.2024.4183::C021",'C_jama.2024.4183'!$A$2:$A$25,0))="retain",INDEX('C_jama.2024.4183'!$E$2:$E$25,MATCH("2024::jama.2024.4183::C021",'C_jama.2024.4183'!$A$2:$A$25,0))="statistical_results"),IF(INDEX('C_jama.2024.4183'!$H$2:$H$25,MATCH("2024::jama.2024.4183::C021",'C_jama.2024.4183'!$A$2:$A$25,0))="","",INDEX('C_jama.2024.4183'!$H$2:$H$25,MATCH("2024::jama.2024.4183::C021",'C_jama.2024.4183'!$A$2:$A$25,0))),"not_applicable")</x:f>
        <x:v>not_applicable</x:v>
      </x:c>
      <x:c r="V73" s="3" t="str">
        <x:f>IF(AND(INDEX('C_jama.2024.4183'!$D$2:$D$25,MATCH("2024::jama.2024.4183::C021",'C_jama.2024.4183'!$A$2:$A$25,0))="retain",INDEX('C_jama.2024.4183'!$E$2:$E$25,MATCH("2024::jama.2024.4183::C021",'C_jama.2024.4183'!$A$2:$A$25,0))="statistical_results"),IF(INDEX('C_jama.2024.4183'!$I$2:$I$25,MATCH("2024::jama.2024.4183::C021",'C_jama.2024.4183'!$A$2:$A$25,0))="","",INDEX('C_jama.2024.4183'!$I$2:$I$25,MATCH("2024::jama.2024.4183::C021",'C_jama.2024.4183'!$A$2:$A$25,0))),"not_applicable")</x:f>
        <x:v>not_applicable</x:v>
      </x:c>
      <x:c r="W73" s="3" t="str">
        <x:f>IF(AND(INDEX('C_jama.2024.4183'!$D$2:$D$25,MATCH("2024::jama.2024.4183::C021",'C_jama.2024.4183'!$A$2:$A$25,0))="retain",INDEX('C_jama.2024.4183'!$E$2:$E$25,MATCH("2024::jama.2024.4183::C021",'C_jama.2024.4183'!$A$2:$A$25,0))="statistical_results"),IF(INDEX('C_jama.2024.4183'!$J$2:$J$25,MATCH("2024::jama.2024.4183::C021",'C_jama.2024.4183'!$A$2:$A$25,0))="","",INDEX('C_jama.2024.4183'!$J$2:$J$25,MATCH("2024::jama.2024.4183::C021",'C_jama.2024.4183'!$A$2:$A$25,0))),"not_applicable")</x:f>
        <x:v>not_applicable</x:v>
      </x:c>
      <x:c r="X73" s="3" t="str">
        <x:f>IF(AND(INDEX('C_jama.2024.4183'!$D$2:$D$25,MATCH("2024::jama.2024.4183::C021",'C_jama.2024.4183'!$A$2:$A$25,0))="retain",OR(INDEX('C_jama.2024.4183'!$E$2:$E$25,MATCH("2024::jama.2024.4183::C021",'C_jama.2024.4183'!$A$2:$A$25,0))="report_internal_inconsistency",INDEX('C_jama.2024.4183'!$E$2:$E$25,MATCH("2024::jama.2024.4183::C021",'C_jama.2024.4183'!$A$2:$A$25,0))="plan_material")),IF(INDEX('C_jama.2024.4183'!$K$2:$K$25,MATCH("2024::jama.2024.4183::C021",'C_jama.2024.4183'!$A$2:$A$25,0))="","",INDEX('C_jama.2024.4183'!$K$2:$K$25,MATCH("2024::jama.2024.4183::C021",'C_jama.2024.4183'!$A$2:$A$25,0))),"not_applicable")</x:f>
        <x:v>not_applicable</x:v>
      </x:c>
      <x:c r="Y73" s="3" t="str">
        <x:f>IF(AND(INDEX('C_jama.2024.4183'!$D$2:$D$25,MATCH("2024::jama.2024.4183::C021",'C_jama.2024.4183'!$A$2:$A$25,0))="retain",INDEX('C_jama.2024.4183'!$E$2:$E$25,MATCH("2024::jama.2024.4183::C021",'C_jama.2024.4183'!$A$2:$A$25,0))="protocol_report"),IF(INDEX('C_jama.2024.4183'!$L$2:$L$25,MATCH("2024::jama.2024.4183::C021",'C_jama.2024.4183'!$A$2:$A$25,0))="","",INDEX('C_jama.2024.4183'!$L$2:$L$25,MATCH("2024::jama.2024.4183::C021",'C_jama.2024.4183'!$A$2:$A$25,0))),"not_applicable")</x:f>
        <x:v>not_applicable</x:v>
      </x:c>
      <x:c r="Z73" s="3" t="str">
        <x:f>IF(INDEX('C_jama.2024.4183'!$R$2:$R$25,MATCH("2024::jama.2024.4183::C021",'C_jama.2024.4183'!$A$2:$A$25,0))="","",INDEX('C_jama.2024.4183'!$R$2:$R$25,MATCH("2024::jama.2024.4183::C021",'C_jama.2024.4183'!$A$2:$A$25,0)))</x:f>
      </x:c>
      <x:c r="AA73" s="3" t="str">
        <x:f>IF(INDEX('C_jama.2024.4183'!$N$2:$N$25,MATCH("2024::jama.2024.4183::C021",'C_jama.2024.4183'!$A$2:$A$25,0))="","",INDEX('C_jama.2024.4183'!$N$2:$N$25,MATCH("2024::jama.2024.4183::C021",'C_jama.2024.4183'!$A$2:$A$25,0)))</x:f>
      </x:c>
      <x:c r="AB73" s="3" t="str">
        <x:f>IF(INDEX('C_jama.2024.4183'!$O$2:$O$25,MATCH("2024::jama.2024.4183::C021",'C_jama.2024.4183'!$A$2:$A$25,0))="","",INDEX('C_jama.2024.4183'!$O$2:$O$25,MATCH("2024::jama.2024.4183::C021",'C_jama.2024.4183'!$A$2:$A$25,0)))</x:f>
      </x:c>
      <x:c r="AC73" s="3" t="str">
        <x:f>IF(INDEX('C_jama.2024.4183'!$P$2:$P$25,MATCH("2024::jama.2024.4183::C021",'C_jama.2024.4183'!$A$2:$A$25,0))="","",INDEX('C_jama.2024.4183'!$P$2:$P$25,MATCH("2024::jama.2024.4183::C021",'C_jama.2024.4183'!$A$2:$A$25,0)))</x:f>
      </x:c>
      <x:c r="AD73" s="3" t="str">
        <x:f>IF(INDEX('C_jama.2024.4183'!$Q$2:$Q$25,MATCH("2024::jama.2024.4183::C021",'C_jama.2024.4183'!$A$2:$A$25,0))="","",INDEX('C_jama.2024.4183'!$Q$2:$Q$25,MATCH("2024::jama.2024.4183::C021",'C_jama.2024.4183'!$A$2:$A$25,0)))</x:f>
      </x:c>
    </x:row>
    <x:row r="74" ht="65" customHeight="1">
      <x:c r="A74" s="6" t="n">
        <x:v>2024</x:v>
      </x:c>
      <x:c r="B74" s="6" t="str">
        <x:v>jama.2024.4183</x:v>
      </x:c>
      <x:c r="C74" s="6" t="str">
        <x:v>2024::jama.2024.4183::C022</x:v>
      </x:c>
      <x:c r="D74" s="6" t="str">
        <x:v>S_W</x:v>
      </x:c>
      <x:c r="E74" s="6" t="n">
        <x:f>Setup!$B$2</x:f>
        <x:v>0</x:v>
      </x:c>
      <x:c r="F74" s="6" t="str">
        <x:f>IF(Setup!$B$4="","",Setup!$B$4)</x:f>
      </x:c>
      <x:c r="G74" s="6" t="str">
        <x:f>IFERROR(INDEX('C_jama.2024.4183'!$G$2:$G$25,MATCH("2024::jama.2024.4183::C022",'C_jama.2024.4183'!$A$2:$A$25,0)),"CHECK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retain</x:v>
      </x:c>
      <x:c r="J74" s="6" t="str">
        <x:v>report_internal_inconsistency</x:v>
      </x:c>
      <x:c r="K74" s="6" t="str">
        <x:f>IF(Setup!$B$6="primary","",IFERROR(IF(INDEX('Primary_snapshot'!$B$2:$B$92,MATCH(C74,'Primary_snapshot'!$A$2:$A$92,0))="","",INDEX('Primary_snapshot'!$B$2:$B$92,MATCH(C74,'Primary_snapshot'!$A$2:$A$92,0))),"SNAPSHOT MISSING"))</x:f>
      </x:c>
      <x:c r="L74" s="6" t="str">
        <x:f>IF(Setup!$B$6="primary","",IFERROR(IF(INDEX('Primary_snapshot'!$C$2:$C$92,MATCH(C74,'Primary_snapshot'!$A$2:$A$92,0))="","",INDEX('Primary_snapshot'!$C$2:$C$92,MATCH(C74,'Primary_snapshot'!$A$2:$A$92,0))),"SNAPSHOT MISSING"))</x:f>
      </x:c>
      <x:c r="M74" s="6" t="str">
        <x:f>IF(Setup!$B$6="primary","",IFERROR(IF(INDEX('Primary_snapshot'!$D$2:$D$92,MATCH(C74,'Primary_snapshot'!$A$2:$A$92,0))="","",INDEX('Primary_snapshot'!$D$2:$D$92,MATCH(C74,'Primary_snapshot'!$A$2:$A$92,0))),"SNAPSHOT MISSING"))</x:f>
      </x:c>
      <x:c r="N74" s="6" t="str">
        <x:f>IF(Setup!$B$6="primary","",IFERROR(IF(INDEX('Primary_snapshot'!$E$2:$E$92,MATCH(C74,'Primary_snapshot'!$A$2:$A$92,0))="","",INDEX('Primary_snapshot'!$E$2:$E$92,MATCH(C74,'Primary_snapshot'!$A$2:$A$92,0))),"SNAPSHOT MISSING"))</x:f>
      </x:c>
      <x:c r="O74" s="6" t="str">
        <x:f>IF(Setup!$B$6="primary","",IFERROR(IF(INDEX('Primary_snapshot'!$F$2:$F$92,MATCH(C74,'Primary_snapshot'!$A$2:$A$92,0))="","",INDEX('Primary_snapshot'!$F$2:$F$92,MATCH(C74,'Primary_snapshot'!$A$2:$A$92,0))),"SNAPSHOT MISSING"))</x:f>
      </x:c>
      <x:c r="P74" s="6" t="str">
        <x:f>IF(Setup!$B$6="primary","",IFERROR(IF(INDEX('Primary_snapshot'!$G$2:$G$92,MATCH(C74,'Primary_snapshot'!$A$2:$A$92,0))="","",INDEX('Primary_snapshot'!$G$2:$G$92,MATCH(C74,'Primary_snapshot'!$A$2:$A$92,0))),"SNAPSHOT MISSING"))</x:f>
      </x:c>
      <x:c r="Q74" s="6" t="str">
        <x:f>IF(Setup!$B$6="primary","",IFERROR(IF(INDEX('Primary_snapshot'!$H$2:$H$92,MATCH(C74,'Primary_snapshot'!$A$2:$A$92,0))="","",INDEX('Primary_snapshot'!$H$2:$H$92,MATCH(C74,'Primary_snapshot'!$A$2:$A$92,0))),"SNAPSHOT MISSING"))</x:f>
      </x:c>
      <x:c r="R74" s="6" t="str">
        <x:f>IF(Setup!$B$6="primary","",IFERROR(IF(INDEX('Primary_snapshot'!$I$2:$I$92,MATCH(C74,'Primary_snapshot'!$A$2:$A$92,0))="","",INDEX('Primary_snapshot'!$I$2:$I$92,MATCH(C74,'Primary_snapshot'!$A$2:$A$92,0))),"SNAPSHOT MISSING"))</x:f>
      </x:c>
      <x:c r="S74" s="6" t="str">
        <x:f>IF(INDEX('C_jama.2024.4183'!$D$2:$D$25,MATCH("2024::jama.2024.4183::C022",'C_jama.2024.4183'!$A$2:$A$25,0))="","",INDEX('C_jama.2024.4183'!$D$2:$D$25,MATCH("2024::jama.2024.4183::C022",'C_jama.2024.4183'!$A$2:$A$25,0)))</x:f>
      </x:c>
      <x:c r="T74" s="6" t="str">
        <x:f>IF(INDEX('C_jama.2024.4183'!$E$2:$E$25,MATCH("2024::jama.2024.4183::C022",'C_jama.2024.4183'!$A$2:$A$25,0))="","",INDEX('C_jama.2024.4183'!$E$2:$E$25,MATCH("2024::jama.2024.4183::C022",'C_jama.2024.4183'!$A$2:$A$25,0)))</x:f>
        <x:v>report_internal_inconsistency</x:v>
      </x:c>
      <x:c r="U74" s="6" t="str">
        <x:f>IF(AND(INDEX('C_jama.2024.4183'!$D$2:$D$25,MATCH("2024::jama.2024.4183::C022",'C_jama.2024.4183'!$A$2:$A$25,0))="retain",INDEX('C_jama.2024.4183'!$E$2:$E$25,MATCH("2024::jama.2024.4183::C022",'C_jama.2024.4183'!$A$2:$A$25,0))="statistical_results"),IF(INDEX('C_jama.2024.4183'!$H$2:$H$25,MATCH("2024::jama.2024.4183::C022",'C_jama.2024.4183'!$A$2:$A$25,0))="","",INDEX('C_jama.2024.4183'!$H$2:$H$25,MATCH("2024::jama.2024.4183::C022",'C_jama.2024.4183'!$A$2:$A$25,0))),"not_applicable")</x:f>
        <x:v>not_applicable</x:v>
      </x:c>
      <x:c r="V74" s="6" t="str">
        <x:f>IF(AND(INDEX('C_jama.2024.4183'!$D$2:$D$25,MATCH("2024::jama.2024.4183::C022",'C_jama.2024.4183'!$A$2:$A$25,0))="retain",INDEX('C_jama.2024.4183'!$E$2:$E$25,MATCH("2024::jama.2024.4183::C022",'C_jama.2024.4183'!$A$2:$A$25,0))="statistical_results"),IF(INDEX('C_jama.2024.4183'!$I$2:$I$25,MATCH("2024::jama.2024.4183::C022",'C_jama.2024.4183'!$A$2:$A$25,0))="","",INDEX('C_jama.2024.4183'!$I$2:$I$25,MATCH("2024::jama.2024.4183::C022",'C_jama.2024.4183'!$A$2:$A$25,0))),"not_applicable")</x:f>
        <x:v>not_applicable</x:v>
      </x:c>
      <x:c r="W74" s="6" t="str">
        <x:f>IF(AND(INDEX('C_jama.2024.4183'!$D$2:$D$25,MATCH("2024::jama.2024.4183::C022",'C_jama.2024.4183'!$A$2:$A$25,0))="retain",INDEX('C_jama.2024.4183'!$E$2:$E$25,MATCH("2024::jama.2024.4183::C022",'C_jama.2024.4183'!$A$2:$A$25,0))="statistical_results"),IF(INDEX('C_jama.2024.4183'!$J$2:$J$25,MATCH("2024::jama.2024.4183::C022",'C_jama.2024.4183'!$A$2:$A$25,0))="","",INDEX('C_jama.2024.4183'!$J$2:$J$25,MATCH("2024::jama.2024.4183::C022",'C_jama.2024.4183'!$A$2:$A$25,0))),"not_applicable")</x:f>
        <x:v>not_applicable</x:v>
      </x:c>
      <x:c r="X74" s="6" t="str">
        <x:f>IF(AND(INDEX('C_jama.2024.4183'!$D$2:$D$25,MATCH("2024::jama.2024.4183::C022",'C_jama.2024.4183'!$A$2:$A$25,0))="retain",OR(INDEX('C_jama.2024.4183'!$E$2:$E$25,MATCH("2024::jama.2024.4183::C022",'C_jama.2024.4183'!$A$2:$A$25,0))="report_internal_inconsistency",INDEX('C_jama.2024.4183'!$E$2:$E$25,MATCH("2024::jama.2024.4183::C022",'C_jama.2024.4183'!$A$2:$A$25,0))="plan_material")),IF(INDEX('C_jama.2024.4183'!$K$2:$K$25,MATCH("2024::jama.2024.4183::C022",'C_jama.2024.4183'!$A$2:$A$25,0))="","",INDEX('C_jama.2024.4183'!$K$2:$K$25,MATCH("2024::jama.2024.4183::C022",'C_jama.2024.4183'!$A$2:$A$25,0))),"not_applicable")</x:f>
        <x:v>not_applicable</x:v>
      </x:c>
      <x:c r="Y74" s="6" t="str">
        <x:f>IF(AND(INDEX('C_jama.2024.4183'!$D$2:$D$25,MATCH("2024::jama.2024.4183::C022",'C_jama.2024.4183'!$A$2:$A$25,0))="retain",INDEX('C_jama.2024.4183'!$E$2:$E$25,MATCH("2024::jama.2024.4183::C022",'C_jama.2024.4183'!$A$2:$A$25,0))="protocol_report"),IF(INDEX('C_jama.2024.4183'!$L$2:$L$25,MATCH("2024::jama.2024.4183::C022",'C_jama.2024.4183'!$A$2:$A$25,0))="","",INDEX('C_jama.2024.4183'!$L$2:$L$25,MATCH("2024::jama.2024.4183::C022",'C_jama.2024.4183'!$A$2:$A$25,0))),"not_applicable")</x:f>
        <x:v>not_applicable</x:v>
      </x:c>
      <x:c r="Z74" s="6" t="str">
        <x:f>IF(INDEX('C_jama.2024.4183'!$R$2:$R$25,MATCH("2024::jama.2024.4183::C022",'C_jama.2024.4183'!$A$2:$A$25,0))="","",INDEX('C_jama.2024.4183'!$R$2:$R$25,MATCH("2024::jama.2024.4183::C022",'C_jama.2024.4183'!$A$2:$A$25,0)))</x:f>
      </x:c>
      <x:c r="AA74" s="6" t="str">
        <x:f>IF(INDEX('C_jama.2024.4183'!$N$2:$N$25,MATCH("2024::jama.2024.4183::C022",'C_jama.2024.4183'!$A$2:$A$25,0))="","",INDEX('C_jama.2024.4183'!$N$2:$N$25,MATCH("2024::jama.2024.4183::C022",'C_jama.2024.4183'!$A$2:$A$25,0)))</x:f>
      </x:c>
      <x:c r="AB74" s="6" t="str">
        <x:f>IF(INDEX('C_jama.2024.4183'!$O$2:$O$25,MATCH("2024::jama.2024.4183::C022",'C_jama.2024.4183'!$A$2:$A$25,0))="","",INDEX('C_jama.2024.4183'!$O$2:$O$25,MATCH("2024::jama.2024.4183::C022",'C_jama.2024.4183'!$A$2:$A$25,0)))</x:f>
      </x:c>
      <x:c r="AC74" s="6" t="str">
        <x:f>IF(INDEX('C_jama.2024.4183'!$P$2:$P$25,MATCH("2024::jama.2024.4183::C022",'C_jama.2024.4183'!$A$2:$A$25,0))="","",INDEX('C_jama.2024.4183'!$P$2:$P$25,MATCH("2024::jama.2024.4183::C022",'C_jama.2024.4183'!$A$2:$A$25,0)))</x:f>
      </x:c>
      <x:c r="AD74" s="6" t="str">
        <x:f>IF(INDEX('C_jama.2024.4183'!$Q$2:$Q$25,MATCH("2024::jama.2024.4183::C022",'C_jama.2024.4183'!$A$2:$A$25,0))="","",INDEX('C_jama.2024.4183'!$Q$2:$Q$25,MATCH("2024::jama.2024.4183::C022",'C_jama.2024.4183'!$A$2:$A$25,0)))</x:f>
      </x:c>
    </x:row>
    <x:row r="75" ht="65" customHeight="1">
      <x:c r="A75" s="3" t="n">
        <x:v>2024</x:v>
      </x:c>
      <x:c r="B75" s="3" t="str">
        <x:v>jama.2024.4183</x:v>
      </x:c>
      <x:c r="C75" s="3" t="str">
        <x:v>2024::jama.2024.4183::C023</x:v>
      </x:c>
      <x:c r="D75" s="3" t="str">
        <x:v>S_W</x:v>
      </x:c>
      <x:c r="E75" s="3" t="n">
        <x:f>Setup!$B$2</x:f>
        <x:v>0</x:v>
      </x:c>
      <x:c r="F75" s="3" t="str">
        <x:f>IF(Setup!$B$4="","",Setup!$B$4)</x:f>
      </x:c>
      <x:c r="G75" s="3" t="str">
        <x:f>IFERROR(INDEX('C_jama.2024.4183'!$G$2:$G$25,MATCH("2024::jama.2024.4183::C023",'C_jama.2024.4183'!$A$2:$A$25,0)),"CHECK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report_internal_inconsistency</x:v>
      </x:c>
      <x:c r="K75" s="3" t="str">
        <x:f>IF(Setup!$B$6="primary","",IFERROR(IF(INDEX('Primary_snapshot'!$B$2:$B$92,MATCH(C75,'Primary_snapshot'!$A$2:$A$92,0))="","",INDEX('Primary_snapshot'!$B$2:$B$92,MATCH(C75,'Primary_snapshot'!$A$2:$A$92,0))),"SNAPSHOT MISSING"))</x:f>
      </x:c>
      <x:c r="L75" s="3" t="str">
        <x:f>IF(Setup!$B$6="primary","",IFERROR(IF(INDEX('Primary_snapshot'!$C$2:$C$92,MATCH(C75,'Primary_snapshot'!$A$2:$A$92,0))="","",INDEX('Primary_snapshot'!$C$2:$C$92,MATCH(C75,'Primary_snapshot'!$A$2:$A$92,0))),"SNAPSHOT MISSING"))</x:f>
      </x:c>
      <x:c r="M75" s="3" t="str">
        <x:f>IF(Setup!$B$6="primary","",IFERROR(IF(INDEX('Primary_snapshot'!$D$2:$D$92,MATCH(C75,'Primary_snapshot'!$A$2:$A$92,0))="","",INDEX('Primary_snapshot'!$D$2:$D$92,MATCH(C75,'Primary_snapshot'!$A$2:$A$92,0))),"SNAPSHOT MISSING"))</x:f>
      </x:c>
      <x:c r="N75" s="3" t="str">
        <x:f>IF(Setup!$B$6="primary","",IFERROR(IF(INDEX('Primary_snapshot'!$E$2:$E$92,MATCH(C75,'Primary_snapshot'!$A$2:$A$92,0))="","",INDEX('Primary_snapshot'!$E$2:$E$92,MATCH(C75,'Primary_snapshot'!$A$2:$A$92,0))),"SNAPSHOT MISSING"))</x:f>
      </x:c>
      <x:c r="O75" s="3" t="str">
        <x:f>IF(Setup!$B$6="primary","",IFERROR(IF(INDEX('Primary_snapshot'!$F$2:$F$92,MATCH(C75,'Primary_snapshot'!$A$2:$A$92,0))="","",INDEX('Primary_snapshot'!$F$2:$F$92,MATCH(C75,'Primary_snapshot'!$A$2:$A$92,0))),"SNAPSHOT MISSING"))</x:f>
      </x:c>
      <x:c r="P75" s="3" t="str">
        <x:f>IF(Setup!$B$6="primary","",IFERROR(IF(INDEX('Primary_snapshot'!$G$2:$G$92,MATCH(C75,'Primary_snapshot'!$A$2:$A$92,0))="","",INDEX('Primary_snapshot'!$G$2:$G$92,MATCH(C75,'Primary_snapshot'!$A$2:$A$92,0))),"SNAPSHOT MISSING"))</x:f>
      </x:c>
      <x:c r="Q75" s="3" t="str">
        <x:f>IF(Setup!$B$6="primary","",IFERROR(IF(INDEX('Primary_snapshot'!$H$2:$H$92,MATCH(C75,'Primary_snapshot'!$A$2:$A$92,0))="","",INDEX('Primary_snapshot'!$H$2:$H$92,MATCH(C75,'Primary_snapshot'!$A$2:$A$92,0))),"SNAPSHOT MISSING"))</x:f>
      </x:c>
      <x:c r="R75" s="3" t="str">
        <x:f>IF(Setup!$B$6="primary","",IFERROR(IF(INDEX('Primary_snapshot'!$I$2:$I$92,MATCH(C75,'Primary_snapshot'!$A$2:$A$92,0))="","",INDEX('Primary_snapshot'!$I$2:$I$92,MATCH(C75,'Primary_snapshot'!$A$2:$A$92,0))),"SNAPSHOT MISSING"))</x:f>
      </x:c>
      <x:c r="S75" s="3" t="str">
        <x:f>IF(INDEX('C_jama.2024.4183'!$D$2:$D$25,MATCH("2024::jama.2024.4183::C023",'C_jama.2024.4183'!$A$2:$A$25,0))="","",INDEX('C_jama.2024.4183'!$D$2:$D$25,MATCH("2024::jama.2024.4183::C023",'C_jama.2024.4183'!$A$2:$A$25,0)))</x:f>
      </x:c>
      <x:c r="T75" s="3" t="str">
        <x:f>IF(INDEX('C_jama.2024.4183'!$E$2:$E$25,MATCH("2024::jama.2024.4183::C023",'C_jama.2024.4183'!$A$2:$A$25,0))="","",INDEX('C_jama.2024.4183'!$E$2:$E$25,MATCH("2024::jama.2024.4183::C023",'C_jama.2024.4183'!$A$2:$A$25,0)))</x:f>
        <x:v>report_internal_inconsistency</x:v>
      </x:c>
      <x:c r="U75" s="3" t="str">
        <x:f>IF(AND(INDEX('C_jama.2024.4183'!$D$2:$D$25,MATCH("2024::jama.2024.4183::C023",'C_jama.2024.4183'!$A$2:$A$25,0))="retain",INDEX('C_jama.2024.4183'!$E$2:$E$25,MATCH("2024::jama.2024.4183::C023",'C_jama.2024.4183'!$A$2:$A$25,0))="statistical_results"),IF(INDEX('C_jama.2024.4183'!$H$2:$H$25,MATCH("2024::jama.2024.4183::C023",'C_jama.2024.4183'!$A$2:$A$25,0))="","",INDEX('C_jama.2024.4183'!$H$2:$H$25,MATCH("2024::jama.2024.4183::C023",'C_jama.2024.4183'!$A$2:$A$25,0))),"not_applicable")</x:f>
        <x:v>not_applicable</x:v>
      </x:c>
      <x:c r="V75" s="3" t="str">
        <x:f>IF(AND(INDEX('C_jama.2024.4183'!$D$2:$D$25,MATCH("2024::jama.2024.4183::C023",'C_jama.2024.4183'!$A$2:$A$25,0))="retain",INDEX('C_jama.2024.4183'!$E$2:$E$25,MATCH("2024::jama.2024.4183::C023",'C_jama.2024.4183'!$A$2:$A$25,0))="statistical_results"),IF(INDEX('C_jama.2024.4183'!$I$2:$I$25,MATCH("2024::jama.2024.4183::C023",'C_jama.2024.4183'!$A$2:$A$25,0))="","",INDEX('C_jama.2024.4183'!$I$2:$I$25,MATCH("2024::jama.2024.4183::C023",'C_jama.2024.4183'!$A$2:$A$25,0))),"not_applicable")</x:f>
        <x:v>not_applicable</x:v>
      </x:c>
      <x:c r="W75" s="3" t="str">
        <x:f>IF(AND(INDEX('C_jama.2024.4183'!$D$2:$D$25,MATCH("2024::jama.2024.4183::C023",'C_jama.2024.4183'!$A$2:$A$25,0))="retain",INDEX('C_jama.2024.4183'!$E$2:$E$25,MATCH("2024::jama.2024.4183::C023",'C_jama.2024.4183'!$A$2:$A$25,0))="statistical_results"),IF(INDEX('C_jama.2024.4183'!$J$2:$J$25,MATCH("2024::jama.2024.4183::C023",'C_jama.2024.4183'!$A$2:$A$25,0))="","",INDEX('C_jama.2024.4183'!$J$2:$J$25,MATCH("2024::jama.2024.4183::C023",'C_jama.2024.4183'!$A$2:$A$25,0))),"not_applicable")</x:f>
        <x:v>not_applicable</x:v>
      </x:c>
      <x:c r="X75" s="3" t="str">
        <x:f>IF(AND(INDEX('C_jama.2024.4183'!$D$2:$D$25,MATCH("2024::jama.2024.4183::C023",'C_jama.2024.4183'!$A$2:$A$25,0))="retain",OR(INDEX('C_jama.2024.4183'!$E$2:$E$25,MATCH("2024::jama.2024.4183::C023",'C_jama.2024.4183'!$A$2:$A$25,0))="report_internal_inconsistency",INDEX('C_jama.2024.4183'!$E$2:$E$25,MATCH("2024::jama.2024.4183::C023",'C_jama.2024.4183'!$A$2:$A$25,0))="plan_material")),IF(INDEX('C_jama.2024.4183'!$K$2:$K$25,MATCH("2024::jama.2024.4183::C023",'C_jama.2024.4183'!$A$2:$A$25,0))="","",INDEX('C_jama.2024.4183'!$K$2:$K$25,MATCH("2024::jama.2024.4183::C023",'C_jama.2024.4183'!$A$2:$A$25,0))),"not_applicable")</x:f>
        <x:v>not_applicable</x:v>
      </x:c>
      <x:c r="Y75" s="3" t="str">
        <x:f>IF(AND(INDEX('C_jama.2024.4183'!$D$2:$D$25,MATCH("2024::jama.2024.4183::C023",'C_jama.2024.4183'!$A$2:$A$25,0))="retain",INDEX('C_jama.2024.4183'!$E$2:$E$25,MATCH("2024::jama.2024.4183::C023",'C_jama.2024.4183'!$A$2:$A$25,0))="protocol_report"),IF(INDEX('C_jama.2024.4183'!$L$2:$L$25,MATCH("2024::jama.2024.4183::C023",'C_jama.2024.4183'!$A$2:$A$25,0))="","",INDEX('C_jama.2024.4183'!$L$2:$L$25,MATCH("2024::jama.2024.4183::C023",'C_jama.2024.4183'!$A$2:$A$25,0))),"not_applicable")</x:f>
        <x:v>not_applicable</x:v>
      </x:c>
      <x:c r="Z75" s="3" t="str">
        <x:f>IF(INDEX('C_jama.2024.4183'!$R$2:$R$25,MATCH("2024::jama.2024.4183::C023",'C_jama.2024.4183'!$A$2:$A$25,0))="","",INDEX('C_jama.2024.4183'!$R$2:$R$25,MATCH("2024::jama.2024.4183::C023",'C_jama.2024.4183'!$A$2:$A$25,0)))</x:f>
      </x:c>
      <x:c r="AA75" s="3" t="str">
        <x:f>IF(INDEX('C_jama.2024.4183'!$N$2:$N$25,MATCH("2024::jama.2024.4183::C023",'C_jama.2024.4183'!$A$2:$A$25,0))="","",INDEX('C_jama.2024.4183'!$N$2:$N$25,MATCH("2024::jama.2024.4183::C023",'C_jama.2024.4183'!$A$2:$A$25,0)))</x:f>
      </x:c>
      <x:c r="AB75" s="3" t="str">
        <x:f>IF(INDEX('C_jama.2024.4183'!$O$2:$O$25,MATCH("2024::jama.2024.4183::C023",'C_jama.2024.4183'!$A$2:$A$25,0))="","",INDEX('C_jama.2024.4183'!$O$2:$O$25,MATCH("2024::jama.2024.4183::C023",'C_jama.2024.4183'!$A$2:$A$25,0)))</x:f>
      </x:c>
      <x:c r="AC75" s="3" t="str">
        <x:f>IF(INDEX('C_jama.2024.4183'!$P$2:$P$25,MATCH("2024::jama.2024.4183::C023",'C_jama.2024.4183'!$A$2:$A$25,0))="","",INDEX('C_jama.2024.4183'!$P$2:$P$25,MATCH("2024::jama.2024.4183::C023",'C_jama.2024.4183'!$A$2:$A$25,0)))</x:f>
      </x:c>
      <x:c r="AD75" s="3" t="str">
        <x:f>IF(INDEX('C_jama.2024.4183'!$Q$2:$Q$25,MATCH("2024::jama.2024.4183::C023",'C_jama.2024.4183'!$A$2:$A$25,0))="","",INDEX('C_jama.2024.4183'!$Q$2:$Q$25,MATCH("2024::jama.2024.4183::C023",'C_jama.2024.4183'!$A$2:$A$25,0)))</x:f>
      </x:c>
    </x:row>
    <x:row r="76" ht="65" customHeight="1">
      <x:c r="A76" s="6" t="n">
        <x:v>2024</x:v>
      </x:c>
      <x:c r="B76" s="6" t="str">
        <x:v>jama.2024.4183</x:v>
      </x:c>
      <x:c r="C76" s="6" t="str">
        <x:v>2024::jama.2024.4183::C024</x:v>
      </x:c>
      <x:c r="D76" s="6" t="str">
        <x:v>S_W</x:v>
      </x:c>
      <x:c r="E76" s="6" t="n">
        <x:f>Setup!$B$2</x:f>
        <x:v>0</x:v>
      </x:c>
      <x:c r="F76" s="6" t="str">
        <x:f>IF(Setup!$B$4="","",Setup!$B$4)</x:f>
      </x:c>
      <x:c r="G76" s="6" t="str">
        <x:f>IFERROR(INDEX('C_jama.2024.4183'!$G$2:$G$25,MATCH("2024::jama.2024.4183::C024",'C_jama.2024.4183'!$A$2:$A$25,0)),"CHECK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statistical_results</x:v>
      </x:c>
      <x:c r="K76" s="6" t="str">
        <x:f>IF(Setup!$B$6="primary","",IFERROR(IF(INDEX('Primary_snapshot'!$B$2:$B$92,MATCH(C76,'Primary_snapshot'!$A$2:$A$92,0))="","",INDEX('Primary_snapshot'!$B$2:$B$92,MATCH(C76,'Primary_snapshot'!$A$2:$A$92,0))),"SNAPSHOT MISSING"))</x:f>
      </x:c>
      <x:c r="L76" s="6" t="str">
        <x:f>IF(Setup!$B$6="primary","",IFERROR(IF(INDEX('Primary_snapshot'!$C$2:$C$92,MATCH(C76,'Primary_snapshot'!$A$2:$A$92,0))="","",INDEX('Primary_snapshot'!$C$2:$C$92,MATCH(C76,'Primary_snapshot'!$A$2:$A$92,0))),"SNAPSHOT MISSING"))</x:f>
      </x:c>
      <x:c r="M76" s="6" t="str">
        <x:f>IF(Setup!$B$6="primary","",IFERROR(IF(INDEX('Primary_snapshot'!$D$2:$D$92,MATCH(C76,'Primary_snapshot'!$A$2:$A$92,0))="","",INDEX('Primary_snapshot'!$D$2:$D$92,MATCH(C76,'Primary_snapshot'!$A$2:$A$92,0))),"SNAPSHOT MISSING"))</x:f>
      </x:c>
      <x:c r="N76" s="6" t="str">
        <x:f>IF(Setup!$B$6="primary","",IFERROR(IF(INDEX('Primary_snapshot'!$E$2:$E$92,MATCH(C76,'Primary_snapshot'!$A$2:$A$92,0))="","",INDEX('Primary_snapshot'!$E$2:$E$92,MATCH(C76,'Primary_snapshot'!$A$2:$A$92,0))),"SNAPSHOT MISSING"))</x:f>
      </x:c>
      <x:c r="O76" s="6" t="str">
        <x:f>IF(Setup!$B$6="primary","",IFERROR(IF(INDEX('Primary_snapshot'!$F$2:$F$92,MATCH(C76,'Primary_snapshot'!$A$2:$A$92,0))="","",INDEX('Primary_snapshot'!$F$2:$F$92,MATCH(C76,'Primary_snapshot'!$A$2:$A$92,0))),"SNAPSHOT MISSING"))</x:f>
      </x:c>
      <x:c r="P76" s="6" t="str">
        <x:f>IF(Setup!$B$6="primary","",IFERROR(IF(INDEX('Primary_snapshot'!$G$2:$G$92,MATCH(C76,'Primary_snapshot'!$A$2:$A$92,0))="","",INDEX('Primary_snapshot'!$G$2:$G$92,MATCH(C76,'Primary_snapshot'!$A$2:$A$92,0))),"SNAPSHOT MISSING"))</x:f>
      </x:c>
      <x:c r="Q76" s="6" t="str">
        <x:f>IF(Setup!$B$6="primary","",IFERROR(IF(INDEX('Primary_snapshot'!$H$2:$H$92,MATCH(C76,'Primary_snapshot'!$A$2:$A$92,0))="","",INDEX('Primary_snapshot'!$H$2:$H$92,MATCH(C76,'Primary_snapshot'!$A$2:$A$92,0))),"SNAPSHOT MISSING"))</x:f>
      </x:c>
      <x:c r="R76" s="6" t="str">
        <x:f>IF(Setup!$B$6="primary","",IFERROR(IF(INDEX('Primary_snapshot'!$I$2:$I$92,MATCH(C76,'Primary_snapshot'!$A$2:$A$92,0))="","",INDEX('Primary_snapshot'!$I$2:$I$92,MATCH(C76,'Primary_snapshot'!$A$2:$A$92,0))),"SNAPSHOT MISSING"))</x:f>
      </x:c>
      <x:c r="S76" s="6" t="str">
        <x:f>IF(INDEX('C_jama.2024.4183'!$D$2:$D$25,MATCH("2024::jama.2024.4183::C024",'C_jama.2024.4183'!$A$2:$A$25,0))="","",INDEX('C_jama.2024.4183'!$D$2:$D$25,MATCH("2024::jama.2024.4183::C024",'C_jama.2024.4183'!$A$2:$A$25,0)))</x:f>
      </x:c>
      <x:c r="T76" s="6" t="str">
        <x:f>IF(INDEX('C_jama.2024.4183'!$E$2:$E$25,MATCH("2024::jama.2024.4183::C024",'C_jama.2024.4183'!$A$2:$A$25,0))="","",INDEX('C_jama.2024.4183'!$E$2:$E$25,MATCH("2024::jama.2024.4183::C024",'C_jama.2024.4183'!$A$2:$A$25,0)))</x:f>
        <x:v>statistical_results</x:v>
      </x:c>
      <x:c r="U76" s="6" t="str">
        <x:f>IF(AND(INDEX('C_jama.2024.4183'!$D$2:$D$25,MATCH("2024::jama.2024.4183::C024",'C_jama.2024.4183'!$A$2:$A$25,0))="retain",INDEX('C_jama.2024.4183'!$E$2:$E$25,MATCH("2024::jama.2024.4183::C024",'C_jama.2024.4183'!$A$2:$A$25,0))="statistical_results"),IF(INDEX('C_jama.2024.4183'!$H$2:$H$25,MATCH("2024::jama.2024.4183::C024",'C_jama.2024.4183'!$A$2:$A$25,0))="","",INDEX('C_jama.2024.4183'!$H$2:$H$25,MATCH("2024::jama.2024.4183::C024",'C_jama.2024.4183'!$A$2:$A$25,0))),"not_applicable")</x:f>
        <x:v>not_applicable</x:v>
      </x:c>
      <x:c r="V76" s="6" t="str">
        <x:f>IF(AND(INDEX('C_jama.2024.4183'!$D$2:$D$25,MATCH("2024::jama.2024.4183::C024",'C_jama.2024.4183'!$A$2:$A$25,0))="retain",INDEX('C_jama.2024.4183'!$E$2:$E$25,MATCH("2024::jama.2024.4183::C024",'C_jama.2024.4183'!$A$2:$A$25,0))="statistical_results"),IF(INDEX('C_jama.2024.4183'!$I$2:$I$25,MATCH("2024::jama.2024.4183::C024",'C_jama.2024.4183'!$A$2:$A$25,0))="","",INDEX('C_jama.2024.4183'!$I$2:$I$25,MATCH("2024::jama.2024.4183::C024",'C_jama.2024.4183'!$A$2:$A$25,0))),"not_applicable")</x:f>
        <x:v>not_applicable</x:v>
      </x:c>
      <x:c r="W76" s="6" t="str">
        <x:f>IF(AND(INDEX('C_jama.2024.4183'!$D$2:$D$25,MATCH("2024::jama.2024.4183::C024",'C_jama.2024.4183'!$A$2:$A$25,0))="retain",INDEX('C_jama.2024.4183'!$E$2:$E$25,MATCH("2024::jama.2024.4183::C024",'C_jama.2024.4183'!$A$2:$A$25,0))="statistical_results"),IF(INDEX('C_jama.2024.4183'!$J$2:$J$25,MATCH("2024::jama.2024.4183::C024",'C_jama.2024.4183'!$A$2:$A$25,0))="","",INDEX('C_jama.2024.4183'!$J$2:$J$25,MATCH("2024::jama.2024.4183::C024",'C_jama.2024.4183'!$A$2:$A$25,0))),"not_applicable")</x:f>
        <x:v>not_applicable</x:v>
      </x:c>
      <x:c r="X76" s="6" t="str">
        <x:f>IF(AND(INDEX('C_jama.2024.4183'!$D$2:$D$25,MATCH("2024::jama.2024.4183::C024",'C_jama.2024.4183'!$A$2:$A$25,0))="retain",OR(INDEX('C_jama.2024.4183'!$E$2:$E$25,MATCH("2024::jama.2024.4183::C024",'C_jama.2024.4183'!$A$2:$A$25,0))="report_internal_inconsistency",INDEX('C_jama.2024.4183'!$E$2:$E$25,MATCH("2024::jama.2024.4183::C024",'C_jama.2024.4183'!$A$2:$A$25,0))="plan_material")),IF(INDEX('C_jama.2024.4183'!$K$2:$K$25,MATCH("2024::jama.2024.4183::C024",'C_jama.2024.4183'!$A$2:$A$25,0))="","",INDEX('C_jama.2024.4183'!$K$2:$K$25,MATCH("2024::jama.2024.4183::C024",'C_jama.2024.4183'!$A$2:$A$25,0))),"not_applicable")</x:f>
        <x:v>not_applicable</x:v>
      </x:c>
      <x:c r="Y76" s="6" t="str">
        <x:f>IF(AND(INDEX('C_jama.2024.4183'!$D$2:$D$25,MATCH("2024::jama.2024.4183::C024",'C_jama.2024.4183'!$A$2:$A$25,0))="retain",INDEX('C_jama.2024.4183'!$E$2:$E$25,MATCH("2024::jama.2024.4183::C024",'C_jama.2024.4183'!$A$2:$A$25,0))="protocol_report"),IF(INDEX('C_jama.2024.4183'!$L$2:$L$25,MATCH("2024::jama.2024.4183::C024",'C_jama.2024.4183'!$A$2:$A$25,0))="","",INDEX('C_jama.2024.4183'!$L$2:$L$25,MATCH("2024::jama.2024.4183::C024",'C_jama.2024.4183'!$A$2:$A$25,0))),"not_applicable")</x:f>
        <x:v>not_applicable</x:v>
      </x:c>
      <x:c r="Z76" s="6" t="str">
        <x:f>IF(INDEX('C_jama.2024.4183'!$R$2:$R$25,MATCH("2024::jama.2024.4183::C024",'C_jama.2024.4183'!$A$2:$A$25,0))="","",INDEX('C_jama.2024.4183'!$R$2:$R$25,MATCH("2024::jama.2024.4183::C024",'C_jama.2024.4183'!$A$2:$A$25,0)))</x:f>
      </x:c>
      <x:c r="AA76" s="6" t="str">
        <x:f>IF(INDEX('C_jama.2024.4183'!$N$2:$N$25,MATCH("2024::jama.2024.4183::C024",'C_jama.2024.4183'!$A$2:$A$25,0))="","",INDEX('C_jama.2024.4183'!$N$2:$N$25,MATCH("2024::jama.2024.4183::C024",'C_jama.2024.4183'!$A$2:$A$25,0)))</x:f>
      </x:c>
      <x:c r="AB76" s="6" t="str">
        <x:f>IF(INDEX('C_jama.2024.4183'!$O$2:$O$25,MATCH("2024::jama.2024.4183::C024",'C_jama.2024.4183'!$A$2:$A$25,0))="","",INDEX('C_jama.2024.4183'!$O$2:$O$25,MATCH("2024::jama.2024.4183::C024",'C_jama.2024.4183'!$A$2:$A$25,0)))</x:f>
      </x:c>
      <x:c r="AC76" s="6" t="str">
        <x:f>IF(INDEX('C_jama.2024.4183'!$P$2:$P$25,MATCH("2024::jama.2024.4183::C024",'C_jama.2024.4183'!$A$2:$A$25,0))="","",INDEX('C_jama.2024.4183'!$P$2:$P$25,MATCH("2024::jama.2024.4183::C024",'C_jama.2024.4183'!$A$2:$A$25,0)))</x:f>
      </x:c>
      <x:c r="AD76" s="6" t="str">
        <x:f>IF(INDEX('C_jama.2024.4183'!$Q$2:$Q$25,MATCH("2024::jama.2024.4183::C024",'C_jama.2024.4183'!$A$2:$A$25,0))="","",INDEX('C_jama.2024.4183'!$Q$2:$Q$25,MATCH("2024::jama.2024.4183::C024",'C_jama.2024.4183'!$A$2:$A$25,0)))</x:f>
      </x:c>
    </x:row>
    <x:row r="77" ht="65" customHeight="1">
      <x:c r="A77" s="3" t="n">
        <x:v>2024</x:v>
      </x:c>
      <x:c r="B77" s="3" t="str">
        <x:v>jama.2024.6063</x:v>
      </x:c>
      <x:c r="C77" s="3" t="str">
        <x:v>2024::jama.2024.6063::C001</x:v>
      </x:c>
      <x:c r="D77" s="3" t="str">
        <x:v>S_W</x:v>
      </x:c>
      <x:c r="E77" s="3" t="n">
        <x:f>Setup!$B$2</x:f>
        <x:v>0</x:v>
      </x:c>
      <x:c r="F77" s="3" t="str">
        <x:f>IF(Setup!$B$4="","",Setup!$B$4)</x:f>
      </x:c>
      <x:c r="G77" s="3" t="str">
        <x:f>IFERROR(INDEX('C_jama.2024.6063'!$G$2:$G$17,MATCH("2024::jama.2024.6063::C001",'C_jama.2024.6063'!$A$2:$A$17,0)),"CHECK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statistical_results</x:v>
      </x:c>
      <x:c r="K77" s="3" t="str">
        <x:f>IF(Setup!$B$6="primary","",IFERROR(IF(INDEX('Primary_snapshot'!$B$2:$B$92,MATCH(C77,'Primary_snapshot'!$A$2:$A$92,0))="","",INDEX('Primary_snapshot'!$B$2:$B$92,MATCH(C77,'Primary_snapshot'!$A$2:$A$92,0))),"SNAPSHOT MISSING"))</x:f>
      </x:c>
      <x:c r="L77" s="3" t="str">
        <x:f>IF(Setup!$B$6="primary","",IFERROR(IF(INDEX('Primary_snapshot'!$C$2:$C$92,MATCH(C77,'Primary_snapshot'!$A$2:$A$92,0))="","",INDEX('Primary_snapshot'!$C$2:$C$92,MATCH(C77,'Primary_snapshot'!$A$2:$A$92,0))),"SNAPSHOT MISSING"))</x:f>
      </x:c>
      <x:c r="M77" s="3" t="str">
        <x:f>IF(Setup!$B$6="primary","",IFERROR(IF(INDEX('Primary_snapshot'!$D$2:$D$92,MATCH(C77,'Primary_snapshot'!$A$2:$A$92,0))="","",INDEX('Primary_snapshot'!$D$2:$D$92,MATCH(C77,'Primary_snapshot'!$A$2:$A$92,0))),"SNAPSHOT MISSING"))</x:f>
      </x:c>
      <x:c r="N77" s="3" t="str">
        <x:f>IF(Setup!$B$6="primary","",IFERROR(IF(INDEX('Primary_snapshot'!$E$2:$E$92,MATCH(C77,'Primary_snapshot'!$A$2:$A$92,0))="","",INDEX('Primary_snapshot'!$E$2:$E$92,MATCH(C77,'Primary_snapshot'!$A$2:$A$92,0))),"SNAPSHOT MISSING"))</x:f>
      </x:c>
      <x:c r="O77" s="3" t="str">
        <x:f>IF(Setup!$B$6="primary","",IFERROR(IF(INDEX('Primary_snapshot'!$F$2:$F$92,MATCH(C77,'Primary_snapshot'!$A$2:$A$92,0))="","",INDEX('Primary_snapshot'!$F$2:$F$92,MATCH(C77,'Primary_snapshot'!$A$2:$A$92,0))),"SNAPSHOT MISSING"))</x:f>
      </x:c>
      <x:c r="P77" s="3" t="str">
        <x:f>IF(Setup!$B$6="primary","",IFERROR(IF(INDEX('Primary_snapshot'!$G$2:$G$92,MATCH(C77,'Primary_snapshot'!$A$2:$A$92,0))="","",INDEX('Primary_snapshot'!$G$2:$G$92,MATCH(C77,'Primary_snapshot'!$A$2:$A$92,0))),"SNAPSHOT MISSING"))</x:f>
      </x:c>
      <x:c r="Q77" s="3" t="str">
        <x:f>IF(Setup!$B$6="primary","",IFERROR(IF(INDEX('Primary_snapshot'!$H$2:$H$92,MATCH(C77,'Primary_snapshot'!$A$2:$A$92,0))="","",INDEX('Primary_snapshot'!$H$2:$H$92,MATCH(C77,'Primary_snapshot'!$A$2:$A$92,0))),"SNAPSHOT MISSING"))</x:f>
      </x:c>
      <x:c r="R77" s="3" t="str">
        <x:f>IF(Setup!$B$6="primary","",IFERROR(IF(INDEX('Primary_snapshot'!$I$2:$I$92,MATCH(C77,'Primary_snapshot'!$A$2:$A$92,0))="","",INDEX('Primary_snapshot'!$I$2:$I$92,MATCH(C77,'Primary_snapshot'!$A$2:$A$92,0))),"SNAPSHOT MISSING"))</x:f>
      </x:c>
      <x:c r="S77" s="3" t="str">
        <x:f>IF(INDEX('C_jama.2024.6063'!$D$2:$D$17,MATCH("2024::jama.2024.6063::C001",'C_jama.2024.6063'!$A$2:$A$17,0))="","",INDEX('C_jama.2024.6063'!$D$2:$D$17,MATCH("2024::jama.2024.6063::C001",'C_jama.2024.6063'!$A$2:$A$17,0)))</x:f>
      </x:c>
      <x:c r="T77" s="3" t="str">
        <x:f>IF(INDEX('C_jama.2024.6063'!$E$2:$E$17,MATCH("2024::jama.2024.6063::C001",'C_jama.2024.6063'!$A$2:$A$17,0))="","",INDEX('C_jama.2024.6063'!$E$2:$E$17,MATCH("2024::jama.2024.6063::C001",'C_jama.2024.6063'!$A$2:$A$17,0)))</x:f>
        <x:v>statistical_results</x:v>
      </x:c>
      <x:c r="U77" s="3" t="str">
        <x:f>IF(AND(INDEX('C_jama.2024.6063'!$D$2:$D$17,MATCH("2024::jama.2024.6063::C001",'C_jama.2024.6063'!$A$2:$A$17,0))="retain",INDEX('C_jama.2024.6063'!$E$2:$E$17,MATCH("2024::jama.2024.6063::C001",'C_jama.2024.6063'!$A$2:$A$17,0))="statistical_results"),IF(INDEX('C_jama.2024.6063'!$H$2:$H$17,MATCH("2024::jama.2024.6063::C001",'C_jama.2024.6063'!$A$2:$A$17,0))="","",INDEX('C_jama.2024.6063'!$H$2:$H$17,MATCH("2024::jama.2024.6063::C001",'C_jama.2024.6063'!$A$2:$A$17,0))),"not_applicable")</x:f>
        <x:v>not_applicable</x:v>
      </x:c>
      <x:c r="V77" s="3" t="str">
        <x:f>IF(AND(INDEX('C_jama.2024.6063'!$D$2:$D$17,MATCH("2024::jama.2024.6063::C001",'C_jama.2024.6063'!$A$2:$A$17,0))="retain",INDEX('C_jama.2024.6063'!$E$2:$E$17,MATCH("2024::jama.2024.6063::C001",'C_jama.2024.6063'!$A$2:$A$17,0))="statistical_results"),IF(INDEX('C_jama.2024.6063'!$I$2:$I$17,MATCH("2024::jama.2024.6063::C001",'C_jama.2024.6063'!$A$2:$A$17,0))="","",INDEX('C_jama.2024.6063'!$I$2:$I$17,MATCH("2024::jama.2024.6063::C001",'C_jama.2024.6063'!$A$2:$A$17,0))),"not_applicable")</x:f>
        <x:v>not_applicable</x:v>
      </x:c>
      <x:c r="W77" s="3" t="str">
        <x:f>IF(AND(INDEX('C_jama.2024.6063'!$D$2:$D$17,MATCH("2024::jama.2024.6063::C001",'C_jama.2024.6063'!$A$2:$A$17,0))="retain",INDEX('C_jama.2024.6063'!$E$2:$E$17,MATCH("2024::jama.2024.6063::C001",'C_jama.2024.6063'!$A$2:$A$17,0))="statistical_results"),IF(INDEX('C_jama.2024.6063'!$J$2:$J$17,MATCH("2024::jama.2024.6063::C001",'C_jama.2024.6063'!$A$2:$A$17,0))="","",INDEX('C_jama.2024.6063'!$J$2:$J$17,MATCH("2024::jama.2024.6063::C001",'C_jama.2024.6063'!$A$2:$A$17,0))),"not_applicable")</x:f>
        <x:v>not_applicable</x:v>
      </x:c>
      <x:c r="X77" s="3" t="str">
        <x:f>IF(AND(INDEX('C_jama.2024.6063'!$D$2:$D$17,MATCH("2024::jama.2024.6063::C001",'C_jama.2024.6063'!$A$2:$A$17,0))="retain",OR(INDEX('C_jama.2024.6063'!$E$2:$E$17,MATCH("2024::jama.2024.6063::C001",'C_jama.2024.6063'!$A$2:$A$17,0))="report_internal_inconsistency",INDEX('C_jama.2024.6063'!$E$2:$E$17,MATCH("2024::jama.2024.6063::C001",'C_jama.2024.6063'!$A$2:$A$17,0))="plan_material")),IF(INDEX('C_jama.2024.6063'!$K$2:$K$17,MATCH("2024::jama.2024.6063::C001",'C_jama.2024.6063'!$A$2:$A$17,0))="","",INDEX('C_jama.2024.6063'!$K$2:$K$17,MATCH("2024::jama.2024.6063::C001",'C_jama.2024.6063'!$A$2:$A$17,0))),"not_applicable")</x:f>
        <x:v>not_applicable</x:v>
      </x:c>
      <x:c r="Y77" s="3" t="str">
        <x:f>IF(AND(INDEX('C_jama.2024.6063'!$D$2:$D$17,MATCH("2024::jama.2024.6063::C001",'C_jama.2024.6063'!$A$2:$A$17,0))="retain",INDEX('C_jama.2024.6063'!$E$2:$E$17,MATCH("2024::jama.2024.6063::C001",'C_jama.2024.6063'!$A$2:$A$17,0))="protocol_report"),IF(INDEX('C_jama.2024.6063'!$L$2:$L$17,MATCH("2024::jama.2024.6063::C001",'C_jama.2024.6063'!$A$2:$A$17,0))="","",INDEX('C_jama.2024.6063'!$L$2:$L$17,MATCH("2024::jama.2024.6063::C001",'C_jama.2024.6063'!$A$2:$A$17,0))),"not_applicable")</x:f>
        <x:v>not_applicable</x:v>
      </x:c>
      <x:c r="Z77" s="3" t="str">
        <x:f>IF(INDEX('C_jama.2024.6063'!$R$2:$R$17,MATCH("2024::jama.2024.6063::C001",'C_jama.2024.6063'!$A$2:$A$17,0))="","",INDEX('C_jama.2024.6063'!$R$2:$R$17,MATCH("2024::jama.2024.6063::C001",'C_jama.2024.6063'!$A$2:$A$17,0)))</x:f>
      </x:c>
      <x:c r="AA77" s="3" t="str">
        <x:f>IF(INDEX('C_jama.2024.6063'!$N$2:$N$17,MATCH("2024::jama.2024.6063::C001",'C_jama.2024.6063'!$A$2:$A$17,0))="","",INDEX('C_jama.2024.6063'!$N$2:$N$17,MATCH("2024::jama.2024.6063::C001",'C_jama.2024.6063'!$A$2:$A$17,0)))</x:f>
      </x:c>
      <x:c r="AB77" s="3" t="str">
        <x:f>IF(INDEX('C_jama.2024.6063'!$O$2:$O$17,MATCH("2024::jama.2024.6063::C001",'C_jama.2024.6063'!$A$2:$A$17,0))="","",INDEX('C_jama.2024.6063'!$O$2:$O$17,MATCH("2024::jama.2024.6063::C001",'C_jama.2024.6063'!$A$2:$A$17,0)))</x:f>
      </x:c>
      <x:c r="AC77" s="3" t="str">
        <x:f>IF(INDEX('C_jama.2024.6063'!$P$2:$P$17,MATCH("2024::jama.2024.6063::C001",'C_jama.2024.6063'!$A$2:$A$17,0))="","",INDEX('C_jama.2024.6063'!$P$2:$P$17,MATCH("2024::jama.2024.6063::C001",'C_jama.2024.6063'!$A$2:$A$17,0)))</x:f>
      </x:c>
      <x:c r="AD77" s="3" t="str">
        <x:f>IF(INDEX('C_jama.2024.6063'!$Q$2:$Q$17,MATCH("2024::jama.2024.6063::C001",'C_jama.2024.6063'!$A$2:$A$17,0))="","",INDEX('C_jama.2024.6063'!$Q$2:$Q$17,MATCH("2024::jama.2024.6063::C001",'C_jama.2024.6063'!$A$2:$A$17,0)))</x:f>
      </x:c>
    </x:row>
    <x:row r="78" ht="65" customHeight="1">
      <x:c r="A78" s="6" t="n">
        <x:v>2024</x:v>
      </x:c>
      <x:c r="B78" s="6" t="str">
        <x:v>jama.2024.6063</x:v>
      </x:c>
      <x:c r="C78" s="6" t="str">
        <x:v>2024::jama.2024.6063::C002</x:v>
      </x:c>
      <x:c r="D78" s="6" t="str">
        <x:v>S_W</x:v>
      </x:c>
      <x:c r="E78" s="6" t="n">
        <x:f>Setup!$B$2</x:f>
        <x:v>0</x:v>
      </x:c>
      <x:c r="F78" s="6" t="str">
        <x:f>IF(Setup!$B$4="","",Setup!$B$4)</x:f>
      </x:c>
      <x:c r="G78" s="6" t="str">
        <x:f>IFERROR(INDEX('C_jama.2024.6063'!$G$2:$G$17,MATCH("2024::jama.2024.6063::C002",'C_jama.2024.6063'!$A$2:$A$17,0)),"CHECK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statistical_results</x:v>
      </x:c>
      <x:c r="K78" s="6" t="str">
        <x:f>IF(Setup!$B$6="primary","",IFERROR(IF(INDEX('Primary_snapshot'!$B$2:$B$92,MATCH(C78,'Primary_snapshot'!$A$2:$A$92,0))="","",INDEX('Primary_snapshot'!$B$2:$B$92,MATCH(C78,'Primary_snapshot'!$A$2:$A$92,0))),"SNAPSHOT MISSING"))</x:f>
      </x:c>
      <x:c r="L78" s="6" t="str">
        <x:f>IF(Setup!$B$6="primary","",IFERROR(IF(INDEX('Primary_snapshot'!$C$2:$C$92,MATCH(C78,'Primary_snapshot'!$A$2:$A$92,0))="","",INDEX('Primary_snapshot'!$C$2:$C$92,MATCH(C78,'Primary_snapshot'!$A$2:$A$92,0))),"SNAPSHOT MISSING"))</x:f>
      </x:c>
      <x:c r="M78" s="6" t="str">
        <x:f>IF(Setup!$B$6="primary","",IFERROR(IF(INDEX('Primary_snapshot'!$D$2:$D$92,MATCH(C78,'Primary_snapshot'!$A$2:$A$92,0))="","",INDEX('Primary_snapshot'!$D$2:$D$92,MATCH(C78,'Primary_snapshot'!$A$2:$A$92,0))),"SNAPSHOT MISSING"))</x:f>
      </x:c>
      <x:c r="N78" s="6" t="str">
        <x:f>IF(Setup!$B$6="primary","",IFERROR(IF(INDEX('Primary_snapshot'!$E$2:$E$92,MATCH(C78,'Primary_snapshot'!$A$2:$A$92,0))="","",INDEX('Primary_snapshot'!$E$2:$E$92,MATCH(C78,'Primary_snapshot'!$A$2:$A$92,0))),"SNAPSHOT MISSING"))</x:f>
      </x:c>
      <x:c r="O78" s="6" t="str">
        <x:f>IF(Setup!$B$6="primary","",IFERROR(IF(INDEX('Primary_snapshot'!$F$2:$F$92,MATCH(C78,'Primary_snapshot'!$A$2:$A$92,0))="","",INDEX('Primary_snapshot'!$F$2:$F$92,MATCH(C78,'Primary_snapshot'!$A$2:$A$92,0))),"SNAPSHOT MISSING"))</x:f>
      </x:c>
      <x:c r="P78" s="6" t="str">
        <x:f>IF(Setup!$B$6="primary","",IFERROR(IF(INDEX('Primary_snapshot'!$G$2:$G$92,MATCH(C78,'Primary_snapshot'!$A$2:$A$92,0))="","",INDEX('Primary_snapshot'!$G$2:$G$92,MATCH(C78,'Primary_snapshot'!$A$2:$A$92,0))),"SNAPSHOT MISSING"))</x:f>
      </x:c>
      <x:c r="Q78" s="6" t="str">
        <x:f>IF(Setup!$B$6="primary","",IFERROR(IF(INDEX('Primary_snapshot'!$H$2:$H$92,MATCH(C78,'Primary_snapshot'!$A$2:$A$92,0))="","",INDEX('Primary_snapshot'!$H$2:$H$92,MATCH(C78,'Primary_snapshot'!$A$2:$A$92,0))),"SNAPSHOT MISSING"))</x:f>
      </x:c>
      <x:c r="R78" s="6" t="str">
        <x:f>IF(Setup!$B$6="primary","",IFERROR(IF(INDEX('Primary_snapshot'!$I$2:$I$92,MATCH(C78,'Primary_snapshot'!$A$2:$A$92,0))="","",INDEX('Primary_snapshot'!$I$2:$I$92,MATCH(C78,'Primary_snapshot'!$A$2:$A$92,0))),"SNAPSHOT MISSING"))</x:f>
      </x:c>
      <x:c r="S78" s="6" t="str">
        <x:f>IF(INDEX('C_jama.2024.6063'!$D$2:$D$17,MATCH("2024::jama.2024.6063::C002",'C_jama.2024.6063'!$A$2:$A$17,0))="","",INDEX('C_jama.2024.6063'!$D$2:$D$17,MATCH("2024::jama.2024.6063::C002",'C_jama.2024.6063'!$A$2:$A$17,0)))</x:f>
      </x:c>
      <x:c r="T78" s="6" t="str">
        <x:f>IF(INDEX('C_jama.2024.6063'!$E$2:$E$17,MATCH("2024::jama.2024.6063::C002",'C_jama.2024.6063'!$A$2:$A$17,0))="","",INDEX('C_jama.2024.6063'!$E$2:$E$17,MATCH("2024::jama.2024.6063::C002",'C_jama.2024.6063'!$A$2:$A$17,0)))</x:f>
        <x:v>statistical_results</x:v>
      </x:c>
      <x:c r="U78" s="6" t="str">
        <x:f>IF(AND(INDEX('C_jama.2024.6063'!$D$2:$D$17,MATCH("2024::jama.2024.6063::C002",'C_jama.2024.6063'!$A$2:$A$17,0))="retain",INDEX('C_jama.2024.6063'!$E$2:$E$17,MATCH("2024::jama.2024.6063::C002",'C_jama.2024.6063'!$A$2:$A$17,0))="statistical_results"),IF(INDEX('C_jama.2024.6063'!$H$2:$H$17,MATCH("2024::jama.2024.6063::C002",'C_jama.2024.6063'!$A$2:$A$17,0))="","",INDEX('C_jama.2024.6063'!$H$2:$H$17,MATCH("2024::jama.2024.6063::C002",'C_jama.2024.6063'!$A$2:$A$17,0))),"not_applicable")</x:f>
        <x:v>not_applicable</x:v>
      </x:c>
      <x:c r="V78" s="6" t="str">
        <x:f>IF(AND(INDEX('C_jama.2024.6063'!$D$2:$D$17,MATCH("2024::jama.2024.6063::C002",'C_jama.2024.6063'!$A$2:$A$17,0))="retain",INDEX('C_jama.2024.6063'!$E$2:$E$17,MATCH("2024::jama.2024.6063::C002",'C_jama.2024.6063'!$A$2:$A$17,0))="statistical_results"),IF(INDEX('C_jama.2024.6063'!$I$2:$I$17,MATCH("2024::jama.2024.6063::C002",'C_jama.2024.6063'!$A$2:$A$17,0))="","",INDEX('C_jama.2024.6063'!$I$2:$I$17,MATCH("2024::jama.2024.6063::C002",'C_jama.2024.6063'!$A$2:$A$17,0))),"not_applicable")</x:f>
        <x:v>not_applicable</x:v>
      </x:c>
      <x:c r="W78" s="6" t="str">
        <x:f>IF(AND(INDEX('C_jama.2024.6063'!$D$2:$D$17,MATCH("2024::jama.2024.6063::C002",'C_jama.2024.6063'!$A$2:$A$17,0))="retain",INDEX('C_jama.2024.6063'!$E$2:$E$17,MATCH("2024::jama.2024.6063::C002",'C_jama.2024.6063'!$A$2:$A$17,0))="statistical_results"),IF(INDEX('C_jama.2024.6063'!$J$2:$J$17,MATCH("2024::jama.2024.6063::C002",'C_jama.2024.6063'!$A$2:$A$17,0))="","",INDEX('C_jama.2024.6063'!$J$2:$J$17,MATCH("2024::jama.2024.6063::C002",'C_jama.2024.6063'!$A$2:$A$17,0))),"not_applicable")</x:f>
        <x:v>not_applicable</x:v>
      </x:c>
      <x:c r="X78" s="6" t="str">
        <x:f>IF(AND(INDEX('C_jama.2024.6063'!$D$2:$D$17,MATCH("2024::jama.2024.6063::C002",'C_jama.2024.6063'!$A$2:$A$17,0))="retain",OR(INDEX('C_jama.2024.6063'!$E$2:$E$17,MATCH("2024::jama.2024.6063::C002",'C_jama.2024.6063'!$A$2:$A$17,0))="report_internal_inconsistency",INDEX('C_jama.2024.6063'!$E$2:$E$17,MATCH("2024::jama.2024.6063::C002",'C_jama.2024.6063'!$A$2:$A$17,0))="plan_material")),IF(INDEX('C_jama.2024.6063'!$K$2:$K$17,MATCH("2024::jama.2024.6063::C002",'C_jama.2024.6063'!$A$2:$A$17,0))="","",INDEX('C_jama.2024.6063'!$K$2:$K$17,MATCH("2024::jama.2024.6063::C002",'C_jama.2024.6063'!$A$2:$A$17,0))),"not_applicable")</x:f>
        <x:v>not_applicable</x:v>
      </x:c>
      <x:c r="Y78" s="6" t="str">
        <x:f>IF(AND(INDEX('C_jama.2024.6063'!$D$2:$D$17,MATCH("2024::jama.2024.6063::C002",'C_jama.2024.6063'!$A$2:$A$17,0))="retain",INDEX('C_jama.2024.6063'!$E$2:$E$17,MATCH("2024::jama.2024.6063::C002",'C_jama.2024.6063'!$A$2:$A$17,0))="protocol_report"),IF(INDEX('C_jama.2024.6063'!$L$2:$L$17,MATCH("2024::jama.2024.6063::C002",'C_jama.2024.6063'!$A$2:$A$17,0))="","",INDEX('C_jama.2024.6063'!$L$2:$L$17,MATCH("2024::jama.2024.6063::C002",'C_jama.2024.6063'!$A$2:$A$17,0))),"not_applicable")</x:f>
        <x:v>not_applicable</x:v>
      </x:c>
      <x:c r="Z78" s="6" t="str">
        <x:f>IF(INDEX('C_jama.2024.6063'!$R$2:$R$17,MATCH("2024::jama.2024.6063::C002",'C_jama.2024.6063'!$A$2:$A$17,0))="","",INDEX('C_jama.2024.6063'!$R$2:$R$17,MATCH("2024::jama.2024.6063::C002",'C_jama.2024.6063'!$A$2:$A$17,0)))</x:f>
      </x:c>
      <x:c r="AA78" s="6" t="str">
        <x:f>IF(INDEX('C_jama.2024.6063'!$N$2:$N$17,MATCH("2024::jama.2024.6063::C002",'C_jama.2024.6063'!$A$2:$A$17,0))="","",INDEX('C_jama.2024.6063'!$N$2:$N$17,MATCH("2024::jama.2024.6063::C002",'C_jama.2024.6063'!$A$2:$A$17,0)))</x:f>
      </x:c>
      <x:c r="AB78" s="6" t="str">
        <x:f>IF(INDEX('C_jama.2024.6063'!$O$2:$O$17,MATCH("2024::jama.2024.6063::C002",'C_jama.2024.6063'!$A$2:$A$17,0))="","",INDEX('C_jama.2024.6063'!$O$2:$O$17,MATCH("2024::jama.2024.6063::C002",'C_jama.2024.6063'!$A$2:$A$17,0)))</x:f>
      </x:c>
      <x:c r="AC78" s="6" t="str">
        <x:f>IF(INDEX('C_jama.2024.6063'!$P$2:$P$17,MATCH("2024::jama.2024.6063::C002",'C_jama.2024.6063'!$A$2:$A$17,0))="","",INDEX('C_jama.2024.6063'!$P$2:$P$17,MATCH("2024::jama.2024.6063::C002",'C_jama.2024.6063'!$A$2:$A$17,0)))</x:f>
      </x:c>
      <x:c r="AD78" s="6" t="str">
        <x:f>IF(INDEX('C_jama.2024.6063'!$Q$2:$Q$17,MATCH("2024::jama.2024.6063::C002",'C_jama.2024.6063'!$A$2:$A$17,0))="","",INDEX('C_jama.2024.6063'!$Q$2:$Q$17,MATCH("2024::jama.2024.6063::C002",'C_jama.2024.6063'!$A$2:$A$17,0)))</x:f>
      </x:c>
    </x:row>
    <x:row r="79" ht="65" customHeight="1">
      <x:c r="A79" s="3" t="n">
        <x:v>2024</x:v>
      </x:c>
      <x:c r="B79" s="3" t="str">
        <x:v>jama.2024.6063</x:v>
      </x:c>
      <x:c r="C79" s="3" t="str">
        <x:v>2024::jama.2024.6063::C003</x:v>
      </x:c>
      <x:c r="D79" s="3" t="str">
        <x:v>S_W</x:v>
      </x:c>
      <x:c r="E79" s="3" t="n">
        <x:f>Setup!$B$2</x:f>
        <x:v>0</x:v>
      </x:c>
      <x:c r="F79" s="3" t="str">
        <x:f>IF(Setup!$B$4="","",Setup!$B$4)</x:f>
      </x:c>
      <x:c r="G79" s="3" t="str">
        <x:f>IFERROR(INDEX('C_jama.2024.6063'!$G$2:$G$17,MATCH("2024::jama.2024.6063::C003",'C_jama.2024.6063'!$A$2:$A$17,0)),"CHECK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statistical_results</x:v>
      </x:c>
      <x:c r="K79" s="3" t="str">
        <x:f>IF(Setup!$B$6="primary","",IFERROR(IF(INDEX('Primary_snapshot'!$B$2:$B$92,MATCH(C79,'Primary_snapshot'!$A$2:$A$92,0))="","",INDEX('Primary_snapshot'!$B$2:$B$92,MATCH(C79,'Primary_snapshot'!$A$2:$A$92,0))),"SNAPSHOT MISSING"))</x:f>
      </x:c>
      <x:c r="L79" s="3" t="str">
        <x:f>IF(Setup!$B$6="primary","",IFERROR(IF(INDEX('Primary_snapshot'!$C$2:$C$92,MATCH(C79,'Primary_snapshot'!$A$2:$A$92,0))="","",INDEX('Primary_snapshot'!$C$2:$C$92,MATCH(C79,'Primary_snapshot'!$A$2:$A$92,0))),"SNAPSHOT MISSING"))</x:f>
      </x:c>
      <x:c r="M79" s="3" t="str">
        <x:f>IF(Setup!$B$6="primary","",IFERROR(IF(INDEX('Primary_snapshot'!$D$2:$D$92,MATCH(C79,'Primary_snapshot'!$A$2:$A$92,0))="","",INDEX('Primary_snapshot'!$D$2:$D$92,MATCH(C79,'Primary_snapshot'!$A$2:$A$92,0))),"SNAPSHOT MISSING"))</x:f>
      </x:c>
      <x:c r="N79" s="3" t="str">
        <x:f>IF(Setup!$B$6="primary","",IFERROR(IF(INDEX('Primary_snapshot'!$E$2:$E$92,MATCH(C79,'Primary_snapshot'!$A$2:$A$92,0))="","",INDEX('Primary_snapshot'!$E$2:$E$92,MATCH(C79,'Primary_snapshot'!$A$2:$A$92,0))),"SNAPSHOT MISSING"))</x:f>
      </x:c>
      <x:c r="O79" s="3" t="str">
        <x:f>IF(Setup!$B$6="primary","",IFERROR(IF(INDEX('Primary_snapshot'!$F$2:$F$92,MATCH(C79,'Primary_snapshot'!$A$2:$A$92,0))="","",INDEX('Primary_snapshot'!$F$2:$F$92,MATCH(C79,'Primary_snapshot'!$A$2:$A$92,0))),"SNAPSHOT MISSING"))</x:f>
      </x:c>
      <x:c r="P79" s="3" t="str">
        <x:f>IF(Setup!$B$6="primary","",IFERROR(IF(INDEX('Primary_snapshot'!$G$2:$G$92,MATCH(C79,'Primary_snapshot'!$A$2:$A$92,0))="","",INDEX('Primary_snapshot'!$G$2:$G$92,MATCH(C79,'Primary_snapshot'!$A$2:$A$92,0))),"SNAPSHOT MISSING"))</x:f>
      </x:c>
      <x:c r="Q79" s="3" t="str">
        <x:f>IF(Setup!$B$6="primary","",IFERROR(IF(INDEX('Primary_snapshot'!$H$2:$H$92,MATCH(C79,'Primary_snapshot'!$A$2:$A$92,0))="","",INDEX('Primary_snapshot'!$H$2:$H$92,MATCH(C79,'Primary_snapshot'!$A$2:$A$92,0))),"SNAPSHOT MISSING"))</x:f>
      </x:c>
      <x:c r="R79" s="3" t="str">
        <x:f>IF(Setup!$B$6="primary","",IFERROR(IF(INDEX('Primary_snapshot'!$I$2:$I$92,MATCH(C79,'Primary_snapshot'!$A$2:$A$92,0))="","",INDEX('Primary_snapshot'!$I$2:$I$92,MATCH(C79,'Primary_snapshot'!$A$2:$A$92,0))),"SNAPSHOT MISSING"))</x:f>
      </x:c>
      <x:c r="S79" s="3" t="str">
        <x:f>IF(INDEX('C_jama.2024.6063'!$D$2:$D$17,MATCH("2024::jama.2024.6063::C003",'C_jama.2024.6063'!$A$2:$A$17,0))="","",INDEX('C_jama.2024.6063'!$D$2:$D$17,MATCH("2024::jama.2024.6063::C003",'C_jama.2024.6063'!$A$2:$A$17,0)))</x:f>
      </x:c>
      <x:c r="T79" s="3" t="str">
        <x:f>IF(INDEX('C_jama.2024.6063'!$E$2:$E$17,MATCH("2024::jama.2024.6063::C003",'C_jama.2024.6063'!$A$2:$A$17,0))="","",INDEX('C_jama.2024.6063'!$E$2:$E$17,MATCH("2024::jama.2024.6063::C003",'C_jama.2024.6063'!$A$2:$A$17,0)))</x:f>
        <x:v>statistical_results</x:v>
      </x:c>
      <x:c r="U79" s="3" t="str">
        <x:f>IF(AND(INDEX('C_jama.2024.6063'!$D$2:$D$17,MATCH("2024::jama.2024.6063::C003",'C_jama.2024.6063'!$A$2:$A$17,0))="retain",INDEX('C_jama.2024.6063'!$E$2:$E$17,MATCH("2024::jama.2024.6063::C003",'C_jama.2024.6063'!$A$2:$A$17,0))="statistical_results"),IF(INDEX('C_jama.2024.6063'!$H$2:$H$17,MATCH("2024::jama.2024.6063::C003",'C_jama.2024.6063'!$A$2:$A$17,0))="","",INDEX('C_jama.2024.6063'!$H$2:$H$17,MATCH("2024::jama.2024.6063::C003",'C_jama.2024.6063'!$A$2:$A$17,0))),"not_applicable")</x:f>
        <x:v>not_applicable</x:v>
      </x:c>
      <x:c r="V79" s="3" t="str">
        <x:f>IF(AND(INDEX('C_jama.2024.6063'!$D$2:$D$17,MATCH("2024::jama.2024.6063::C003",'C_jama.2024.6063'!$A$2:$A$17,0))="retain",INDEX('C_jama.2024.6063'!$E$2:$E$17,MATCH("2024::jama.2024.6063::C003",'C_jama.2024.6063'!$A$2:$A$17,0))="statistical_results"),IF(INDEX('C_jama.2024.6063'!$I$2:$I$17,MATCH("2024::jama.2024.6063::C003",'C_jama.2024.6063'!$A$2:$A$17,0))="","",INDEX('C_jama.2024.6063'!$I$2:$I$17,MATCH("2024::jama.2024.6063::C003",'C_jama.2024.6063'!$A$2:$A$17,0))),"not_applicable")</x:f>
        <x:v>not_applicable</x:v>
      </x:c>
      <x:c r="W79" s="3" t="str">
        <x:f>IF(AND(INDEX('C_jama.2024.6063'!$D$2:$D$17,MATCH("2024::jama.2024.6063::C003",'C_jama.2024.6063'!$A$2:$A$17,0))="retain",INDEX('C_jama.2024.6063'!$E$2:$E$17,MATCH("2024::jama.2024.6063::C003",'C_jama.2024.6063'!$A$2:$A$17,0))="statistical_results"),IF(INDEX('C_jama.2024.6063'!$J$2:$J$17,MATCH("2024::jama.2024.6063::C003",'C_jama.2024.6063'!$A$2:$A$17,0))="","",INDEX('C_jama.2024.6063'!$J$2:$J$17,MATCH("2024::jama.2024.6063::C003",'C_jama.2024.6063'!$A$2:$A$17,0))),"not_applicable")</x:f>
        <x:v>not_applicable</x:v>
      </x:c>
      <x:c r="X79" s="3" t="str">
        <x:f>IF(AND(INDEX('C_jama.2024.6063'!$D$2:$D$17,MATCH("2024::jama.2024.6063::C003",'C_jama.2024.6063'!$A$2:$A$17,0))="retain",OR(INDEX('C_jama.2024.6063'!$E$2:$E$17,MATCH("2024::jama.2024.6063::C003",'C_jama.2024.6063'!$A$2:$A$17,0))="report_internal_inconsistency",INDEX('C_jama.2024.6063'!$E$2:$E$17,MATCH("2024::jama.2024.6063::C003",'C_jama.2024.6063'!$A$2:$A$17,0))="plan_material")),IF(INDEX('C_jama.2024.6063'!$K$2:$K$17,MATCH("2024::jama.2024.6063::C003",'C_jama.2024.6063'!$A$2:$A$17,0))="","",INDEX('C_jama.2024.6063'!$K$2:$K$17,MATCH("2024::jama.2024.6063::C003",'C_jama.2024.6063'!$A$2:$A$17,0))),"not_applicable")</x:f>
        <x:v>not_applicable</x:v>
      </x:c>
      <x:c r="Y79" s="3" t="str">
        <x:f>IF(AND(INDEX('C_jama.2024.6063'!$D$2:$D$17,MATCH("2024::jama.2024.6063::C003",'C_jama.2024.6063'!$A$2:$A$17,0))="retain",INDEX('C_jama.2024.6063'!$E$2:$E$17,MATCH("2024::jama.2024.6063::C003",'C_jama.2024.6063'!$A$2:$A$17,0))="protocol_report"),IF(INDEX('C_jama.2024.6063'!$L$2:$L$17,MATCH("2024::jama.2024.6063::C003",'C_jama.2024.6063'!$A$2:$A$17,0))="","",INDEX('C_jama.2024.6063'!$L$2:$L$17,MATCH("2024::jama.2024.6063::C003",'C_jama.2024.6063'!$A$2:$A$17,0))),"not_applicable")</x:f>
        <x:v>not_applicable</x:v>
      </x:c>
      <x:c r="Z79" s="3" t="str">
        <x:f>IF(INDEX('C_jama.2024.6063'!$R$2:$R$17,MATCH("2024::jama.2024.6063::C003",'C_jama.2024.6063'!$A$2:$A$17,0))="","",INDEX('C_jama.2024.6063'!$R$2:$R$17,MATCH("2024::jama.2024.6063::C003",'C_jama.2024.6063'!$A$2:$A$17,0)))</x:f>
      </x:c>
      <x:c r="AA79" s="3" t="str">
        <x:f>IF(INDEX('C_jama.2024.6063'!$N$2:$N$17,MATCH("2024::jama.2024.6063::C003",'C_jama.2024.6063'!$A$2:$A$17,0))="","",INDEX('C_jama.2024.6063'!$N$2:$N$17,MATCH("2024::jama.2024.6063::C003",'C_jama.2024.6063'!$A$2:$A$17,0)))</x:f>
      </x:c>
      <x:c r="AB79" s="3" t="str">
        <x:f>IF(INDEX('C_jama.2024.6063'!$O$2:$O$17,MATCH("2024::jama.2024.6063::C003",'C_jama.2024.6063'!$A$2:$A$17,0))="","",INDEX('C_jama.2024.6063'!$O$2:$O$17,MATCH("2024::jama.2024.6063::C003",'C_jama.2024.6063'!$A$2:$A$17,0)))</x:f>
      </x:c>
      <x:c r="AC79" s="3" t="str">
        <x:f>IF(INDEX('C_jama.2024.6063'!$P$2:$P$17,MATCH("2024::jama.2024.6063::C003",'C_jama.2024.6063'!$A$2:$A$17,0))="","",INDEX('C_jama.2024.6063'!$P$2:$P$17,MATCH("2024::jama.2024.6063::C003",'C_jama.2024.6063'!$A$2:$A$17,0)))</x:f>
      </x:c>
      <x:c r="AD79" s="3" t="str">
        <x:f>IF(INDEX('C_jama.2024.6063'!$Q$2:$Q$17,MATCH("2024::jama.2024.6063::C003",'C_jama.2024.6063'!$A$2:$A$17,0))="","",INDEX('C_jama.2024.6063'!$Q$2:$Q$17,MATCH("2024::jama.2024.6063::C003",'C_jama.2024.6063'!$A$2:$A$17,0)))</x:f>
      </x:c>
    </x:row>
    <x:row r="80" ht="65" customHeight="1">
      <x:c r="A80" s="6" t="n">
        <x:v>2024</x:v>
      </x:c>
      <x:c r="B80" s="6" t="str">
        <x:v>jama.2024.6063</x:v>
      </x:c>
      <x:c r="C80" s="6" t="str">
        <x:v>2024::jama.2024.6063::C004</x:v>
      </x:c>
      <x:c r="D80" s="6" t="str">
        <x:v>S_W</x:v>
      </x:c>
      <x:c r="E80" s="6" t="n">
        <x:f>Setup!$B$2</x:f>
        <x:v>0</x:v>
      </x:c>
      <x:c r="F80" s="6" t="str">
        <x:f>IF(Setup!$B$4="","",Setup!$B$4)</x:f>
      </x:c>
      <x:c r="G80" s="6" t="str">
        <x:f>IFERROR(INDEX('C_jama.2024.6063'!$G$2:$G$17,MATCH("2024::jama.2024.6063::C004",'C_jama.2024.6063'!$A$2:$A$17,0)),"CHECK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IF(Setup!$B$6="primary","",IFERROR(IF(INDEX('Primary_snapshot'!$B$2:$B$92,MATCH(C80,'Primary_snapshot'!$A$2:$A$92,0))="","",INDEX('Primary_snapshot'!$B$2:$B$92,MATCH(C80,'Primary_snapshot'!$A$2:$A$92,0))),"SNAPSHOT MISSING"))</x:f>
      </x:c>
      <x:c r="L80" s="6" t="str">
        <x:f>IF(Setup!$B$6="primary","",IFERROR(IF(INDEX('Primary_snapshot'!$C$2:$C$92,MATCH(C80,'Primary_snapshot'!$A$2:$A$92,0))="","",INDEX('Primary_snapshot'!$C$2:$C$92,MATCH(C80,'Primary_snapshot'!$A$2:$A$92,0))),"SNAPSHOT MISSING"))</x:f>
      </x:c>
      <x:c r="M80" s="6" t="str">
        <x:f>IF(Setup!$B$6="primary","",IFERROR(IF(INDEX('Primary_snapshot'!$D$2:$D$92,MATCH(C80,'Primary_snapshot'!$A$2:$A$92,0))="","",INDEX('Primary_snapshot'!$D$2:$D$92,MATCH(C80,'Primary_snapshot'!$A$2:$A$92,0))),"SNAPSHOT MISSING"))</x:f>
      </x:c>
      <x:c r="N80" s="6" t="str">
        <x:f>IF(Setup!$B$6="primary","",IFERROR(IF(INDEX('Primary_snapshot'!$E$2:$E$92,MATCH(C80,'Primary_snapshot'!$A$2:$A$92,0))="","",INDEX('Primary_snapshot'!$E$2:$E$92,MATCH(C80,'Primary_snapshot'!$A$2:$A$92,0))),"SNAPSHOT MISSING"))</x:f>
      </x:c>
      <x:c r="O80" s="6" t="str">
        <x:f>IF(Setup!$B$6="primary","",IFERROR(IF(INDEX('Primary_snapshot'!$F$2:$F$92,MATCH(C80,'Primary_snapshot'!$A$2:$A$92,0))="","",INDEX('Primary_snapshot'!$F$2:$F$92,MATCH(C80,'Primary_snapshot'!$A$2:$A$92,0))),"SNAPSHOT MISSING"))</x:f>
      </x:c>
      <x:c r="P80" s="6" t="str">
        <x:f>IF(Setup!$B$6="primary","",IFERROR(IF(INDEX('Primary_snapshot'!$G$2:$G$92,MATCH(C80,'Primary_snapshot'!$A$2:$A$92,0))="","",INDEX('Primary_snapshot'!$G$2:$G$92,MATCH(C80,'Primary_snapshot'!$A$2:$A$92,0))),"SNAPSHOT MISSING"))</x:f>
      </x:c>
      <x:c r="Q80" s="6" t="str">
        <x:f>IF(Setup!$B$6="primary","",IFERROR(IF(INDEX('Primary_snapshot'!$H$2:$H$92,MATCH(C80,'Primary_snapshot'!$A$2:$A$92,0))="","",INDEX('Primary_snapshot'!$H$2:$H$92,MATCH(C80,'Primary_snapshot'!$A$2:$A$92,0))),"SNAPSHOT MISSING"))</x:f>
      </x:c>
      <x:c r="R80" s="6" t="str">
        <x:f>IF(Setup!$B$6="primary","",IFERROR(IF(INDEX('Primary_snapshot'!$I$2:$I$92,MATCH(C80,'Primary_snapshot'!$A$2:$A$92,0))="","",INDEX('Primary_snapshot'!$I$2:$I$92,MATCH(C80,'Primary_snapshot'!$A$2:$A$92,0))),"SNAPSHOT MISSING"))</x:f>
      </x:c>
      <x:c r="S80" s="6" t="str">
        <x:f>IF(INDEX('C_jama.2024.6063'!$D$2:$D$17,MATCH("2024::jama.2024.6063::C004",'C_jama.2024.6063'!$A$2:$A$17,0))="","",INDEX('C_jama.2024.6063'!$D$2:$D$17,MATCH("2024::jama.2024.6063::C004",'C_jama.2024.6063'!$A$2:$A$17,0)))</x:f>
      </x:c>
      <x:c r="T80" s="6" t="str">
        <x:f>IF(INDEX('C_jama.2024.6063'!$E$2:$E$17,MATCH("2024::jama.2024.6063::C004",'C_jama.2024.6063'!$A$2:$A$17,0))="","",INDEX('C_jama.2024.6063'!$E$2:$E$17,MATCH("2024::jama.2024.6063::C004",'C_jama.2024.6063'!$A$2:$A$17,0)))</x:f>
        <x:v>statistical_results</x:v>
      </x:c>
      <x:c r="U80" s="6" t="str">
        <x:f>IF(AND(INDEX('C_jama.2024.6063'!$D$2:$D$17,MATCH("2024::jama.2024.6063::C004",'C_jama.2024.6063'!$A$2:$A$17,0))="retain",INDEX('C_jama.2024.6063'!$E$2:$E$17,MATCH("2024::jama.2024.6063::C004",'C_jama.2024.6063'!$A$2:$A$17,0))="statistical_results"),IF(INDEX('C_jama.2024.6063'!$H$2:$H$17,MATCH("2024::jama.2024.6063::C004",'C_jama.2024.6063'!$A$2:$A$17,0))="","",INDEX('C_jama.2024.6063'!$H$2:$H$17,MATCH("2024::jama.2024.6063::C004",'C_jama.2024.6063'!$A$2:$A$17,0))),"not_applicable")</x:f>
        <x:v>not_applicable</x:v>
      </x:c>
      <x:c r="V80" s="6" t="str">
        <x:f>IF(AND(INDEX('C_jama.2024.6063'!$D$2:$D$17,MATCH("2024::jama.2024.6063::C004",'C_jama.2024.6063'!$A$2:$A$17,0))="retain",INDEX('C_jama.2024.6063'!$E$2:$E$17,MATCH("2024::jama.2024.6063::C004",'C_jama.2024.6063'!$A$2:$A$17,0))="statistical_results"),IF(INDEX('C_jama.2024.6063'!$I$2:$I$17,MATCH("2024::jama.2024.6063::C004",'C_jama.2024.6063'!$A$2:$A$17,0))="","",INDEX('C_jama.2024.6063'!$I$2:$I$17,MATCH("2024::jama.2024.6063::C004",'C_jama.2024.6063'!$A$2:$A$17,0))),"not_applicable")</x:f>
        <x:v>not_applicable</x:v>
      </x:c>
      <x:c r="W80" s="6" t="str">
        <x:f>IF(AND(INDEX('C_jama.2024.6063'!$D$2:$D$17,MATCH("2024::jama.2024.6063::C004",'C_jama.2024.6063'!$A$2:$A$17,0))="retain",INDEX('C_jama.2024.6063'!$E$2:$E$17,MATCH("2024::jama.2024.6063::C004",'C_jama.2024.6063'!$A$2:$A$17,0))="statistical_results"),IF(INDEX('C_jama.2024.6063'!$J$2:$J$17,MATCH("2024::jama.2024.6063::C004",'C_jama.2024.6063'!$A$2:$A$17,0))="","",INDEX('C_jama.2024.6063'!$J$2:$J$17,MATCH("2024::jama.2024.6063::C004",'C_jama.2024.6063'!$A$2:$A$17,0))),"not_applicable")</x:f>
        <x:v>not_applicable</x:v>
      </x:c>
      <x:c r="X80" s="6" t="str">
        <x:f>IF(AND(INDEX('C_jama.2024.6063'!$D$2:$D$17,MATCH("2024::jama.2024.6063::C004",'C_jama.2024.6063'!$A$2:$A$17,0))="retain",OR(INDEX('C_jama.2024.6063'!$E$2:$E$17,MATCH("2024::jama.2024.6063::C004",'C_jama.2024.6063'!$A$2:$A$17,0))="report_internal_inconsistency",INDEX('C_jama.2024.6063'!$E$2:$E$17,MATCH("2024::jama.2024.6063::C004",'C_jama.2024.6063'!$A$2:$A$17,0))="plan_material")),IF(INDEX('C_jama.2024.6063'!$K$2:$K$17,MATCH("2024::jama.2024.6063::C004",'C_jama.2024.6063'!$A$2:$A$17,0))="","",INDEX('C_jama.2024.6063'!$K$2:$K$17,MATCH("2024::jama.2024.6063::C004",'C_jama.2024.6063'!$A$2:$A$17,0))),"not_applicable")</x:f>
        <x:v>not_applicable</x:v>
      </x:c>
      <x:c r="Y80" s="6" t="str">
        <x:f>IF(AND(INDEX('C_jama.2024.6063'!$D$2:$D$17,MATCH("2024::jama.2024.6063::C004",'C_jama.2024.6063'!$A$2:$A$17,0))="retain",INDEX('C_jama.2024.6063'!$E$2:$E$17,MATCH("2024::jama.2024.6063::C004",'C_jama.2024.6063'!$A$2:$A$17,0))="protocol_report"),IF(INDEX('C_jama.2024.6063'!$L$2:$L$17,MATCH("2024::jama.2024.6063::C004",'C_jama.2024.6063'!$A$2:$A$17,0))="","",INDEX('C_jama.2024.6063'!$L$2:$L$17,MATCH("2024::jama.2024.6063::C004",'C_jama.2024.6063'!$A$2:$A$17,0))),"not_applicable")</x:f>
        <x:v>not_applicable</x:v>
      </x:c>
      <x:c r="Z80" s="6" t="str">
        <x:f>IF(INDEX('C_jama.2024.6063'!$R$2:$R$17,MATCH("2024::jama.2024.6063::C004",'C_jama.2024.6063'!$A$2:$A$17,0))="","",INDEX('C_jama.2024.6063'!$R$2:$R$17,MATCH("2024::jama.2024.6063::C004",'C_jama.2024.6063'!$A$2:$A$17,0)))</x:f>
      </x:c>
      <x:c r="AA80" s="6" t="str">
        <x:f>IF(INDEX('C_jama.2024.6063'!$N$2:$N$17,MATCH("2024::jama.2024.6063::C004",'C_jama.2024.6063'!$A$2:$A$17,0))="","",INDEX('C_jama.2024.6063'!$N$2:$N$17,MATCH("2024::jama.2024.6063::C004",'C_jama.2024.6063'!$A$2:$A$17,0)))</x:f>
      </x:c>
      <x:c r="AB80" s="6" t="str">
        <x:f>IF(INDEX('C_jama.2024.6063'!$O$2:$O$17,MATCH("2024::jama.2024.6063::C004",'C_jama.2024.6063'!$A$2:$A$17,0))="","",INDEX('C_jama.2024.6063'!$O$2:$O$17,MATCH("2024::jama.2024.6063::C004",'C_jama.2024.6063'!$A$2:$A$17,0)))</x:f>
      </x:c>
      <x:c r="AC80" s="6" t="str">
        <x:f>IF(INDEX('C_jama.2024.6063'!$P$2:$P$17,MATCH("2024::jama.2024.6063::C004",'C_jama.2024.6063'!$A$2:$A$17,0))="","",INDEX('C_jama.2024.6063'!$P$2:$P$17,MATCH("2024::jama.2024.6063::C004",'C_jama.2024.6063'!$A$2:$A$17,0)))</x:f>
      </x:c>
      <x:c r="AD80" s="6" t="str">
        <x:f>IF(INDEX('C_jama.2024.6063'!$Q$2:$Q$17,MATCH("2024::jama.2024.6063::C004",'C_jama.2024.6063'!$A$2:$A$17,0))="","",INDEX('C_jama.2024.6063'!$Q$2:$Q$17,MATCH("2024::jama.2024.6063::C004",'C_jama.2024.6063'!$A$2:$A$17,0)))</x:f>
      </x:c>
    </x:row>
    <x:row r="81" ht="65" customHeight="1">
      <x:c r="A81" s="3" t="n">
        <x:v>2024</x:v>
      </x:c>
      <x:c r="B81" s="3" t="str">
        <x:v>jama.2024.6063</x:v>
      </x:c>
      <x:c r="C81" s="3" t="str">
        <x:v>2024::jama.2024.6063::C005</x:v>
      </x:c>
      <x:c r="D81" s="3" t="str">
        <x:v>S_W</x:v>
      </x:c>
      <x:c r="E81" s="3" t="n">
        <x:f>Setup!$B$2</x:f>
        <x:v>0</x:v>
      </x:c>
      <x:c r="F81" s="3" t="str">
        <x:f>IF(Setup!$B$4="","",Setup!$B$4)</x:f>
      </x:c>
      <x:c r="G81" s="3" t="str">
        <x:f>IFERROR(INDEX('C_jama.2024.6063'!$G$2:$G$17,MATCH("2024::jama.2024.6063::C005",'C_jama.2024.6063'!$A$2:$A$17,0)),"CHECK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statistical_results</x:v>
      </x:c>
      <x:c r="K81" s="3" t="str">
        <x:f>IF(Setup!$B$6="primary","",IFERROR(IF(INDEX('Primary_snapshot'!$B$2:$B$92,MATCH(C81,'Primary_snapshot'!$A$2:$A$92,0))="","",INDEX('Primary_snapshot'!$B$2:$B$92,MATCH(C81,'Primary_snapshot'!$A$2:$A$92,0))),"SNAPSHOT MISSING"))</x:f>
      </x:c>
      <x:c r="L81" s="3" t="str">
        <x:f>IF(Setup!$B$6="primary","",IFERROR(IF(INDEX('Primary_snapshot'!$C$2:$C$92,MATCH(C81,'Primary_snapshot'!$A$2:$A$92,0))="","",INDEX('Primary_snapshot'!$C$2:$C$92,MATCH(C81,'Primary_snapshot'!$A$2:$A$92,0))),"SNAPSHOT MISSING"))</x:f>
      </x:c>
      <x:c r="M81" s="3" t="str">
        <x:f>IF(Setup!$B$6="primary","",IFERROR(IF(INDEX('Primary_snapshot'!$D$2:$D$92,MATCH(C81,'Primary_snapshot'!$A$2:$A$92,0))="","",INDEX('Primary_snapshot'!$D$2:$D$92,MATCH(C81,'Primary_snapshot'!$A$2:$A$92,0))),"SNAPSHOT MISSING"))</x:f>
      </x:c>
      <x:c r="N81" s="3" t="str">
        <x:f>IF(Setup!$B$6="primary","",IFERROR(IF(INDEX('Primary_snapshot'!$E$2:$E$92,MATCH(C81,'Primary_snapshot'!$A$2:$A$92,0))="","",INDEX('Primary_snapshot'!$E$2:$E$92,MATCH(C81,'Primary_snapshot'!$A$2:$A$92,0))),"SNAPSHOT MISSING"))</x:f>
      </x:c>
      <x:c r="O81" s="3" t="str">
        <x:f>IF(Setup!$B$6="primary","",IFERROR(IF(INDEX('Primary_snapshot'!$F$2:$F$92,MATCH(C81,'Primary_snapshot'!$A$2:$A$92,0))="","",INDEX('Primary_snapshot'!$F$2:$F$92,MATCH(C81,'Primary_snapshot'!$A$2:$A$92,0))),"SNAPSHOT MISSING"))</x:f>
      </x:c>
      <x:c r="P81" s="3" t="str">
        <x:f>IF(Setup!$B$6="primary","",IFERROR(IF(INDEX('Primary_snapshot'!$G$2:$G$92,MATCH(C81,'Primary_snapshot'!$A$2:$A$92,0))="","",INDEX('Primary_snapshot'!$G$2:$G$92,MATCH(C81,'Primary_snapshot'!$A$2:$A$92,0))),"SNAPSHOT MISSING"))</x:f>
      </x:c>
      <x:c r="Q81" s="3" t="str">
        <x:f>IF(Setup!$B$6="primary","",IFERROR(IF(INDEX('Primary_snapshot'!$H$2:$H$92,MATCH(C81,'Primary_snapshot'!$A$2:$A$92,0))="","",INDEX('Primary_snapshot'!$H$2:$H$92,MATCH(C81,'Primary_snapshot'!$A$2:$A$92,0))),"SNAPSHOT MISSING"))</x:f>
      </x:c>
      <x:c r="R81" s="3" t="str">
        <x:f>IF(Setup!$B$6="primary","",IFERROR(IF(INDEX('Primary_snapshot'!$I$2:$I$92,MATCH(C81,'Primary_snapshot'!$A$2:$A$92,0))="","",INDEX('Primary_snapshot'!$I$2:$I$92,MATCH(C81,'Primary_snapshot'!$A$2:$A$92,0))),"SNAPSHOT MISSING"))</x:f>
      </x:c>
      <x:c r="S81" s="3" t="str">
        <x:f>IF(INDEX('C_jama.2024.6063'!$D$2:$D$17,MATCH("2024::jama.2024.6063::C005",'C_jama.2024.6063'!$A$2:$A$17,0))="","",INDEX('C_jama.2024.6063'!$D$2:$D$17,MATCH("2024::jama.2024.6063::C005",'C_jama.2024.6063'!$A$2:$A$17,0)))</x:f>
      </x:c>
      <x:c r="T81" s="3" t="str">
        <x:f>IF(INDEX('C_jama.2024.6063'!$E$2:$E$17,MATCH("2024::jama.2024.6063::C005",'C_jama.2024.6063'!$A$2:$A$17,0))="","",INDEX('C_jama.2024.6063'!$E$2:$E$17,MATCH("2024::jama.2024.6063::C005",'C_jama.2024.6063'!$A$2:$A$17,0)))</x:f>
        <x:v>statistical_results</x:v>
      </x:c>
      <x:c r="U81" s="3" t="str">
        <x:f>IF(AND(INDEX('C_jama.2024.6063'!$D$2:$D$17,MATCH("2024::jama.2024.6063::C005",'C_jama.2024.6063'!$A$2:$A$17,0))="retain",INDEX('C_jama.2024.6063'!$E$2:$E$17,MATCH("2024::jama.2024.6063::C005",'C_jama.2024.6063'!$A$2:$A$17,0))="statistical_results"),IF(INDEX('C_jama.2024.6063'!$H$2:$H$17,MATCH("2024::jama.2024.6063::C005",'C_jama.2024.6063'!$A$2:$A$17,0))="","",INDEX('C_jama.2024.6063'!$H$2:$H$17,MATCH("2024::jama.2024.6063::C005",'C_jama.2024.6063'!$A$2:$A$17,0))),"not_applicable")</x:f>
        <x:v>not_applicable</x:v>
      </x:c>
      <x:c r="V81" s="3" t="str">
        <x:f>IF(AND(INDEX('C_jama.2024.6063'!$D$2:$D$17,MATCH("2024::jama.2024.6063::C005",'C_jama.2024.6063'!$A$2:$A$17,0))="retain",INDEX('C_jama.2024.6063'!$E$2:$E$17,MATCH("2024::jama.2024.6063::C005",'C_jama.2024.6063'!$A$2:$A$17,0))="statistical_results"),IF(INDEX('C_jama.2024.6063'!$I$2:$I$17,MATCH("2024::jama.2024.6063::C005",'C_jama.2024.6063'!$A$2:$A$17,0))="","",INDEX('C_jama.2024.6063'!$I$2:$I$17,MATCH("2024::jama.2024.6063::C005",'C_jama.2024.6063'!$A$2:$A$17,0))),"not_applicable")</x:f>
        <x:v>not_applicable</x:v>
      </x:c>
      <x:c r="W81" s="3" t="str">
        <x:f>IF(AND(INDEX('C_jama.2024.6063'!$D$2:$D$17,MATCH("2024::jama.2024.6063::C005",'C_jama.2024.6063'!$A$2:$A$17,0))="retain",INDEX('C_jama.2024.6063'!$E$2:$E$17,MATCH("2024::jama.2024.6063::C005",'C_jama.2024.6063'!$A$2:$A$17,0))="statistical_results"),IF(INDEX('C_jama.2024.6063'!$J$2:$J$17,MATCH("2024::jama.2024.6063::C005",'C_jama.2024.6063'!$A$2:$A$17,0))="","",INDEX('C_jama.2024.6063'!$J$2:$J$17,MATCH("2024::jama.2024.6063::C005",'C_jama.2024.6063'!$A$2:$A$17,0))),"not_applicable")</x:f>
        <x:v>not_applicable</x:v>
      </x:c>
      <x:c r="X81" s="3" t="str">
        <x:f>IF(AND(INDEX('C_jama.2024.6063'!$D$2:$D$17,MATCH("2024::jama.2024.6063::C005",'C_jama.2024.6063'!$A$2:$A$17,0))="retain",OR(INDEX('C_jama.2024.6063'!$E$2:$E$17,MATCH("2024::jama.2024.6063::C005",'C_jama.2024.6063'!$A$2:$A$17,0))="report_internal_inconsistency",INDEX('C_jama.2024.6063'!$E$2:$E$17,MATCH("2024::jama.2024.6063::C005",'C_jama.2024.6063'!$A$2:$A$17,0))="plan_material")),IF(INDEX('C_jama.2024.6063'!$K$2:$K$17,MATCH("2024::jama.2024.6063::C005",'C_jama.2024.6063'!$A$2:$A$17,0))="","",INDEX('C_jama.2024.6063'!$K$2:$K$17,MATCH("2024::jama.2024.6063::C005",'C_jama.2024.6063'!$A$2:$A$17,0))),"not_applicable")</x:f>
        <x:v>not_applicable</x:v>
      </x:c>
      <x:c r="Y81" s="3" t="str">
        <x:f>IF(AND(INDEX('C_jama.2024.6063'!$D$2:$D$17,MATCH("2024::jama.2024.6063::C005",'C_jama.2024.6063'!$A$2:$A$17,0))="retain",INDEX('C_jama.2024.6063'!$E$2:$E$17,MATCH("2024::jama.2024.6063::C005",'C_jama.2024.6063'!$A$2:$A$17,0))="protocol_report"),IF(INDEX('C_jama.2024.6063'!$L$2:$L$17,MATCH("2024::jama.2024.6063::C005",'C_jama.2024.6063'!$A$2:$A$17,0))="","",INDEX('C_jama.2024.6063'!$L$2:$L$17,MATCH("2024::jama.2024.6063::C005",'C_jama.2024.6063'!$A$2:$A$17,0))),"not_applicable")</x:f>
        <x:v>not_applicable</x:v>
      </x:c>
      <x:c r="Z81" s="3" t="str">
        <x:f>IF(INDEX('C_jama.2024.6063'!$R$2:$R$17,MATCH("2024::jama.2024.6063::C005",'C_jama.2024.6063'!$A$2:$A$17,0))="","",INDEX('C_jama.2024.6063'!$R$2:$R$17,MATCH("2024::jama.2024.6063::C005",'C_jama.2024.6063'!$A$2:$A$17,0)))</x:f>
      </x:c>
      <x:c r="AA81" s="3" t="str">
        <x:f>IF(INDEX('C_jama.2024.6063'!$N$2:$N$17,MATCH("2024::jama.2024.6063::C005",'C_jama.2024.6063'!$A$2:$A$17,0))="","",INDEX('C_jama.2024.6063'!$N$2:$N$17,MATCH("2024::jama.2024.6063::C005",'C_jama.2024.6063'!$A$2:$A$17,0)))</x:f>
      </x:c>
      <x:c r="AB81" s="3" t="str">
        <x:f>IF(INDEX('C_jama.2024.6063'!$O$2:$O$17,MATCH("2024::jama.2024.6063::C005",'C_jama.2024.6063'!$A$2:$A$17,0))="","",INDEX('C_jama.2024.6063'!$O$2:$O$17,MATCH("2024::jama.2024.6063::C005",'C_jama.2024.6063'!$A$2:$A$17,0)))</x:f>
      </x:c>
      <x:c r="AC81" s="3" t="str">
        <x:f>IF(INDEX('C_jama.2024.6063'!$P$2:$P$17,MATCH("2024::jama.2024.6063::C005",'C_jama.2024.6063'!$A$2:$A$17,0))="","",INDEX('C_jama.2024.6063'!$P$2:$P$17,MATCH("2024::jama.2024.6063::C005",'C_jama.2024.6063'!$A$2:$A$17,0)))</x:f>
      </x:c>
      <x:c r="AD81" s="3" t="str">
        <x:f>IF(INDEX('C_jama.2024.6063'!$Q$2:$Q$17,MATCH("2024::jama.2024.6063::C005",'C_jama.2024.6063'!$A$2:$A$17,0))="","",INDEX('C_jama.2024.6063'!$Q$2:$Q$17,MATCH("2024::jama.2024.6063::C005",'C_jama.2024.6063'!$A$2:$A$17,0)))</x:f>
      </x:c>
    </x:row>
    <x:row r="82" ht="65" customHeight="1">
      <x:c r="A82" s="6" t="n">
        <x:v>2024</x:v>
      </x:c>
      <x:c r="B82" s="6" t="str">
        <x:v>jama.2024.6063</x:v>
      </x:c>
      <x:c r="C82" s="6" t="str">
        <x:v>2024::jama.2024.6063::C006</x:v>
      </x:c>
      <x:c r="D82" s="6" t="str">
        <x:v>S_W</x:v>
      </x:c>
      <x:c r="E82" s="6" t="n">
        <x:f>Setup!$B$2</x:f>
        <x:v>0</x:v>
      </x:c>
      <x:c r="F82" s="6" t="str">
        <x:f>IF(Setup!$B$4="","",Setup!$B$4)</x:f>
      </x:c>
      <x:c r="G82" s="6" t="str">
        <x:f>IFERROR(INDEX('C_jama.2024.6063'!$G$2:$G$17,MATCH("2024::jama.2024.6063::C006",'C_jama.2024.6063'!$A$2:$A$17,0)),"CHECK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statistical_results</x:v>
      </x:c>
      <x:c r="K82" s="6" t="str">
        <x:f>IF(Setup!$B$6="primary","",IFERROR(IF(INDEX('Primary_snapshot'!$B$2:$B$92,MATCH(C82,'Primary_snapshot'!$A$2:$A$92,0))="","",INDEX('Primary_snapshot'!$B$2:$B$92,MATCH(C82,'Primary_snapshot'!$A$2:$A$92,0))),"SNAPSHOT MISSING"))</x:f>
      </x:c>
      <x:c r="L82" s="6" t="str">
        <x:f>IF(Setup!$B$6="primary","",IFERROR(IF(INDEX('Primary_snapshot'!$C$2:$C$92,MATCH(C82,'Primary_snapshot'!$A$2:$A$92,0))="","",INDEX('Primary_snapshot'!$C$2:$C$92,MATCH(C82,'Primary_snapshot'!$A$2:$A$92,0))),"SNAPSHOT MISSING"))</x:f>
      </x:c>
      <x:c r="M82" s="6" t="str">
        <x:f>IF(Setup!$B$6="primary","",IFERROR(IF(INDEX('Primary_snapshot'!$D$2:$D$92,MATCH(C82,'Primary_snapshot'!$A$2:$A$92,0))="","",INDEX('Primary_snapshot'!$D$2:$D$92,MATCH(C82,'Primary_snapshot'!$A$2:$A$92,0))),"SNAPSHOT MISSING"))</x:f>
      </x:c>
      <x:c r="N82" s="6" t="str">
        <x:f>IF(Setup!$B$6="primary","",IFERROR(IF(INDEX('Primary_snapshot'!$E$2:$E$92,MATCH(C82,'Primary_snapshot'!$A$2:$A$92,0))="","",INDEX('Primary_snapshot'!$E$2:$E$92,MATCH(C82,'Primary_snapshot'!$A$2:$A$92,0))),"SNAPSHOT MISSING"))</x:f>
      </x:c>
      <x:c r="O82" s="6" t="str">
        <x:f>IF(Setup!$B$6="primary","",IFERROR(IF(INDEX('Primary_snapshot'!$F$2:$F$92,MATCH(C82,'Primary_snapshot'!$A$2:$A$92,0))="","",INDEX('Primary_snapshot'!$F$2:$F$92,MATCH(C82,'Primary_snapshot'!$A$2:$A$92,0))),"SNAPSHOT MISSING"))</x:f>
      </x:c>
      <x:c r="P82" s="6" t="str">
        <x:f>IF(Setup!$B$6="primary","",IFERROR(IF(INDEX('Primary_snapshot'!$G$2:$G$92,MATCH(C82,'Primary_snapshot'!$A$2:$A$92,0))="","",INDEX('Primary_snapshot'!$G$2:$G$92,MATCH(C82,'Primary_snapshot'!$A$2:$A$92,0))),"SNAPSHOT MISSING"))</x:f>
      </x:c>
      <x:c r="Q82" s="6" t="str">
        <x:f>IF(Setup!$B$6="primary","",IFERROR(IF(INDEX('Primary_snapshot'!$H$2:$H$92,MATCH(C82,'Primary_snapshot'!$A$2:$A$92,0))="","",INDEX('Primary_snapshot'!$H$2:$H$92,MATCH(C82,'Primary_snapshot'!$A$2:$A$92,0))),"SNAPSHOT MISSING"))</x:f>
      </x:c>
      <x:c r="R82" s="6" t="str">
        <x:f>IF(Setup!$B$6="primary","",IFERROR(IF(INDEX('Primary_snapshot'!$I$2:$I$92,MATCH(C82,'Primary_snapshot'!$A$2:$A$92,0))="","",INDEX('Primary_snapshot'!$I$2:$I$92,MATCH(C82,'Primary_snapshot'!$A$2:$A$92,0))),"SNAPSHOT MISSING"))</x:f>
      </x:c>
      <x:c r="S82" s="6" t="str">
        <x:f>IF(INDEX('C_jama.2024.6063'!$D$2:$D$17,MATCH("2024::jama.2024.6063::C006",'C_jama.2024.6063'!$A$2:$A$17,0))="","",INDEX('C_jama.2024.6063'!$D$2:$D$17,MATCH("2024::jama.2024.6063::C006",'C_jama.2024.6063'!$A$2:$A$17,0)))</x:f>
      </x:c>
      <x:c r="T82" s="6" t="str">
        <x:f>IF(INDEX('C_jama.2024.6063'!$E$2:$E$17,MATCH("2024::jama.2024.6063::C006",'C_jama.2024.6063'!$A$2:$A$17,0))="","",INDEX('C_jama.2024.6063'!$E$2:$E$17,MATCH("2024::jama.2024.6063::C006",'C_jama.2024.6063'!$A$2:$A$17,0)))</x:f>
        <x:v>statistical_results</x:v>
      </x:c>
      <x:c r="U82" s="6" t="str">
        <x:f>IF(AND(INDEX('C_jama.2024.6063'!$D$2:$D$17,MATCH("2024::jama.2024.6063::C006",'C_jama.2024.6063'!$A$2:$A$17,0))="retain",INDEX('C_jama.2024.6063'!$E$2:$E$17,MATCH("2024::jama.2024.6063::C006",'C_jama.2024.6063'!$A$2:$A$17,0))="statistical_results"),IF(INDEX('C_jama.2024.6063'!$H$2:$H$17,MATCH("2024::jama.2024.6063::C006",'C_jama.2024.6063'!$A$2:$A$17,0))="","",INDEX('C_jama.2024.6063'!$H$2:$H$17,MATCH("2024::jama.2024.6063::C006",'C_jama.2024.6063'!$A$2:$A$17,0))),"not_applicable")</x:f>
        <x:v>not_applicable</x:v>
      </x:c>
      <x:c r="V82" s="6" t="str">
        <x:f>IF(AND(INDEX('C_jama.2024.6063'!$D$2:$D$17,MATCH("2024::jama.2024.6063::C006",'C_jama.2024.6063'!$A$2:$A$17,0))="retain",INDEX('C_jama.2024.6063'!$E$2:$E$17,MATCH("2024::jama.2024.6063::C006",'C_jama.2024.6063'!$A$2:$A$17,0))="statistical_results"),IF(INDEX('C_jama.2024.6063'!$I$2:$I$17,MATCH("2024::jama.2024.6063::C006",'C_jama.2024.6063'!$A$2:$A$17,0))="","",INDEX('C_jama.2024.6063'!$I$2:$I$17,MATCH("2024::jama.2024.6063::C006",'C_jama.2024.6063'!$A$2:$A$17,0))),"not_applicable")</x:f>
        <x:v>not_applicable</x:v>
      </x:c>
      <x:c r="W82" s="6" t="str">
        <x:f>IF(AND(INDEX('C_jama.2024.6063'!$D$2:$D$17,MATCH("2024::jama.2024.6063::C006",'C_jama.2024.6063'!$A$2:$A$17,0))="retain",INDEX('C_jama.2024.6063'!$E$2:$E$17,MATCH("2024::jama.2024.6063::C006",'C_jama.2024.6063'!$A$2:$A$17,0))="statistical_results"),IF(INDEX('C_jama.2024.6063'!$J$2:$J$17,MATCH("2024::jama.2024.6063::C006",'C_jama.2024.6063'!$A$2:$A$17,0))="","",INDEX('C_jama.2024.6063'!$J$2:$J$17,MATCH("2024::jama.2024.6063::C006",'C_jama.2024.6063'!$A$2:$A$17,0))),"not_applicable")</x:f>
        <x:v>not_applicable</x:v>
      </x:c>
      <x:c r="X82" s="6" t="str">
        <x:f>IF(AND(INDEX('C_jama.2024.6063'!$D$2:$D$17,MATCH("2024::jama.2024.6063::C006",'C_jama.2024.6063'!$A$2:$A$17,0))="retain",OR(INDEX('C_jama.2024.6063'!$E$2:$E$17,MATCH("2024::jama.2024.6063::C006",'C_jama.2024.6063'!$A$2:$A$17,0))="report_internal_inconsistency",INDEX('C_jama.2024.6063'!$E$2:$E$17,MATCH("2024::jama.2024.6063::C006",'C_jama.2024.6063'!$A$2:$A$17,0))="plan_material")),IF(INDEX('C_jama.2024.6063'!$K$2:$K$17,MATCH("2024::jama.2024.6063::C006",'C_jama.2024.6063'!$A$2:$A$17,0))="","",INDEX('C_jama.2024.6063'!$K$2:$K$17,MATCH("2024::jama.2024.6063::C006",'C_jama.2024.6063'!$A$2:$A$17,0))),"not_applicable")</x:f>
        <x:v>not_applicable</x:v>
      </x:c>
      <x:c r="Y82" s="6" t="str">
        <x:f>IF(AND(INDEX('C_jama.2024.6063'!$D$2:$D$17,MATCH("2024::jama.2024.6063::C006",'C_jama.2024.6063'!$A$2:$A$17,0))="retain",INDEX('C_jama.2024.6063'!$E$2:$E$17,MATCH("2024::jama.2024.6063::C006",'C_jama.2024.6063'!$A$2:$A$17,0))="protocol_report"),IF(INDEX('C_jama.2024.6063'!$L$2:$L$17,MATCH("2024::jama.2024.6063::C006",'C_jama.2024.6063'!$A$2:$A$17,0))="","",INDEX('C_jama.2024.6063'!$L$2:$L$17,MATCH("2024::jama.2024.6063::C006",'C_jama.2024.6063'!$A$2:$A$17,0))),"not_applicable")</x:f>
        <x:v>not_applicable</x:v>
      </x:c>
      <x:c r="Z82" s="6" t="str">
        <x:f>IF(INDEX('C_jama.2024.6063'!$R$2:$R$17,MATCH("2024::jama.2024.6063::C006",'C_jama.2024.6063'!$A$2:$A$17,0))="","",INDEX('C_jama.2024.6063'!$R$2:$R$17,MATCH("2024::jama.2024.6063::C006",'C_jama.2024.6063'!$A$2:$A$17,0)))</x:f>
      </x:c>
      <x:c r="AA82" s="6" t="str">
        <x:f>IF(INDEX('C_jama.2024.6063'!$N$2:$N$17,MATCH("2024::jama.2024.6063::C006",'C_jama.2024.6063'!$A$2:$A$17,0))="","",INDEX('C_jama.2024.6063'!$N$2:$N$17,MATCH("2024::jama.2024.6063::C006",'C_jama.2024.6063'!$A$2:$A$17,0)))</x:f>
      </x:c>
      <x:c r="AB82" s="6" t="str">
        <x:f>IF(INDEX('C_jama.2024.6063'!$O$2:$O$17,MATCH("2024::jama.2024.6063::C006",'C_jama.2024.6063'!$A$2:$A$17,0))="","",INDEX('C_jama.2024.6063'!$O$2:$O$17,MATCH("2024::jama.2024.6063::C006",'C_jama.2024.6063'!$A$2:$A$17,0)))</x:f>
      </x:c>
      <x:c r="AC82" s="6" t="str">
        <x:f>IF(INDEX('C_jama.2024.6063'!$P$2:$P$17,MATCH("2024::jama.2024.6063::C006",'C_jama.2024.6063'!$A$2:$A$17,0))="","",INDEX('C_jama.2024.6063'!$P$2:$P$17,MATCH("2024::jama.2024.6063::C006",'C_jama.2024.6063'!$A$2:$A$17,0)))</x:f>
      </x:c>
      <x:c r="AD82" s="6" t="str">
        <x:f>IF(INDEX('C_jama.2024.6063'!$Q$2:$Q$17,MATCH("2024::jama.2024.6063::C006",'C_jama.2024.6063'!$A$2:$A$17,0))="","",INDEX('C_jama.2024.6063'!$Q$2:$Q$17,MATCH("2024::jama.2024.6063::C006",'C_jama.2024.6063'!$A$2:$A$17,0)))</x:f>
      </x:c>
    </x:row>
    <x:row r="83" ht="65" customHeight="1">
      <x:c r="A83" s="3" t="n">
        <x:v>2024</x:v>
      </x:c>
      <x:c r="B83" s="3" t="str">
        <x:v>jama.2024.6063</x:v>
      </x:c>
      <x:c r="C83" s="3" t="str">
        <x:v>2024::jama.2024.6063::C007</x:v>
      </x:c>
      <x:c r="D83" s="3" t="str">
        <x:v>S_W</x:v>
      </x:c>
      <x:c r="E83" s="3" t="n">
        <x:f>Setup!$B$2</x:f>
        <x:v>0</x:v>
      </x:c>
      <x:c r="F83" s="3" t="str">
        <x:f>IF(Setup!$B$4="","",Setup!$B$4)</x:f>
      </x:c>
      <x:c r="G83" s="3" t="str">
        <x:f>IFERROR(INDEX('C_jama.2024.6063'!$G$2:$G$17,MATCH("2024::jama.2024.6063::C007",'C_jama.2024.6063'!$A$2:$A$17,0)),"CHECK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statistical_results</x:v>
      </x:c>
      <x:c r="K83" s="3" t="str">
        <x:f>IF(Setup!$B$6="primary","",IFERROR(IF(INDEX('Primary_snapshot'!$B$2:$B$92,MATCH(C83,'Primary_snapshot'!$A$2:$A$92,0))="","",INDEX('Primary_snapshot'!$B$2:$B$92,MATCH(C83,'Primary_snapshot'!$A$2:$A$92,0))),"SNAPSHOT MISSING"))</x:f>
      </x:c>
      <x:c r="L83" s="3" t="str">
        <x:f>IF(Setup!$B$6="primary","",IFERROR(IF(INDEX('Primary_snapshot'!$C$2:$C$92,MATCH(C83,'Primary_snapshot'!$A$2:$A$92,0))="","",INDEX('Primary_snapshot'!$C$2:$C$92,MATCH(C83,'Primary_snapshot'!$A$2:$A$92,0))),"SNAPSHOT MISSING"))</x:f>
      </x:c>
      <x:c r="M83" s="3" t="str">
        <x:f>IF(Setup!$B$6="primary","",IFERROR(IF(INDEX('Primary_snapshot'!$D$2:$D$92,MATCH(C83,'Primary_snapshot'!$A$2:$A$92,0))="","",INDEX('Primary_snapshot'!$D$2:$D$92,MATCH(C83,'Primary_snapshot'!$A$2:$A$92,0))),"SNAPSHOT MISSING"))</x:f>
      </x:c>
      <x:c r="N83" s="3" t="str">
        <x:f>IF(Setup!$B$6="primary","",IFERROR(IF(INDEX('Primary_snapshot'!$E$2:$E$92,MATCH(C83,'Primary_snapshot'!$A$2:$A$92,0))="","",INDEX('Primary_snapshot'!$E$2:$E$92,MATCH(C83,'Primary_snapshot'!$A$2:$A$92,0))),"SNAPSHOT MISSING"))</x:f>
      </x:c>
      <x:c r="O83" s="3" t="str">
        <x:f>IF(Setup!$B$6="primary","",IFERROR(IF(INDEX('Primary_snapshot'!$F$2:$F$92,MATCH(C83,'Primary_snapshot'!$A$2:$A$92,0))="","",INDEX('Primary_snapshot'!$F$2:$F$92,MATCH(C83,'Primary_snapshot'!$A$2:$A$92,0))),"SNAPSHOT MISSING"))</x:f>
      </x:c>
      <x:c r="P83" s="3" t="str">
        <x:f>IF(Setup!$B$6="primary","",IFERROR(IF(INDEX('Primary_snapshot'!$G$2:$G$92,MATCH(C83,'Primary_snapshot'!$A$2:$A$92,0))="","",INDEX('Primary_snapshot'!$G$2:$G$92,MATCH(C83,'Primary_snapshot'!$A$2:$A$92,0))),"SNAPSHOT MISSING"))</x:f>
      </x:c>
      <x:c r="Q83" s="3" t="str">
        <x:f>IF(Setup!$B$6="primary","",IFERROR(IF(INDEX('Primary_snapshot'!$H$2:$H$92,MATCH(C83,'Primary_snapshot'!$A$2:$A$92,0))="","",INDEX('Primary_snapshot'!$H$2:$H$92,MATCH(C83,'Primary_snapshot'!$A$2:$A$92,0))),"SNAPSHOT MISSING"))</x:f>
      </x:c>
      <x:c r="R83" s="3" t="str">
        <x:f>IF(Setup!$B$6="primary","",IFERROR(IF(INDEX('Primary_snapshot'!$I$2:$I$92,MATCH(C83,'Primary_snapshot'!$A$2:$A$92,0))="","",INDEX('Primary_snapshot'!$I$2:$I$92,MATCH(C83,'Primary_snapshot'!$A$2:$A$92,0))),"SNAPSHOT MISSING"))</x:f>
      </x:c>
      <x:c r="S83" s="3" t="str">
        <x:f>IF(INDEX('C_jama.2024.6063'!$D$2:$D$17,MATCH("2024::jama.2024.6063::C007",'C_jama.2024.6063'!$A$2:$A$17,0))="","",INDEX('C_jama.2024.6063'!$D$2:$D$17,MATCH("2024::jama.2024.6063::C007",'C_jama.2024.6063'!$A$2:$A$17,0)))</x:f>
      </x:c>
      <x:c r="T83" s="3" t="str">
        <x:f>IF(INDEX('C_jama.2024.6063'!$E$2:$E$17,MATCH("2024::jama.2024.6063::C007",'C_jama.2024.6063'!$A$2:$A$17,0))="","",INDEX('C_jama.2024.6063'!$E$2:$E$17,MATCH("2024::jama.2024.6063::C007",'C_jama.2024.6063'!$A$2:$A$17,0)))</x:f>
        <x:v>statistical_results</x:v>
      </x:c>
      <x:c r="U83" s="3" t="str">
        <x:f>IF(AND(INDEX('C_jama.2024.6063'!$D$2:$D$17,MATCH("2024::jama.2024.6063::C007",'C_jama.2024.6063'!$A$2:$A$17,0))="retain",INDEX('C_jama.2024.6063'!$E$2:$E$17,MATCH("2024::jama.2024.6063::C007",'C_jama.2024.6063'!$A$2:$A$17,0))="statistical_results"),IF(INDEX('C_jama.2024.6063'!$H$2:$H$17,MATCH("2024::jama.2024.6063::C007",'C_jama.2024.6063'!$A$2:$A$17,0))="","",INDEX('C_jama.2024.6063'!$H$2:$H$17,MATCH("2024::jama.2024.6063::C007",'C_jama.2024.6063'!$A$2:$A$17,0))),"not_applicable")</x:f>
        <x:v>not_applicable</x:v>
      </x:c>
      <x:c r="V83" s="3" t="str">
        <x:f>IF(AND(INDEX('C_jama.2024.6063'!$D$2:$D$17,MATCH("2024::jama.2024.6063::C007",'C_jama.2024.6063'!$A$2:$A$17,0))="retain",INDEX('C_jama.2024.6063'!$E$2:$E$17,MATCH("2024::jama.2024.6063::C007",'C_jama.2024.6063'!$A$2:$A$17,0))="statistical_results"),IF(INDEX('C_jama.2024.6063'!$I$2:$I$17,MATCH("2024::jama.2024.6063::C007",'C_jama.2024.6063'!$A$2:$A$17,0))="","",INDEX('C_jama.2024.6063'!$I$2:$I$17,MATCH("2024::jama.2024.6063::C007",'C_jama.2024.6063'!$A$2:$A$17,0))),"not_applicable")</x:f>
        <x:v>not_applicable</x:v>
      </x:c>
      <x:c r="W83" s="3" t="str">
        <x:f>IF(AND(INDEX('C_jama.2024.6063'!$D$2:$D$17,MATCH("2024::jama.2024.6063::C007",'C_jama.2024.6063'!$A$2:$A$17,0))="retain",INDEX('C_jama.2024.6063'!$E$2:$E$17,MATCH("2024::jama.2024.6063::C007",'C_jama.2024.6063'!$A$2:$A$17,0))="statistical_results"),IF(INDEX('C_jama.2024.6063'!$J$2:$J$17,MATCH("2024::jama.2024.6063::C007",'C_jama.2024.6063'!$A$2:$A$17,0))="","",INDEX('C_jama.2024.6063'!$J$2:$J$17,MATCH("2024::jama.2024.6063::C007",'C_jama.2024.6063'!$A$2:$A$17,0))),"not_applicable")</x:f>
        <x:v>not_applicable</x:v>
      </x:c>
      <x:c r="X83" s="3" t="str">
        <x:f>IF(AND(INDEX('C_jama.2024.6063'!$D$2:$D$17,MATCH("2024::jama.2024.6063::C007",'C_jama.2024.6063'!$A$2:$A$17,0))="retain",OR(INDEX('C_jama.2024.6063'!$E$2:$E$17,MATCH("2024::jama.2024.6063::C007",'C_jama.2024.6063'!$A$2:$A$17,0))="report_internal_inconsistency",INDEX('C_jama.2024.6063'!$E$2:$E$17,MATCH("2024::jama.2024.6063::C007",'C_jama.2024.6063'!$A$2:$A$17,0))="plan_material")),IF(INDEX('C_jama.2024.6063'!$K$2:$K$17,MATCH("2024::jama.2024.6063::C007",'C_jama.2024.6063'!$A$2:$A$17,0))="","",INDEX('C_jama.2024.6063'!$K$2:$K$17,MATCH("2024::jama.2024.6063::C007",'C_jama.2024.6063'!$A$2:$A$17,0))),"not_applicable")</x:f>
        <x:v>not_applicable</x:v>
      </x:c>
      <x:c r="Y83" s="3" t="str">
        <x:f>IF(AND(INDEX('C_jama.2024.6063'!$D$2:$D$17,MATCH("2024::jama.2024.6063::C007",'C_jama.2024.6063'!$A$2:$A$17,0))="retain",INDEX('C_jama.2024.6063'!$E$2:$E$17,MATCH("2024::jama.2024.6063::C007",'C_jama.2024.6063'!$A$2:$A$17,0))="protocol_report"),IF(INDEX('C_jama.2024.6063'!$L$2:$L$17,MATCH("2024::jama.2024.6063::C007",'C_jama.2024.6063'!$A$2:$A$17,0))="","",INDEX('C_jama.2024.6063'!$L$2:$L$17,MATCH("2024::jama.2024.6063::C007",'C_jama.2024.6063'!$A$2:$A$17,0))),"not_applicable")</x:f>
        <x:v>not_applicable</x:v>
      </x:c>
      <x:c r="Z83" s="3" t="str">
        <x:f>IF(INDEX('C_jama.2024.6063'!$R$2:$R$17,MATCH("2024::jama.2024.6063::C007",'C_jama.2024.6063'!$A$2:$A$17,0))="","",INDEX('C_jama.2024.6063'!$R$2:$R$17,MATCH("2024::jama.2024.6063::C007",'C_jama.2024.6063'!$A$2:$A$17,0)))</x:f>
      </x:c>
      <x:c r="AA83" s="3" t="str">
        <x:f>IF(INDEX('C_jama.2024.6063'!$N$2:$N$17,MATCH("2024::jama.2024.6063::C007",'C_jama.2024.6063'!$A$2:$A$17,0))="","",INDEX('C_jama.2024.6063'!$N$2:$N$17,MATCH("2024::jama.2024.6063::C007",'C_jama.2024.6063'!$A$2:$A$17,0)))</x:f>
      </x:c>
      <x:c r="AB83" s="3" t="str">
        <x:f>IF(INDEX('C_jama.2024.6063'!$O$2:$O$17,MATCH("2024::jama.2024.6063::C007",'C_jama.2024.6063'!$A$2:$A$17,0))="","",INDEX('C_jama.2024.6063'!$O$2:$O$17,MATCH("2024::jama.2024.6063::C007",'C_jama.2024.6063'!$A$2:$A$17,0)))</x:f>
      </x:c>
      <x:c r="AC83" s="3" t="str">
        <x:f>IF(INDEX('C_jama.2024.6063'!$P$2:$P$17,MATCH("2024::jama.2024.6063::C007",'C_jama.2024.6063'!$A$2:$A$17,0))="","",INDEX('C_jama.2024.6063'!$P$2:$P$17,MATCH("2024::jama.2024.6063::C007",'C_jama.2024.6063'!$A$2:$A$17,0)))</x:f>
      </x:c>
      <x:c r="AD83" s="3" t="str">
        <x:f>IF(INDEX('C_jama.2024.6063'!$Q$2:$Q$17,MATCH("2024::jama.2024.6063::C007",'C_jama.2024.6063'!$A$2:$A$17,0))="","",INDEX('C_jama.2024.6063'!$Q$2:$Q$17,MATCH("2024::jama.2024.6063::C007",'C_jama.2024.6063'!$A$2:$A$17,0)))</x:f>
      </x:c>
    </x:row>
    <x:row r="84" ht="65" customHeight="1">
      <x:c r="A84" s="6" t="n">
        <x:v>2024</x:v>
      </x:c>
      <x:c r="B84" s="6" t="str">
        <x:v>jama.2024.6063</x:v>
      </x:c>
      <x:c r="C84" s="6" t="str">
        <x:v>2024::jama.2024.6063::C008</x:v>
      </x:c>
      <x:c r="D84" s="6" t="str">
        <x:v>S_W</x:v>
      </x:c>
      <x:c r="E84" s="6" t="n">
        <x:f>Setup!$B$2</x:f>
        <x:v>0</x:v>
      </x:c>
      <x:c r="F84" s="6" t="str">
        <x:f>IF(Setup!$B$4="","",Setup!$B$4)</x:f>
      </x:c>
      <x:c r="G84" s="6" t="str">
        <x:f>IFERROR(INDEX('C_jama.2024.6063'!$G$2:$G$17,MATCH("2024::jama.2024.6063::C008",'C_jama.2024.6063'!$A$2:$A$17,0)),"CHECK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statistical_results</x:v>
      </x:c>
      <x:c r="K84" s="6" t="str">
        <x:f>IF(Setup!$B$6="primary","",IFERROR(IF(INDEX('Primary_snapshot'!$B$2:$B$92,MATCH(C84,'Primary_snapshot'!$A$2:$A$92,0))="","",INDEX('Primary_snapshot'!$B$2:$B$92,MATCH(C84,'Primary_snapshot'!$A$2:$A$92,0))),"SNAPSHOT MISSING"))</x:f>
      </x:c>
      <x:c r="L84" s="6" t="str">
        <x:f>IF(Setup!$B$6="primary","",IFERROR(IF(INDEX('Primary_snapshot'!$C$2:$C$92,MATCH(C84,'Primary_snapshot'!$A$2:$A$92,0))="","",INDEX('Primary_snapshot'!$C$2:$C$92,MATCH(C84,'Primary_snapshot'!$A$2:$A$92,0))),"SNAPSHOT MISSING"))</x:f>
      </x:c>
      <x:c r="M84" s="6" t="str">
        <x:f>IF(Setup!$B$6="primary","",IFERROR(IF(INDEX('Primary_snapshot'!$D$2:$D$92,MATCH(C84,'Primary_snapshot'!$A$2:$A$92,0))="","",INDEX('Primary_snapshot'!$D$2:$D$92,MATCH(C84,'Primary_snapshot'!$A$2:$A$92,0))),"SNAPSHOT MISSING"))</x:f>
      </x:c>
      <x:c r="N84" s="6" t="str">
        <x:f>IF(Setup!$B$6="primary","",IFERROR(IF(INDEX('Primary_snapshot'!$E$2:$E$92,MATCH(C84,'Primary_snapshot'!$A$2:$A$92,0))="","",INDEX('Primary_snapshot'!$E$2:$E$92,MATCH(C84,'Primary_snapshot'!$A$2:$A$92,0))),"SNAPSHOT MISSING"))</x:f>
      </x:c>
      <x:c r="O84" s="6" t="str">
        <x:f>IF(Setup!$B$6="primary","",IFERROR(IF(INDEX('Primary_snapshot'!$F$2:$F$92,MATCH(C84,'Primary_snapshot'!$A$2:$A$92,0))="","",INDEX('Primary_snapshot'!$F$2:$F$92,MATCH(C84,'Primary_snapshot'!$A$2:$A$92,0))),"SNAPSHOT MISSING"))</x:f>
      </x:c>
      <x:c r="P84" s="6" t="str">
        <x:f>IF(Setup!$B$6="primary","",IFERROR(IF(INDEX('Primary_snapshot'!$G$2:$G$92,MATCH(C84,'Primary_snapshot'!$A$2:$A$92,0))="","",INDEX('Primary_snapshot'!$G$2:$G$92,MATCH(C84,'Primary_snapshot'!$A$2:$A$92,0))),"SNAPSHOT MISSING"))</x:f>
      </x:c>
      <x:c r="Q84" s="6" t="str">
        <x:f>IF(Setup!$B$6="primary","",IFERROR(IF(INDEX('Primary_snapshot'!$H$2:$H$92,MATCH(C84,'Primary_snapshot'!$A$2:$A$92,0))="","",INDEX('Primary_snapshot'!$H$2:$H$92,MATCH(C84,'Primary_snapshot'!$A$2:$A$92,0))),"SNAPSHOT MISSING"))</x:f>
      </x:c>
      <x:c r="R84" s="6" t="str">
        <x:f>IF(Setup!$B$6="primary","",IFERROR(IF(INDEX('Primary_snapshot'!$I$2:$I$92,MATCH(C84,'Primary_snapshot'!$A$2:$A$92,0))="","",INDEX('Primary_snapshot'!$I$2:$I$92,MATCH(C84,'Primary_snapshot'!$A$2:$A$92,0))),"SNAPSHOT MISSING"))</x:f>
      </x:c>
      <x:c r="S84" s="6" t="str">
        <x:f>IF(INDEX('C_jama.2024.6063'!$D$2:$D$17,MATCH("2024::jama.2024.6063::C008",'C_jama.2024.6063'!$A$2:$A$17,0))="","",INDEX('C_jama.2024.6063'!$D$2:$D$17,MATCH("2024::jama.2024.6063::C008",'C_jama.2024.6063'!$A$2:$A$17,0)))</x:f>
      </x:c>
      <x:c r="T84" s="6" t="str">
        <x:f>IF(INDEX('C_jama.2024.6063'!$E$2:$E$17,MATCH("2024::jama.2024.6063::C008",'C_jama.2024.6063'!$A$2:$A$17,0))="","",INDEX('C_jama.2024.6063'!$E$2:$E$17,MATCH("2024::jama.2024.6063::C008",'C_jama.2024.6063'!$A$2:$A$17,0)))</x:f>
        <x:v>statistical_results</x:v>
      </x:c>
      <x:c r="U84" s="6" t="str">
        <x:f>IF(AND(INDEX('C_jama.2024.6063'!$D$2:$D$17,MATCH("2024::jama.2024.6063::C008",'C_jama.2024.6063'!$A$2:$A$17,0))="retain",INDEX('C_jama.2024.6063'!$E$2:$E$17,MATCH("2024::jama.2024.6063::C008",'C_jama.2024.6063'!$A$2:$A$17,0))="statistical_results"),IF(INDEX('C_jama.2024.6063'!$H$2:$H$17,MATCH("2024::jama.2024.6063::C008",'C_jama.2024.6063'!$A$2:$A$17,0))="","",INDEX('C_jama.2024.6063'!$H$2:$H$17,MATCH("2024::jama.2024.6063::C008",'C_jama.2024.6063'!$A$2:$A$17,0))),"not_applicable")</x:f>
        <x:v>not_applicable</x:v>
      </x:c>
      <x:c r="V84" s="6" t="str">
        <x:f>IF(AND(INDEX('C_jama.2024.6063'!$D$2:$D$17,MATCH("2024::jama.2024.6063::C008",'C_jama.2024.6063'!$A$2:$A$17,0))="retain",INDEX('C_jama.2024.6063'!$E$2:$E$17,MATCH("2024::jama.2024.6063::C008",'C_jama.2024.6063'!$A$2:$A$17,0))="statistical_results"),IF(INDEX('C_jama.2024.6063'!$I$2:$I$17,MATCH("2024::jama.2024.6063::C008",'C_jama.2024.6063'!$A$2:$A$17,0))="","",INDEX('C_jama.2024.6063'!$I$2:$I$17,MATCH("2024::jama.2024.6063::C008",'C_jama.2024.6063'!$A$2:$A$17,0))),"not_applicable")</x:f>
        <x:v>not_applicable</x:v>
      </x:c>
      <x:c r="W84" s="6" t="str">
        <x:f>IF(AND(INDEX('C_jama.2024.6063'!$D$2:$D$17,MATCH("2024::jama.2024.6063::C008",'C_jama.2024.6063'!$A$2:$A$17,0))="retain",INDEX('C_jama.2024.6063'!$E$2:$E$17,MATCH("2024::jama.2024.6063::C008",'C_jama.2024.6063'!$A$2:$A$17,0))="statistical_results"),IF(INDEX('C_jama.2024.6063'!$J$2:$J$17,MATCH("2024::jama.2024.6063::C008",'C_jama.2024.6063'!$A$2:$A$17,0))="","",INDEX('C_jama.2024.6063'!$J$2:$J$17,MATCH("2024::jama.2024.6063::C008",'C_jama.2024.6063'!$A$2:$A$17,0))),"not_applicable")</x:f>
        <x:v>not_applicable</x:v>
      </x:c>
      <x:c r="X84" s="6" t="str">
        <x:f>IF(AND(INDEX('C_jama.2024.6063'!$D$2:$D$17,MATCH("2024::jama.2024.6063::C008",'C_jama.2024.6063'!$A$2:$A$17,0))="retain",OR(INDEX('C_jama.2024.6063'!$E$2:$E$17,MATCH("2024::jama.2024.6063::C008",'C_jama.2024.6063'!$A$2:$A$17,0))="report_internal_inconsistency",INDEX('C_jama.2024.6063'!$E$2:$E$17,MATCH("2024::jama.2024.6063::C008",'C_jama.2024.6063'!$A$2:$A$17,0))="plan_material")),IF(INDEX('C_jama.2024.6063'!$K$2:$K$17,MATCH("2024::jama.2024.6063::C008",'C_jama.2024.6063'!$A$2:$A$17,0))="","",INDEX('C_jama.2024.6063'!$K$2:$K$17,MATCH("2024::jama.2024.6063::C008",'C_jama.2024.6063'!$A$2:$A$17,0))),"not_applicable")</x:f>
        <x:v>not_applicable</x:v>
      </x:c>
      <x:c r="Y84" s="6" t="str">
        <x:f>IF(AND(INDEX('C_jama.2024.6063'!$D$2:$D$17,MATCH("2024::jama.2024.6063::C008",'C_jama.2024.6063'!$A$2:$A$17,0))="retain",INDEX('C_jama.2024.6063'!$E$2:$E$17,MATCH("2024::jama.2024.6063::C008",'C_jama.2024.6063'!$A$2:$A$17,0))="protocol_report"),IF(INDEX('C_jama.2024.6063'!$L$2:$L$17,MATCH("2024::jama.2024.6063::C008",'C_jama.2024.6063'!$A$2:$A$17,0))="","",INDEX('C_jama.2024.6063'!$L$2:$L$17,MATCH("2024::jama.2024.6063::C008",'C_jama.2024.6063'!$A$2:$A$17,0))),"not_applicable")</x:f>
        <x:v>not_applicable</x:v>
      </x:c>
      <x:c r="Z84" s="6" t="str">
        <x:f>IF(INDEX('C_jama.2024.6063'!$R$2:$R$17,MATCH("2024::jama.2024.6063::C008",'C_jama.2024.6063'!$A$2:$A$17,0))="","",INDEX('C_jama.2024.6063'!$R$2:$R$17,MATCH("2024::jama.2024.6063::C008",'C_jama.2024.6063'!$A$2:$A$17,0)))</x:f>
      </x:c>
      <x:c r="AA84" s="6" t="str">
        <x:f>IF(INDEX('C_jama.2024.6063'!$N$2:$N$17,MATCH("2024::jama.2024.6063::C008",'C_jama.2024.6063'!$A$2:$A$17,0))="","",INDEX('C_jama.2024.6063'!$N$2:$N$17,MATCH("2024::jama.2024.6063::C008",'C_jama.2024.6063'!$A$2:$A$17,0)))</x:f>
      </x:c>
      <x:c r="AB84" s="6" t="str">
        <x:f>IF(INDEX('C_jama.2024.6063'!$O$2:$O$17,MATCH("2024::jama.2024.6063::C008",'C_jama.2024.6063'!$A$2:$A$17,0))="","",INDEX('C_jama.2024.6063'!$O$2:$O$17,MATCH("2024::jama.2024.6063::C008",'C_jama.2024.6063'!$A$2:$A$17,0)))</x:f>
      </x:c>
      <x:c r="AC84" s="6" t="str">
        <x:f>IF(INDEX('C_jama.2024.6063'!$P$2:$P$17,MATCH("2024::jama.2024.6063::C008",'C_jama.2024.6063'!$A$2:$A$17,0))="","",INDEX('C_jama.2024.6063'!$P$2:$P$17,MATCH("2024::jama.2024.6063::C008",'C_jama.2024.6063'!$A$2:$A$17,0)))</x:f>
      </x:c>
      <x:c r="AD84" s="6" t="str">
        <x:f>IF(INDEX('C_jama.2024.6063'!$Q$2:$Q$17,MATCH("2024::jama.2024.6063::C008",'C_jama.2024.6063'!$A$2:$A$17,0))="","",INDEX('C_jama.2024.6063'!$Q$2:$Q$17,MATCH("2024::jama.2024.6063::C008",'C_jama.2024.6063'!$A$2:$A$17,0)))</x:f>
      </x:c>
    </x:row>
    <x:row r="85" ht="65" customHeight="1">
      <x:c r="A85" s="3" t="n">
        <x:v>2024</x:v>
      </x:c>
      <x:c r="B85" s="3" t="str">
        <x:v>jama.2024.6063</x:v>
      </x:c>
      <x:c r="C85" s="3" t="str">
        <x:v>2024::jama.2024.6063::C009</x:v>
      </x:c>
      <x:c r="D85" s="3" t="str">
        <x:v>S_W</x:v>
      </x:c>
      <x:c r="E85" s="3" t="n">
        <x:f>Setup!$B$2</x:f>
        <x:v>0</x:v>
      </x:c>
      <x:c r="F85" s="3" t="str">
        <x:f>IF(Setup!$B$4="","",Setup!$B$4)</x:f>
      </x:c>
      <x:c r="G85" s="3" t="str">
        <x:f>IFERROR(INDEX('C_jama.2024.6063'!$G$2:$G$17,MATCH("2024::jama.2024.6063::C009",'C_jama.2024.6063'!$A$2:$A$17,0)),"CHECK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IF(Setup!$B$6="primary","",IFERROR(IF(INDEX('Primary_snapshot'!$B$2:$B$92,MATCH(C85,'Primary_snapshot'!$A$2:$A$92,0))="","",INDEX('Primary_snapshot'!$B$2:$B$92,MATCH(C85,'Primary_snapshot'!$A$2:$A$92,0))),"SNAPSHOT MISSING"))</x:f>
      </x:c>
      <x:c r="L85" s="3" t="str">
        <x:f>IF(Setup!$B$6="primary","",IFERROR(IF(INDEX('Primary_snapshot'!$C$2:$C$92,MATCH(C85,'Primary_snapshot'!$A$2:$A$92,0))="","",INDEX('Primary_snapshot'!$C$2:$C$92,MATCH(C85,'Primary_snapshot'!$A$2:$A$92,0))),"SNAPSHOT MISSING"))</x:f>
      </x:c>
      <x:c r="M85" s="3" t="str">
        <x:f>IF(Setup!$B$6="primary","",IFERROR(IF(INDEX('Primary_snapshot'!$D$2:$D$92,MATCH(C85,'Primary_snapshot'!$A$2:$A$92,0))="","",INDEX('Primary_snapshot'!$D$2:$D$92,MATCH(C85,'Primary_snapshot'!$A$2:$A$92,0))),"SNAPSHOT MISSING"))</x:f>
      </x:c>
      <x:c r="N85" s="3" t="str">
        <x:f>IF(Setup!$B$6="primary","",IFERROR(IF(INDEX('Primary_snapshot'!$E$2:$E$92,MATCH(C85,'Primary_snapshot'!$A$2:$A$92,0))="","",INDEX('Primary_snapshot'!$E$2:$E$92,MATCH(C85,'Primary_snapshot'!$A$2:$A$92,0))),"SNAPSHOT MISSING"))</x:f>
      </x:c>
      <x:c r="O85" s="3" t="str">
        <x:f>IF(Setup!$B$6="primary","",IFERROR(IF(INDEX('Primary_snapshot'!$F$2:$F$92,MATCH(C85,'Primary_snapshot'!$A$2:$A$92,0))="","",INDEX('Primary_snapshot'!$F$2:$F$92,MATCH(C85,'Primary_snapshot'!$A$2:$A$92,0))),"SNAPSHOT MISSING"))</x:f>
      </x:c>
      <x:c r="P85" s="3" t="str">
        <x:f>IF(Setup!$B$6="primary","",IFERROR(IF(INDEX('Primary_snapshot'!$G$2:$G$92,MATCH(C85,'Primary_snapshot'!$A$2:$A$92,0))="","",INDEX('Primary_snapshot'!$G$2:$G$92,MATCH(C85,'Primary_snapshot'!$A$2:$A$92,0))),"SNAPSHOT MISSING"))</x:f>
      </x:c>
      <x:c r="Q85" s="3" t="str">
        <x:f>IF(Setup!$B$6="primary","",IFERROR(IF(INDEX('Primary_snapshot'!$H$2:$H$92,MATCH(C85,'Primary_snapshot'!$A$2:$A$92,0))="","",INDEX('Primary_snapshot'!$H$2:$H$92,MATCH(C85,'Primary_snapshot'!$A$2:$A$92,0))),"SNAPSHOT MISSING"))</x:f>
      </x:c>
      <x:c r="R85" s="3" t="str">
        <x:f>IF(Setup!$B$6="primary","",IFERROR(IF(INDEX('Primary_snapshot'!$I$2:$I$92,MATCH(C85,'Primary_snapshot'!$A$2:$A$92,0))="","",INDEX('Primary_snapshot'!$I$2:$I$92,MATCH(C85,'Primary_snapshot'!$A$2:$A$92,0))),"SNAPSHOT MISSING"))</x:f>
      </x:c>
      <x:c r="S85" s="3" t="str">
        <x:f>IF(INDEX('C_jama.2024.6063'!$D$2:$D$17,MATCH("2024::jama.2024.6063::C009",'C_jama.2024.6063'!$A$2:$A$17,0))="","",INDEX('C_jama.2024.6063'!$D$2:$D$17,MATCH("2024::jama.2024.6063::C009",'C_jama.2024.6063'!$A$2:$A$17,0)))</x:f>
      </x:c>
      <x:c r="T85" s="3" t="str">
        <x:f>IF(INDEX('C_jama.2024.6063'!$E$2:$E$17,MATCH("2024::jama.2024.6063::C009",'C_jama.2024.6063'!$A$2:$A$17,0))="","",INDEX('C_jama.2024.6063'!$E$2:$E$17,MATCH("2024::jama.2024.6063::C009",'C_jama.2024.6063'!$A$2:$A$17,0)))</x:f>
        <x:v>statistical_results</x:v>
      </x:c>
      <x:c r="U85" s="3" t="str">
        <x:f>IF(AND(INDEX('C_jama.2024.6063'!$D$2:$D$17,MATCH("2024::jama.2024.6063::C009",'C_jama.2024.6063'!$A$2:$A$17,0))="retain",INDEX('C_jama.2024.6063'!$E$2:$E$17,MATCH("2024::jama.2024.6063::C009",'C_jama.2024.6063'!$A$2:$A$17,0))="statistical_results"),IF(INDEX('C_jama.2024.6063'!$H$2:$H$17,MATCH("2024::jama.2024.6063::C009",'C_jama.2024.6063'!$A$2:$A$17,0))="","",INDEX('C_jama.2024.6063'!$H$2:$H$17,MATCH("2024::jama.2024.6063::C009",'C_jama.2024.6063'!$A$2:$A$17,0))),"not_applicable")</x:f>
        <x:v>not_applicable</x:v>
      </x:c>
      <x:c r="V85" s="3" t="str">
        <x:f>IF(AND(INDEX('C_jama.2024.6063'!$D$2:$D$17,MATCH("2024::jama.2024.6063::C009",'C_jama.2024.6063'!$A$2:$A$17,0))="retain",INDEX('C_jama.2024.6063'!$E$2:$E$17,MATCH("2024::jama.2024.6063::C009",'C_jama.2024.6063'!$A$2:$A$17,0))="statistical_results"),IF(INDEX('C_jama.2024.6063'!$I$2:$I$17,MATCH("2024::jama.2024.6063::C009",'C_jama.2024.6063'!$A$2:$A$17,0))="","",INDEX('C_jama.2024.6063'!$I$2:$I$17,MATCH("2024::jama.2024.6063::C009",'C_jama.2024.6063'!$A$2:$A$17,0))),"not_applicable")</x:f>
        <x:v>not_applicable</x:v>
      </x:c>
      <x:c r="W85" s="3" t="str">
        <x:f>IF(AND(INDEX('C_jama.2024.6063'!$D$2:$D$17,MATCH("2024::jama.2024.6063::C009",'C_jama.2024.6063'!$A$2:$A$17,0))="retain",INDEX('C_jama.2024.6063'!$E$2:$E$17,MATCH("2024::jama.2024.6063::C009",'C_jama.2024.6063'!$A$2:$A$17,0))="statistical_results"),IF(INDEX('C_jama.2024.6063'!$J$2:$J$17,MATCH("2024::jama.2024.6063::C009",'C_jama.2024.6063'!$A$2:$A$17,0))="","",INDEX('C_jama.2024.6063'!$J$2:$J$17,MATCH("2024::jama.2024.6063::C009",'C_jama.2024.6063'!$A$2:$A$17,0))),"not_applicable")</x:f>
        <x:v>not_applicable</x:v>
      </x:c>
      <x:c r="X85" s="3" t="str">
        <x:f>IF(AND(INDEX('C_jama.2024.6063'!$D$2:$D$17,MATCH("2024::jama.2024.6063::C009",'C_jama.2024.6063'!$A$2:$A$17,0))="retain",OR(INDEX('C_jama.2024.6063'!$E$2:$E$17,MATCH("2024::jama.2024.6063::C009",'C_jama.2024.6063'!$A$2:$A$17,0))="report_internal_inconsistency",INDEX('C_jama.2024.6063'!$E$2:$E$17,MATCH("2024::jama.2024.6063::C009",'C_jama.2024.6063'!$A$2:$A$17,0))="plan_material")),IF(INDEX('C_jama.2024.6063'!$K$2:$K$17,MATCH("2024::jama.2024.6063::C009",'C_jama.2024.6063'!$A$2:$A$17,0))="","",INDEX('C_jama.2024.6063'!$K$2:$K$17,MATCH("2024::jama.2024.6063::C009",'C_jama.2024.6063'!$A$2:$A$17,0))),"not_applicable")</x:f>
        <x:v>not_applicable</x:v>
      </x:c>
      <x:c r="Y85" s="3" t="str">
        <x:f>IF(AND(INDEX('C_jama.2024.6063'!$D$2:$D$17,MATCH("2024::jama.2024.6063::C009",'C_jama.2024.6063'!$A$2:$A$17,0))="retain",INDEX('C_jama.2024.6063'!$E$2:$E$17,MATCH("2024::jama.2024.6063::C009",'C_jama.2024.6063'!$A$2:$A$17,0))="protocol_report"),IF(INDEX('C_jama.2024.6063'!$L$2:$L$17,MATCH("2024::jama.2024.6063::C009",'C_jama.2024.6063'!$A$2:$A$17,0))="","",INDEX('C_jama.2024.6063'!$L$2:$L$17,MATCH("2024::jama.2024.6063::C009",'C_jama.2024.6063'!$A$2:$A$17,0))),"not_applicable")</x:f>
        <x:v>not_applicable</x:v>
      </x:c>
      <x:c r="Z85" s="3" t="str">
        <x:f>IF(INDEX('C_jama.2024.6063'!$R$2:$R$17,MATCH("2024::jama.2024.6063::C009",'C_jama.2024.6063'!$A$2:$A$17,0))="","",INDEX('C_jama.2024.6063'!$R$2:$R$17,MATCH("2024::jama.2024.6063::C009",'C_jama.2024.6063'!$A$2:$A$17,0)))</x:f>
      </x:c>
      <x:c r="AA85" s="3" t="str">
        <x:f>IF(INDEX('C_jama.2024.6063'!$N$2:$N$17,MATCH("2024::jama.2024.6063::C009",'C_jama.2024.6063'!$A$2:$A$17,0))="","",INDEX('C_jama.2024.6063'!$N$2:$N$17,MATCH("2024::jama.2024.6063::C009",'C_jama.2024.6063'!$A$2:$A$17,0)))</x:f>
      </x:c>
      <x:c r="AB85" s="3" t="str">
        <x:f>IF(INDEX('C_jama.2024.6063'!$O$2:$O$17,MATCH("2024::jama.2024.6063::C009",'C_jama.2024.6063'!$A$2:$A$17,0))="","",INDEX('C_jama.2024.6063'!$O$2:$O$17,MATCH("2024::jama.2024.6063::C009",'C_jama.2024.6063'!$A$2:$A$17,0)))</x:f>
      </x:c>
      <x:c r="AC85" s="3" t="str">
        <x:f>IF(INDEX('C_jama.2024.6063'!$P$2:$P$17,MATCH("2024::jama.2024.6063::C009",'C_jama.2024.6063'!$A$2:$A$17,0))="","",INDEX('C_jama.2024.6063'!$P$2:$P$17,MATCH("2024::jama.2024.6063::C009",'C_jama.2024.6063'!$A$2:$A$17,0)))</x:f>
      </x:c>
      <x:c r="AD85" s="3" t="str">
        <x:f>IF(INDEX('C_jama.2024.6063'!$Q$2:$Q$17,MATCH("2024::jama.2024.6063::C009",'C_jama.2024.6063'!$A$2:$A$17,0))="","",INDEX('C_jama.2024.6063'!$Q$2:$Q$17,MATCH("2024::jama.2024.6063::C009",'C_jama.2024.6063'!$A$2:$A$17,0)))</x:f>
      </x:c>
    </x:row>
    <x:row r="86" ht="65" customHeight="1">
      <x:c r="A86" s="6" t="n">
        <x:v>2024</x:v>
      </x:c>
      <x:c r="B86" s="6" t="str">
        <x:v>jama.2024.6063</x:v>
      </x:c>
      <x:c r="C86" s="6" t="str">
        <x:v>2024::jama.2024.6063::C010</x:v>
      </x:c>
      <x:c r="D86" s="6" t="str">
        <x:v>S_W</x:v>
      </x:c>
      <x:c r="E86" s="6" t="n">
        <x:f>Setup!$B$2</x:f>
        <x:v>0</x:v>
      </x:c>
      <x:c r="F86" s="6" t="str">
        <x:f>IF(Setup!$B$4="","",Setup!$B$4)</x:f>
      </x:c>
      <x:c r="G86" s="6" t="str">
        <x:f>IFERROR(INDEX('C_jama.2024.6063'!$G$2:$G$17,MATCH("2024::jama.2024.6063::C010",'C_jama.2024.6063'!$A$2:$A$17,0)),"CHECK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statistical_results</x:v>
      </x:c>
      <x:c r="K86" s="6" t="str">
        <x:f>IF(Setup!$B$6="primary","",IFERROR(IF(INDEX('Primary_snapshot'!$B$2:$B$92,MATCH(C86,'Primary_snapshot'!$A$2:$A$92,0))="","",INDEX('Primary_snapshot'!$B$2:$B$92,MATCH(C86,'Primary_snapshot'!$A$2:$A$92,0))),"SNAPSHOT MISSING"))</x:f>
      </x:c>
      <x:c r="L86" s="6" t="str">
        <x:f>IF(Setup!$B$6="primary","",IFERROR(IF(INDEX('Primary_snapshot'!$C$2:$C$92,MATCH(C86,'Primary_snapshot'!$A$2:$A$92,0))="","",INDEX('Primary_snapshot'!$C$2:$C$92,MATCH(C86,'Primary_snapshot'!$A$2:$A$92,0))),"SNAPSHOT MISSING"))</x:f>
      </x:c>
      <x:c r="M86" s="6" t="str">
        <x:f>IF(Setup!$B$6="primary","",IFERROR(IF(INDEX('Primary_snapshot'!$D$2:$D$92,MATCH(C86,'Primary_snapshot'!$A$2:$A$92,0))="","",INDEX('Primary_snapshot'!$D$2:$D$92,MATCH(C86,'Primary_snapshot'!$A$2:$A$92,0))),"SNAPSHOT MISSING"))</x:f>
      </x:c>
      <x:c r="N86" s="6" t="str">
        <x:f>IF(Setup!$B$6="primary","",IFERROR(IF(INDEX('Primary_snapshot'!$E$2:$E$92,MATCH(C86,'Primary_snapshot'!$A$2:$A$92,0))="","",INDEX('Primary_snapshot'!$E$2:$E$92,MATCH(C86,'Primary_snapshot'!$A$2:$A$92,0))),"SNAPSHOT MISSING"))</x:f>
      </x:c>
      <x:c r="O86" s="6" t="str">
        <x:f>IF(Setup!$B$6="primary","",IFERROR(IF(INDEX('Primary_snapshot'!$F$2:$F$92,MATCH(C86,'Primary_snapshot'!$A$2:$A$92,0))="","",INDEX('Primary_snapshot'!$F$2:$F$92,MATCH(C86,'Primary_snapshot'!$A$2:$A$92,0))),"SNAPSHOT MISSING"))</x:f>
      </x:c>
      <x:c r="P86" s="6" t="str">
        <x:f>IF(Setup!$B$6="primary","",IFERROR(IF(INDEX('Primary_snapshot'!$G$2:$G$92,MATCH(C86,'Primary_snapshot'!$A$2:$A$92,0))="","",INDEX('Primary_snapshot'!$G$2:$G$92,MATCH(C86,'Primary_snapshot'!$A$2:$A$92,0))),"SNAPSHOT MISSING"))</x:f>
      </x:c>
      <x:c r="Q86" s="6" t="str">
        <x:f>IF(Setup!$B$6="primary","",IFERROR(IF(INDEX('Primary_snapshot'!$H$2:$H$92,MATCH(C86,'Primary_snapshot'!$A$2:$A$92,0))="","",INDEX('Primary_snapshot'!$H$2:$H$92,MATCH(C86,'Primary_snapshot'!$A$2:$A$92,0))),"SNAPSHOT MISSING"))</x:f>
      </x:c>
      <x:c r="R86" s="6" t="str">
        <x:f>IF(Setup!$B$6="primary","",IFERROR(IF(INDEX('Primary_snapshot'!$I$2:$I$92,MATCH(C86,'Primary_snapshot'!$A$2:$A$92,0))="","",INDEX('Primary_snapshot'!$I$2:$I$92,MATCH(C86,'Primary_snapshot'!$A$2:$A$92,0))),"SNAPSHOT MISSING"))</x:f>
      </x:c>
      <x:c r="S86" s="6" t="str">
        <x:f>IF(INDEX('C_jama.2024.6063'!$D$2:$D$17,MATCH("2024::jama.2024.6063::C010",'C_jama.2024.6063'!$A$2:$A$17,0))="","",INDEX('C_jama.2024.6063'!$D$2:$D$17,MATCH("2024::jama.2024.6063::C010",'C_jama.2024.6063'!$A$2:$A$17,0)))</x:f>
      </x:c>
      <x:c r="T86" s="6" t="str">
        <x:f>IF(INDEX('C_jama.2024.6063'!$E$2:$E$17,MATCH("2024::jama.2024.6063::C010",'C_jama.2024.6063'!$A$2:$A$17,0))="","",INDEX('C_jama.2024.6063'!$E$2:$E$17,MATCH("2024::jama.2024.6063::C010",'C_jama.2024.6063'!$A$2:$A$17,0)))</x:f>
        <x:v>statistical_results</x:v>
      </x:c>
      <x:c r="U86" s="6" t="str">
        <x:f>IF(AND(INDEX('C_jama.2024.6063'!$D$2:$D$17,MATCH("2024::jama.2024.6063::C010",'C_jama.2024.6063'!$A$2:$A$17,0))="retain",INDEX('C_jama.2024.6063'!$E$2:$E$17,MATCH("2024::jama.2024.6063::C010",'C_jama.2024.6063'!$A$2:$A$17,0))="statistical_results"),IF(INDEX('C_jama.2024.6063'!$H$2:$H$17,MATCH("2024::jama.2024.6063::C010",'C_jama.2024.6063'!$A$2:$A$17,0))="","",INDEX('C_jama.2024.6063'!$H$2:$H$17,MATCH("2024::jama.2024.6063::C010",'C_jama.2024.6063'!$A$2:$A$17,0))),"not_applicable")</x:f>
        <x:v>not_applicable</x:v>
      </x:c>
      <x:c r="V86" s="6" t="str">
        <x:f>IF(AND(INDEX('C_jama.2024.6063'!$D$2:$D$17,MATCH("2024::jama.2024.6063::C010",'C_jama.2024.6063'!$A$2:$A$17,0))="retain",INDEX('C_jama.2024.6063'!$E$2:$E$17,MATCH("2024::jama.2024.6063::C010",'C_jama.2024.6063'!$A$2:$A$17,0))="statistical_results"),IF(INDEX('C_jama.2024.6063'!$I$2:$I$17,MATCH("2024::jama.2024.6063::C010",'C_jama.2024.6063'!$A$2:$A$17,0))="","",INDEX('C_jama.2024.6063'!$I$2:$I$17,MATCH("2024::jama.2024.6063::C010",'C_jama.2024.6063'!$A$2:$A$17,0))),"not_applicable")</x:f>
        <x:v>not_applicable</x:v>
      </x:c>
      <x:c r="W86" s="6" t="str">
        <x:f>IF(AND(INDEX('C_jama.2024.6063'!$D$2:$D$17,MATCH("2024::jama.2024.6063::C010",'C_jama.2024.6063'!$A$2:$A$17,0))="retain",INDEX('C_jama.2024.6063'!$E$2:$E$17,MATCH("2024::jama.2024.6063::C010",'C_jama.2024.6063'!$A$2:$A$17,0))="statistical_results"),IF(INDEX('C_jama.2024.6063'!$J$2:$J$17,MATCH("2024::jama.2024.6063::C010",'C_jama.2024.6063'!$A$2:$A$17,0))="","",INDEX('C_jama.2024.6063'!$J$2:$J$17,MATCH("2024::jama.2024.6063::C010",'C_jama.2024.6063'!$A$2:$A$17,0))),"not_applicable")</x:f>
        <x:v>not_applicable</x:v>
      </x:c>
      <x:c r="X86" s="6" t="str">
        <x:f>IF(AND(INDEX('C_jama.2024.6063'!$D$2:$D$17,MATCH("2024::jama.2024.6063::C010",'C_jama.2024.6063'!$A$2:$A$17,0))="retain",OR(INDEX('C_jama.2024.6063'!$E$2:$E$17,MATCH("2024::jama.2024.6063::C010",'C_jama.2024.6063'!$A$2:$A$17,0))="report_internal_inconsistency",INDEX('C_jama.2024.6063'!$E$2:$E$17,MATCH("2024::jama.2024.6063::C010",'C_jama.2024.6063'!$A$2:$A$17,0))="plan_material")),IF(INDEX('C_jama.2024.6063'!$K$2:$K$17,MATCH("2024::jama.2024.6063::C010",'C_jama.2024.6063'!$A$2:$A$17,0))="","",INDEX('C_jama.2024.6063'!$K$2:$K$17,MATCH("2024::jama.2024.6063::C010",'C_jama.2024.6063'!$A$2:$A$17,0))),"not_applicable")</x:f>
        <x:v>not_applicable</x:v>
      </x:c>
      <x:c r="Y86" s="6" t="str">
        <x:f>IF(AND(INDEX('C_jama.2024.6063'!$D$2:$D$17,MATCH("2024::jama.2024.6063::C010",'C_jama.2024.6063'!$A$2:$A$17,0))="retain",INDEX('C_jama.2024.6063'!$E$2:$E$17,MATCH("2024::jama.2024.6063::C010",'C_jama.2024.6063'!$A$2:$A$17,0))="protocol_report"),IF(INDEX('C_jama.2024.6063'!$L$2:$L$17,MATCH("2024::jama.2024.6063::C010",'C_jama.2024.6063'!$A$2:$A$17,0))="","",INDEX('C_jama.2024.6063'!$L$2:$L$17,MATCH("2024::jama.2024.6063::C010",'C_jama.2024.6063'!$A$2:$A$17,0))),"not_applicable")</x:f>
        <x:v>not_applicable</x:v>
      </x:c>
      <x:c r="Z86" s="6" t="str">
        <x:f>IF(INDEX('C_jama.2024.6063'!$R$2:$R$17,MATCH("2024::jama.2024.6063::C010",'C_jama.2024.6063'!$A$2:$A$17,0))="","",INDEX('C_jama.2024.6063'!$R$2:$R$17,MATCH("2024::jama.2024.6063::C010",'C_jama.2024.6063'!$A$2:$A$17,0)))</x:f>
      </x:c>
      <x:c r="AA86" s="6" t="str">
        <x:f>IF(INDEX('C_jama.2024.6063'!$N$2:$N$17,MATCH("2024::jama.2024.6063::C010",'C_jama.2024.6063'!$A$2:$A$17,0))="","",INDEX('C_jama.2024.6063'!$N$2:$N$17,MATCH("2024::jama.2024.6063::C010",'C_jama.2024.6063'!$A$2:$A$17,0)))</x:f>
      </x:c>
      <x:c r="AB86" s="6" t="str">
        <x:f>IF(INDEX('C_jama.2024.6063'!$O$2:$O$17,MATCH("2024::jama.2024.6063::C010",'C_jama.2024.6063'!$A$2:$A$17,0))="","",INDEX('C_jama.2024.6063'!$O$2:$O$17,MATCH("2024::jama.2024.6063::C010",'C_jama.2024.6063'!$A$2:$A$17,0)))</x:f>
      </x:c>
      <x:c r="AC86" s="6" t="str">
        <x:f>IF(INDEX('C_jama.2024.6063'!$P$2:$P$17,MATCH("2024::jama.2024.6063::C010",'C_jama.2024.6063'!$A$2:$A$17,0))="","",INDEX('C_jama.2024.6063'!$P$2:$P$17,MATCH("2024::jama.2024.6063::C010",'C_jama.2024.6063'!$A$2:$A$17,0)))</x:f>
      </x:c>
      <x:c r="AD86" s="6" t="str">
        <x:f>IF(INDEX('C_jama.2024.6063'!$Q$2:$Q$17,MATCH("2024::jama.2024.6063::C010",'C_jama.2024.6063'!$A$2:$A$17,0))="","",INDEX('C_jama.2024.6063'!$Q$2:$Q$17,MATCH("2024::jama.2024.6063::C010",'C_jama.2024.6063'!$A$2:$A$17,0)))</x:f>
      </x:c>
    </x:row>
    <x:row r="87" ht="65" customHeight="1">
      <x:c r="A87" s="3" t="n">
        <x:v>2024</x:v>
      </x:c>
      <x:c r="B87" s="3" t="str">
        <x:v>jama.2024.6063</x:v>
      </x:c>
      <x:c r="C87" s="3" t="str">
        <x:v>2024::jama.2024.6063::C011</x:v>
      </x:c>
      <x:c r="D87" s="3" t="str">
        <x:v>S_W</x:v>
      </x:c>
      <x:c r="E87" s="3" t="n">
        <x:f>Setup!$B$2</x:f>
        <x:v>0</x:v>
      </x:c>
      <x:c r="F87" s="3" t="str">
        <x:f>IF(Setup!$B$4="","",Setup!$B$4)</x:f>
      </x:c>
      <x:c r="G87" s="3" t="str">
        <x:f>IFERROR(INDEX('C_jama.2024.6063'!$G$2:$G$17,MATCH("2024::jama.2024.6063::C011",'C_jama.2024.6063'!$A$2:$A$17,0)),"CHECK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statistical_results</x:v>
      </x:c>
      <x:c r="K87" s="3" t="str">
        <x:f>IF(Setup!$B$6="primary","",IFERROR(IF(INDEX('Primary_snapshot'!$B$2:$B$92,MATCH(C87,'Primary_snapshot'!$A$2:$A$92,0))="","",INDEX('Primary_snapshot'!$B$2:$B$92,MATCH(C87,'Primary_snapshot'!$A$2:$A$92,0))),"SNAPSHOT MISSING"))</x:f>
      </x:c>
      <x:c r="L87" s="3" t="str">
        <x:f>IF(Setup!$B$6="primary","",IFERROR(IF(INDEX('Primary_snapshot'!$C$2:$C$92,MATCH(C87,'Primary_snapshot'!$A$2:$A$92,0))="","",INDEX('Primary_snapshot'!$C$2:$C$92,MATCH(C87,'Primary_snapshot'!$A$2:$A$92,0))),"SNAPSHOT MISSING"))</x:f>
      </x:c>
      <x:c r="M87" s="3" t="str">
        <x:f>IF(Setup!$B$6="primary","",IFERROR(IF(INDEX('Primary_snapshot'!$D$2:$D$92,MATCH(C87,'Primary_snapshot'!$A$2:$A$92,0))="","",INDEX('Primary_snapshot'!$D$2:$D$92,MATCH(C87,'Primary_snapshot'!$A$2:$A$92,0))),"SNAPSHOT MISSING"))</x:f>
      </x:c>
      <x:c r="N87" s="3" t="str">
        <x:f>IF(Setup!$B$6="primary","",IFERROR(IF(INDEX('Primary_snapshot'!$E$2:$E$92,MATCH(C87,'Primary_snapshot'!$A$2:$A$92,0))="","",INDEX('Primary_snapshot'!$E$2:$E$92,MATCH(C87,'Primary_snapshot'!$A$2:$A$92,0))),"SNAPSHOT MISSING"))</x:f>
      </x:c>
      <x:c r="O87" s="3" t="str">
        <x:f>IF(Setup!$B$6="primary","",IFERROR(IF(INDEX('Primary_snapshot'!$F$2:$F$92,MATCH(C87,'Primary_snapshot'!$A$2:$A$92,0))="","",INDEX('Primary_snapshot'!$F$2:$F$92,MATCH(C87,'Primary_snapshot'!$A$2:$A$92,0))),"SNAPSHOT MISSING"))</x:f>
      </x:c>
      <x:c r="P87" s="3" t="str">
        <x:f>IF(Setup!$B$6="primary","",IFERROR(IF(INDEX('Primary_snapshot'!$G$2:$G$92,MATCH(C87,'Primary_snapshot'!$A$2:$A$92,0))="","",INDEX('Primary_snapshot'!$G$2:$G$92,MATCH(C87,'Primary_snapshot'!$A$2:$A$92,0))),"SNAPSHOT MISSING"))</x:f>
      </x:c>
      <x:c r="Q87" s="3" t="str">
        <x:f>IF(Setup!$B$6="primary","",IFERROR(IF(INDEX('Primary_snapshot'!$H$2:$H$92,MATCH(C87,'Primary_snapshot'!$A$2:$A$92,0))="","",INDEX('Primary_snapshot'!$H$2:$H$92,MATCH(C87,'Primary_snapshot'!$A$2:$A$92,0))),"SNAPSHOT MISSING"))</x:f>
      </x:c>
      <x:c r="R87" s="3" t="str">
        <x:f>IF(Setup!$B$6="primary","",IFERROR(IF(INDEX('Primary_snapshot'!$I$2:$I$92,MATCH(C87,'Primary_snapshot'!$A$2:$A$92,0))="","",INDEX('Primary_snapshot'!$I$2:$I$92,MATCH(C87,'Primary_snapshot'!$A$2:$A$92,0))),"SNAPSHOT MISSING"))</x:f>
      </x:c>
      <x:c r="S87" s="3" t="str">
        <x:f>IF(INDEX('C_jama.2024.6063'!$D$2:$D$17,MATCH("2024::jama.2024.6063::C011",'C_jama.2024.6063'!$A$2:$A$17,0))="","",INDEX('C_jama.2024.6063'!$D$2:$D$17,MATCH("2024::jama.2024.6063::C011",'C_jama.2024.6063'!$A$2:$A$17,0)))</x:f>
      </x:c>
      <x:c r="T87" s="3" t="str">
        <x:f>IF(INDEX('C_jama.2024.6063'!$E$2:$E$17,MATCH("2024::jama.2024.6063::C011",'C_jama.2024.6063'!$A$2:$A$17,0))="","",INDEX('C_jama.2024.6063'!$E$2:$E$17,MATCH("2024::jama.2024.6063::C011",'C_jama.2024.6063'!$A$2:$A$17,0)))</x:f>
        <x:v>statistical_results</x:v>
      </x:c>
      <x:c r="U87" s="3" t="str">
        <x:f>IF(AND(INDEX('C_jama.2024.6063'!$D$2:$D$17,MATCH("2024::jama.2024.6063::C011",'C_jama.2024.6063'!$A$2:$A$17,0))="retain",INDEX('C_jama.2024.6063'!$E$2:$E$17,MATCH("2024::jama.2024.6063::C011",'C_jama.2024.6063'!$A$2:$A$17,0))="statistical_results"),IF(INDEX('C_jama.2024.6063'!$H$2:$H$17,MATCH("2024::jama.2024.6063::C011",'C_jama.2024.6063'!$A$2:$A$17,0))="","",INDEX('C_jama.2024.6063'!$H$2:$H$17,MATCH("2024::jama.2024.6063::C011",'C_jama.2024.6063'!$A$2:$A$17,0))),"not_applicable")</x:f>
        <x:v>not_applicable</x:v>
      </x:c>
      <x:c r="V87" s="3" t="str">
        <x:f>IF(AND(INDEX('C_jama.2024.6063'!$D$2:$D$17,MATCH("2024::jama.2024.6063::C011",'C_jama.2024.6063'!$A$2:$A$17,0))="retain",INDEX('C_jama.2024.6063'!$E$2:$E$17,MATCH("2024::jama.2024.6063::C011",'C_jama.2024.6063'!$A$2:$A$17,0))="statistical_results"),IF(INDEX('C_jama.2024.6063'!$I$2:$I$17,MATCH("2024::jama.2024.6063::C011",'C_jama.2024.6063'!$A$2:$A$17,0))="","",INDEX('C_jama.2024.6063'!$I$2:$I$17,MATCH("2024::jama.2024.6063::C011",'C_jama.2024.6063'!$A$2:$A$17,0))),"not_applicable")</x:f>
        <x:v>not_applicable</x:v>
      </x:c>
      <x:c r="W87" s="3" t="str">
        <x:f>IF(AND(INDEX('C_jama.2024.6063'!$D$2:$D$17,MATCH("2024::jama.2024.6063::C011",'C_jama.2024.6063'!$A$2:$A$17,0))="retain",INDEX('C_jama.2024.6063'!$E$2:$E$17,MATCH("2024::jama.2024.6063::C011",'C_jama.2024.6063'!$A$2:$A$17,0))="statistical_results"),IF(INDEX('C_jama.2024.6063'!$J$2:$J$17,MATCH("2024::jama.2024.6063::C011",'C_jama.2024.6063'!$A$2:$A$17,0))="","",INDEX('C_jama.2024.6063'!$J$2:$J$17,MATCH("2024::jama.2024.6063::C011",'C_jama.2024.6063'!$A$2:$A$17,0))),"not_applicable")</x:f>
        <x:v>not_applicable</x:v>
      </x:c>
      <x:c r="X87" s="3" t="str">
        <x:f>IF(AND(INDEX('C_jama.2024.6063'!$D$2:$D$17,MATCH("2024::jama.2024.6063::C011",'C_jama.2024.6063'!$A$2:$A$17,0))="retain",OR(INDEX('C_jama.2024.6063'!$E$2:$E$17,MATCH("2024::jama.2024.6063::C011",'C_jama.2024.6063'!$A$2:$A$17,0))="report_internal_inconsistency",INDEX('C_jama.2024.6063'!$E$2:$E$17,MATCH("2024::jama.2024.6063::C011",'C_jama.2024.6063'!$A$2:$A$17,0))="plan_material")),IF(INDEX('C_jama.2024.6063'!$K$2:$K$17,MATCH("2024::jama.2024.6063::C011",'C_jama.2024.6063'!$A$2:$A$17,0))="","",INDEX('C_jama.2024.6063'!$K$2:$K$17,MATCH("2024::jama.2024.6063::C011",'C_jama.2024.6063'!$A$2:$A$17,0))),"not_applicable")</x:f>
        <x:v>not_applicable</x:v>
      </x:c>
      <x:c r="Y87" s="3" t="str">
        <x:f>IF(AND(INDEX('C_jama.2024.6063'!$D$2:$D$17,MATCH("2024::jama.2024.6063::C011",'C_jama.2024.6063'!$A$2:$A$17,0))="retain",INDEX('C_jama.2024.6063'!$E$2:$E$17,MATCH("2024::jama.2024.6063::C011",'C_jama.2024.6063'!$A$2:$A$17,0))="protocol_report"),IF(INDEX('C_jama.2024.6063'!$L$2:$L$17,MATCH("2024::jama.2024.6063::C011",'C_jama.2024.6063'!$A$2:$A$17,0))="","",INDEX('C_jama.2024.6063'!$L$2:$L$17,MATCH("2024::jama.2024.6063::C011",'C_jama.2024.6063'!$A$2:$A$17,0))),"not_applicable")</x:f>
        <x:v>not_applicable</x:v>
      </x:c>
      <x:c r="Z87" s="3" t="str">
        <x:f>IF(INDEX('C_jama.2024.6063'!$R$2:$R$17,MATCH("2024::jama.2024.6063::C011",'C_jama.2024.6063'!$A$2:$A$17,0))="","",INDEX('C_jama.2024.6063'!$R$2:$R$17,MATCH("2024::jama.2024.6063::C011",'C_jama.2024.6063'!$A$2:$A$17,0)))</x:f>
      </x:c>
      <x:c r="AA87" s="3" t="str">
        <x:f>IF(INDEX('C_jama.2024.6063'!$N$2:$N$17,MATCH("2024::jama.2024.6063::C011",'C_jama.2024.6063'!$A$2:$A$17,0))="","",INDEX('C_jama.2024.6063'!$N$2:$N$17,MATCH("2024::jama.2024.6063::C011",'C_jama.2024.6063'!$A$2:$A$17,0)))</x:f>
      </x:c>
      <x:c r="AB87" s="3" t="str">
        <x:f>IF(INDEX('C_jama.2024.6063'!$O$2:$O$17,MATCH("2024::jama.2024.6063::C011",'C_jama.2024.6063'!$A$2:$A$17,0))="","",INDEX('C_jama.2024.6063'!$O$2:$O$17,MATCH("2024::jama.2024.6063::C011",'C_jama.2024.6063'!$A$2:$A$17,0)))</x:f>
      </x:c>
      <x:c r="AC87" s="3" t="str">
        <x:f>IF(INDEX('C_jama.2024.6063'!$P$2:$P$17,MATCH("2024::jama.2024.6063::C011",'C_jama.2024.6063'!$A$2:$A$17,0))="","",INDEX('C_jama.2024.6063'!$P$2:$P$17,MATCH("2024::jama.2024.6063::C011",'C_jama.2024.6063'!$A$2:$A$17,0)))</x:f>
      </x:c>
      <x:c r="AD87" s="3" t="str">
        <x:f>IF(INDEX('C_jama.2024.6063'!$Q$2:$Q$17,MATCH("2024::jama.2024.6063::C011",'C_jama.2024.6063'!$A$2:$A$17,0))="","",INDEX('C_jama.2024.6063'!$Q$2:$Q$17,MATCH("2024::jama.2024.6063::C011",'C_jama.2024.6063'!$A$2:$A$17,0)))</x:f>
      </x:c>
    </x:row>
    <x:row r="88" ht="65" customHeight="1">
      <x:c r="A88" s="6" t="n">
        <x:v>2024</x:v>
      </x:c>
      <x:c r="B88" s="6" t="str">
        <x:v>jama.2024.6063</x:v>
      </x:c>
      <x:c r="C88" s="6" t="str">
        <x:v>2024::jama.2024.6063::C012</x:v>
      </x:c>
      <x:c r="D88" s="6" t="str">
        <x:v>S_C</x:v>
      </x:c>
      <x:c r="E88" s="6" t="n">
        <x:f>Setup!$B$2</x:f>
        <x:v>0</x:v>
      </x:c>
      <x:c r="F88" s="6" t="str">
        <x:f>IF(Setup!$B$4="","",Setup!$B$4)</x:f>
      </x:c>
      <x:c r="G88" s="6" t="str">
        <x:f>IFERROR(INDEX('C_jama.2024.6063'!$G$2:$G$17,MATCH("2024::jama.2024.6063::C012",'C_jama.2024.6063'!$A$2:$A$17,0)),"CHECK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IF(Setup!$B$6="primary","",IFERROR(IF(INDEX('Primary_snapshot'!$B$2:$B$92,MATCH(C88,'Primary_snapshot'!$A$2:$A$92,0))="","",INDEX('Primary_snapshot'!$B$2:$B$92,MATCH(C88,'Primary_snapshot'!$A$2:$A$92,0))),"SNAPSHOT MISSING"))</x:f>
      </x:c>
      <x:c r="L88" s="6" t="str">
        <x:f>IF(Setup!$B$6="primary","",IFERROR(IF(INDEX('Primary_snapshot'!$C$2:$C$92,MATCH(C88,'Primary_snapshot'!$A$2:$A$92,0))="","",INDEX('Primary_snapshot'!$C$2:$C$92,MATCH(C88,'Primary_snapshot'!$A$2:$A$92,0))),"SNAPSHOT MISSING"))</x:f>
      </x:c>
      <x:c r="M88" s="6" t="str">
        <x:f>IF(Setup!$B$6="primary","",IFERROR(IF(INDEX('Primary_snapshot'!$D$2:$D$92,MATCH(C88,'Primary_snapshot'!$A$2:$A$92,0))="","",INDEX('Primary_snapshot'!$D$2:$D$92,MATCH(C88,'Primary_snapshot'!$A$2:$A$92,0))),"SNAPSHOT MISSING"))</x:f>
      </x:c>
      <x:c r="N88" s="6" t="str">
        <x:f>IF(Setup!$B$6="primary","",IFERROR(IF(INDEX('Primary_snapshot'!$E$2:$E$92,MATCH(C88,'Primary_snapshot'!$A$2:$A$92,0))="","",INDEX('Primary_snapshot'!$E$2:$E$92,MATCH(C88,'Primary_snapshot'!$A$2:$A$92,0))),"SNAPSHOT MISSING"))</x:f>
      </x:c>
      <x:c r="O88" s="6" t="str">
        <x:f>IF(Setup!$B$6="primary","",IFERROR(IF(INDEX('Primary_snapshot'!$F$2:$F$92,MATCH(C88,'Primary_snapshot'!$A$2:$A$92,0))="","",INDEX('Primary_snapshot'!$F$2:$F$92,MATCH(C88,'Primary_snapshot'!$A$2:$A$92,0))),"SNAPSHOT MISSING"))</x:f>
      </x:c>
      <x:c r="P88" s="6" t="str">
        <x:f>IF(Setup!$B$6="primary","",IFERROR(IF(INDEX('Primary_snapshot'!$G$2:$G$92,MATCH(C88,'Primary_snapshot'!$A$2:$A$92,0))="","",INDEX('Primary_snapshot'!$G$2:$G$92,MATCH(C88,'Primary_snapshot'!$A$2:$A$92,0))),"SNAPSHOT MISSING"))</x:f>
      </x:c>
      <x:c r="Q88" s="6" t="str">
        <x:f>IF(Setup!$B$6="primary","",IFERROR(IF(INDEX('Primary_snapshot'!$H$2:$H$92,MATCH(C88,'Primary_snapshot'!$A$2:$A$92,0))="","",INDEX('Primary_snapshot'!$H$2:$H$92,MATCH(C88,'Primary_snapshot'!$A$2:$A$92,0))),"SNAPSHOT MISSING"))</x:f>
      </x:c>
      <x:c r="R88" s="6" t="str">
        <x:f>IF(Setup!$B$6="primary","",IFERROR(IF(INDEX('Primary_snapshot'!$I$2:$I$92,MATCH(C88,'Primary_snapshot'!$A$2:$A$92,0))="","",INDEX('Primary_snapshot'!$I$2:$I$92,MATCH(C88,'Primary_snapshot'!$A$2:$A$92,0))),"SNAPSHOT MISSING"))</x:f>
      </x:c>
      <x:c r="S88" s="6" t="str">
        <x:f>IF(INDEX('C_jama.2024.6063'!$D$2:$D$17,MATCH("2024::jama.2024.6063::C012",'C_jama.2024.6063'!$A$2:$A$17,0))="","",INDEX('C_jama.2024.6063'!$D$2:$D$17,MATCH("2024::jama.2024.6063::C012",'C_jama.2024.6063'!$A$2:$A$17,0)))</x:f>
      </x:c>
      <x:c r="T88" s="6" t="str">
        <x:f>IF(INDEX('C_jama.2024.6063'!$E$2:$E$17,MATCH("2024::jama.2024.6063::C012",'C_jama.2024.6063'!$A$2:$A$17,0))="","",INDEX('C_jama.2024.6063'!$E$2:$E$17,MATCH("2024::jama.2024.6063::C012",'C_jama.2024.6063'!$A$2:$A$17,0)))</x:f>
        <x:v>report_internal_inconsistency</x:v>
      </x:c>
      <x:c r="U88" s="6" t="str">
        <x:f>IF(AND(INDEX('C_jama.2024.6063'!$D$2:$D$17,MATCH("2024::jama.2024.6063::C012",'C_jama.2024.6063'!$A$2:$A$17,0))="retain",INDEX('C_jama.2024.6063'!$E$2:$E$17,MATCH("2024::jama.2024.6063::C012",'C_jama.2024.6063'!$A$2:$A$17,0))="statistical_results"),IF(INDEX('C_jama.2024.6063'!$H$2:$H$17,MATCH("2024::jama.2024.6063::C012",'C_jama.2024.6063'!$A$2:$A$17,0))="","",INDEX('C_jama.2024.6063'!$H$2:$H$17,MATCH("2024::jama.2024.6063::C012",'C_jama.2024.6063'!$A$2:$A$17,0))),"not_applicable")</x:f>
        <x:v>not_applicable</x:v>
      </x:c>
      <x:c r="V88" s="6" t="str">
        <x:f>IF(AND(INDEX('C_jama.2024.6063'!$D$2:$D$17,MATCH("2024::jama.2024.6063::C012",'C_jama.2024.6063'!$A$2:$A$17,0))="retain",INDEX('C_jama.2024.6063'!$E$2:$E$17,MATCH("2024::jama.2024.6063::C012",'C_jama.2024.6063'!$A$2:$A$17,0))="statistical_results"),IF(INDEX('C_jama.2024.6063'!$I$2:$I$17,MATCH("2024::jama.2024.6063::C012",'C_jama.2024.6063'!$A$2:$A$17,0))="","",INDEX('C_jama.2024.6063'!$I$2:$I$17,MATCH("2024::jama.2024.6063::C012",'C_jama.2024.6063'!$A$2:$A$17,0))),"not_applicable")</x:f>
        <x:v>not_applicable</x:v>
      </x:c>
      <x:c r="W88" s="6" t="str">
        <x:f>IF(AND(INDEX('C_jama.2024.6063'!$D$2:$D$17,MATCH("2024::jama.2024.6063::C012",'C_jama.2024.6063'!$A$2:$A$17,0))="retain",INDEX('C_jama.2024.6063'!$E$2:$E$17,MATCH("2024::jama.2024.6063::C012",'C_jama.2024.6063'!$A$2:$A$17,0))="statistical_results"),IF(INDEX('C_jama.2024.6063'!$J$2:$J$17,MATCH("2024::jama.2024.6063::C012",'C_jama.2024.6063'!$A$2:$A$17,0))="","",INDEX('C_jama.2024.6063'!$J$2:$J$17,MATCH("2024::jama.2024.6063::C012",'C_jama.2024.6063'!$A$2:$A$17,0))),"not_applicable")</x:f>
        <x:v>not_applicable</x:v>
      </x:c>
      <x:c r="X88" s="6" t="str">
        <x:f>IF(AND(INDEX('C_jama.2024.6063'!$D$2:$D$17,MATCH("2024::jama.2024.6063::C012",'C_jama.2024.6063'!$A$2:$A$17,0))="retain",OR(INDEX('C_jama.2024.6063'!$E$2:$E$17,MATCH("2024::jama.2024.6063::C012",'C_jama.2024.6063'!$A$2:$A$17,0))="report_internal_inconsistency",INDEX('C_jama.2024.6063'!$E$2:$E$17,MATCH("2024::jama.2024.6063::C012",'C_jama.2024.6063'!$A$2:$A$17,0))="plan_material")),IF(INDEX('C_jama.2024.6063'!$K$2:$K$17,MATCH("2024::jama.2024.6063::C012",'C_jama.2024.6063'!$A$2:$A$17,0))="","",INDEX('C_jama.2024.6063'!$K$2:$K$17,MATCH("2024::jama.2024.6063::C012",'C_jama.2024.6063'!$A$2:$A$17,0))),"not_applicable")</x:f>
        <x:v>not_applicable</x:v>
      </x:c>
      <x:c r="Y88" s="6" t="str">
        <x:f>IF(AND(INDEX('C_jama.2024.6063'!$D$2:$D$17,MATCH("2024::jama.2024.6063::C012",'C_jama.2024.6063'!$A$2:$A$17,0))="retain",INDEX('C_jama.2024.6063'!$E$2:$E$17,MATCH("2024::jama.2024.6063::C012",'C_jama.2024.6063'!$A$2:$A$17,0))="protocol_report"),IF(INDEX('C_jama.2024.6063'!$L$2:$L$17,MATCH("2024::jama.2024.6063::C012",'C_jama.2024.6063'!$A$2:$A$17,0))="","",INDEX('C_jama.2024.6063'!$L$2:$L$17,MATCH("2024::jama.2024.6063::C012",'C_jama.2024.6063'!$A$2:$A$17,0))),"not_applicable")</x:f>
        <x:v>not_applicable</x:v>
      </x:c>
      <x:c r="Z88" s="6" t="str">
        <x:f>IF(INDEX('C_jama.2024.6063'!$R$2:$R$17,MATCH("2024::jama.2024.6063::C012",'C_jama.2024.6063'!$A$2:$A$17,0))="","",INDEX('C_jama.2024.6063'!$R$2:$R$17,MATCH("2024::jama.2024.6063::C012",'C_jama.2024.6063'!$A$2:$A$17,0)))</x:f>
      </x:c>
      <x:c r="AA88" s="6" t="str">
        <x:f>IF(INDEX('C_jama.2024.6063'!$N$2:$N$17,MATCH("2024::jama.2024.6063::C012",'C_jama.2024.6063'!$A$2:$A$17,0))="","",INDEX('C_jama.2024.6063'!$N$2:$N$17,MATCH("2024::jama.2024.6063::C012",'C_jama.2024.6063'!$A$2:$A$17,0)))</x:f>
      </x:c>
      <x:c r="AB88" s="6" t="str">
        <x:f>IF(INDEX('C_jama.2024.6063'!$O$2:$O$17,MATCH("2024::jama.2024.6063::C012",'C_jama.2024.6063'!$A$2:$A$17,0))="","",INDEX('C_jama.2024.6063'!$O$2:$O$17,MATCH("2024::jama.2024.6063::C012",'C_jama.2024.6063'!$A$2:$A$17,0)))</x:f>
      </x:c>
      <x:c r="AC88" s="6" t="str">
        <x:f>IF(INDEX('C_jama.2024.6063'!$P$2:$P$17,MATCH("2024::jama.2024.6063::C012",'C_jama.2024.6063'!$A$2:$A$17,0))="","",INDEX('C_jama.2024.6063'!$P$2:$P$17,MATCH("2024::jama.2024.6063::C012",'C_jama.2024.6063'!$A$2:$A$17,0)))</x:f>
      </x:c>
      <x:c r="AD88" s="6" t="str">
        <x:f>IF(INDEX('C_jama.2024.6063'!$Q$2:$Q$17,MATCH("2024::jama.2024.6063::C012",'C_jama.2024.6063'!$A$2:$A$17,0))="","",INDEX('C_jama.2024.6063'!$Q$2:$Q$17,MATCH("2024::jama.2024.6063::C012",'C_jama.2024.6063'!$A$2:$A$17,0)))</x:f>
      </x:c>
    </x:row>
    <x:row r="89" ht="65" customHeight="1">
      <x:c r="A89" s="3" t="n">
        <x:v>2024</x:v>
      </x:c>
      <x:c r="B89" s="3" t="str">
        <x:v>jama.2024.6063</x:v>
      </x:c>
      <x:c r="C89" s="3" t="str">
        <x:v>2024::jama.2024.6063::C013</x:v>
      </x:c>
      <x:c r="D89" s="3" t="str">
        <x:v>S_C</x:v>
      </x:c>
      <x:c r="E89" s="3" t="n">
        <x:f>Setup!$B$2</x:f>
        <x:v>0</x:v>
      </x:c>
      <x:c r="F89" s="3" t="str">
        <x:f>IF(Setup!$B$4="","",Setup!$B$4)</x:f>
      </x:c>
      <x:c r="G89" s="3" t="str">
        <x:f>IFERROR(INDEX('C_jama.2024.6063'!$G$2:$G$17,MATCH("2024::jama.2024.6063::C013",'C_jama.2024.6063'!$A$2:$A$17,0)),"CHECK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report_internal_inconsistency</x:v>
      </x:c>
      <x:c r="K89" s="3" t="str">
        <x:f>IF(Setup!$B$6="primary","",IFERROR(IF(INDEX('Primary_snapshot'!$B$2:$B$92,MATCH(C89,'Primary_snapshot'!$A$2:$A$92,0))="","",INDEX('Primary_snapshot'!$B$2:$B$92,MATCH(C89,'Primary_snapshot'!$A$2:$A$92,0))),"SNAPSHOT MISSING"))</x:f>
      </x:c>
      <x:c r="L89" s="3" t="str">
        <x:f>IF(Setup!$B$6="primary","",IFERROR(IF(INDEX('Primary_snapshot'!$C$2:$C$92,MATCH(C89,'Primary_snapshot'!$A$2:$A$92,0))="","",INDEX('Primary_snapshot'!$C$2:$C$92,MATCH(C89,'Primary_snapshot'!$A$2:$A$92,0))),"SNAPSHOT MISSING"))</x:f>
      </x:c>
      <x:c r="M89" s="3" t="str">
        <x:f>IF(Setup!$B$6="primary","",IFERROR(IF(INDEX('Primary_snapshot'!$D$2:$D$92,MATCH(C89,'Primary_snapshot'!$A$2:$A$92,0))="","",INDEX('Primary_snapshot'!$D$2:$D$92,MATCH(C89,'Primary_snapshot'!$A$2:$A$92,0))),"SNAPSHOT MISSING"))</x:f>
      </x:c>
      <x:c r="N89" s="3" t="str">
        <x:f>IF(Setup!$B$6="primary","",IFERROR(IF(INDEX('Primary_snapshot'!$E$2:$E$92,MATCH(C89,'Primary_snapshot'!$A$2:$A$92,0))="","",INDEX('Primary_snapshot'!$E$2:$E$92,MATCH(C89,'Primary_snapshot'!$A$2:$A$92,0))),"SNAPSHOT MISSING"))</x:f>
      </x:c>
      <x:c r="O89" s="3" t="str">
        <x:f>IF(Setup!$B$6="primary","",IFERROR(IF(INDEX('Primary_snapshot'!$F$2:$F$92,MATCH(C89,'Primary_snapshot'!$A$2:$A$92,0))="","",INDEX('Primary_snapshot'!$F$2:$F$92,MATCH(C89,'Primary_snapshot'!$A$2:$A$92,0))),"SNAPSHOT MISSING"))</x:f>
      </x:c>
      <x:c r="P89" s="3" t="str">
        <x:f>IF(Setup!$B$6="primary","",IFERROR(IF(INDEX('Primary_snapshot'!$G$2:$G$92,MATCH(C89,'Primary_snapshot'!$A$2:$A$92,0))="","",INDEX('Primary_snapshot'!$G$2:$G$92,MATCH(C89,'Primary_snapshot'!$A$2:$A$92,0))),"SNAPSHOT MISSING"))</x:f>
      </x:c>
      <x:c r="Q89" s="3" t="str">
        <x:f>IF(Setup!$B$6="primary","",IFERROR(IF(INDEX('Primary_snapshot'!$H$2:$H$92,MATCH(C89,'Primary_snapshot'!$A$2:$A$92,0))="","",INDEX('Primary_snapshot'!$H$2:$H$92,MATCH(C89,'Primary_snapshot'!$A$2:$A$92,0))),"SNAPSHOT MISSING"))</x:f>
      </x:c>
      <x:c r="R89" s="3" t="str">
        <x:f>IF(Setup!$B$6="primary","",IFERROR(IF(INDEX('Primary_snapshot'!$I$2:$I$92,MATCH(C89,'Primary_snapshot'!$A$2:$A$92,0))="","",INDEX('Primary_snapshot'!$I$2:$I$92,MATCH(C89,'Primary_snapshot'!$A$2:$A$92,0))),"SNAPSHOT MISSING"))</x:f>
      </x:c>
      <x:c r="S89" s="3" t="str">
        <x:f>IF(INDEX('C_jama.2024.6063'!$D$2:$D$17,MATCH("2024::jama.2024.6063::C013",'C_jama.2024.6063'!$A$2:$A$17,0))="","",INDEX('C_jama.2024.6063'!$D$2:$D$17,MATCH("2024::jama.2024.6063::C013",'C_jama.2024.6063'!$A$2:$A$17,0)))</x:f>
      </x:c>
      <x:c r="T89" s="3" t="str">
        <x:f>IF(INDEX('C_jama.2024.6063'!$E$2:$E$17,MATCH("2024::jama.2024.6063::C013",'C_jama.2024.6063'!$A$2:$A$17,0))="","",INDEX('C_jama.2024.6063'!$E$2:$E$17,MATCH("2024::jama.2024.6063::C013",'C_jama.2024.6063'!$A$2:$A$17,0)))</x:f>
        <x:v>report_internal_inconsistency</x:v>
      </x:c>
      <x:c r="U89" s="3" t="str">
        <x:f>IF(AND(INDEX('C_jama.2024.6063'!$D$2:$D$17,MATCH("2024::jama.2024.6063::C013",'C_jama.2024.6063'!$A$2:$A$17,0))="retain",INDEX('C_jama.2024.6063'!$E$2:$E$17,MATCH("2024::jama.2024.6063::C013",'C_jama.2024.6063'!$A$2:$A$17,0))="statistical_results"),IF(INDEX('C_jama.2024.6063'!$H$2:$H$17,MATCH("2024::jama.2024.6063::C013",'C_jama.2024.6063'!$A$2:$A$17,0))="","",INDEX('C_jama.2024.6063'!$H$2:$H$17,MATCH("2024::jama.2024.6063::C013",'C_jama.2024.6063'!$A$2:$A$17,0))),"not_applicable")</x:f>
        <x:v>not_applicable</x:v>
      </x:c>
      <x:c r="V89" s="3" t="str">
        <x:f>IF(AND(INDEX('C_jama.2024.6063'!$D$2:$D$17,MATCH("2024::jama.2024.6063::C013",'C_jama.2024.6063'!$A$2:$A$17,0))="retain",INDEX('C_jama.2024.6063'!$E$2:$E$17,MATCH("2024::jama.2024.6063::C013",'C_jama.2024.6063'!$A$2:$A$17,0))="statistical_results"),IF(INDEX('C_jama.2024.6063'!$I$2:$I$17,MATCH("2024::jama.2024.6063::C013",'C_jama.2024.6063'!$A$2:$A$17,0))="","",INDEX('C_jama.2024.6063'!$I$2:$I$17,MATCH("2024::jama.2024.6063::C013",'C_jama.2024.6063'!$A$2:$A$17,0))),"not_applicable")</x:f>
        <x:v>not_applicable</x:v>
      </x:c>
      <x:c r="W89" s="3" t="str">
        <x:f>IF(AND(INDEX('C_jama.2024.6063'!$D$2:$D$17,MATCH("2024::jama.2024.6063::C013",'C_jama.2024.6063'!$A$2:$A$17,0))="retain",INDEX('C_jama.2024.6063'!$E$2:$E$17,MATCH("2024::jama.2024.6063::C013",'C_jama.2024.6063'!$A$2:$A$17,0))="statistical_results"),IF(INDEX('C_jama.2024.6063'!$J$2:$J$17,MATCH("2024::jama.2024.6063::C013",'C_jama.2024.6063'!$A$2:$A$17,0))="","",INDEX('C_jama.2024.6063'!$J$2:$J$17,MATCH("2024::jama.2024.6063::C013",'C_jama.2024.6063'!$A$2:$A$17,0))),"not_applicable")</x:f>
        <x:v>not_applicable</x:v>
      </x:c>
      <x:c r="X89" s="3" t="str">
        <x:f>IF(AND(INDEX('C_jama.2024.6063'!$D$2:$D$17,MATCH("2024::jama.2024.6063::C013",'C_jama.2024.6063'!$A$2:$A$17,0))="retain",OR(INDEX('C_jama.2024.6063'!$E$2:$E$17,MATCH("2024::jama.2024.6063::C013",'C_jama.2024.6063'!$A$2:$A$17,0))="report_internal_inconsistency",INDEX('C_jama.2024.6063'!$E$2:$E$17,MATCH("2024::jama.2024.6063::C013",'C_jama.2024.6063'!$A$2:$A$17,0))="plan_material")),IF(INDEX('C_jama.2024.6063'!$K$2:$K$17,MATCH("2024::jama.2024.6063::C013",'C_jama.2024.6063'!$A$2:$A$17,0))="","",INDEX('C_jama.2024.6063'!$K$2:$K$17,MATCH("2024::jama.2024.6063::C013",'C_jama.2024.6063'!$A$2:$A$17,0))),"not_applicable")</x:f>
        <x:v>not_applicable</x:v>
      </x:c>
      <x:c r="Y89" s="3" t="str">
        <x:f>IF(AND(INDEX('C_jama.2024.6063'!$D$2:$D$17,MATCH("2024::jama.2024.6063::C013",'C_jama.2024.6063'!$A$2:$A$17,0))="retain",INDEX('C_jama.2024.6063'!$E$2:$E$17,MATCH("2024::jama.2024.6063::C013",'C_jama.2024.6063'!$A$2:$A$17,0))="protocol_report"),IF(INDEX('C_jama.2024.6063'!$L$2:$L$17,MATCH("2024::jama.2024.6063::C013",'C_jama.2024.6063'!$A$2:$A$17,0))="","",INDEX('C_jama.2024.6063'!$L$2:$L$17,MATCH("2024::jama.2024.6063::C013",'C_jama.2024.6063'!$A$2:$A$17,0))),"not_applicable")</x:f>
        <x:v>not_applicable</x:v>
      </x:c>
      <x:c r="Z89" s="3" t="str">
        <x:f>IF(INDEX('C_jama.2024.6063'!$R$2:$R$17,MATCH("2024::jama.2024.6063::C013",'C_jama.2024.6063'!$A$2:$A$17,0))="","",INDEX('C_jama.2024.6063'!$R$2:$R$17,MATCH("2024::jama.2024.6063::C013",'C_jama.2024.6063'!$A$2:$A$17,0)))</x:f>
      </x:c>
      <x:c r="AA89" s="3" t="str">
        <x:f>IF(INDEX('C_jama.2024.6063'!$N$2:$N$17,MATCH("2024::jama.2024.6063::C013",'C_jama.2024.6063'!$A$2:$A$17,0))="","",INDEX('C_jama.2024.6063'!$N$2:$N$17,MATCH("2024::jama.2024.6063::C013",'C_jama.2024.6063'!$A$2:$A$17,0)))</x:f>
      </x:c>
      <x:c r="AB89" s="3" t="str">
        <x:f>IF(INDEX('C_jama.2024.6063'!$O$2:$O$17,MATCH("2024::jama.2024.6063::C013",'C_jama.2024.6063'!$A$2:$A$17,0))="","",INDEX('C_jama.2024.6063'!$O$2:$O$17,MATCH("2024::jama.2024.6063::C013",'C_jama.2024.6063'!$A$2:$A$17,0)))</x:f>
      </x:c>
      <x:c r="AC89" s="3" t="str">
        <x:f>IF(INDEX('C_jama.2024.6063'!$P$2:$P$17,MATCH("2024::jama.2024.6063::C013",'C_jama.2024.6063'!$A$2:$A$17,0))="","",INDEX('C_jama.2024.6063'!$P$2:$P$17,MATCH("2024::jama.2024.6063::C013",'C_jama.2024.6063'!$A$2:$A$17,0)))</x:f>
      </x:c>
      <x:c r="AD89" s="3" t="str">
        <x:f>IF(INDEX('C_jama.2024.6063'!$Q$2:$Q$17,MATCH("2024::jama.2024.6063::C013",'C_jama.2024.6063'!$A$2:$A$17,0))="","",INDEX('C_jama.2024.6063'!$Q$2:$Q$17,MATCH("2024::jama.2024.6063::C013",'C_jama.2024.6063'!$A$2:$A$17,0)))</x:f>
      </x:c>
    </x:row>
    <x:row r="90" ht="65" customHeight="1">
      <x:c r="A90" s="6" t="n">
        <x:v>2024</x:v>
      </x:c>
      <x:c r="B90" s="6" t="str">
        <x:v>jama.2024.6063</x:v>
      </x:c>
      <x:c r="C90" s="6" t="str">
        <x:v>2024::jama.2024.6063::C014</x:v>
      </x:c>
      <x:c r="D90" s="6" t="str">
        <x:v>S_C</x:v>
      </x:c>
      <x:c r="E90" s="6" t="n">
        <x:f>Setup!$B$2</x:f>
        <x:v>0</x:v>
      </x:c>
      <x:c r="F90" s="6" t="str">
        <x:f>IF(Setup!$B$4="","",Setup!$B$4)</x:f>
      </x:c>
      <x:c r="G90" s="6" t="str">
        <x:f>IFERROR(INDEX('C_jama.2024.6063'!$G$2:$G$17,MATCH("2024::jama.2024.6063::C014",'C_jama.2024.6063'!$A$2:$A$17,0)),"CHECK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report_internal_inconsistency</x:v>
      </x:c>
      <x:c r="K90" s="6" t="str">
        <x:f>IF(Setup!$B$6="primary","",IFERROR(IF(INDEX('Primary_snapshot'!$B$2:$B$92,MATCH(C90,'Primary_snapshot'!$A$2:$A$92,0))="","",INDEX('Primary_snapshot'!$B$2:$B$92,MATCH(C90,'Primary_snapshot'!$A$2:$A$92,0))),"SNAPSHOT MISSING"))</x:f>
      </x:c>
      <x:c r="L90" s="6" t="str">
        <x:f>IF(Setup!$B$6="primary","",IFERROR(IF(INDEX('Primary_snapshot'!$C$2:$C$92,MATCH(C90,'Primary_snapshot'!$A$2:$A$92,0))="","",INDEX('Primary_snapshot'!$C$2:$C$92,MATCH(C90,'Primary_snapshot'!$A$2:$A$92,0))),"SNAPSHOT MISSING"))</x:f>
      </x:c>
      <x:c r="M90" s="6" t="str">
        <x:f>IF(Setup!$B$6="primary","",IFERROR(IF(INDEX('Primary_snapshot'!$D$2:$D$92,MATCH(C90,'Primary_snapshot'!$A$2:$A$92,0))="","",INDEX('Primary_snapshot'!$D$2:$D$92,MATCH(C90,'Primary_snapshot'!$A$2:$A$92,0))),"SNAPSHOT MISSING"))</x:f>
      </x:c>
      <x:c r="N90" s="6" t="str">
        <x:f>IF(Setup!$B$6="primary","",IFERROR(IF(INDEX('Primary_snapshot'!$E$2:$E$92,MATCH(C90,'Primary_snapshot'!$A$2:$A$92,0))="","",INDEX('Primary_snapshot'!$E$2:$E$92,MATCH(C90,'Primary_snapshot'!$A$2:$A$92,0))),"SNAPSHOT MISSING"))</x:f>
      </x:c>
      <x:c r="O90" s="6" t="str">
        <x:f>IF(Setup!$B$6="primary","",IFERROR(IF(INDEX('Primary_snapshot'!$F$2:$F$92,MATCH(C90,'Primary_snapshot'!$A$2:$A$92,0))="","",INDEX('Primary_snapshot'!$F$2:$F$92,MATCH(C90,'Primary_snapshot'!$A$2:$A$92,0))),"SNAPSHOT MISSING"))</x:f>
      </x:c>
      <x:c r="P90" s="6" t="str">
        <x:f>IF(Setup!$B$6="primary","",IFERROR(IF(INDEX('Primary_snapshot'!$G$2:$G$92,MATCH(C90,'Primary_snapshot'!$A$2:$A$92,0))="","",INDEX('Primary_snapshot'!$G$2:$G$92,MATCH(C90,'Primary_snapshot'!$A$2:$A$92,0))),"SNAPSHOT MISSING"))</x:f>
      </x:c>
      <x:c r="Q90" s="6" t="str">
        <x:f>IF(Setup!$B$6="primary","",IFERROR(IF(INDEX('Primary_snapshot'!$H$2:$H$92,MATCH(C90,'Primary_snapshot'!$A$2:$A$92,0))="","",INDEX('Primary_snapshot'!$H$2:$H$92,MATCH(C90,'Primary_snapshot'!$A$2:$A$92,0))),"SNAPSHOT MISSING"))</x:f>
      </x:c>
      <x:c r="R90" s="6" t="str">
        <x:f>IF(Setup!$B$6="primary","",IFERROR(IF(INDEX('Primary_snapshot'!$I$2:$I$92,MATCH(C90,'Primary_snapshot'!$A$2:$A$92,0))="","",INDEX('Primary_snapshot'!$I$2:$I$92,MATCH(C90,'Primary_snapshot'!$A$2:$A$92,0))),"SNAPSHOT MISSING"))</x:f>
      </x:c>
      <x:c r="S90" s="6" t="str">
        <x:f>IF(INDEX('C_jama.2024.6063'!$D$2:$D$17,MATCH("2024::jama.2024.6063::C014",'C_jama.2024.6063'!$A$2:$A$17,0))="","",INDEX('C_jama.2024.6063'!$D$2:$D$17,MATCH("2024::jama.2024.6063::C014",'C_jama.2024.6063'!$A$2:$A$17,0)))</x:f>
      </x:c>
      <x:c r="T90" s="6" t="str">
        <x:f>IF(INDEX('C_jama.2024.6063'!$E$2:$E$17,MATCH("2024::jama.2024.6063::C014",'C_jama.2024.6063'!$A$2:$A$17,0))="","",INDEX('C_jama.2024.6063'!$E$2:$E$17,MATCH("2024::jama.2024.6063::C014",'C_jama.2024.6063'!$A$2:$A$17,0)))</x:f>
        <x:v>report_internal_inconsistency</x:v>
      </x:c>
      <x:c r="U90" s="6" t="str">
        <x:f>IF(AND(INDEX('C_jama.2024.6063'!$D$2:$D$17,MATCH("2024::jama.2024.6063::C014",'C_jama.2024.6063'!$A$2:$A$17,0))="retain",INDEX('C_jama.2024.6063'!$E$2:$E$17,MATCH("2024::jama.2024.6063::C014",'C_jama.2024.6063'!$A$2:$A$17,0))="statistical_results"),IF(INDEX('C_jama.2024.6063'!$H$2:$H$17,MATCH("2024::jama.2024.6063::C014",'C_jama.2024.6063'!$A$2:$A$17,0))="","",INDEX('C_jama.2024.6063'!$H$2:$H$17,MATCH("2024::jama.2024.6063::C014",'C_jama.2024.6063'!$A$2:$A$17,0))),"not_applicable")</x:f>
        <x:v>not_applicable</x:v>
      </x:c>
      <x:c r="V90" s="6" t="str">
        <x:f>IF(AND(INDEX('C_jama.2024.6063'!$D$2:$D$17,MATCH("2024::jama.2024.6063::C014",'C_jama.2024.6063'!$A$2:$A$17,0))="retain",INDEX('C_jama.2024.6063'!$E$2:$E$17,MATCH("2024::jama.2024.6063::C014",'C_jama.2024.6063'!$A$2:$A$17,0))="statistical_results"),IF(INDEX('C_jama.2024.6063'!$I$2:$I$17,MATCH("2024::jama.2024.6063::C014",'C_jama.2024.6063'!$A$2:$A$17,0))="","",INDEX('C_jama.2024.6063'!$I$2:$I$17,MATCH("2024::jama.2024.6063::C014",'C_jama.2024.6063'!$A$2:$A$17,0))),"not_applicable")</x:f>
        <x:v>not_applicable</x:v>
      </x:c>
      <x:c r="W90" s="6" t="str">
        <x:f>IF(AND(INDEX('C_jama.2024.6063'!$D$2:$D$17,MATCH("2024::jama.2024.6063::C014",'C_jama.2024.6063'!$A$2:$A$17,0))="retain",INDEX('C_jama.2024.6063'!$E$2:$E$17,MATCH("2024::jama.2024.6063::C014",'C_jama.2024.6063'!$A$2:$A$17,0))="statistical_results"),IF(INDEX('C_jama.2024.6063'!$J$2:$J$17,MATCH("2024::jama.2024.6063::C014",'C_jama.2024.6063'!$A$2:$A$17,0))="","",INDEX('C_jama.2024.6063'!$J$2:$J$17,MATCH("2024::jama.2024.6063::C014",'C_jama.2024.6063'!$A$2:$A$17,0))),"not_applicable")</x:f>
        <x:v>not_applicable</x:v>
      </x:c>
      <x:c r="X90" s="6" t="str">
        <x:f>IF(AND(INDEX('C_jama.2024.6063'!$D$2:$D$17,MATCH("2024::jama.2024.6063::C014",'C_jama.2024.6063'!$A$2:$A$17,0))="retain",OR(INDEX('C_jama.2024.6063'!$E$2:$E$17,MATCH("2024::jama.2024.6063::C014",'C_jama.2024.6063'!$A$2:$A$17,0))="report_internal_inconsistency",INDEX('C_jama.2024.6063'!$E$2:$E$17,MATCH("2024::jama.2024.6063::C014",'C_jama.2024.6063'!$A$2:$A$17,0))="plan_material")),IF(INDEX('C_jama.2024.6063'!$K$2:$K$17,MATCH("2024::jama.2024.6063::C014",'C_jama.2024.6063'!$A$2:$A$17,0))="","",INDEX('C_jama.2024.6063'!$K$2:$K$17,MATCH("2024::jama.2024.6063::C014",'C_jama.2024.6063'!$A$2:$A$17,0))),"not_applicable")</x:f>
        <x:v>not_applicable</x:v>
      </x:c>
      <x:c r="Y90" s="6" t="str">
        <x:f>IF(AND(INDEX('C_jama.2024.6063'!$D$2:$D$17,MATCH("2024::jama.2024.6063::C014",'C_jama.2024.6063'!$A$2:$A$17,0))="retain",INDEX('C_jama.2024.6063'!$E$2:$E$17,MATCH("2024::jama.2024.6063::C014",'C_jama.2024.6063'!$A$2:$A$17,0))="protocol_report"),IF(INDEX('C_jama.2024.6063'!$L$2:$L$17,MATCH("2024::jama.2024.6063::C014",'C_jama.2024.6063'!$A$2:$A$17,0))="","",INDEX('C_jama.2024.6063'!$L$2:$L$17,MATCH("2024::jama.2024.6063::C014",'C_jama.2024.6063'!$A$2:$A$17,0))),"not_applicable")</x:f>
        <x:v>not_applicable</x:v>
      </x:c>
      <x:c r="Z90" s="6" t="str">
        <x:f>IF(INDEX('C_jama.2024.6063'!$R$2:$R$17,MATCH("2024::jama.2024.6063::C014",'C_jama.2024.6063'!$A$2:$A$17,0))="","",INDEX('C_jama.2024.6063'!$R$2:$R$17,MATCH("2024::jama.2024.6063::C014",'C_jama.2024.6063'!$A$2:$A$17,0)))</x:f>
      </x:c>
      <x:c r="AA90" s="6" t="str">
        <x:f>IF(INDEX('C_jama.2024.6063'!$N$2:$N$17,MATCH("2024::jama.2024.6063::C014",'C_jama.2024.6063'!$A$2:$A$17,0))="","",INDEX('C_jama.2024.6063'!$N$2:$N$17,MATCH("2024::jama.2024.6063::C014",'C_jama.2024.6063'!$A$2:$A$17,0)))</x:f>
      </x:c>
      <x:c r="AB90" s="6" t="str">
        <x:f>IF(INDEX('C_jama.2024.6063'!$O$2:$O$17,MATCH("2024::jama.2024.6063::C014",'C_jama.2024.6063'!$A$2:$A$17,0))="","",INDEX('C_jama.2024.6063'!$O$2:$O$17,MATCH("2024::jama.2024.6063::C014",'C_jama.2024.6063'!$A$2:$A$17,0)))</x:f>
      </x:c>
      <x:c r="AC90" s="6" t="str">
        <x:f>IF(INDEX('C_jama.2024.6063'!$P$2:$P$17,MATCH("2024::jama.2024.6063::C014",'C_jama.2024.6063'!$A$2:$A$17,0))="","",INDEX('C_jama.2024.6063'!$P$2:$P$17,MATCH("2024::jama.2024.6063::C014",'C_jama.2024.6063'!$A$2:$A$17,0)))</x:f>
      </x:c>
      <x:c r="AD90" s="6" t="str">
        <x:f>IF(INDEX('C_jama.2024.6063'!$Q$2:$Q$17,MATCH("2024::jama.2024.6063::C014",'C_jama.2024.6063'!$A$2:$A$17,0))="","",INDEX('C_jama.2024.6063'!$Q$2:$Q$17,MATCH("2024::jama.2024.6063::C014",'C_jama.2024.6063'!$A$2:$A$17,0)))</x:f>
      </x:c>
    </x:row>
    <x:row r="91" ht="65" customHeight="1">
      <x:c r="A91" s="3" t="n">
        <x:v>2024</x:v>
      </x:c>
      <x:c r="B91" s="3" t="str">
        <x:v>jama.2024.6063</x:v>
      </x:c>
      <x:c r="C91" s="3" t="str">
        <x:v>2024::jama.2024.6063::C015</x:v>
      </x:c>
      <x:c r="D91" s="3" t="str">
        <x:v>S_C</x:v>
      </x:c>
      <x:c r="E91" s="3" t="n">
        <x:f>Setup!$B$2</x:f>
        <x:v>0</x:v>
      </x:c>
      <x:c r="F91" s="3" t="str">
        <x:f>IF(Setup!$B$4="","",Setup!$B$4)</x:f>
      </x:c>
      <x:c r="G91" s="3" t="str">
        <x:f>IFERROR(INDEX('C_jama.2024.6063'!$G$2:$G$17,MATCH("2024::jama.2024.6063::C015",'C_jama.2024.6063'!$A$2:$A$17,0)),"CHECK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report_internal_inconsistency</x:v>
      </x:c>
      <x:c r="K91" s="3" t="str">
        <x:f>IF(Setup!$B$6="primary","",IFERROR(IF(INDEX('Primary_snapshot'!$B$2:$B$92,MATCH(C91,'Primary_snapshot'!$A$2:$A$92,0))="","",INDEX('Primary_snapshot'!$B$2:$B$92,MATCH(C91,'Primary_snapshot'!$A$2:$A$92,0))),"SNAPSHOT MISSING"))</x:f>
      </x:c>
      <x:c r="L91" s="3" t="str">
        <x:f>IF(Setup!$B$6="primary","",IFERROR(IF(INDEX('Primary_snapshot'!$C$2:$C$92,MATCH(C91,'Primary_snapshot'!$A$2:$A$92,0))="","",INDEX('Primary_snapshot'!$C$2:$C$92,MATCH(C91,'Primary_snapshot'!$A$2:$A$92,0))),"SNAPSHOT MISSING"))</x:f>
      </x:c>
      <x:c r="M91" s="3" t="str">
        <x:f>IF(Setup!$B$6="primary","",IFERROR(IF(INDEX('Primary_snapshot'!$D$2:$D$92,MATCH(C91,'Primary_snapshot'!$A$2:$A$92,0))="","",INDEX('Primary_snapshot'!$D$2:$D$92,MATCH(C91,'Primary_snapshot'!$A$2:$A$92,0))),"SNAPSHOT MISSING"))</x:f>
      </x:c>
      <x:c r="N91" s="3" t="str">
        <x:f>IF(Setup!$B$6="primary","",IFERROR(IF(INDEX('Primary_snapshot'!$E$2:$E$92,MATCH(C91,'Primary_snapshot'!$A$2:$A$92,0))="","",INDEX('Primary_snapshot'!$E$2:$E$92,MATCH(C91,'Primary_snapshot'!$A$2:$A$92,0))),"SNAPSHOT MISSING"))</x:f>
      </x:c>
      <x:c r="O91" s="3" t="str">
        <x:f>IF(Setup!$B$6="primary","",IFERROR(IF(INDEX('Primary_snapshot'!$F$2:$F$92,MATCH(C91,'Primary_snapshot'!$A$2:$A$92,0))="","",INDEX('Primary_snapshot'!$F$2:$F$92,MATCH(C91,'Primary_snapshot'!$A$2:$A$92,0))),"SNAPSHOT MISSING"))</x:f>
      </x:c>
      <x:c r="P91" s="3" t="str">
        <x:f>IF(Setup!$B$6="primary","",IFERROR(IF(INDEX('Primary_snapshot'!$G$2:$G$92,MATCH(C91,'Primary_snapshot'!$A$2:$A$92,0))="","",INDEX('Primary_snapshot'!$G$2:$G$92,MATCH(C91,'Primary_snapshot'!$A$2:$A$92,0))),"SNAPSHOT MISSING"))</x:f>
      </x:c>
      <x:c r="Q91" s="3" t="str">
        <x:f>IF(Setup!$B$6="primary","",IFERROR(IF(INDEX('Primary_snapshot'!$H$2:$H$92,MATCH(C91,'Primary_snapshot'!$A$2:$A$92,0))="","",INDEX('Primary_snapshot'!$H$2:$H$92,MATCH(C91,'Primary_snapshot'!$A$2:$A$92,0))),"SNAPSHOT MISSING"))</x:f>
      </x:c>
      <x:c r="R91" s="3" t="str">
        <x:f>IF(Setup!$B$6="primary","",IFERROR(IF(INDEX('Primary_snapshot'!$I$2:$I$92,MATCH(C91,'Primary_snapshot'!$A$2:$A$92,0))="","",INDEX('Primary_snapshot'!$I$2:$I$92,MATCH(C91,'Primary_snapshot'!$A$2:$A$92,0))),"SNAPSHOT MISSING"))</x:f>
      </x:c>
      <x:c r="S91" s="3" t="str">
        <x:f>IF(INDEX('C_jama.2024.6063'!$D$2:$D$17,MATCH("2024::jama.2024.6063::C015",'C_jama.2024.6063'!$A$2:$A$17,0))="","",INDEX('C_jama.2024.6063'!$D$2:$D$17,MATCH("2024::jama.2024.6063::C015",'C_jama.2024.6063'!$A$2:$A$17,0)))</x:f>
      </x:c>
      <x:c r="T91" s="3" t="str">
        <x:f>IF(INDEX('C_jama.2024.6063'!$E$2:$E$17,MATCH("2024::jama.2024.6063::C015",'C_jama.2024.6063'!$A$2:$A$17,0))="","",INDEX('C_jama.2024.6063'!$E$2:$E$17,MATCH("2024::jama.2024.6063::C015",'C_jama.2024.6063'!$A$2:$A$17,0)))</x:f>
        <x:v>report_internal_inconsistency</x:v>
      </x:c>
      <x:c r="U91" s="3" t="str">
        <x:f>IF(AND(INDEX('C_jama.2024.6063'!$D$2:$D$17,MATCH("2024::jama.2024.6063::C015",'C_jama.2024.6063'!$A$2:$A$17,0))="retain",INDEX('C_jama.2024.6063'!$E$2:$E$17,MATCH("2024::jama.2024.6063::C015",'C_jama.2024.6063'!$A$2:$A$17,0))="statistical_results"),IF(INDEX('C_jama.2024.6063'!$H$2:$H$17,MATCH("2024::jama.2024.6063::C015",'C_jama.2024.6063'!$A$2:$A$17,0))="","",INDEX('C_jama.2024.6063'!$H$2:$H$17,MATCH("2024::jama.2024.6063::C015",'C_jama.2024.6063'!$A$2:$A$17,0))),"not_applicable")</x:f>
        <x:v>not_applicable</x:v>
      </x:c>
      <x:c r="V91" s="3" t="str">
        <x:f>IF(AND(INDEX('C_jama.2024.6063'!$D$2:$D$17,MATCH("2024::jama.2024.6063::C015",'C_jama.2024.6063'!$A$2:$A$17,0))="retain",INDEX('C_jama.2024.6063'!$E$2:$E$17,MATCH("2024::jama.2024.6063::C015",'C_jama.2024.6063'!$A$2:$A$17,0))="statistical_results"),IF(INDEX('C_jama.2024.6063'!$I$2:$I$17,MATCH("2024::jama.2024.6063::C015",'C_jama.2024.6063'!$A$2:$A$17,0))="","",INDEX('C_jama.2024.6063'!$I$2:$I$17,MATCH("2024::jama.2024.6063::C015",'C_jama.2024.6063'!$A$2:$A$17,0))),"not_applicable")</x:f>
        <x:v>not_applicable</x:v>
      </x:c>
      <x:c r="W91" s="3" t="str">
        <x:f>IF(AND(INDEX('C_jama.2024.6063'!$D$2:$D$17,MATCH("2024::jama.2024.6063::C015",'C_jama.2024.6063'!$A$2:$A$17,0))="retain",INDEX('C_jama.2024.6063'!$E$2:$E$17,MATCH("2024::jama.2024.6063::C015",'C_jama.2024.6063'!$A$2:$A$17,0))="statistical_results"),IF(INDEX('C_jama.2024.6063'!$J$2:$J$17,MATCH("2024::jama.2024.6063::C015",'C_jama.2024.6063'!$A$2:$A$17,0))="","",INDEX('C_jama.2024.6063'!$J$2:$J$17,MATCH("2024::jama.2024.6063::C015",'C_jama.2024.6063'!$A$2:$A$17,0))),"not_applicable")</x:f>
        <x:v>not_applicable</x:v>
      </x:c>
      <x:c r="X91" s="3" t="str">
        <x:f>IF(AND(INDEX('C_jama.2024.6063'!$D$2:$D$17,MATCH("2024::jama.2024.6063::C015",'C_jama.2024.6063'!$A$2:$A$17,0))="retain",OR(INDEX('C_jama.2024.6063'!$E$2:$E$17,MATCH("2024::jama.2024.6063::C015",'C_jama.2024.6063'!$A$2:$A$17,0))="report_internal_inconsistency",INDEX('C_jama.2024.6063'!$E$2:$E$17,MATCH("2024::jama.2024.6063::C015",'C_jama.2024.6063'!$A$2:$A$17,0))="plan_material")),IF(INDEX('C_jama.2024.6063'!$K$2:$K$17,MATCH("2024::jama.2024.6063::C015",'C_jama.2024.6063'!$A$2:$A$17,0))="","",INDEX('C_jama.2024.6063'!$K$2:$K$17,MATCH("2024::jama.2024.6063::C015",'C_jama.2024.6063'!$A$2:$A$17,0))),"not_applicable")</x:f>
        <x:v>not_applicable</x:v>
      </x:c>
      <x:c r="Y91" s="3" t="str">
        <x:f>IF(AND(INDEX('C_jama.2024.6063'!$D$2:$D$17,MATCH("2024::jama.2024.6063::C015",'C_jama.2024.6063'!$A$2:$A$17,0))="retain",INDEX('C_jama.2024.6063'!$E$2:$E$17,MATCH("2024::jama.2024.6063::C015",'C_jama.2024.6063'!$A$2:$A$17,0))="protocol_report"),IF(INDEX('C_jama.2024.6063'!$L$2:$L$17,MATCH("2024::jama.2024.6063::C015",'C_jama.2024.6063'!$A$2:$A$17,0))="","",INDEX('C_jama.2024.6063'!$L$2:$L$17,MATCH("2024::jama.2024.6063::C015",'C_jama.2024.6063'!$A$2:$A$17,0))),"not_applicable")</x:f>
        <x:v>not_applicable</x:v>
      </x:c>
      <x:c r="Z91" s="3" t="str">
        <x:f>IF(INDEX('C_jama.2024.6063'!$R$2:$R$17,MATCH("2024::jama.2024.6063::C015",'C_jama.2024.6063'!$A$2:$A$17,0))="","",INDEX('C_jama.2024.6063'!$R$2:$R$17,MATCH("2024::jama.2024.6063::C015",'C_jama.2024.6063'!$A$2:$A$17,0)))</x:f>
      </x:c>
      <x:c r="AA91" s="3" t="str">
        <x:f>IF(INDEX('C_jama.2024.6063'!$N$2:$N$17,MATCH("2024::jama.2024.6063::C015",'C_jama.2024.6063'!$A$2:$A$17,0))="","",INDEX('C_jama.2024.6063'!$N$2:$N$17,MATCH("2024::jama.2024.6063::C015",'C_jama.2024.6063'!$A$2:$A$17,0)))</x:f>
      </x:c>
      <x:c r="AB91" s="3" t="str">
        <x:f>IF(INDEX('C_jama.2024.6063'!$O$2:$O$17,MATCH("2024::jama.2024.6063::C015",'C_jama.2024.6063'!$A$2:$A$17,0))="","",INDEX('C_jama.2024.6063'!$O$2:$O$17,MATCH("2024::jama.2024.6063::C015",'C_jama.2024.6063'!$A$2:$A$17,0)))</x:f>
      </x:c>
      <x:c r="AC91" s="3" t="str">
        <x:f>IF(INDEX('C_jama.2024.6063'!$P$2:$P$17,MATCH("2024::jama.2024.6063::C015",'C_jama.2024.6063'!$A$2:$A$17,0))="","",INDEX('C_jama.2024.6063'!$P$2:$P$17,MATCH("2024::jama.2024.6063::C015",'C_jama.2024.6063'!$A$2:$A$17,0)))</x:f>
      </x:c>
      <x:c r="AD91" s="3" t="str">
        <x:f>IF(INDEX('C_jama.2024.6063'!$Q$2:$Q$17,MATCH("2024::jama.2024.6063::C015",'C_jama.2024.6063'!$A$2:$A$17,0))="","",INDEX('C_jama.2024.6063'!$Q$2:$Q$17,MATCH("2024::jama.2024.6063::C015",'C_jama.2024.6063'!$A$2:$A$17,0)))</x:f>
      </x:c>
    </x:row>
    <x:row r="92" ht="65" customHeight="1">
      <x:c r="A92" s="6" t="n">
        <x:v>2024</x:v>
      </x:c>
      <x:c r="B92" s="6" t="str">
        <x:v>jama.2024.6063</x:v>
      </x:c>
      <x:c r="C92" s="6" t="str">
        <x:v>2024::jama.2024.6063::C016</x:v>
      </x:c>
      <x:c r="D92" s="6" t="str">
        <x:v>S_C</x:v>
      </x:c>
      <x:c r="E92" s="6" t="n">
        <x:f>Setup!$B$2</x:f>
        <x:v>0</x:v>
      </x:c>
      <x:c r="F92" s="6" t="str">
        <x:f>IF(Setup!$B$4="","",Setup!$B$4)</x:f>
      </x:c>
      <x:c r="G92" s="6" t="str">
        <x:f>IFERROR(INDEX('C_jama.2024.6063'!$G$2:$G$17,MATCH("2024::jama.2024.6063::C016",'C_jama.2024.6063'!$A$2:$A$17,0)),"CHECK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report_internal_inconsistency</x:v>
      </x:c>
      <x:c r="K92" s="6" t="str">
        <x:f>IF(Setup!$B$6="primary","",IFERROR(IF(INDEX('Primary_snapshot'!$B$2:$B$92,MATCH(C92,'Primary_snapshot'!$A$2:$A$92,0))="","",INDEX('Primary_snapshot'!$B$2:$B$92,MATCH(C92,'Primary_snapshot'!$A$2:$A$92,0))),"SNAPSHOT MISSING"))</x:f>
      </x:c>
      <x:c r="L92" s="6" t="str">
        <x:f>IF(Setup!$B$6="primary","",IFERROR(IF(INDEX('Primary_snapshot'!$C$2:$C$92,MATCH(C92,'Primary_snapshot'!$A$2:$A$92,0))="","",INDEX('Primary_snapshot'!$C$2:$C$92,MATCH(C92,'Primary_snapshot'!$A$2:$A$92,0))),"SNAPSHOT MISSING"))</x:f>
      </x:c>
      <x:c r="M92" s="6" t="str">
        <x:f>IF(Setup!$B$6="primary","",IFERROR(IF(INDEX('Primary_snapshot'!$D$2:$D$92,MATCH(C92,'Primary_snapshot'!$A$2:$A$92,0))="","",INDEX('Primary_snapshot'!$D$2:$D$92,MATCH(C92,'Primary_snapshot'!$A$2:$A$92,0))),"SNAPSHOT MISSING"))</x:f>
      </x:c>
      <x:c r="N92" s="6" t="str">
        <x:f>IF(Setup!$B$6="primary","",IFERROR(IF(INDEX('Primary_snapshot'!$E$2:$E$92,MATCH(C92,'Primary_snapshot'!$A$2:$A$92,0))="","",INDEX('Primary_snapshot'!$E$2:$E$92,MATCH(C92,'Primary_snapshot'!$A$2:$A$92,0))),"SNAPSHOT MISSING"))</x:f>
      </x:c>
      <x:c r="O92" s="6" t="str">
        <x:f>IF(Setup!$B$6="primary","",IFERROR(IF(INDEX('Primary_snapshot'!$F$2:$F$92,MATCH(C92,'Primary_snapshot'!$A$2:$A$92,0))="","",INDEX('Primary_snapshot'!$F$2:$F$92,MATCH(C92,'Primary_snapshot'!$A$2:$A$92,0))),"SNAPSHOT MISSING"))</x:f>
      </x:c>
      <x:c r="P92" s="6" t="str">
        <x:f>IF(Setup!$B$6="primary","",IFERROR(IF(INDEX('Primary_snapshot'!$G$2:$G$92,MATCH(C92,'Primary_snapshot'!$A$2:$A$92,0))="","",INDEX('Primary_snapshot'!$G$2:$G$92,MATCH(C92,'Primary_snapshot'!$A$2:$A$92,0))),"SNAPSHOT MISSING"))</x:f>
      </x:c>
      <x:c r="Q92" s="6" t="str">
        <x:f>IF(Setup!$B$6="primary","",IFERROR(IF(INDEX('Primary_snapshot'!$H$2:$H$92,MATCH(C92,'Primary_snapshot'!$A$2:$A$92,0))="","",INDEX('Primary_snapshot'!$H$2:$H$92,MATCH(C92,'Primary_snapshot'!$A$2:$A$92,0))),"SNAPSHOT MISSING"))</x:f>
      </x:c>
      <x:c r="R92" s="6" t="str">
        <x:f>IF(Setup!$B$6="primary","",IFERROR(IF(INDEX('Primary_snapshot'!$I$2:$I$92,MATCH(C92,'Primary_snapshot'!$A$2:$A$92,0))="","",INDEX('Primary_snapshot'!$I$2:$I$92,MATCH(C92,'Primary_snapshot'!$A$2:$A$92,0))),"SNAPSHOT MISSING"))</x:f>
      </x:c>
      <x:c r="S92" s="6" t="str">
        <x:f>IF(INDEX('C_jama.2024.6063'!$D$2:$D$17,MATCH("2024::jama.2024.6063::C016",'C_jama.2024.6063'!$A$2:$A$17,0))="","",INDEX('C_jama.2024.6063'!$D$2:$D$17,MATCH("2024::jama.2024.6063::C016",'C_jama.2024.6063'!$A$2:$A$17,0)))</x:f>
      </x:c>
      <x:c r="T92" s="6" t="str">
        <x:f>IF(INDEX('C_jama.2024.6063'!$E$2:$E$17,MATCH("2024::jama.2024.6063::C016",'C_jama.2024.6063'!$A$2:$A$17,0))="","",INDEX('C_jama.2024.6063'!$E$2:$E$17,MATCH("2024::jama.2024.6063::C016",'C_jama.2024.6063'!$A$2:$A$17,0)))</x:f>
        <x:v>report_internal_inconsistency</x:v>
      </x:c>
      <x:c r="U92" s="6" t="str">
        <x:f>IF(AND(INDEX('C_jama.2024.6063'!$D$2:$D$17,MATCH("2024::jama.2024.6063::C016",'C_jama.2024.6063'!$A$2:$A$17,0))="retain",INDEX('C_jama.2024.6063'!$E$2:$E$17,MATCH("2024::jama.2024.6063::C016",'C_jama.2024.6063'!$A$2:$A$17,0))="statistical_results"),IF(INDEX('C_jama.2024.6063'!$H$2:$H$17,MATCH("2024::jama.2024.6063::C016",'C_jama.2024.6063'!$A$2:$A$17,0))="","",INDEX('C_jama.2024.6063'!$H$2:$H$17,MATCH("2024::jama.2024.6063::C016",'C_jama.2024.6063'!$A$2:$A$17,0))),"not_applicable")</x:f>
        <x:v>not_applicable</x:v>
      </x:c>
      <x:c r="V92" s="6" t="str">
        <x:f>IF(AND(INDEX('C_jama.2024.6063'!$D$2:$D$17,MATCH("2024::jama.2024.6063::C016",'C_jama.2024.6063'!$A$2:$A$17,0))="retain",INDEX('C_jama.2024.6063'!$E$2:$E$17,MATCH("2024::jama.2024.6063::C016",'C_jama.2024.6063'!$A$2:$A$17,0))="statistical_results"),IF(INDEX('C_jama.2024.6063'!$I$2:$I$17,MATCH("2024::jama.2024.6063::C016",'C_jama.2024.6063'!$A$2:$A$17,0))="","",INDEX('C_jama.2024.6063'!$I$2:$I$17,MATCH("2024::jama.2024.6063::C016",'C_jama.2024.6063'!$A$2:$A$17,0))),"not_applicable")</x:f>
        <x:v>not_applicable</x:v>
      </x:c>
      <x:c r="W92" s="6" t="str">
        <x:f>IF(AND(INDEX('C_jama.2024.6063'!$D$2:$D$17,MATCH("2024::jama.2024.6063::C016",'C_jama.2024.6063'!$A$2:$A$17,0))="retain",INDEX('C_jama.2024.6063'!$E$2:$E$17,MATCH("2024::jama.2024.6063::C016",'C_jama.2024.6063'!$A$2:$A$17,0))="statistical_results"),IF(INDEX('C_jama.2024.6063'!$J$2:$J$17,MATCH("2024::jama.2024.6063::C016",'C_jama.2024.6063'!$A$2:$A$17,0))="","",INDEX('C_jama.2024.6063'!$J$2:$J$17,MATCH("2024::jama.2024.6063::C016",'C_jama.2024.6063'!$A$2:$A$17,0))),"not_applicable")</x:f>
        <x:v>not_applicable</x:v>
      </x:c>
      <x:c r="X92" s="6" t="str">
        <x:f>IF(AND(INDEX('C_jama.2024.6063'!$D$2:$D$17,MATCH("2024::jama.2024.6063::C016",'C_jama.2024.6063'!$A$2:$A$17,0))="retain",OR(INDEX('C_jama.2024.6063'!$E$2:$E$17,MATCH("2024::jama.2024.6063::C016",'C_jama.2024.6063'!$A$2:$A$17,0))="report_internal_inconsistency",INDEX('C_jama.2024.6063'!$E$2:$E$17,MATCH("2024::jama.2024.6063::C016",'C_jama.2024.6063'!$A$2:$A$17,0))="plan_material")),IF(INDEX('C_jama.2024.6063'!$K$2:$K$17,MATCH("2024::jama.2024.6063::C016",'C_jama.2024.6063'!$A$2:$A$17,0))="","",INDEX('C_jama.2024.6063'!$K$2:$K$17,MATCH("2024::jama.2024.6063::C016",'C_jama.2024.6063'!$A$2:$A$17,0))),"not_applicable")</x:f>
        <x:v>not_applicable</x:v>
      </x:c>
      <x:c r="Y92" s="6" t="str">
        <x:f>IF(AND(INDEX('C_jama.2024.6063'!$D$2:$D$17,MATCH("2024::jama.2024.6063::C016",'C_jama.2024.6063'!$A$2:$A$17,0))="retain",INDEX('C_jama.2024.6063'!$E$2:$E$17,MATCH("2024::jama.2024.6063::C016",'C_jama.2024.6063'!$A$2:$A$17,0))="protocol_report"),IF(INDEX('C_jama.2024.6063'!$L$2:$L$17,MATCH("2024::jama.2024.6063::C016",'C_jama.2024.6063'!$A$2:$A$17,0))="","",INDEX('C_jama.2024.6063'!$L$2:$L$17,MATCH("2024::jama.2024.6063::C016",'C_jama.2024.6063'!$A$2:$A$17,0))),"not_applicable")</x:f>
        <x:v>not_applicable</x:v>
      </x:c>
      <x:c r="Z92" s="6" t="str">
        <x:f>IF(INDEX('C_jama.2024.6063'!$R$2:$R$17,MATCH("2024::jama.2024.6063::C016",'C_jama.2024.6063'!$A$2:$A$17,0))="","",INDEX('C_jama.2024.6063'!$R$2:$R$17,MATCH("2024::jama.2024.6063::C016",'C_jama.2024.6063'!$A$2:$A$17,0)))</x:f>
      </x:c>
      <x:c r="AA92" s="6" t="str">
        <x:f>IF(INDEX('C_jama.2024.6063'!$N$2:$N$17,MATCH("2024::jama.2024.6063::C016",'C_jama.2024.6063'!$A$2:$A$17,0))="","",INDEX('C_jama.2024.6063'!$N$2:$N$17,MATCH("2024::jama.2024.6063::C016",'C_jama.2024.6063'!$A$2:$A$17,0)))</x:f>
      </x:c>
      <x:c r="AB92" s="6" t="str">
        <x:f>IF(INDEX('C_jama.2024.6063'!$O$2:$O$17,MATCH("2024::jama.2024.6063::C016",'C_jama.2024.6063'!$A$2:$A$17,0))="","",INDEX('C_jama.2024.6063'!$O$2:$O$17,MATCH("2024::jama.2024.6063::C016",'C_jama.2024.6063'!$A$2:$A$17,0)))</x:f>
      </x:c>
      <x:c r="AC92" s="6" t="str">
        <x:f>IF(INDEX('C_jama.2024.6063'!$P$2:$P$17,MATCH("2024::jama.2024.6063::C016",'C_jama.2024.6063'!$A$2:$A$17,0))="","",INDEX('C_jama.2024.6063'!$P$2:$P$17,MATCH("2024::jama.2024.6063::C016",'C_jama.2024.6063'!$A$2:$A$17,0)))</x:f>
      </x:c>
      <x:c r="AD92" s="6" t="str">
        <x:f>IF(INDEX('C_jama.2024.6063'!$Q$2:$Q$17,MATCH("2024::jama.2024.6063::C016",'C_jama.2024.6063'!$A$2:$A$17,0))="","",INDEX('C_jama.2024.6063'!$Q$2:$Q$17,MATCH("2024::jama.2024.6063::C016",'C_jama.2024.6063'!$A$2:$A$17,0)))</x:f>
      </x:c>
    </x:row>
  </x:sheetData>
  <x:pageMargins left="0.7" right="0.7" top="0.75" bottom="0.75" header="0.3" footer="0.3"/>
  <x:tableParts count="1">
    <x:tablePart xmlns:r="http://schemas.openxmlformats.org/officeDocument/2006/relationships" r:id="R29fa0fd798734428"/>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2024</x:v>
      </x:c>
      <x:c r="B2" s="6" t="str">
        <x:v>jama.2024.0318</x:v>
      </x:c>
      <x:c r="C2" s="6" t="n">
        <x:v>6</x:v>
      </x:c>
      <x:c r="D2" s="6" t="n">
        <x:f>C2-COUNTIFS(Decisions!$B$2:$B$92,B2,Decisions!$G$2:$G$92,"FINAL READY")-E2</x:f>
        <x:v>6</x:v>
      </x:c>
      <x:c r="E2" s="6" t="n">
        <x:f>COUNTIFS(Decisions!$B$2:$B$92,B2,Decisions!$G$2:$G$92,"DISCUSS")</x:f>
        <x:v>0</x:v>
      </x:c>
      <x:c r="F2" s="6" t="str">
        <x:f>IF(D2+E2=0,"yes","no")</x:f>
        <x:v>no</x:v>
      </x:c>
      <x:c r="G2" s="6" t="str">
        <x:f>IF(F2&lt;&gt;"yes","",COUNTIFS(Decisions!$B$2:$B$92,B2,Decisions!$H$2:$H$92,"primary_temporal"))</x:f>
      </x:c>
      <x:c r="H2" s="6" t="str">
        <x:f>IF(F2&lt;&gt;"yes","",COUNTIFS(Decisions!$B$2:$B$92,B2,Decisions!$H$2:$H$92,"secondary_temporal"))</x:f>
      </x:c>
      <x:c r="I2" s="6" t="str">
        <x:f>IF(F2&lt;&gt;"yes","",COUNTIFS(Decisions!$B$2:$B$92,B2,Decisions!$H$2:$H$92,"protocol_descriptive"))</x:f>
      </x:c>
      <x:c r="J2" s="6" t="str">
        <x:f>IF(F2&lt;&gt;"yes","",COUNTIFS(Decisions!$B$2:$B$92,B2,Decisions!$H$2:$H$92,"plan_descriptive"))</x:f>
      </x:c>
    </x:row>
    <x:row r="3" ht="42" customHeight="1">
      <x:c r="A3" s="3" t="n">
        <x:v>2024</x:v>
      </x:c>
      <x:c r="B3" s="3" t="str">
        <x:v>jama.2024.0572</x:v>
      </x:c>
      <x:c r="C3" s="3" t="n">
        <x:v>2</x:v>
      </x:c>
      <x:c r="D3" s="3" t="n">
        <x:f>C3-COUNTIFS(Decisions!$B$2:$B$92,B3,Decisions!$G$2:$G$92,"FINAL READY")-E3</x:f>
        <x:v>2</x:v>
      </x:c>
      <x:c r="E3" s="3" t="n">
        <x:f>COUNTIFS(Decisions!$B$2:$B$92,B3,Decisions!$G$2:$G$92,"DISCUSS")</x:f>
        <x:v>0</x:v>
      </x:c>
      <x:c r="F3" s="3" t="str">
        <x:f>IF(D3+E3=0,"yes","no")</x:f>
        <x:v>no</x:v>
      </x:c>
      <x:c r="G3" s="3" t="str">
        <x:f>IF(F3&lt;&gt;"yes","",COUNTIFS(Decisions!$B$2:$B$92,B3,Decisions!$H$2:$H$92,"primary_temporal"))</x:f>
      </x:c>
      <x:c r="H3" s="3" t="str">
        <x:f>IF(F3&lt;&gt;"yes","",COUNTIFS(Decisions!$B$2:$B$92,B3,Decisions!$H$2:$H$92,"secondary_temporal"))</x:f>
      </x:c>
      <x:c r="I3" s="3" t="str">
        <x:f>IF(F3&lt;&gt;"yes","",COUNTIFS(Decisions!$B$2:$B$92,B3,Decisions!$H$2:$H$92,"protocol_descriptive"))</x:f>
      </x:c>
      <x:c r="J3" s="3" t="str">
        <x:f>IF(F3&lt;&gt;"yes","",COUNTIFS(Decisions!$B$2:$B$92,B3,Decisions!$H$2:$H$92,"plan_descriptive"))</x:f>
      </x:c>
    </x:row>
    <x:row r="4" ht="42" customHeight="1">
      <x:c r="A4" s="6" t="n">
        <x:v>2024</x:v>
      </x:c>
      <x:c r="B4" s="6" t="str">
        <x:v>jama.2024.11057</x:v>
      </x:c>
      <x:c r="C4" s="6" t="n">
        <x:v>3</x:v>
      </x:c>
      <x:c r="D4" s="6" t="n">
        <x:f>C4-COUNTIFS(Decisions!$B$2:$B$92,B4,Decisions!$G$2:$G$92,"FINAL READY")-E4</x:f>
        <x:v>3</x:v>
      </x:c>
      <x:c r="E4" s="6" t="n">
        <x:f>COUNTIFS(Decisions!$B$2:$B$92,B4,Decisions!$G$2:$G$92,"DISCUSS")</x:f>
        <x:v>0</x:v>
      </x:c>
      <x:c r="F4" s="6" t="str">
        <x:f>IF(D4+E4=0,"yes","no")</x:f>
        <x:v>no</x:v>
      </x:c>
      <x:c r="G4" s="6" t="str">
        <x:f>IF(F4&lt;&gt;"yes","",COUNTIFS(Decisions!$B$2:$B$92,B4,Decisions!$H$2:$H$92,"primary_temporal"))</x:f>
      </x:c>
      <x:c r="H4" s="6" t="str">
        <x:f>IF(F4&lt;&gt;"yes","",COUNTIFS(Decisions!$B$2:$B$92,B4,Decisions!$H$2:$H$92,"secondary_temporal"))</x:f>
      </x:c>
      <x:c r="I4" s="6" t="str">
        <x:f>IF(F4&lt;&gt;"yes","",COUNTIFS(Decisions!$B$2:$B$92,B4,Decisions!$H$2:$H$92,"protocol_descriptive"))</x:f>
      </x:c>
      <x:c r="J4" s="6" t="str">
        <x:f>IF(F4&lt;&gt;"yes","",COUNTIFS(Decisions!$B$2:$B$92,B4,Decisions!$H$2:$H$92,"plan_descriptive"))</x:f>
      </x:c>
    </x:row>
    <x:row r="5" ht="42" customHeight="1">
      <x:c r="A5" s="3" t="n">
        <x:v>2024</x:v>
      </x:c>
      <x:c r="B5" s="3" t="str">
        <x:v>jama.2024.12829</x:v>
      </x:c>
      <x:c r="C5" s="3" t="n">
        <x:v>17</x:v>
      </x:c>
      <x:c r="D5" s="3" t="n">
        <x:f>C5-COUNTIFS(Decisions!$B$2:$B$92,B5,Decisions!$G$2:$G$92,"FINAL READY")-E5</x:f>
        <x:v>17</x:v>
      </x:c>
      <x:c r="E5" s="3" t="n">
        <x:f>COUNTIFS(Decisions!$B$2:$B$92,B5,Decisions!$G$2:$G$92,"DISCUSS")</x:f>
        <x:v>0</x:v>
      </x:c>
      <x:c r="F5" s="3" t="str">
        <x:f>IF(D5+E5=0,"yes","no")</x:f>
        <x:v>no</x:v>
      </x:c>
      <x:c r="G5" s="3" t="str">
        <x:f>IF(F5&lt;&gt;"yes","",COUNTIFS(Decisions!$B$2:$B$92,B5,Decisions!$H$2:$H$92,"primary_temporal"))</x:f>
      </x:c>
      <x:c r="H5" s="3" t="str">
        <x:f>IF(F5&lt;&gt;"yes","",COUNTIFS(Decisions!$B$2:$B$92,B5,Decisions!$H$2:$H$92,"secondary_temporal"))</x:f>
      </x:c>
      <x:c r="I5" s="3" t="str">
        <x:f>IF(F5&lt;&gt;"yes","",COUNTIFS(Decisions!$B$2:$B$92,B5,Decisions!$H$2:$H$92,"protocol_descriptive"))</x:f>
      </x:c>
      <x:c r="J5" s="3" t="str">
        <x:f>IF(F5&lt;&gt;"yes","",COUNTIFS(Decisions!$B$2:$B$92,B5,Decisions!$H$2:$H$92,"plan_descriptive"))</x:f>
      </x:c>
    </x:row>
    <x:row r="6" ht="42" customHeight="1">
      <x:c r="A6" s="6" t="n">
        <x:v>2024</x:v>
      </x:c>
      <x:c r="B6" s="6" t="str">
        <x:v>jama.2024.19585</x:v>
      </x:c>
      <x:c r="C6" s="6" t="n">
        <x:v>3</x:v>
      </x:c>
      <x:c r="D6" s="6" t="n">
        <x:f>C6-COUNTIFS(Decisions!$B$2:$B$92,B6,Decisions!$G$2:$G$92,"FINAL READY")-E6</x:f>
        <x:v>3</x:v>
      </x:c>
      <x:c r="E6" s="6" t="n">
        <x:f>COUNTIFS(Decisions!$B$2:$B$92,B6,Decisions!$G$2:$G$92,"DISCUSS")</x:f>
        <x:v>0</x:v>
      </x:c>
      <x:c r="F6" s="6" t="str">
        <x:f>IF(D6+E6=0,"yes","no")</x:f>
        <x:v>no</x:v>
      </x:c>
      <x:c r="G6" s="6" t="str">
        <x:f>IF(F6&lt;&gt;"yes","",COUNTIFS(Decisions!$B$2:$B$92,B6,Decisions!$H$2:$H$92,"primary_temporal"))</x:f>
      </x:c>
      <x:c r="H6" s="6" t="str">
        <x:f>IF(F6&lt;&gt;"yes","",COUNTIFS(Decisions!$B$2:$B$92,B6,Decisions!$H$2:$H$92,"secondary_temporal"))</x:f>
      </x:c>
      <x:c r="I6" s="6" t="str">
        <x:f>IF(F6&lt;&gt;"yes","",COUNTIFS(Decisions!$B$2:$B$92,B6,Decisions!$H$2:$H$92,"protocol_descriptive"))</x:f>
      </x:c>
      <x:c r="J6" s="6" t="str">
        <x:f>IF(F6&lt;&gt;"yes","",COUNTIFS(Decisions!$B$2:$B$92,B6,Decisions!$H$2:$H$92,"plan_descriptive"))</x:f>
      </x:c>
    </x:row>
    <x:row r="7" ht="42" customHeight="1">
      <x:c r="A7" s="3" t="n">
        <x:v>2024</x:v>
      </x:c>
      <x:c r="B7" s="3" t="str">
        <x:v>jama.2024.2302</x:v>
      </x:c>
      <x:c r="C7" s="3" t="n">
        <x:v>5</x:v>
      </x:c>
      <x:c r="D7" s="3" t="n">
        <x:f>C7-COUNTIFS(Decisions!$B$2:$B$92,B7,Decisions!$G$2:$G$92,"FINAL READY")-E7</x:f>
        <x:v>5</x:v>
      </x:c>
      <x:c r="E7" s="3" t="n">
        <x:f>COUNTIFS(Decisions!$B$2:$B$92,B7,Decisions!$G$2:$G$92,"DISCUSS")</x:f>
        <x:v>0</x:v>
      </x:c>
      <x:c r="F7" s="3" t="str">
        <x:f>IF(D7+E7=0,"yes","no")</x:f>
        <x:v>no</x:v>
      </x:c>
      <x:c r="G7" s="3" t="str">
        <x:f>IF(F7&lt;&gt;"yes","",COUNTIFS(Decisions!$B$2:$B$92,B7,Decisions!$H$2:$H$92,"primary_temporal"))</x:f>
      </x:c>
      <x:c r="H7" s="3" t="str">
        <x:f>IF(F7&lt;&gt;"yes","",COUNTIFS(Decisions!$B$2:$B$92,B7,Decisions!$H$2:$H$92,"secondary_temporal"))</x:f>
      </x:c>
      <x:c r="I7" s="3" t="str">
        <x:f>IF(F7&lt;&gt;"yes","",COUNTIFS(Decisions!$B$2:$B$92,B7,Decisions!$H$2:$H$92,"protocol_descriptive"))</x:f>
      </x:c>
      <x:c r="J7" s="3" t="str">
        <x:f>IF(F7&lt;&gt;"yes","",COUNTIFS(Decisions!$B$2:$B$92,B7,Decisions!$H$2:$H$92,"plan_descriptive"))</x:f>
      </x:c>
    </x:row>
    <x:row r="8" ht="42" customHeight="1">
      <x:c r="A8" s="6" t="n">
        <x:v>2024</x:v>
      </x:c>
      <x:c r="B8" s="6" t="str">
        <x:v>jama.2024.23898</x:v>
      </x:c>
      <x:c r="C8" s="6" t="n">
        <x:v>7</x:v>
      </x:c>
      <x:c r="D8" s="6" t="n">
        <x:f>C8-COUNTIFS(Decisions!$B$2:$B$92,B8,Decisions!$G$2:$G$92,"FINAL READY")-E8</x:f>
        <x:v>7</x:v>
      </x:c>
      <x:c r="E8" s="6" t="n">
        <x:f>COUNTIFS(Decisions!$B$2:$B$92,B8,Decisions!$G$2:$G$92,"DISCUSS")</x:f>
        <x:v>0</x:v>
      </x:c>
      <x:c r="F8" s="6" t="str">
        <x:f>IF(D8+E8=0,"yes","no")</x:f>
        <x:v>no</x:v>
      </x:c>
      <x:c r="G8" s="6" t="str">
        <x:f>IF(F8&lt;&gt;"yes","",COUNTIFS(Decisions!$B$2:$B$92,B8,Decisions!$H$2:$H$92,"primary_temporal"))</x:f>
      </x:c>
      <x:c r="H8" s="6" t="str">
        <x:f>IF(F8&lt;&gt;"yes","",COUNTIFS(Decisions!$B$2:$B$92,B8,Decisions!$H$2:$H$92,"secondary_temporal"))</x:f>
      </x:c>
      <x:c r="I8" s="6" t="str">
        <x:f>IF(F8&lt;&gt;"yes","",COUNTIFS(Decisions!$B$2:$B$92,B8,Decisions!$H$2:$H$92,"protocol_descriptive"))</x:f>
      </x:c>
      <x:c r="J8" s="6" t="str">
        <x:f>IF(F8&lt;&gt;"yes","",COUNTIFS(Decisions!$B$2:$B$92,B8,Decisions!$H$2:$H$92,"plan_descriptive"))</x:f>
      </x:c>
    </x:row>
    <x:row r="9" ht="42" customHeight="1">
      <x:c r="A9" s="3" t="n">
        <x:v>2024</x:v>
      </x:c>
      <x:c r="B9" s="3" t="str">
        <x:v>jama.2024.25786</x:v>
      </x:c>
      <x:c r="C9" s="3" t="n">
        <x:v>8</x:v>
      </x:c>
      <x:c r="D9" s="3" t="n">
        <x:f>C9-COUNTIFS(Decisions!$B$2:$B$92,B9,Decisions!$G$2:$G$92,"FINAL READY")-E9</x:f>
        <x:v>8</x:v>
      </x:c>
      <x:c r="E9" s="3" t="n">
        <x:f>COUNTIFS(Decisions!$B$2:$B$92,B9,Decisions!$G$2:$G$92,"DISCUSS")</x:f>
        <x:v>0</x:v>
      </x:c>
      <x:c r="F9" s="3" t="str">
        <x:f>IF(D9+E9=0,"yes","no")</x:f>
        <x:v>no</x:v>
      </x:c>
      <x:c r="G9" s="3" t="str">
        <x:f>IF(F9&lt;&gt;"yes","",COUNTIFS(Decisions!$B$2:$B$92,B9,Decisions!$H$2:$H$92,"primary_temporal"))</x:f>
      </x:c>
      <x:c r="H9" s="3" t="str">
        <x:f>IF(F9&lt;&gt;"yes","",COUNTIFS(Decisions!$B$2:$B$92,B9,Decisions!$H$2:$H$92,"secondary_temporal"))</x:f>
      </x:c>
      <x:c r="I9" s="3" t="str">
        <x:f>IF(F9&lt;&gt;"yes","",COUNTIFS(Decisions!$B$2:$B$92,B9,Decisions!$H$2:$H$92,"protocol_descriptive"))</x:f>
      </x:c>
      <x:c r="J9" s="3" t="str">
        <x:f>IF(F9&lt;&gt;"yes","",COUNTIFS(Decisions!$B$2:$B$92,B9,Decisions!$H$2:$H$92,"plan_descriptive"))</x:f>
      </x:c>
    </x:row>
    <x:row r="10" ht="42" customHeight="1">
      <x:c r="A10" s="6" t="n">
        <x:v>2024</x:v>
      </x:c>
      <x:c r="B10" s="6" t="str">
        <x:v>jama.2024.4183</x:v>
      </x:c>
      <x:c r="C10" s="6" t="n">
        <x:v>24</x:v>
      </x:c>
      <x:c r="D10" s="6" t="n">
        <x:f>C10-COUNTIFS(Decisions!$B$2:$B$92,B10,Decisions!$G$2:$G$92,"FINAL READY")-E10</x:f>
        <x:v>24</x:v>
      </x:c>
      <x:c r="E10" s="6" t="n">
        <x:f>COUNTIFS(Decisions!$B$2:$B$92,B10,Decisions!$G$2:$G$92,"DISCUSS")</x:f>
        <x:v>0</x:v>
      </x:c>
      <x:c r="F10" s="6" t="str">
        <x:f>IF(D10+E10=0,"yes","no")</x:f>
        <x:v>no</x:v>
      </x:c>
      <x:c r="G10" s="6" t="str">
        <x:f>IF(F10&lt;&gt;"yes","",COUNTIFS(Decisions!$B$2:$B$92,B10,Decisions!$H$2:$H$92,"primary_temporal"))</x:f>
      </x:c>
      <x:c r="H10" s="6" t="str">
        <x:f>IF(F10&lt;&gt;"yes","",COUNTIFS(Decisions!$B$2:$B$92,B10,Decisions!$H$2:$H$92,"secondary_temporal"))</x:f>
      </x:c>
      <x:c r="I10" s="6" t="str">
        <x:f>IF(F10&lt;&gt;"yes","",COUNTIFS(Decisions!$B$2:$B$92,B10,Decisions!$H$2:$H$92,"protocol_descriptive"))</x:f>
      </x:c>
      <x:c r="J10" s="6" t="str">
        <x:f>IF(F10&lt;&gt;"yes","",COUNTIFS(Decisions!$B$2:$B$92,B10,Decisions!$H$2:$H$92,"plan_descriptive"))</x:f>
      </x:c>
    </x:row>
    <x:row r="11" ht="42" customHeight="1">
      <x:c r="A11" s="3" t="n">
        <x:v>2024</x:v>
      </x:c>
      <x:c r="B11" s="3" t="str">
        <x:v>jama.2024.6063</x:v>
      </x:c>
      <x:c r="C11" s="3" t="n">
        <x:v>16</x:v>
      </x:c>
      <x:c r="D11" s="3" t="n">
        <x:f>C11-COUNTIFS(Decisions!$B$2:$B$92,B11,Decisions!$G$2:$G$92,"FINAL READY")-E11</x:f>
        <x:v>16</x:v>
      </x:c>
      <x:c r="E11" s="3" t="n">
        <x:f>COUNTIFS(Decisions!$B$2:$B$92,B11,Decisions!$G$2:$G$92,"DISCUSS")</x:f>
        <x:v>0</x:v>
      </x:c>
      <x:c r="F11" s="3" t="str">
        <x:f>IF(D11+E11=0,"yes","no")</x:f>
        <x:v>no</x:v>
      </x:c>
      <x:c r="G11" s="3" t="str">
        <x:f>IF(F11&lt;&gt;"yes","",COUNTIFS(Decisions!$B$2:$B$92,B11,Decisions!$H$2:$H$92,"primary_temporal"))</x:f>
      </x:c>
      <x:c r="H11" s="3" t="str">
        <x:f>IF(F11&lt;&gt;"yes","",COUNTIFS(Decisions!$B$2:$B$92,B11,Decisions!$H$2:$H$92,"secondary_temporal"))</x:f>
      </x:c>
      <x:c r="I11" s="3" t="str">
        <x:f>IF(F11&lt;&gt;"yes","",COUNTIFS(Decisions!$B$2:$B$92,B11,Decisions!$H$2:$H$92,"protocol_descriptive"))</x:f>
      </x:c>
      <x:c r="J11" s="3" t="str">
        <x:f>IF(F11&lt;&gt;"yes","",COUNTIFS(Decisions!$B$2:$B$92,B11,Decisions!$H$2:$H$92,"plan_descriptive"))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2024</x:v>
      </x:c>
      <x:c r="B2" s="6" t="str">
        <x:v>jama.2024.11057</x:v>
      </x:c>
      <x:c r="C2" s="6" t="str">
        <x:v>2024::jama.2024.11057::C001</x:v>
      </x:c>
      <x:c r="D2" s="6" t="str">
        <x:v>P_R</x:v>
      </x:c>
      <x:c r="E2" s="6" t="str">
        <x:v>Quit-date pre-message duration conflicts between the main article and both support documents</x:v>
      </x:c>
      <x:c r="F2" s="6" t="str">
        <x:v>The main article prints a 6-week pre-quit message period, whereas both supplied support documents print a 1-week pre-quit period for the same named intervention and quit-date subgroup. Pending Human Adjudication.</x:v>
      </x:c>
      <x:c r="G2" s="6" t="str">
        <x:f>IF(INDEX('Decisions'!$G$2:$G$92,MATCH(C2,'Decisions'!$C$2:$C$92,0))="","",INDEX('Decisions'!$G$2:$G$92,MATCH(C2,'Decisions'!$C$2:$C$92,0)))</x:f>
        <x:v>CHECK REVIEWER IDs</x:v>
      </x:c>
      <x:c r="H2" s="6" t="str">
        <x:f>IF(INDEX('Decisions'!$S$2:$S$92,MATCH(C2,'Decisions'!$C$2:$C$92,0))="","",INDEX('Decisions'!$S$2:$S$92,MATCH(C2,'Decisions'!$C$2:$C$92,0)))</x:f>
      </x:c>
      <x:c r="I2" s="6" t="str">
        <x:f>IF(INDEX('Decisions'!$Y$2:$Y$92,MATCH(C2,'Decisions'!$C$2:$C$92,0))="","",INDEX('Decisions'!$Y$2:$Y$92,MATCH(C2,'Decisions'!$C$2:$C$92,0)))</x:f>
        <x:v>not_applicable</x:v>
      </x:c>
      <x:c r="J2" s="6" t="str">
        <x:f>IF(INDEX('Decisions'!$X$2:$X$92,MATCH(C2,'Decisions'!$C$2:$C$92,0))="","",INDEX('Decisions'!$X$2:$X$92,MATCH(C2,'Decisions'!$C$2:$C$92,0)))</x:f>
        <x:v>not_applicable</x:v>
      </x:c>
      <x:c r="K2" s="6" t="str">
        <x:f>IF(INDEX('Decisions'!$Z$2:$Z$92,MATCH(C2,'Decisions'!$C$2:$C$92,0))="","",INDEX('Decisions'!$Z$2:$Z$92,MATCH(C2,'Decisions'!$C$2:$C$92,0)))</x:f>
      </x:c>
    </x:row>
    <x:row r="3" ht="90" customHeight="1">
      <x:c r="A3" s="3" t="n">
        <x:v>2024</x:v>
      </x:c>
      <x:c r="B3" s="3" t="str">
        <x:v>jama.2024.12829</x:v>
      </x:c>
      <x:c r="C3" s="3" t="str">
        <x:v>2024::jama.2024.12829::C009</x:v>
      </x:c>
      <x:c r="D3" s="3" t="str">
        <x:v>P_R</x:v>
      </x:c>
      <x:c r="E3" s="3" t="str">
        <x:v>Thirty-day follow-up tolerance is plus or minus 3 days in the supplement but plus or minus 7 days elsewhere</x:v>
      </x:c>
      <x:c r="F3" s="3" t="str">
        <x:v>The matched 30-day follow-up is labelled ±3 days in one supplied location and ±7 days in two others.</x:v>
      </x:c>
      <x:c r="G3" s="3" t="str">
        <x:f>IF(INDEX('Decisions'!$G$2:$G$92,MATCH(C3,'Decisions'!$C$2:$C$92,0))="","",INDEX('Decisions'!$G$2:$G$92,MATCH(C3,'Decisions'!$C$2:$C$92,0)))</x:f>
        <x:v>CHECK REVIEWER IDs</x:v>
      </x:c>
      <x:c r="H3" s="3" t="str">
        <x:f>IF(INDEX('Decisions'!$S$2:$S$92,MATCH(C3,'Decisions'!$C$2:$C$92,0))="","",INDEX('Decisions'!$S$2:$S$92,MATCH(C3,'Decisions'!$C$2:$C$92,0)))</x:f>
      </x:c>
      <x:c r="I3" s="3" t="str">
        <x:f>IF(INDEX('Decisions'!$Y$2:$Y$92,MATCH(C3,'Decisions'!$C$2:$C$92,0))="","",INDEX('Decisions'!$Y$2:$Y$92,MATCH(C3,'Decisions'!$C$2:$C$92,0)))</x:f>
        <x:v>not_applicable</x:v>
      </x:c>
      <x:c r="J3" s="3" t="str">
        <x:f>IF(INDEX('Decisions'!$X$2:$X$92,MATCH(C3,'Decisions'!$C$2:$C$92,0))="","",INDEX('Decisions'!$X$2:$X$92,MATCH(C3,'Decisions'!$C$2:$C$92,0)))</x:f>
        <x:v>not_applicable</x:v>
      </x:c>
      <x:c r="K3" s="3" t="str">
        <x:f>IF(INDEX('Decisions'!$Z$2:$Z$92,MATCH(C3,'Decisions'!$C$2:$C$92,0))="","",INDEX('Decisions'!$Z$2:$Z$92,MATCH(C3,'Decisions'!$C$2:$C$92,0)))</x:f>
      </x:c>
    </x:row>
    <x:row r="4" ht="90" customHeight="1">
      <x:c r="A4" s="6" t="n">
        <x:v>2024</x:v>
      </x:c>
      <x:c r="B4" s="6" t="str">
        <x:v>jama.2024.12829</x:v>
      </x:c>
      <x:c r="C4" s="6" t="str">
        <x:v>2024::jama.2024.12829::C010</x:v>
      </x:c>
      <x:c r="D4" s="6" t="str">
        <x:v>P_P</x:v>
      </x:c>
      <x:c r="E4" s="6" t="str">
        <x:v>Protocol V2.0 gives 21-day and 14-day lower bounds for the same stroke criterion</x:v>
      </x:c>
      <x:c r="F4" s="6" t="str">
        <x:v>Protocol V2.0 prints two different lower bounds for the matched ischemic-stroke eligibility criterion.</x:v>
      </x:c>
      <x:c r="G4" s="6" t="str">
        <x:f>IF(INDEX('Decisions'!$G$2:$G$92,MATCH(C4,'Decisions'!$C$2:$C$92,0))="","",INDEX('Decisions'!$G$2:$G$92,MATCH(C4,'Decisions'!$C$2:$C$92,0)))</x:f>
        <x:v>CHECK REVIEWER IDs</x:v>
      </x:c>
      <x:c r="H4" s="6" t="str">
        <x:f>IF(INDEX('Decisions'!$S$2:$S$92,MATCH(C4,'Decisions'!$C$2:$C$92,0))="","",INDEX('Decisions'!$S$2:$S$92,MATCH(C4,'Decisions'!$C$2:$C$92,0)))</x:f>
      </x:c>
      <x:c r="I4" s="6" t="str">
        <x:f>IF(INDEX('Decisions'!$Y$2:$Y$92,MATCH(C4,'Decisions'!$C$2:$C$92,0))="","",INDEX('Decisions'!$Y$2:$Y$92,MATCH(C4,'Decisions'!$C$2:$C$92,0)))</x:f>
        <x:v>not_applicable</x:v>
      </x:c>
      <x:c r="J4" s="6" t="str">
        <x:f>IF(INDEX('Decisions'!$X$2:$X$92,MATCH(C4,'Decisions'!$C$2:$C$92,0))="","",INDEX('Decisions'!$X$2:$X$92,MATCH(C4,'Decisions'!$C$2:$C$92,0)))</x:f>
        <x:v>not_applicable</x:v>
      </x:c>
      <x:c r="K4" s="6" t="str">
        <x:f>IF(INDEX('Decisions'!$Z$2:$Z$92,MATCH(C4,'Decisions'!$C$2:$C$92,0))="","",INDEX('Decisions'!$Z$2:$Z$92,MATCH(C4,'Decisions'!$C$2:$C$92,0)))</x:f>
      </x:c>
    </x:row>
    <x:row r="5" ht="90" customHeight="1">
      <x:c r="A5" s="3" t="n">
        <x:v>2024</x:v>
      </x:c>
      <x:c r="B5" s="3" t="str">
        <x:v>jama.2024.12829</x:v>
      </x:c>
      <x:c r="C5" s="3" t="str">
        <x:v>2024::jama.2024.12829::C013</x:v>
      </x:c>
      <x:c r="D5" s="3" t="str">
        <x:v>P_P</x:v>
      </x:c>
      <x:c r="E5" s="3" t="str">
        <x:v>Recurring-visit sentence ambiguously repeats visit numbers 9 and 11</x:v>
      </x:c>
      <x:c r="F5" s="3" t="str">
        <x:v>The identical recurring-visit sentence is ambiguous between a four-visit sequence with a face-to-face subset and a six-token sequence because it repeats visits 9 and 11.</x:v>
      </x:c>
      <x:c r="G5" s="3" t="str">
        <x:f>IF(INDEX('Decisions'!$G$2:$G$92,MATCH(C5,'Decisions'!$C$2:$C$92,0))="","",INDEX('Decisions'!$G$2:$G$92,MATCH(C5,'Decisions'!$C$2:$C$92,0)))</x:f>
        <x:v>CHECK REVIEWER IDs</x:v>
      </x:c>
      <x:c r="H5" s="3" t="str">
        <x:f>IF(INDEX('Decisions'!$S$2:$S$92,MATCH(C5,'Decisions'!$C$2:$C$92,0))="","",INDEX('Decisions'!$S$2:$S$92,MATCH(C5,'Decisions'!$C$2:$C$92,0)))</x:f>
      </x:c>
      <x:c r="I5" s="3" t="str">
        <x:f>IF(INDEX('Decisions'!$Y$2:$Y$92,MATCH(C5,'Decisions'!$C$2:$C$92,0))="","",INDEX('Decisions'!$Y$2:$Y$92,MATCH(C5,'Decisions'!$C$2:$C$92,0)))</x:f>
        <x:v>not_applicable</x:v>
      </x:c>
      <x:c r="J5" s="3" t="str">
        <x:f>IF(INDEX('Decisions'!$X$2:$X$92,MATCH(C5,'Decisions'!$C$2:$C$92,0))="","",INDEX('Decisions'!$X$2:$X$92,MATCH(C5,'Decisions'!$C$2:$C$92,0)))</x:f>
        <x:v>not_applicable</x:v>
      </x:c>
      <x:c r="K5" s="3" t="str">
        <x:f>IF(INDEX('Decisions'!$Z$2:$Z$92,MATCH(C5,'Decisions'!$C$2:$C$92,0))="","",INDEX('Decisions'!$Z$2:$Z$92,MATCH(C5,'Decisions'!$C$2:$C$92,0)))</x:f>
      </x:c>
    </x:row>
    <x:row r="6" ht="90" customHeight="1">
      <x:c r="A6" s="6" t="n">
        <x:v>2024</x:v>
      </x:c>
      <x:c r="B6" s="6" t="str">
        <x:v>jama.2024.2302</x:v>
      </x:c>
      <x:c r="C6" s="6" t="str">
        <x:v>2024::jama.2024.2302::C001</x:v>
      </x:c>
      <x:c r="D6" s="6" t="str">
        <x:v>P_R</x:v>
      </x:c>
      <x:c r="E6" s="6" t="str">
        <x:v>Primary SAE endpoint threshold label</x:v>
      </x:c>
      <x:c r="F6" s="6" t="str">
        <x:v>Matched primary SAE results are labeled ≥1/“any” in the main article and SAP but &gt;1 in the protocol and eTable.</x:v>
      </x:c>
      <x:c r="G6" s="6" t="str">
        <x:f>IF(INDEX('Decisions'!$G$2:$G$92,MATCH(C6,'Decisions'!$C$2:$C$92,0))="","",INDEX('Decisions'!$G$2:$G$92,MATCH(C6,'Decisions'!$C$2:$C$92,0)))</x:f>
        <x:v>CHECK REVIEWER IDs</x:v>
      </x:c>
      <x:c r="H6" s="6" t="str">
        <x:f>IF(INDEX('Decisions'!$S$2:$S$92,MATCH(C6,'Decisions'!$C$2:$C$92,0))="","",INDEX('Decisions'!$S$2:$S$92,MATCH(C6,'Decisions'!$C$2:$C$92,0)))</x:f>
      </x:c>
      <x:c r="I6" s="6" t="str">
        <x:f>IF(INDEX('Decisions'!$Y$2:$Y$92,MATCH(C6,'Decisions'!$C$2:$C$92,0))="","",INDEX('Decisions'!$Y$2:$Y$92,MATCH(C6,'Decisions'!$C$2:$C$92,0)))</x:f>
        <x:v>not_applicable</x:v>
      </x:c>
      <x:c r="J6" s="6" t="str">
        <x:f>IF(INDEX('Decisions'!$X$2:$X$92,MATCH(C6,'Decisions'!$C$2:$C$92,0))="","",INDEX('Decisions'!$X$2:$X$92,MATCH(C6,'Decisions'!$C$2:$C$92,0)))</x:f>
        <x:v>not_applicable</x:v>
      </x:c>
      <x:c r="K6" s="6" t="str">
        <x:f>IF(INDEX('Decisions'!$Z$2:$Z$92,MATCH(C6,'Decisions'!$C$2:$C$92,0))="","",INDEX('Decisions'!$Z$2:$Z$92,MATCH(C6,'Decisions'!$C$2:$C$92,0)))</x:f>
      </x:c>
    </x:row>
    <x:row r="7" ht="90" customHeight="1">
      <x:c r="A7" s="3" t="n">
        <x:v>2024</x:v>
      </x:c>
      <x:c r="B7" s="3" t="str">
        <x:v>jama.2024.2302</x:v>
      </x:c>
      <x:c r="C7" s="3" t="str">
        <x:v>2024::jama.2024.2302::C002</x:v>
      </x:c>
      <x:c r="D7" s="3" t="str">
        <x:v>P_P</x:v>
      </x:c>
      <x:c r="E7" s="3" t="str">
        <x:v>Planned hospital-day medians</x:v>
      </x:c>
      <x:c r="F7" s="3" t="str">
        <x:v>Protocol/SAP locations print incompatible arm-specific planned median hospital-day values.</x:v>
      </x:c>
      <x:c r="G7" s="3" t="str">
        <x:f>IF(INDEX('Decisions'!$G$2:$G$92,MATCH(C7,'Decisions'!$C$2:$C$92,0))="","",INDEX('Decisions'!$G$2:$G$92,MATCH(C7,'Decisions'!$C$2:$C$92,0)))</x:f>
        <x:v>CHECK REVIEWER IDs</x:v>
      </x:c>
      <x:c r="H7" s="3" t="str">
        <x:f>IF(INDEX('Decisions'!$S$2:$S$92,MATCH(C7,'Decisions'!$C$2:$C$92,0))="","",INDEX('Decisions'!$S$2:$S$92,MATCH(C7,'Decisions'!$C$2:$C$92,0)))</x:f>
      </x:c>
      <x:c r="I7" s="3" t="str">
        <x:f>IF(INDEX('Decisions'!$Y$2:$Y$92,MATCH(C7,'Decisions'!$C$2:$C$92,0))="","",INDEX('Decisions'!$Y$2:$Y$92,MATCH(C7,'Decisions'!$C$2:$C$92,0)))</x:f>
        <x:v>not_applicable</x:v>
      </x:c>
      <x:c r="J7" s="3" t="str">
        <x:f>IF(INDEX('Decisions'!$X$2:$X$92,MATCH(C7,'Decisions'!$C$2:$C$92,0))="","",INDEX('Decisions'!$X$2:$X$92,MATCH(C7,'Decisions'!$C$2:$C$92,0)))</x:f>
        <x:v>not_applicable</x:v>
      </x:c>
      <x:c r="K7" s="3" t="str">
        <x:f>IF(INDEX('Decisions'!$Z$2:$Z$92,MATCH(C7,'Decisions'!$C$2:$C$92,0))="","",INDEX('Decisions'!$Z$2:$Z$92,MATCH(C7,'Decisions'!$C$2:$C$92,0)))</x:f>
      </x:c>
    </x:row>
    <x:row r="8" ht="90" customHeight="1">
      <x:c r="A8" s="6" t="n">
        <x:v>2024</x:v>
      </x:c>
      <x:c r="B8" s="6" t="str">
        <x:v>jama.2024.2302</x:v>
      </x:c>
      <x:c r="C8" s="6" t="str">
        <x:v>2024::jama.2024.2302::C003</x:v>
      </x:c>
      <x:c r="D8" s="6" t="str">
        <x:v>P_R</x:v>
      </x:c>
      <x:c r="E8" s="6" t="str">
        <x:v>Bayesian intervention priors</x:v>
      </x:c>
      <x:c r="F8" s="6" t="str">
        <x:v>The article’s common intervention-prior range differs from the SAP’s class-specific prior descriptions.</x:v>
      </x:c>
      <x:c r="G8" s="6" t="str">
        <x:f>IF(INDEX('Decisions'!$G$2:$G$92,MATCH(C8,'Decisions'!$C$2:$C$92,0))="","",INDEX('Decisions'!$G$2:$G$92,MATCH(C8,'Decisions'!$C$2:$C$92,0)))</x:f>
        <x:v>CHECK REVIEWER IDs</x:v>
      </x:c>
      <x:c r="H8" s="6" t="str">
        <x:f>IF(INDEX('Decisions'!$S$2:$S$92,MATCH(C8,'Decisions'!$C$2:$C$92,0))="","",INDEX('Decisions'!$S$2:$S$92,MATCH(C8,'Decisions'!$C$2:$C$92,0)))</x:f>
      </x:c>
      <x:c r="I8" s="6" t="str">
        <x:f>IF(INDEX('Decisions'!$Y$2:$Y$92,MATCH(C8,'Decisions'!$C$2:$C$92,0))="","",INDEX('Decisions'!$Y$2:$Y$92,MATCH(C8,'Decisions'!$C$2:$C$92,0)))</x:f>
        <x:v>not_applicable</x:v>
      </x:c>
      <x:c r="J8" s="6" t="str">
        <x:f>IF(INDEX('Decisions'!$X$2:$X$92,MATCH(C8,'Decisions'!$C$2:$C$92,0))="","",INDEX('Decisions'!$X$2:$X$92,MATCH(C8,'Decisions'!$C$2:$C$92,0)))</x:f>
        <x:v>not_applicable</x:v>
      </x:c>
      <x:c r="K8" s="6" t="str">
        <x:f>IF(INDEX('Decisions'!$Z$2:$Z$92,MATCH(C8,'Decisions'!$C$2:$C$92,0))="","",INDEX('Decisions'!$Z$2:$Z$92,MATCH(C8,'Decisions'!$C$2:$C$92,0)))</x:f>
      </x:c>
    </x:row>
    <x:row r="9" ht="90" customHeight="1">
      <x:c r="A9" s="3" t="n">
        <x:v>2024</x:v>
      </x:c>
      <x:c r="B9" s="3" t="str">
        <x:v>jama.2024.2302</x:v>
      </x:c>
      <x:c r="C9" s="3" t="str">
        <x:v>2024::jama.2024.2302::C004</x:v>
      </x:c>
      <x:c r="D9" s="3" t="str">
        <x:v>P_R</x:v>
      </x:c>
      <x:c r="E9" s="3" t="str">
        <x:v>Gestational-age boundary</x:v>
      </x:c>
      <x:c r="F9" s="3" t="str">
        <x:v>The actual-result subgroup label ≥28 weeks differs from planned SAP wording &gt;28 weeks.</x:v>
      </x:c>
      <x:c r="G9" s="3" t="str">
        <x:f>IF(INDEX('Decisions'!$G$2:$G$92,MATCH(C9,'Decisions'!$C$2:$C$92,0))="","",INDEX('Decisions'!$G$2:$G$92,MATCH(C9,'Decisions'!$C$2:$C$92,0)))</x:f>
        <x:v>CHECK REVIEWER IDs</x:v>
      </x:c>
      <x:c r="H9" s="3" t="str">
        <x:f>IF(INDEX('Decisions'!$S$2:$S$92,MATCH(C9,'Decisions'!$C$2:$C$92,0))="","",INDEX('Decisions'!$S$2:$S$92,MATCH(C9,'Decisions'!$C$2:$C$92,0)))</x:f>
      </x:c>
      <x:c r="I9" s="3" t="str">
        <x:f>IF(INDEX('Decisions'!$Y$2:$Y$92,MATCH(C9,'Decisions'!$C$2:$C$92,0))="","",INDEX('Decisions'!$Y$2:$Y$92,MATCH(C9,'Decisions'!$C$2:$C$92,0)))</x:f>
        <x:v>not_applicable</x:v>
      </x:c>
      <x:c r="J9" s="3" t="str">
        <x:f>IF(INDEX('Decisions'!$X$2:$X$92,MATCH(C9,'Decisions'!$C$2:$C$92,0))="","",INDEX('Decisions'!$X$2:$X$92,MATCH(C9,'Decisions'!$C$2:$C$92,0)))</x:f>
        <x:v>not_applicable</x:v>
      </x:c>
      <x:c r="K9" s="3" t="str">
        <x:f>IF(INDEX('Decisions'!$Z$2:$Z$92,MATCH(C9,'Decisions'!$C$2:$C$92,0))="","",INDEX('Decisions'!$Z$2:$Z$92,MATCH(C9,'Decisions'!$C$2:$C$92,0)))</x:f>
      </x:c>
    </x:row>
    <x:row r="10" ht="90" customHeight="1">
      <x:c r="A10" s="6" t="n">
        <x:v>2024</x:v>
      </x:c>
      <x:c r="B10" s="6" t="str">
        <x:v>jama.2024.2302</x:v>
      </x:c>
      <x:c r="C10" s="6" t="str">
        <x:v>2024::jama.2024.2302::C005</x:v>
      </x:c>
      <x:c r="D10" s="6" t="str">
        <x:v>P_R</x:v>
      </x:c>
      <x:c r="E10" s="6" t="str">
        <x:v>Primary-outcome time origin</x:v>
      </x:c>
      <x:c r="F10" s="6" t="str">
        <x:v>Primary SAE ascertainment is labeled from enrollment in protocol text and from randomization in SAP/main-article text.</x:v>
      </x:c>
      <x:c r="G10" s="6" t="str">
        <x:f>IF(INDEX('Decisions'!$G$2:$G$92,MATCH(C10,'Decisions'!$C$2:$C$92,0))="","",INDEX('Decisions'!$G$2:$G$92,MATCH(C10,'Decisions'!$C$2:$C$92,0)))</x:f>
        <x:v>CHECK REVIEWER IDs</x:v>
      </x:c>
      <x:c r="H10" s="6" t="str">
        <x:f>IF(INDEX('Decisions'!$S$2:$S$92,MATCH(C10,'Decisions'!$C$2:$C$92,0))="","",INDEX('Decisions'!$S$2:$S$92,MATCH(C10,'Decisions'!$C$2:$C$92,0)))</x:f>
      </x:c>
      <x:c r="I10" s="6" t="str">
        <x:f>IF(INDEX('Decisions'!$Y$2:$Y$92,MATCH(C10,'Decisions'!$C$2:$C$92,0))="","",INDEX('Decisions'!$Y$2:$Y$92,MATCH(C10,'Decisions'!$C$2:$C$92,0)))</x:f>
        <x:v>not_applicable</x:v>
      </x:c>
      <x:c r="J10" s="6" t="str">
        <x:f>IF(INDEX('Decisions'!$X$2:$X$92,MATCH(C10,'Decisions'!$C$2:$C$92,0))="","",INDEX('Decisions'!$X$2:$X$92,MATCH(C10,'Decisions'!$C$2:$C$92,0)))</x:f>
        <x:v>not_applicable</x:v>
      </x:c>
      <x:c r="K10" s="6" t="str">
        <x:f>IF(INDEX('Decisions'!$Z$2:$Z$92,MATCH(C10,'Decisions'!$C$2:$C$92,0))="","",INDEX('Decisions'!$Z$2:$Z$92,MATCH(C10,'Decisions'!$C$2:$C$92,0)))</x:f>
      </x:c>
    </x:row>
    <x:row r="11" ht="90" customHeight="1">
      <x:c r="A11" s="3" t="n">
        <x:v>2024</x:v>
      </x:c>
      <x:c r="B11" s="3" t="str">
        <x:v>jama.2024.23898</x:v>
      </x:c>
      <x:c r="C11" s="3" t="str">
        <x:v>2024::jama.2024.23898::C001</x:v>
      </x:c>
      <x:c r="D11" s="3" t="str">
        <x:v>P_R</x:v>
      </x:c>
      <x:c r="E11" s="3" t="str">
        <x:v>Primary-outcome 72-hour clock origin is not stated consistently</x:v>
      </x:c>
      <x:c r="F11" s="3" t="str">
        <x:v>The matched primary GI-3 result is described as 72 hours “after surgery/operation” in the article but as 72 hours “after the start of operation” in the SAP; the printed clock origin is not explicitly aligned.</x:v>
      </x:c>
      <x:c r="G11" s="3" t="str">
        <x:f>IF(INDEX('Decisions'!$G$2:$G$92,MATCH(C11,'Decisions'!$C$2:$C$92,0))="","",INDEX('Decisions'!$G$2:$G$92,MATCH(C11,'Decisions'!$C$2:$C$92,0)))</x:f>
        <x:v>CHECK REVIEWER IDs</x:v>
      </x:c>
      <x:c r="H11" s="3" t="str">
        <x:f>IF(INDEX('Decisions'!$S$2:$S$92,MATCH(C11,'Decisions'!$C$2:$C$92,0))="","",INDEX('Decisions'!$S$2:$S$92,MATCH(C11,'Decisions'!$C$2:$C$92,0)))</x:f>
      </x:c>
      <x:c r="I11" s="3" t="str">
        <x:f>IF(INDEX('Decisions'!$Y$2:$Y$92,MATCH(C11,'Decisions'!$C$2:$C$92,0))="","",INDEX('Decisions'!$Y$2:$Y$92,MATCH(C11,'Decisions'!$C$2:$C$92,0)))</x:f>
        <x:v>not_applicable</x:v>
      </x:c>
      <x:c r="J11" s="3" t="str">
        <x:f>IF(INDEX('Decisions'!$X$2:$X$92,MATCH(C11,'Decisions'!$C$2:$C$92,0))="","",INDEX('Decisions'!$X$2:$X$92,MATCH(C11,'Decisions'!$C$2:$C$92,0)))</x:f>
        <x:v>not_applicable</x:v>
      </x:c>
      <x:c r="K11" s="3" t="str">
        <x:f>IF(INDEX('Decisions'!$Z$2:$Z$92,MATCH(C11,'Decisions'!$C$2:$C$92,0))="","",INDEX('Decisions'!$Z$2:$Z$92,MATCH(C11,'Decisions'!$C$2:$C$92,0)))</x:f>
      </x:c>
    </x:row>
    <x:row r="12" ht="90" customHeight="1">
      <x:c r="A12" s="6" t="n">
        <x:v>2024</x:v>
      </x:c>
      <x:c r="B12" s="6" t="str">
        <x:v>jama.2024.23898</x:v>
      </x:c>
      <x:c r="C12" s="6" t="str">
        <x:v>2024::jama.2024.23898::C002</x:v>
      </x:c>
      <x:c r="D12" s="6" t="str">
        <x:v>P_R</x:v>
      </x:c>
      <x:c r="E12" s="6" t="str">
        <x:v>Postoperative opioid-consumption window is 24 hours versus 72 hours</x:v>
      </x:c>
      <x:c r="F12" s="6" t="str">
        <x:v>The article defines and reports postoperative morphine-equivalent consumption through 24 hours, while the protocol and SAP define the matched endpoint through 72 hours.</x:v>
      </x:c>
      <x:c r="G12" s="6" t="str">
        <x:f>IF(INDEX('Decisions'!$G$2:$G$92,MATCH(C12,'Decisions'!$C$2:$C$92,0))="","",INDEX('Decisions'!$G$2:$G$92,MATCH(C12,'Decisions'!$C$2:$C$92,0)))</x:f>
        <x:v>CHECK REVIEWER IDs</x:v>
      </x:c>
      <x:c r="H12" s="6" t="str">
        <x:f>IF(INDEX('Decisions'!$S$2:$S$92,MATCH(C12,'Decisions'!$C$2:$C$92,0))="","",INDEX('Decisions'!$S$2:$S$92,MATCH(C12,'Decisions'!$C$2:$C$92,0)))</x:f>
      </x:c>
      <x:c r="I12" s="6" t="str">
        <x:f>IF(INDEX('Decisions'!$Y$2:$Y$92,MATCH(C12,'Decisions'!$C$2:$C$92,0))="","",INDEX('Decisions'!$Y$2:$Y$92,MATCH(C12,'Decisions'!$C$2:$C$92,0)))</x:f>
        <x:v>not_applicable</x:v>
      </x:c>
      <x:c r="J12" s="6" t="str">
        <x:f>IF(INDEX('Decisions'!$X$2:$X$92,MATCH(C12,'Decisions'!$C$2:$C$92,0))="","",INDEX('Decisions'!$X$2:$X$92,MATCH(C12,'Decisions'!$C$2:$C$92,0)))</x:f>
        <x:v>not_applicable</x:v>
      </x:c>
      <x:c r="K12" s="6" t="str">
        <x:f>IF(INDEX('Decisions'!$Z$2:$Z$92,MATCH(C12,'Decisions'!$C$2:$C$92,0))="","",INDEX('Decisions'!$Z$2:$Z$92,MATCH(C12,'Decisions'!$C$2:$C$92,0)))</x:f>
      </x:c>
    </x:row>
    <x:row r="13" ht="90" customHeight="1">
      <x:c r="A13" s="3" t="n">
        <x:v>2024</x:v>
      </x:c>
      <x:c r="B13" s="3" t="str">
        <x:v>jama.2024.23898</x:v>
      </x:c>
      <x:c r="C13" s="3" t="str">
        <x:v>2024::jama.2024.23898::C003</x:v>
      </x:c>
      <x:c r="D13" s="3" t="str">
        <x:v>P_R</x:v>
      </x:c>
      <x:c r="E13" s="3" t="str">
        <x:v>Unplanned-readmission window is 90 days versus 30 days</x:v>
      </x:c>
      <x:c r="F13" s="3" t="str">
        <x:v>Table 3 labels 31 versus 34 unplanned readmissions within 90 days, while article Methods, protocol, and SAP define the endpoint within 30 days.</x:v>
      </x:c>
      <x:c r="G13" s="3" t="str">
        <x:f>IF(INDEX('Decisions'!$G$2:$G$92,MATCH(C13,'Decisions'!$C$2:$C$92,0))="","",INDEX('Decisions'!$G$2:$G$92,MATCH(C13,'Decisions'!$C$2:$C$92,0)))</x:f>
        <x:v>CHECK REVIEWER IDs</x:v>
      </x:c>
      <x:c r="H13" s="3" t="str">
        <x:f>IF(INDEX('Decisions'!$S$2:$S$92,MATCH(C13,'Decisions'!$C$2:$C$92,0))="","",INDEX('Decisions'!$S$2:$S$92,MATCH(C13,'Decisions'!$C$2:$C$92,0)))</x:f>
      </x:c>
      <x:c r="I13" s="3" t="str">
        <x:f>IF(INDEX('Decisions'!$Y$2:$Y$92,MATCH(C13,'Decisions'!$C$2:$C$92,0))="","",INDEX('Decisions'!$Y$2:$Y$92,MATCH(C13,'Decisions'!$C$2:$C$92,0)))</x:f>
        <x:v>not_applicable</x:v>
      </x:c>
      <x:c r="J13" s="3" t="str">
        <x:f>IF(INDEX('Decisions'!$X$2:$X$92,MATCH(C13,'Decisions'!$C$2:$C$92,0))="","",INDEX('Decisions'!$X$2:$X$92,MATCH(C13,'Decisions'!$C$2:$C$92,0)))</x:f>
        <x:v>not_applicable</x:v>
      </x:c>
      <x:c r="K13" s="3" t="str">
        <x:f>IF(INDEX('Decisions'!$Z$2:$Z$92,MATCH(C13,'Decisions'!$C$2:$C$92,0))="","",INDEX('Decisions'!$Z$2:$Z$92,MATCH(C13,'Decisions'!$C$2:$C$92,0)))</x:f>
      </x:c>
    </x:row>
    <x:row r="14" ht="90" customHeight="1">
      <x:c r="A14" s="6" t="n">
        <x:v>2024</x:v>
      </x:c>
      <x:c r="B14" s="6" t="str">
        <x:v>jama.2024.23898</x:v>
      </x:c>
      <x:c r="C14" s="6" t="str">
        <x:v>2024::jama.2024.23898::C004</x:v>
      </x:c>
      <x:c r="D14" s="6" t="str">
        <x:v>P_R</x:v>
      </x:c>
      <x:c r="E14" s="6" t="str">
        <x:v>ERAS subgroup cut points differ from the protocol bands</x:v>
      </x:c>
      <x:c r="F14" s="6" t="str">
        <x:v>The protocol gives example ERAS compliance bands of 0–30%, 30–60%, and greater than 60%, whereas the eFigure defines low as fewer than 5 and high as at least 7 of 10 criteria; the printed definitions are not directly reconciled.</x:v>
      </x:c>
      <x:c r="G14" s="6" t="str">
        <x:f>IF(INDEX('Decisions'!$G$2:$G$92,MATCH(C14,'Decisions'!$C$2:$C$92,0))="","",INDEX('Decisions'!$G$2:$G$92,MATCH(C14,'Decisions'!$C$2:$C$92,0)))</x:f>
        <x:v>CHECK REVIEWER IDs</x:v>
      </x:c>
      <x:c r="H14" s="6" t="str">
        <x:f>IF(INDEX('Decisions'!$S$2:$S$92,MATCH(C14,'Decisions'!$C$2:$C$92,0))="","",INDEX('Decisions'!$S$2:$S$92,MATCH(C14,'Decisions'!$C$2:$C$92,0)))</x:f>
      </x:c>
      <x:c r="I14" s="6" t="str">
        <x:f>IF(INDEX('Decisions'!$Y$2:$Y$92,MATCH(C14,'Decisions'!$C$2:$C$92,0))="","",INDEX('Decisions'!$Y$2:$Y$92,MATCH(C14,'Decisions'!$C$2:$C$92,0)))</x:f>
        <x:v>not_applicable</x:v>
      </x:c>
      <x:c r="J14" s="6" t="str">
        <x:f>IF(INDEX('Decisions'!$X$2:$X$92,MATCH(C14,'Decisions'!$C$2:$C$92,0))="","",INDEX('Decisions'!$X$2:$X$92,MATCH(C14,'Decisions'!$C$2:$C$92,0)))</x:f>
        <x:v>not_applicable</x:v>
      </x:c>
      <x:c r="K14" s="6" t="str">
        <x:f>IF(INDEX('Decisions'!$Z$2:$Z$92,MATCH(C14,'Decisions'!$C$2:$C$92,0))="","",INDEX('Decisions'!$Z$2:$Z$92,MATCH(C14,'Decisions'!$C$2:$C$92,0)))</x:f>
      </x:c>
    </x:row>
    <x:row r="15" ht="90" customHeight="1">
      <x:c r="A15" s="3" t="n">
        <x:v>2024</x:v>
      </x:c>
      <x:c r="B15" s="3" t="str">
        <x:v>jama.2024.23898</x:v>
      </x:c>
      <x:c r="C15" s="3" t="str">
        <x:v>2024::jama.2024.23898::C007</x:v>
      </x:c>
      <x:c r="D15" s="3" t="str">
        <x:v>P_R</x:v>
      </x:c>
      <x:c r="E15" s="3" t="str">
        <x:v>ERAS subgroup is labeled as two levels versus three levels</x:v>
      </x:c>
      <x:c r="F15" s="3" t="str">
        <x:v>Article Methods calls the ERAS subgroup “high vs low,” while the SAP and eFigure name high, moderate, and low strata for the displayed interaction.</x:v>
      </x:c>
      <x:c r="G15" s="3" t="str">
        <x:f>IF(INDEX('Decisions'!$G$2:$G$92,MATCH(C15,'Decisions'!$C$2:$C$92,0))="","",INDEX('Decisions'!$G$2:$G$92,MATCH(C15,'Decisions'!$C$2:$C$92,0)))</x:f>
        <x:v>CHECK REVIEWER IDs</x:v>
      </x:c>
      <x:c r="H15" s="3" t="str">
        <x:f>IF(INDEX('Decisions'!$S$2:$S$92,MATCH(C15,'Decisions'!$C$2:$C$92,0))="","",INDEX('Decisions'!$S$2:$S$92,MATCH(C15,'Decisions'!$C$2:$C$92,0)))</x:f>
      </x:c>
      <x:c r="I15" s="3" t="str">
        <x:f>IF(INDEX('Decisions'!$Y$2:$Y$92,MATCH(C15,'Decisions'!$C$2:$C$92,0))="","",INDEX('Decisions'!$Y$2:$Y$92,MATCH(C15,'Decisions'!$C$2:$C$92,0)))</x:f>
        <x:v>not_applicable</x:v>
      </x:c>
      <x:c r="J15" s="3" t="str">
        <x:f>IF(INDEX('Decisions'!$X$2:$X$92,MATCH(C15,'Decisions'!$C$2:$C$92,0))="","",INDEX('Decisions'!$X$2:$X$92,MATCH(C15,'Decisions'!$C$2:$C$92,0)))</x:f>
        <x:v>not_applicable</x:v>
      </x:c>
      <x:c r="K15" s="3" t="str">
        <x:f>IF(INDEX('Decisions'!$Z$2:$Z$92,MATCH(C15,'Decisions'!$C$2:$C$92,0))="","",INDEX('Decisions'!$Z$2:$Z$92,MATCH(C15,'Decisions'!$C$2:$C$92,0)))</x:f>
      </x:c>
    </x:row>
    <x:row r="16" ht="90" customHeight="1">
      <x:c r="A16" s="6" t="n">
        <x:v>2024</x:v>
      </x:c>
      <x:c r="B16" s="6" t="str">
        <x:v>jama.2024.4183</x:v>
      </x:c>
      <x:c r="C16" s="6" t="str">
        <x:v>2024::jama.2024.4183::C010</x:v>
      </x:c>
      <x:c r="D16" s="6" t="str">
        <x:v>P_P</x:v>
      </x:c>
      <x:c r="E16" s="6" t="str">
        <x:v>Protocol beta parameters do not reproduce the paired varenicline response probability</x:v>
      </x:c>
      <x:c r="F16" s="6" t="str">
        <x:v>Protocol beta parameters do not reproduce the paired varenicline response probability.</x:v>
      </x:c>
      <x:c r="G16" s="6" t="str">
        <x:f>IF(INDEX('Decisions'!$G$2:$G$92,MATCH(C16,'Decisions'!$C$2:$C$92,0))="","",INDEX('Decisions'!$G$2:$G$92,MATCH(C16,'Decisions'!$C$2:$C$92,0)))</x:f>
        <x:v>CHECK REVIEWER IDs</x:v>
      </x:c>
      <x:c r="H16" s="6" t="str">
        <x:f>IF(INDEX('Decisions'!$S$2:$S$92,MATCH(C16,'Decisions'!$C$2:$C$92,0))="","",INDEX('Decisions'!$S$2:$S$92,MATCH(C16,'Decisions'!$C$2:$C$92,0)))</x:f>
      </x:c>
      <x:c r="I16" s="6" t="str">
        <x:f>IF(INDEX('Decisions'!$Y$2:$Y$92,MATCH(C16,'Decisions'!$C$2:$C$92,0))="","",INDEX('Decisions'!$Y$2:$Y$92,MATCH(C16,'Decisions'!$C$2:$C$92,0)))</x:f>
        <x:v>not_applicable</x:v>
      </x:c>
      <x:c r="J16" s="6" t="str">
        <x:f>IF(INDEX('Decisions'!$X$2:$X$92,MATCH(C16,'Decisions'!$C$2:$C$92,0))="","",INDEX('Decisions'!$X$2:$X$92,MATCH(C16,'Decisions'!$C$2:$C$92,0)))</x:f>
        <x:v>not_applicable</x:v>
      </x:c>
      <x:c r="K16" s="6" t="str">
        <x:f>IF(INDEX('Decisions'!$Z$2:$Z$92,MATCH(C16,'Decisions'!$C$2:$C$92,0))="","",INDEX('Decisions'!$Z$2:$Z$92,MATCH(C16,'Decisions'!$C$2:$C$92,0)))</x:f>
      </x:c>
    </x:row>
    <x:row r="17" ht="90" customHeight="1">
      <x:c r="A17" s="3" t="n">
        <x:v>2024</x:v>
      </x:c>
      <x:c r="B17" s="3" t="str">
        <x:v>jama.2024.4183</x:v>
      </x:c>
      <x:c r="C17" s="3" t="str">
        <x:v>2024::jama.2024.4183::C011</x:v>
      </x:c>
      <x:c r="D17" s="3" t="str">
        <x:v>P_P</x:v>
      </x:c>
      <x:c r="E17" s="3" t="str">
        <x:v>Protocol Aim-1 power increases at a stricter nested threshold</x:v>
      </x:c>
      <x:c r="F17" s="3" t="str">
        <x:v>Protocol Aim-1 power increases at a stricter nested threshold.</x:v>
      </x:c>
      <x:c r="G17" s="3" t="str">
        <x:f>IF(INDEX('Decisions'!$G$2:$G$92,MATCH(C17,'Decisions'!$C$2:$C$92,0))="","",INDEX('Decisions'!$G$2:$G$92,MATCH(C17,'Decisions'!$C$2:$C$92,0)))</x:f>
        <x:v>CHECK REVIEWER IDs</x:v>
      </x:c>
      <x:c r="H17" s="3" t="str">
        <x:f>IF(INDEX('Decisions'!$S$2:$S$92,MATCH(C17,'Decisions'!$C$2:$C$92,0))="","",INDEX('Decisions'!$S$2:$S$92,MATCH(C17,'Decisions'!$C$2:$C$92,0)))</x:f>
      </x:c>
      <x:c r="I17" s="3" t="str">
        <x:f>IF(INDEX('Decisions'!$Y$2:$Y$92,MATCH(C17,'Decisions'!$C$2:$C$92,0))="","",INDEX('Decisions'!$Y$2:$Y$92,MATCH(C17,'Decisions'!$C$2:$C$92,0)))</x:f>
        <x:v>not_applicable</x:v>
      </x:c>
      <x:c r="J17" s="3" t="str">
        <x:f>IF(INDEX('Decisions'!$X$2:$X$92,MATCH(C17,'Decisions'!$C$2:$C$92,0))="","",INDEX('Decisions'!$X$2:$X$92,MATCH(C17,'Decisions'!$C$2:$C$92,0)))</x:f>
        <x:v>not_applicable</x:v>
      </x:c>
      <x:c r="K17" s="3" t="str">
        <x:f>IF(INDEX('Decisions'!$Z$2:$Z$92,MATCH(C17,'Decisions'!$C$2:$C$92,0))="","",INDEX('Decisions'!$Z$2:$Z$92,MATCH(C17,'Decisions'!$C$2:$C$92,0)))</x:f>
      </x:c>
    </x:row>
    <x:row r="18" ht="90" customHeight="1">
      <x:c r="A18" s="6" t="n">
        <x:v>2024</x:v>
      </x:c>
      <x:c r="B18" s="6" t="str">
        <x:v>jama.2024.4183</x:v>
      </x:c>
      <x:c r="C18" s="6" t="str">
        <x:v>2024::jama.2024.4183::C012</x:v>
      </x:c>
      <x:c r="D18" s="6" t="str">
        <x:v>P_P</x:v>
      </x:c>
      <x:c r="E18" s="6" t="str">
        <x:v>Protocol Table 3 duplicates an Aim-2 comparator label</x:v>
      </x:c>
      <x:c r="F18" s="6" t="str">
        <x:v>Protocol Table 3 duplicates an Aim-2 comparator label.</x:v>
      </x:c>
      <x:c r="G18" s="6" t="str">
        <x:f>IF(INDEX('Decisions'!$G$2:$G$92,MATCH(C18,'Decisions'!$C$2:$C$92,0))="","",INDEX('Decisions'!$G$2:$G$92,MATCH(C18,'Decisions'!$C$2:$C$92,0)))</x:f>
        <x:v>CHECK REVIEWER IDs</x:v>
      </x:c>
      <x:c r="H18" s="6" t="str">
        <x:f>IF(INDEX('Decisions'!$S$2:$S$92,MATCH(C18,'Decisions'!$C$2:$C$92,0))="","",INDEX('Decisions'!$S$2:$S$92,MATCH(C18,'Decisions'!$C$2:$C$92,0)))</x:f>
      </x:c>
      <x:c r="I18" s="6" t="str">
        <x:f>IF(INDEX('Decisions'!$Y$2:$Y$92,MATCH(C18,'Decisions'!$C$2:$C$92,0))="","",INDEX('Decisions'!$Y$2:$Y$92,MATCH(C18,'Decisions'!$C$2:$C$92,0)))</x:f>
        <x:v>not_applicable</x:v>
      </x:c>
      <x:c r="J18" s="6" t="str">
        <x:f>IF(INDEX('Decisions'!$X$2:$X$92,MATCH(C18,'Decisions'!$C$2:$C$92,0))="","",INDEX('Decisions'!$X$2:$X$92,MATCH(C18,'Decisions'!$C$2:$C$92,0)))</x:f>
        <x:v>not_applicable</x:v>
      </x:c>
      <x:c r="K18" s="6" t="str">
        <x:f>IF(INDEX('Decisions'!$Z$2:$Z$92,MATCH(C18,'Decisions'!$C$2:$C$92,0))="","",INDEX('Decisions'!$Z$2:$Z$92,MATCH(C18,'Decisions'!$C$2:$C$92,0)))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t="str">
        <x:v>Population identity of the branch counts is conditional; no plan comparator.</x:v>
      </x:c>
      <x:c r="C2" s="12" t="b">
        <x:v>0</x:v>
      </x:c>
      <x:c r="D2" s="6" t="str">
        <x:v>Denominator, proportion, or total inconsistency</x:v>
      </x:c>
      <x:c r="E2" s="12" t="b">
        <x:v>0</x:v>
      </x:c>
      <x:c r="F2" s="6" t="str">
        <x:v>C001</x:v>
      </x:c>
      <x:c r="G2" s="6" t="str">
        <x:v>2024::jama.2024.0318::C001</x:v>
      </x:c>
      <x:c r="H2" s="6"/>
      <x:c r="I2" s="6" t="str">
        <x:v>jama_courcoulas_2024_oi_240004_1721756962.76052.pdf — PDF p. 3, Figure 1 and adjoining Results text.</x:v>
      </x:c>
      <x:c r="J2" s="12" t="b">
        <x:v>0</x:v>
      </x:c>
      <x:c r="K2" s="6" t="str">
        <x:v>jama.2024.0318</x:v>
      </x:c>
      <x:c r="L2" s="6"/>
      <x:c r="M2" s="6" t="str">
        <x:v>S_W</x:v>
      </x:c>
      <x:c r="N2" s="6" t="str">
        <x:v>The 305 parent and 193+122=315 child allocation boxes disagree inside main Figure 1.</x:v>
      </x:c>
      <x:c r="O2" s="6" t="str">
        <x:v>../../2024/jama.2024.0318/.ai_paper_validation/final_report_1_5_3.html</x:v>
      </x:c>
      <x:c r="P2" s="6" t="str">
        <x:v>2024/jama.2024.0318/.ai_paper_validation/final_report_1_5_3.md</x:v>
      </x:c>
      <x:c r="Q2" s="6" t="str">
        <x:v>C001</x:v>
      </x:c>
      <x:c r="R2" s="6" t="str">
        <x:v>Pending Human Adjudication</x:v>
      </x:c>
      <x:c r="S2" s="6" t="str">
        <x:v>Figure 1 displays a 305-person available cohort that branches to treatment counts totaling 315.</x:v>
      </x:c>
      <x:c r="T2" s="12" t="b">
        <x:v>1</x:v>
      </x:c>
      <x:c r="U2" s="6" t="str">
        <x:v>flow_total</x:v>
      </x:c>
      <x:c r="V2" s="6" t="str">
        <x:v>statistical_results</x:v>
      </x:c>
      <x:c r="W2" s="6" t="str">
        <x:v>Figure 1 allocation branches exceed the displayed available cohort by 10 participants</x:v>
      </x:c>
      <x:c r="X2" s="6" t="str">
        <x:v>2024</x:v>
      </x:c>
      <x:c r="Y2" s="6" t="str">
        <x:v>meta_report/consistency_reclassification_2026-09-04/reclassified_candidates.json</x:v>
      </x:c>
      <x:c r="Z2" s="6" t="str">
        <x:v>S_W</x:v>
      </x:c>
      <x:c r="AA2" s="6" t="str">
        <x:v>statistical_results</x:v>
      </x:c>
      <x:c r="AB2" s="6" t="str">
        <x:v>retain</x:v>
      </x:c>
    </x:row>
    <x:row r="3" ht="90" customHeight="1">
      <x:c r="A3" s="11" t="b">
        <x:v>0</x:v>
      </x:c>
      <x:c r="B3" s="3" t="str">
        <x:v>The table may intentionally mix visits without adequate labels; classified by its internal heading/footnote relationship.</x:v>
      </x:c>
      <x:c r="C3" s="11" t="b">
        <x:v>0</x:v>
      </x:c>
      <x:c r="D3" s="3" t="str">
        <x:v>Measure, label, or scale inconsistency</x:v>
      </x:c>
      <x:c r="E3" s="11" t="b">
        <x:v>0</x:v>
      </x:c>
      <x:c r="F3" s="3" t="str">
        <x:v>C002</x:v>
      </x:c>
      <x:c r="G3" s="3" t="str">
        <x:v>2024::jama.2024.0318::C002</x:v>
      </x:c>
      <x:c r="H3" s="3"/>
      <x:c r="I3" s="3" t="str">
        <x:v>joi240004supp2_prod_1721756962.82552.pdf — PDF p. 15, eTable 2 title, columns, rows, and footnotes a-b; joi240004supp2_prod_1721756962.82552.pdf — PDF p. 16, footnotes c-e; jama_courcoulas_2024_oi_240004_1721756962.76052.pdf — PDF p. 3, Results pointer to eTable 2.</x:v>
      </x:c>
      <x:c r="J3" s="11" t="b">
        <x:v>0</x:v>
      </x:c>
      <x:c r="K3" s="3" t="str">
        <x:v>jama.2024.0318</x:v>
      </x:c>
      <x:c r="L3" s="3"/>
      <x:c r="M3" s="3" t="str">
        <x:v>S_W</x:v>
      </x:c>
      <x:c r="N3" s="3" t="str">
        <x:v>Year-12 headings and year-7 footnote definitions conflict within results-supplement eTable 2. The main article pointer corroborates the heading rather than supplying an additional targeted discrepancy.</x:v>
      </x:c>
      <x:c r="O3" s="3" t="str">
        <x:v>../../2024/jama.2024.0318/.ai_paper_validation/final_report_1_5_3.html</x:v>
      </x:c>
      <x:c r="P3" s="3" t="str">
        <x:v>2024/jama.2024.0318/.ai_paper_validation/final_report_1_5_3.md</x:v>
      </x:c>
      <x:c r="Q3" s="3" t="str">
        <x:v>C002</x:v>
      </x:c>
      <x:c r="R3" s="3" t="str">
        <x:v>Pending Human Adjudication</x:v>
      </x:c>
      <x:c r="S3" s="3" t="str">
        <x:v>eTable 2 presents year-12 headings while key footnotes define its quantitative outputs at year 7.</x:v>
      </x:c>
      <x:c r="T3" s="11" t="b">
        <x:v>1</x:v>
      </x:c>
      <x:c r="U3" s="3" t="str">
        <x:v>timepoint_label</x:v>
      </x:c>
      <x:c r="V3" s="3" t="str">
        <x:v>report_internal_inconsistency</x:v>
      </x:c>
      <x:c r="W3" s="3" t="str">
        <x:v>Supplement eTable 2 mixes year-12 headings with year-7 quantitative footnote definitions</x:v>
      </x:c>
      <x:c r="X3" s="3" t="str">
        <x:v>2024</x:v>
      </x:c>
      <x:c r="Y3" s="3" t="str">
        <x:v>meta_report/consistency_reclassification_2026-09-04/reclassified_candidates.json</x:v>
      </x:c>
      <x:c r="Z3" s="3" t="str">
        <x:v>S_W</x:v>
      </x:c>
      <x:c r="AA3" s="3" t="str">
        <x:v>report_internal_inconsistency</x:v>
      </x:c>
      <x:c r="AB3" s="3" t="str">
        <x:v>retain</x:v>
      </x:c>
    </x:row>
    <x:row r="4" ht="90" customHeight="1">
      <x:c r="A4" s="12" t="b">
        <x:v>0</x:v>
      </x:c>
      <x:c r="B4" s="6" t="str">
        <x:v>Timepoint ambiguity in C002 leaves exact analysis identity conditional; this is a separate P-value comparison.</x:v>
      </x:c>
      <x:c r="C4" s="12" t="b">
        <x:v>0</x:v>
      </x:c>
      <x:c r="D4" s="6" t="str">
        <x:v>Cross-document numeric inconsistency</x:v>
      </x:c>
      <x:c r="E4" s="12" t="b">
        <x:v>1</x:v>
      </x:c>
      <x:c r="F4" s="6" t="str">
        <x:v>C003</x:v>
      </x:c>
      <x:c r="G4" s="6" t="str">
        <x:v>2024::jama.2024.0318::C003</x:v>
      </x:c>
      <x:c r="H4" s="6"/>
      <x:c r="I4" s="6" t="str">
        <x:v>jama_courcoulas_2024_oi_240004_1721756962.76052.pdf — PDF p. 1, Abstract Results; jama_courcoulas_2024_oi_240004_1721756962.76052.pdf — PDF p. 3, Results; joi240004supp2_prod_1721756962.82552.pdf — PDF p. 15, eTable 2 HbA1c row.</x:v>
      </x:c>
      <x:c r="J4" s="12" t="b">
        <x:v>1</x:v>
      </x:c>
      <x:c r="K4" s="6" t="str">
        <x:v>jama.2024.0318</x:v>
      </x:c>
      <x:c r="L4" s="6"/>
      <x:c r="M4" s="6" t="str">
        <x:v>S_C</x:v>
      </x:c>
      <x:c r="N4" s="6" t="str">
        <x:v>Main abstract/Results give P=.002 but matched results-supplement eTable 2 gives P&lt;.001 for the same displayed HbA1c estimate and interval.</x:v>
      </x:c>
      <x:c r="O4" s="6" t="str">
        <x:v>../../2024/jama.2024.0318/.ai_paper_validation/final_report_1_5_3.html</x:v>
      </x:c>
      <x:c r="P4" s="6" t="str">
        <x:v>2024/jama.2024.0318/.ai_paper_validation/final_report_1_5_3.md</x:v>
      </x:c>
      <x:c r="Q4" s="6" t="str">
        <x:v>C003</x:v>
      </x:c>
      <x:c r="R4" s="6" t="str">
        <x:v>Pending Human Adjudication</x:v>
      </x:c>
      <x:c r="S4" s="6" t="str">
        <x:v>The main article and eTable 2 print the same displayed 12-year HbA1c estimate and interval with different P values.</x:v>
      </x:c>
      <x:c r="T4" s="12" t="b">
        <x:v>1</x:v>
      </x:c>
      <x:c r="U4" s="6" t="str">
        <x:v>p_value_repeat</x:v>
      </x:c>
      <x:c r="V4" s="6" t="str">
        <x:v>report_internal_inconsistency</x:v>
      </x:c>
      <x:c r="W4" s="6" t="str">
        <x:v>Matched 12-year HbA1c result has incompatible printed P values</x:v>
      </x:c>
      <x:c r="X4" s="6" t="str">
        <x:v>2024</x:v>
      </x:c>
      <x:c r="Y4" s="6" t="str">
        <x:v>meta_report/consistency_reclassification_2026-09-04/reclassified_candidates.json</x:v>
      </x:c>
      <x:c r="Z4" s="6" t="str">
        <x:v>S_C</x:v>
      </x:c>
      <x:c r="AA4" s="6" t="str">
        <x:v>report_internal_inconsistency</x:v>
      </x:c>
      <x:c r="AB4" s="6" t="str">
        <x:v>retain</x:v>
      </x:c>
    </x:row>
    <x:row r="5" ht="90" customHeight="1">
      <x:c r="A5" s="11" t="b">
        <x:v>0</x:v>
      </x:c>
      <x:c r="B5" s="3"/>
      <x:c r="C5" s="11" t="b">
        <x:v>0</x:v>
      </x:c>
      <x:c r="D5" s="3" t="str">
        <x:v>Measure, label, or scale inconsistency</x:v>
      </x:c>
      <x:c r="E5" s="11" t="b">
        <x:v>0</x:v>
      </x:c>
      <x:c r="F5" s="3" t="str">
        <x:v>C004</x:v>
      </x:c>
      <x:c r="G5" s="3" t="str">
        <x:v>2024::jama.2024.0318::C004</x:v>
      </x:c>
      <x:c r="H5" s="3"/>
      <x:c r="I5" s="3" t="str">
        <x:v>jama_courcoulas_2024_oi_240004_1721756962.76052.pdf — PDF p. 4, Results narrative; jama_courcoulas_2024_oi_240004_1721756962.76052.pdf — PDF p. 6, Table 2; joi240004supp2_prod_1721756962.82552.pdf — PDF p. 4, binary-analysis context.</x:v>
      </x:c>
      <x:c r="J5" s="11" t="b">
        <x:v>0</x:v>
      </x:c>
      <x:c r="K5" s="3" t="str">
        <x:v>jama.2024.0318</x:v>
      </x:c>
      <x:c r="L5" s="3"/>
      <x:c r="M5" s="3" t="str">
        <x:v>S_W</x:v>
      </x:c>
      <x:c r="N5" s="3" t="str">
        <x:v>Main narrative says HbA1c&lt;=6.5%, whereas its cited Table 2 says &lt;6.5%. Supplementary GEE methods do not state the operator and are context only.</x:v>
      </x:c>
      <x:c r="O5" s="3" t="str">
        <x:v>../../2024/jama.2024.0318/.ai_paper_validation/final_report_1_5_3.html</x:v>
      </x:c>
      <x:c r="P5" s="3" t="str">
        <x:v>2024/jama.2024.0318/.ai_paper_validation/final_report_1_5_3.md</x:v>
      </x:c>
      <x:c r="Q5" s="3" t="str">
        <x:v>C004</x:v>
      </x:c>
      <x:c r="R5" s="3" t="str">
        <x:v>Pending Human Adjudication</x:v>
      </x:c>
      <x:c r="S5" s="3" t="str">
        <x:v>The narrative cites Table 2 for the same year-7 outcome while using &lt;=6.5%; Table 2 uses &lt;6.5%.</x:v>
      </x:c>
      <x:c r="T5" s="11" t="b">
        <x:v>1</x:v>
      </x:c>
      <x:c r="U5" s="3" t="str">
        <x:v>threshold_operator</x:v>
      </x:c>
      <x:c r="V5" s="3" t="str">
        <x:v>report_internal_inconsistency</x:v>
      </x:c>
      <x:c r="W5" s="3" t="str">
        <x:v>The same year-7 glycemic outcome is labeled as both HbA1c less than or equal to 6.5% and HbA1c below 6.5%</x:v>
      </x:c>
      <x:c r="X5" s="3" t="str">
        <x:v>2024</x:v>
      </x:c>
      <x:c r="Y5" s="3" t="str">
        <x:v>meta_report/consistency_reclassification_2026-09-04/reclassified_candidates.json</x:v>
      </x:c>
      <x:c r="Z5" s="3" t="str">
        <x:v>S_W</x:v>
      </x:c>
      <x:c r="AA5" s="3" t="str">
        <x:v>report_internal_inconsistency</x:v>
      </x:c>
      <x:c r="AB5" s="3" t="str">
        <x:v>retain</x:v>
      </x:c>
    </x:row>
    <x:row r="6" ht="90" customHeight="1">
      <x:c r="A6" s="12" t="b">
        <x:v>0</x:v>
      </x:c>
      <x:c r="B6" s="6" t="str">
        <x:v>An unreported abstract risk set remains possible.</x:v>
      </x:c>
      <x:c r="C6" s="12" t="b">
        <x:v>0</x:v>
      </x:c>
      <x:c r="D6" s="6" t="str">
        <x:v>Denominator, proportion, or total inconsistency</x:v>
      </x:c>
      <x:c r="E6" s="12" t="b">
        <x:v>0</x:v>
      </x:c>
      <x:c r="F6" s="6" t="str">
        <x:v>C005</x:v>
      </x:c>
      <x:c r="G6" s="6" t="str">
        <x:v>2024::jama.2024.0318::C005</x:v>
      </x:c>
      <x:c r="H6" s="6"/>
      <x:c r="I6" s="6" t="str">
        <x:v>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x:v>
      </x:c>
      <x:c r="J6" s="12" t="b">
        <x:v>0</x:v>
      </x:c>
      <x:c r="K6" s="6" t="str">
        <x:v>jama.2024.0318</x:v>
      </x:c>
      <x:c r="L6" s="6"/>
      <x:c r="M6" s="6" t="str">
        <x:v>S_W</x:v>
      </x:c>
      <x:c r="N6" s="6" t="str">
        <x:v>Main abstract gives four deaths as2.2%, whereas its own enrolled denominators and Table3 imply4/262=1.5%.</x:v>
      </x:c>
      <x:c r="O6" s="6" t="str">
        <x:v>../../2024/jama.2024.0318/.ai_paper_validation/final_report_1_5_3.html</x:v>
      </x:c>
      <x:c r="P6" s="6" t="str">
        <x:v>2024/jama.2024.0318/.ai_paper_validation/final_report_1_5_3.md</x:v>
      </x:c>
      <x:c r="Q6" s="6" t="str">
        <x:v>C005</x:v>
      </x:c>
      <x:c r="R6" s="6" t="str">
        <x:v>Pending Human Adjudication</x:v>
      </x:c>
      <x:c r="S6" s="6" t="str">
        <x:v>The abstract's 2.2% for four deaths does not match the combined percentage implied by displayed group counts and denominators.</x:v>
      </x:c>
      <x:c r="T6" s="12" t="b">
        <x:v>1</x:v>
      </x:c>
      <x:c r="U6" s="6" t="str">
        <x:v>count_percentage</x:v>
      </x:c>
      <x:c r="V6" s="6" t="str">
        <x:v>statistical_results</x:v>
      </x:c>
      <x:c r="W6" s="6" t="str">
        <x:v>Abstract percentage for four deaths does not reconcile with displayed group counts and denominators</x:v>
      </x:c>
      <x:c r="X6" s="6" t="str">
        <x:v>2024</x:v>
      </x:c>
      <x:c r="Y6" s="6" t="str">
        <x:v>meta_report/consistency_reclassification_2026-09-04/reclassified_candidates.json</x:v>
      </x:c>
      <x:c r="Z6" s="6" t="str">
        <x:v>S_W</x:v>
      </x:c>
      <x:c r="AA6" s="6" t="str">
        <x:v>statistical_results</x:v>
      </x:c>
      <x:c r="AB6" s="6" t="str">
        <x:v>retain</x:v>
      </x:c>
    </x:row>
    <x:row r="7" ht="90" customHeight="1">
      <x:c r="A7" s="11" t="b">
        <x:v>0</x:v>
      </x:c>
      <x:c r="B7" s="3" t="str">
        <x:v>Actual membership impact depends on boundary values and coding.</x:v>
      </x:c>
      <x:c r="C7" s="11" t="b">
        <x:v>0</x:v>
      </x:c>
      <x:c r="D7" s="3" t="str">
        <x:v>Measure, label, or scale inconsistency</x:v>
      </x:c>
      <x:c r="E7" s="11" t="b">
        <x:v>1</x:v>
      </x:c>
      <x:c r="F7" s="3" t="str">
        <x:v>C006</x:v>
      </x:c>
      <x:c r="G7" s="3" t="str">
        <x:v>2024::jama.2024.0318::C006</x:v>
      </x:c>
      <x:c r="H7" s="3"/>
      <x:c r="I7" s="3" t="str">
        <x:v>jama_courcoulas_2024_oi_240004_1721756962.76052.pdf — PDF p. 7, Results narrative; joi240004supp2_prod_1721756962.82552.pdf — PDF p. 13, eFigure 6 title, legends, and explanatory text.</x:v>
      </x:c>
      <x:c r="J7" s="11" t="b">
        <x:v>0</x:v>
      </x:c>
      <x:c r="K7" s="3" t="str">
        <x:v>jama.2024.0318</x:v>
      </x:c>
      <x:c r="L7" s="3"/>
      <x:c r="M7" s="3" t="str">
        <x:v>S_C</x:v>
      </x:c>
      <x:c r="N7" s="3" t="str">
        <x:v>Main reports BMI&gt;=35 for its higher subgroup, but the linked non-plan eFigure6 repeatedly prints BMI&gt;35.</x:v>
      </x:c>
      <x:c r="O7" s="3" t="str">
        <x:v>../../2024/jama.2024.0318/.ai_paper_validation/final_report_1_5_3.html</x:v>
      </x:c>
      <x:c r="P7" s="3" t="str">
        <x:v>2024/jama.2024.0318/.ai_paper_validation/final_report_1_5_3.md</x:v>
      </x:c>
      <x:c r="Q7" s="3" t="str">
        <x:v>C006</x:v>
      </x:c>
      <x:c r="R7" s="3" t="str">
        <x:v>Pending Human Adjudication</x:v>
      </x:c>
      <x:c r="S7" s="3" t="str">
        <x:v>The main article defines the higher exploratory BMI subgroup as 35 or greater, whereas eFigure 6 labels it greater than 35.</x:v>
      </x:c>
      <x:c r="T7" s="11" t="b">
        <x:v>1</x:v>
      </x:c>
      <x:c r="U7" s="3" t="str">
        <x:v>threshold_operator</x:v>
      </x:c>
      <x:c r="V7" s="3" t="str">
        <x:v>report_internal_inconsistency</x:v>
      </x:c>
      <x:c r="W7" s="3" t="str">
        <x:v>The same exploratory BMI subgroup boundary is labeled as both 35 or greater and greater than 35</x:v>
      </x:c>
      <x:c r="X7" s="3" t="str">
        <x:v>2024</x:v>
      </x:c>
      <x:c r="Y7" s="3" t="str">
        <x:v>meta_report/consistency_reclassification_2026-09-04/reclassified_candidates.json</x:v>
      </x:c>
      <x:c r="Z7" s="3" t="str">
        <x:v>S_C</x:v>
      </x:c>
      <x:c r="AA7" s="3" t="str">
        <x:v>report_internal_inconsistency</x:v>
      </x:c>
      <x:c r="AB7" s="3" t="str">
        <x:v>retain</x:v>
      </x:c>
    </x:row>
    <x:row r="8" ht="90" customHeight="1">
      <x:c r="A8" s="12" t="b">
        <x:v>0</x:v>
      </x:c>
      <x:c r="B8" s="6" t="str">
        <x:v>Requires ordinary nearest-whole rounding and identical outcome derivation.</x:v>
      </x:c>
      <x:c r="C8" s="12" t="b">
        <x:v>0</x:v>
      </x:c>
      <x:c r="D8" s="6" t="str">
        <x:v>Cross-document numeric inconsistency</x:v>
      </x:c>
      <x:c r="E8" s="12" t="b">
        <x:v>1</x:v>
      </x:c>
      <x:c r="F8" s="6" t="str">
        <x:v>C001</x:v>
      </x:c>
      <x:c r="G8" s="6" t="str">
        <x:v>2024::jama.2024.0572::C001</x:v>
      </x:c>
      <x:c r="H8" s="6"/>
      <x:c r="I8" s="6" t="str">
        <x:v>Main article Figure 2 — PDF p. 7; Supplement 5 eTable 2 — PDF p. 38; main Results population statement — PDF p. 4; and Supplement 5 eFigure 3 — PDF p. 8.</x:v>
      </x:c>
      <x:c r="J8" s="12" t="b">
        <x:v>1</x:v>
      </x:c>
      <x:c r="K8" s="6" t="str">
        <x:v>jama.2024.0572</x:v>
      </x:c>
      <x:c r="L8" s="6"/>
      <x:c r="M8" s="6" t="str">
        <x:v>S_C</x:v>
      </x:c>
      <x:c r="N8" s="6" t="str">
        <x:v>Main Figure2 ITT mRS distributions reconstruct different threshold counts from results-supplement eTable2 despite matched168-per-arm labels.</x:v>
      </x:c>
      <x:c r="O8" s="6" t="str">
        <x:v>../../2024/jama.2024.0572/.ai_paper_validation/final_report_1_5_3.html</x:v>
      </x:c>
      <x:c r="P8" s="6" t="str">
        <x:v>2024/jama.2024.0572/.ai_paper_validation/final_report_1_5_3.md</x:v>
      </x:c>
      <x:c r="Q8" s="6" t="str">
        <x:v>C001</x:v>
      </x:c>
      <x:c r="R8" s="6" t="str">
        <x:v>Pending Human Adjudication</x:v>
      </x:c>
      <x:c r="S8" s="6" t="str">
        <x:v>The Figure 2 ITT 90-day mRS distributions and Supplement 5 eTable 2 ITT threshold counts do not reconcile under ordinary nearest-whole-percentage rounding, despite matching ITT labels and 168 participants per arm.</x:v>
      </x:c>
      <x:c r="T8" s="12" t="b">
        <x:v>1</x:v>
      </x:c>
      <x:c r="U8" s="6" t="str">
        <x:v>distribution_threshold_counts</x:v>
      </x:c>
      <x:c r="V8" s="6" t="str">
        <x:v>report_internal_inconsistency</x:v>
      </x:c>
      <x:c r="W8" s="6" t="str">
        <x:v>ITT Figure 2 mRS distributions conflict with ITT eTable 2 threshold counts</x:v>
      </x:c>
      <x:c r="X8" s="6" t="str">
        <x:v>2024</x:v>
      </x:c>
      <x:c r="Y8" s="6" t="str">
        <x:v>meta_report/consistency_reclassification_2026-09-04/reclassified_candidates.json</x:v>
      </x:c>
      <x:c r="Z8" s="6" t="str">
        <x:v>S_C</x:v>
      </x:c>
      <x:c r="AA8" s="6" t="str">
        <x:v>report_internal_inconsistency</x:v>
      </x:c>
      <x:c r="AB8" s="6" t="str">
        <x:v>retain</x:v>
      </x:c>
    </x:row>
    <x:row r="9" ht="90" customHeight="1">
      <x:c r="A9" s="11" t="b">
        <x:v>0</x:v>
      </x:c>
      <x:c r="B9" s="3" t="str">
        <x:v>SAP citation is supporting model context, not a demonstrated report-versus-plan analytical discrepancy.</x:v>
      </x:c>
      <x:c r="C9" s="11" t="b">
        <x:v>0</x:v>
      </x:c>
      <x:c r="D9" s="3" t="str">
        <x:v>Measure, label, or scale inconsistency</x:v>
      </x:c>
      <x:c r="E9" s="11" t="b">
        <x:v>0</x:v>
      </x:c>
      <x:c r="F9" s="3" t="str">
        <x:v>C002</x:v>
      </x:c>
      <x:c r="G9" s="3" t="str">
        <x:v>2024::jama.2024.0572::C002</x:v>
      </x:c>
      <x:c r="H9" s="3"/>
      <x:c r="I9" s="3" t="str">
        <x:v>Main narrative — PDF p. 6; Main Table 2 — PDF p. 7; Main Table 3 — PDF p. 9; trial SAP — PDF p. 17; secondary-analysis SAP — PDF p. 4; and Supplement 5 eTable 7 — PDF p. 43.</x:v>
      </x:c>
      <x:c r="J9" s="11" t="b">
        <x:v>0</x:v>
      </x:c>
      <x:c r="K9" s="3" t="str">
        <x:v>jama.2024.0572</x:v>
      </x:c>
      <x:c r="L9" s="3"/>
      <x:c r="M9" s="3" t="str">
        <x:v>S_W</x:v>
      </x:c>
      <x:c r="N9" s="3" t="str">
        <x:v>Main narrative and tables expand aRR as absolute risk reduction while their own interpretation explicitly says rate ratio and uses null1, alongside separate additive aRD. SAP relative-risk methods and supplementary aRR/aRD rows corroborate this internal scale mismatch.</x:v>
      </x:c>
      <x:c r="O9" s="3" t="str">
        <x:v>../../2024/jama.2024.0572/.ai_paper_validation/final_report_1_5_3.html</x:v>
      </x:c>
      <x:c r="P9" s="3" t="str">
        <x:v>2024/jama.2024.0572/.ai_paper_validation/final_report_1_5_3.md</x:v>
      </x:c>
      <x:c r="Q9" s="3" t="str">
        <x:v>C002</x:v>
      </x:c>
      <x:c r="R9" s="3" t="str">
        <x:v>Pending Human Adjudication</x:v>
      </x:c>
      <x:c r="S9" s="3" t="str">
        <x:v>The main narrative and tables expand aRR as “absolute risk reduction,” while printed estimates, a greater-than-1 interpretation, separate aRD values, and supplied SAP statements indicate a ratio-scale measure.</x:v>
      </x:c>
      <x:c r="T9" s="11" t="b">
        <x:v>1</x:v>
      </x:c>
      <x:c r="U9" s="3" t="str">
        <x:v>effect_measure_label</x:v>
      </x:c>
      <x:c r="V9" s="3" t="str">
        <x:v>report_internal_inconsistency</x:v>
      </x:c>
      <x:c r="W9" s="3" t="str">
        <x:v>aRR is labeled as an absolute risk reduction but displayed and interpreted as a ratio</x:v>
      </x:c>
      <x:c r="X9" s="3" t="str">
        <x:v>2024</x:v>
      </x:c>
      <x:c r="Y9" s="3" t="str">
        <x:v>meta_report/consistency_reclassification_2026-09-04/reclassified_candidates.json</x:v>
      </x:c>
      <x:c r="Z9" s="3" t="str">
        <x:v>S_W</x:v>
      </x:c>
      <x:c r="AA9" s="3" t="str">
        <x:v>report_internal_inconsistency</x:v>
      </x:c>
      <x:c r="AB9" s="3" t="str">
        <x:v>retain</x:v>
      </x:c>
    </x:row>
    <x:row r="10" ht="90" customHeight="1">
      <x:c r="A10" s="12" t="b">
        <x:v>0</x:v>
      </x:c>
      <x:c r="B10" s="6" t="str">
        <x:v>Mixed report-plan and main-results-supplement relationships; protocol context dated2021 and article2024 permit an unproven program-version change.</x:v>
      </x:c>
      <x:c r="C10" s="12" t="b">
        <x:v>1</x:v>
      </x:c>
      <x:c r="D10" s="6" t="str">
        <x:v>Cross-document numeric inconsistency</x:v>
      </x:c>
      <x:c r="E10" s="12" t="b">
        <x:v>1</x:v>
      </x:c>
      <x:c r="F10" s="6" t="str">
        <x:v>C001</x:v>
      </x:c>
      <x:c r="G10" s="6" t="str">
        <x:v>2024::jama.2024.11057::C001</x:v>
      </x:c>
      <x:c r="H10" s="6"/>
      <x:c r="I10" s="6" t="str">
        <x:v>jama_graham_2024_oi_240078_1739900423.19074.pdf — PDF p. 3; joi240078supp1_prod_1739900423.22574.pdf — PDF p. 2; joi240078supp2_prod_1739900423.24574.pdf — PDF p. 2.</x:v>
      </x:c>
      <x:c r="J10" s="12" t="b">
        <x:v>1</x:v>
      </x:c>
      <x:c r="K10" s="6" t="str">
        <x:v>jama.2024.11057</x:v>
      </x:c>
      <x:c r="L10" s="6" t="str">
        <x:v>intervention_delivery</x:v>
      </x:c>
      <x:c r="M10" s="6" t="str">
        <x:v>P_R</x:v>
      </x:c>
      <x:c r="N10" s="6" t="str">
        <x:v>Main describes6 pre-quit message weeks, whereas both the study protocol and distinct results supplement describe1 week for the same intervention/subgroup.</x:v>
      </x:c>
      <x:c r="O10" s="6" t="str">
        <x:v>../../2024/jama.2024.11057/.ai_paper_validation/final_report_1_5_3.html</x:v>
      </x:c>
      <x:c r="P10" s="6" t="str">
        <x:v>2024/jama.2024.11057/.ai_paper_validation/final_report_1_5_3.md</x:v>
      </x:c>
      <x:c r="Q10" s="6" t="str">
        <x:v>C001</x:v>
      </x:c>
      <x:c r="R10" s="6" t="str">
        <x:v>Pending Human Adjudication</x:v>
      </x:c>
      <x:c r="S10" s="6" t="str">
        <x:v>The main article prints a 6-week pre-quit message period, whereas both supplied support documents print a 1-week pre-quit period for the same named intervention and quit-date subgroup. Pending Human Adjudication.</x:v>
      </x:c>
      <x:c r="T10" s="12" t="b">
        <x:v>1</x:v>
      </x:c>
      <x:c r="U10" s="6" t="str">
        <x:v>intervention_duration</x:v>
      </x:c>
      <x:c r="V10" s="6" t="str">
        <x:v>protocol_report</x:v>
      </x:c>
      <x:c r="W10" s="6" t="str">
        <x:v>Quit-date pre-message duration conflicts between the main article and both support documents</x:v>
      </x:c>
      <x:c r="X10" s="6" t="str">
        <x:v>2024</x:v>
      </x:c>
      <x:c r="Y10" s="6" t="str">
        <x:v>meta_report/consistency_reclassification_2026-09-04/reclassified_candidates.json</x:v>
      </x:c>
      <x:c r="Z10" s="6" t="str">
        <x:v>P_R</x:v>
      </x:c>
      <x:c r="AA10" s="6" t="str">
        <x:v>protocol_report</x:v>
      </x:c>
      <x:c r="AB10" s="6" t="str">
        <x:v>retain</x:v>
      </x:c>
    </x:row>
    <x:row r="11" ht="90" customHeight="1">
      <x:c r="A11" s="11" t="b">
        <x:v>0</x:v>
      </x:c>
      <x:c r="B11" s="3" t="str">
        <x:v>Scalar IQR widths remain possible; main comparator is corroborative, not a matched-result numerical disagreement.</x:v>
      </x:c>
      <x:c r="C11" s="11" t="b">
        <x:v>0</x:v>
      </x:c>
      <x:c r="D11" s="3" t="str">
        <x:v>Measure, label, or scale inconsistency</x:v>
      </x:c>
      <x:c r="E11" s="11" t="b">
        <x:v>0</x:v>
      </x:c>
      <x:c r="F11" s="3" t="str">
        <x:v>C002</x:v>
      </x:c>
      <x:c r="G11" s="3" t="str">
        <x:v>2024::jama.2024.11057::C002</x:v>
      </x:c>
      <x:c r="H11" s="3"/>
      <x:c r="I11" s="3" t="str">
        <x:v>joi240078supp2_prod_1739900423.24574.pdf — PDF p. 12, eTable 4; joi240078supp2_prod_1739900423.24574.pdf — PDF p. 13, scale footnote; jama_graham_2024_oi_240078_1739900423.19074.pdf — PDF p. 4, Table 1 comparator.</x:v>
      </x:c>
      <x:c r="J11" s="11" t="b">
        <x:v>0</x:v>
      </x:c>
      <x:c r="K11" s="3" t="str">
        <x:v>jama.2024.11057</x:v>
      </x:c>
      <x:c r="L11" s="3"/>
      <x:c r="M11" s="3" t="str">
        <x:v>S_W</x:v>
      </x:c>
      <x:c r="N11" s="3" t="str">
        <x:v>Results-supplement eTable4 labels cells median(IQR) but gives single dispersion values unlike its own endpoint-pair convention. Main Table1 supports the format convention but concerns different groupings.</x:v>
      </x:c>
      <x:c r="O11" s="3" t="str">
        <x:v>../../2024/jama.2024.11057/.ai_paper_validation/final_report_1_5_3.html</x:v>
      </x:c>
      <x:c r="P11" s="3" t="str">
        <x:v>2024/jama.2024.11057/.ai_paper_validation/final_report_1_5_3.md</x:v>
      </x:c>
      <x:c r="Q11" s="3" t="str">
        <x:v>C002</x:v>
      </x:c>
      <x:c r="R11" s="3" t="str">
        <x:v>Pending Human Adjudication</x:v>
      </x:c>
      <x:c r="S11" s="3" t="str">
        <x:v>eTable 4 labels the motivation and confidence rows median (IQR) but prints one parenthetical number in each affected cell, unlike its own endpoint-form IQR convention. Pending Human Adjudication.</x:v>
      </x:c>
      <x:c r="T11" s="11" t="b">
        <x:v>1</x:v>
      </x:c>
      <x:c r="U11" s="3" t="str">
        <x:v>summary_statistic_label</x:v>
      </x:c>
      <x:c r="V11" s="3" t="str">
        <x:v>report_internal_inconsistency</x:v>
      </x:c>
      <x:c r="W11" s="3" t="str">
        <x:v>eTable 4 labels motivation and confidence as median (IQR) but prints single parenthetical dispersion values</x:v>
      </x:c>
      <x:c r="X11" s="3" t="str">
        <x:v>2024</x:v>
      </x:c>
      <x:c r="Y11" s="3" t="str">
        <x:v>meta_report/consistency_reclassification_2026-09-04/reclassified_candidates.json</x:v>
      </x:c>
      <x:c r="Z11" s="3" t="str">
        <x:v>S_W</x:v>
      </x:c>
      <x:c r="AA11" s="3" t="str">
        <x:v>report_internal_inconsistency</x:v>
      </x:c>
      <x:c r="AB11" s="3" t="str">
        <x:v>retain</x:v>
      </x:c>
    </x:row>
    <x:row r="12" ht="90" customHeight="1">
      <x:c r="A12" s="12" t="b">
        <x:v>0</x:v>
      </x:c>
      <x:c r="B12" s="6" t="str">
        <x:v>The substantive mismatch is the undefined transposition against the same supplement's definition and repeated result.</x:v>
      </x:c>
      <x:c r="C12" s="12" t="b">
        <x:v>0</x:v>
      </x:c>
      <x:c r="D12" s="6" t="str">
        <x:v>Measure, label, or scale inconsistency</x:v>
      </x:c>
      <x:c r="E12" s="12" t="b">
        <x:v>0</x:v>
      </x:c>
      <x:c r="F12" s="6" t="str">
        <x:v>C003</x:v>
      </x:c>
      <x:c r="G12" s="6" t="str">
        <x:v>2024::jama.2024.11057::C003</x:v>
      </x:c>
      <x:c r="H12" s="6"/>
      <x:c r="I12" s="6" t="str">
        <x:v>joi240078supp2_prod_1739900423.24574.pdf — PDF p. 5, eAppendix C; joi240078supp2_prod_1739900423.24574.pdf — PDF p. 14, eTable 5; jama_graham_2024_oi_240078_1739900423.19074.pdf — PDF p. 4, Statistical Methods.</x:v>
      </x:c>
      <x:c r="J12" s="12" t="b">
        <x:v>0</x:v>
      </x:c>
      <x:c r="K12" s="6" t="str">
        <x:v>jama.2024.11057</x:v>
      </x:c>
      <x:c r="L12" s="6"/>
      <x:c r="M12" s="6" t="str">
        <x:v>S_W</x:v>
      </x:c>
      <x:c r="N12" s="6" t="str">
        <x:v>Within the results supplement, the defined IPRW method and matching eTable5 result are called IPWR once in eAppendixC. Main methods corroborate the standard abbreviation.</x:v>
      </x:c>
      <x:c r="O12" s="6" t="str">
        <x:v>../../2024/jama.2024.11057/.ai_paper_validation/final_report_1_5_3.html</x:v>
      </x:c>
      <x:c r="P12" s="6" t="str">
        <x:v>2024/jama.2024.11057/.ai_paper_validation/final_report_1_5_3.md</x:v>
      </x:c>
      <x:c r="Q12" s="6" t="str">
        <x:v>C003</x:v>
      </x:c>
      <x:c r="R12" s="6" t="str">
        <x:v>Pending Human Adjudication</x:v>
      </x:c>
      <x:c r="S12" s="6" t="str">
        <x:v>eAppendix C prints IPWR once beside the repeated-PPA result even though the same source defines and otherwise uses IPRW, and the matched eTable labels the result IPRW. Pending Human Adjudication.</x:v>
      </x:c>
      <x:c r="T12" s="12" t="b">
        <x:v>1</x:v>
      </x:c>
      <x:c r="U12" s="6" t="str">
        <x:v>method_abbreviation</x:v>
      </x:c>
      <x:c r="V12" s="6" t="str">
        <x:v>report_internal_inconsistency</x:v>
      </x:c>
      <x:c r="W12" s="6" t="str">
        <x:v>eAppendix C prints IPWR once for a result otherwise defined and labelled as IPRW</x:v>
      </x:c>
      <x:c r="X12" s="6" t="str">
        <x:v>2024</x:v>
      </x:c>
      <x:c r="Y12" s="6" t="str">
        <x:v>meta_report/consistency_reclassification_2026-09-04/reclassified_candidates.json</x:v>
      </x:c>
      <x:c r="Z12" s="6" t="str">
        <x:v>S_W</x:v>
      </x:c>
      <x:c r="AA12" s="6" t="str">
        <x:v>report_internal_inconsistency</x:v>
      </x:c>
      <x:c r="AB12" s="6" t="str">
        <x:v>retain</x:v>
      </x:c>
    </x:row>
    <x:row r="13" ht="90" customHeight="1">
      <x:c r="A13" s="11" t="b">
        <x:v>0</x:v>
      </x:c>
      <x:c r="B13" s="3"/>
      <x:c r="C13" s="11" t="b">
        <x:v>0</x:v>
      </x:c>
      <x:c r="D13" s="3" t="str">
        <x:v>Denominator, proportion, or total inconsistency</x:v>
      </x:c>
      <x:c r="E13" s="11" t="b">
        <x:v>0</x:v>
      </x:c>
      <x:c r="F13" s="3" t="str">
        <x:v>C001</x:v>
      </x:c>
      <x:c r="G13" s="3" t="str">
        <x:v>2024::jama.2024.12829::C001</x:v>
      </x:c>
      <x:c r="H13" s="3"/>
      <x:c r="I13" s="3" t="str">
        <x:v>DOC-001 Table 1, PDF p. 6</x:v>
      </x:c>
      <x:c r="J13" s="11" t="b">
        <x:v>0</x:v>
      </x:c>
      <x:c r="K13" s="3" t="str">
        <x:v>jama.2024.12829</x:v>
      </x:c>
      <x:c r="L13" s="3"/>
      <x:c r="M13" s="3" t="str">
        <x:v>S_W</x:v>
      </x:c>
      <x:c r="N13" s="3" t="str">
        <x:v>Main Table1 gives77 females of249 as30.1% instead of the count-derived30.9%.</x:v>
      </x:c>
      <x:c r="O13" s="3" t="str">
        <x:v>../../2024/jama.2024.12829/.ai_paper_validation/final_report_1_5_3.html</x:v>
      </x:c>
      <x:c r="P13" s="3" t="str">
        <x:v>2024/jama.2024.12829/.ai_paper_validation/final_report_1_5_3.md</x:v>
      </x:c>
      <x:c r="Q13" s="3" t="str">
        <x:v>C001</x:v>
      </x:c>
      <x:c r="R13" s="3" t="str">
        <x:v>Pending Human Adjudication</x:v>
      </x:c>
      <x:c r="S13" s="3" t="str">
        <x:v>The BA female percentage is inconsistent with the printed count and displayed arm denominator under ordinary nearest-one-decimal rounding.</x:v>
      </x:c>
      <x:c r="T13" s="11" t="b">
        <x:v>1</x:v>
      </x:c>
      <x:c r="U13" s="3" t="str">
        <x:v>count_percentage</x:v>
      </x:c>
      <x:c r="V13" s="3" t="str">
        <x:v>statistical_results</x:v>
      </x:c>
      <x:c r="W13" s="3" t="str">
        <x:v>Balloon-angioplasty female percentage does not reconcile with count and denominator</x:v>
      </x:c>
      <x:c r="X13" s="3" t="str">
        <x:v>2024</x:v>
      </x:c>
      <x:c r="Y13" s="3" t="str">
        <x:v>meta_report/consistency_reclassification_2026-09-04/reclassified_candidates.json</x:v>
      </x:c>
      <x:c r="Z13" s="3" t="str">
        <x:v>S_W</x:v>
      </x:c>
      <x:c r="AA13" s="3" t="str">
        <x:v>statistical_results</x:v>
      </x:c>
      <x:c r="AB13" s="3" t="str">
        <x:v>retain</x:v>
      </x:c>
    </x:row>
    <x:row r="14" ht="90" customHeight="1">
      <x:c r="A14" s="12" t="b">
        <x:v>0</x:v>
      </x:c>
      <x:c r="B14" s="6" t="str">
        <x:v>86.3% follows ordinary nearest rounding; an unspecified display convention may explain the difference.</x:v>
      </x:c>
      <x:c r="C14" s="12" t="b">
        <x:v>0</x:v>
      </x:c>
      <x:c r="D14" s="6" t="str">
        <x:v>Denominator, proportion, or total inconsistency</x:v>
      </x:c>
      <x:c r="E14" s="12" t="b">
        <x:v>0</x:v>
      </x:c>
      <x:c r="F14" s="6" t="str">
        <x:v>C002</x:v>
      </x:c>
      <x:c r="G14" s="6" t="str">
        <x:v>2024::jama.2024.12829::C002</x:v>
      </x:c>
      <x:c r="H14" s="6"/>
      <x:c r="I14" s="6" t="str">
        <x:v>DOC-001 Table 1, PDF p. 6; DOC-002 Table S1, PDF p. 14</x:v>
      </x:c>
      <x:c r="J14" s="12" t="b">
        <x:v>0</x:v>
      </x:c>
      <x:c r="K14" s="6" t="str">
        <x:v>jama.2024.12829</x:v>
      </x:c>
      <x:c r="L14" s="6"/>
      <x:c r="M14" s="6" t="str">
        <x:v>S_W</x:v>
      </x:c>
      <x:c r="N14" s="6" t="str">
        <x:v>Main Table1 and results-supplement TableS1 identically repeat215/249 as86.4%; their agreement is not a cross-file inconsistency. Each is an internal rounding candidate.</x:v>
      </x:c>
      <x:c r="O14" s="6" t="str">
        <x:v>../../2024/jama.2024.12829/.ai_paper_validation/final_report_1_5_3.html</x:v>
      </x:c>
      <x:c r="P14" s="6" t="str">
        <x:v>2024/jama.2024.12829/.ai_paper_validation/final_report_1_5_3.md</x:v>
      </x:c>
      <x:c r="Q14" s="6" t="str">
        <x:v>C002</x:v>
      </x:c>
      <x:c r="R14" s="6" t="str">
        <x:v>Pending Human Adjudication</x:v>
      </x:c>
      <x:c r="S14" s="6" t="str">
        <x:v>The repeated BA ischemic-stroke percentage is conditionally inconsistent with ordinary nearest-one-decimal rounding.</x:v>
      </x:c>
      <x:c r="T14" s="12" t="b">
        <x:v>1</x:v>
      </x:c>
      <x:c r="U14" s="6" t="str">
        <x:v>rounding</x:v>
      </x:c>
      <x:c r="V14" s="6" t="str">
        <x:v>statistical_results</x:v>
      </x:c>
      <x:c r="W14" s="6" t="str">
        <x:v>Balloon-angioplasty ischemic-stroke percentage is outside ordinary one-decimal rounding</x:v>
      </x:c>
      <x:c r="X14" s="6" t="str">
        <x:v>2024</x:v>
      </x:c>
      <x:c r="Y14" s="6" t="str">
        <x:v>meta_report/consistency_reclassification_2026-09-04/reclassified_candidates.json</x:v>
      </x:c>
      <x:c r="Z14" s="6" t="str">
        <x:v>S_W</x:v>
      </x:c>
      <x:c r="AA14" s="6" t="str">
        <x:v>statistical_results</x:v>
      </x:c>
      <x:c r="AB14" s="6" t="str">
        <x:v>retain</x:v>
      </x:c>
    </x:row>
    <x:row r="15" ht="90" customHeight="1">
      <x:c r="A15" s="11" t="b">
        <x:v>0</x:v>
      </x:c>
      <x:c r="B15" s="3" t="str">
        <x:v>The explicit241 footnote may fully resolve the header context; retained candidate is not established bad arithmetic.</x:v>
      </x:c>
      <x:c r="C15" s="11" t="b">
        <x:v>0</x:v>
      </x:c>
      <x:c r="D15" s="3" t="str">
        <x:v>Denominator, proportion, or total inconsistency</x:v>
      </x:c>
      <x:c r="E15" s="11" t="b">
        <x:v>0</x:v>
      </x:c>
      <x:c r="F15" s="3" t="str">
        <x:v>C003</x:v>
      </x:c>
      <x:c r="G15" s="3" t="str">
        <x:v>2024::jama.2024.12829::C003</x:v>
      </x:c>
      <x:c r="H15" s="3"/>
      <x:c r="I15" s="3" t="str">
        <x:v>DOC-002 Table S4, PDF p. 17</x:v>
      </x:c>
      <x:c r="J15" s="11" t="b">
        <x:v>0</x:v>
      </x:c>
      <x:c r="K15" s="3" t="str">
        <x:v>jama.2024.12829</x:v>
      </x:c>
      <x:c r="L15" s="3"/>
      <x:c r="M15" s="3" t="str">
        <x:v>S_W</x:v>
      </x:c>
      <x:c r="N15" s="3" t="str">
        <x:v>Results-supplement TableS4 header249 differs from footnoted procedure-applicable241, which reproduces the percentages.</x:v>
      </x:c>
      <x:c r="O15" s="3" t="str">
        <x:v>../../2024/jama.2024.12829/.ai_paper_validation/final_report_1_5_3.html</x:v>
      </x:c>
      <x:c r="P15" s="3" t="str">
        <x:v>2024/jama.2024.12829/.ai_paper_validation/final_report_1_5_3.md</x:v>
      </x:c>
      <x:c r="Q15" s="3" t="str">
        <x:v>C003</x:v>
      </x:c>
      <x:c r="R15" s="3" t="str">
        <x:v>Pending Human Adjudication</x:v>
      </x:c>
      <x:c r="S15" s="3" t="str">
        <x:v>Table S4 raises a denominator-label clarity question because procedure rows use the footnoted 241 participants while the column header states 249.</x:v>
      </x:c>
      <x:c r="T15" s="11" t="b">
        <x:v>1</x:v>
      </x:c>
      <x:c r="U15" s="3" t="str">
        <x:v>denominator_header</x:v>
      </x:c>
      <x:c r="V15" s="3" t="str">
        <x:v>statistical_results</x:v>
      </x:c>
      <x:c r="W15" s="3" t="str">
        <x:v>Table S4 procedure rows use 241 while the column header states 249</x:v>
      </x:c>
      <x:c r="X15" s="3" t="str">
        <x:v>2024</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Unlabelled PPS denominator233 could explain3.9%; it is diagnostic only.</x:v>
      </x:c>
      <x:c r="C16" s="12" t="b">
        <x:v>0</x:v>
      </x:c>
      <x:c r="D16" s="6" t="str">
        <x:v>Denominator, proportion, or total inconsistency</x:v>
      </x:c>
      <x:c r="E16" s="12" t="b">
        <x:v>0</x:v>
      </x:c>
      <x:c r="F16" s="6" t="str">
        <x:v>C004</x:v>
      </x:c>
      <x:c r="G16" s="6" t="str">
        <x:v>2024::jama.2024.12829::C004</x:v>
      </x:c>
      <x:c r="H16" s="6"/>
      <x:c r="I16" s="6" t="str">
        <x:v>DOC-002 Table S6, PDF p. 19</x:v>
      </x:c>
      <x:c r="J16" s="12" t="b">
        <x:v>0</x:v>
      </x:c>
      <x:c r="K16" s="6" t="str">
        <x:v>jama.2024.12829</x:v>
      </x:c>
      <x:c r="L16" s="6"/>
      <x:c r="M16" s="6" t="str">
        <x:v>S_W</x:v>
      </x:c>
      <x:c r="N16" s="6" t="str">
        <x:v>Results-supplement TableS6 gives9(3.9) under249;9/249 rounds3.6%. This percentage/header issue is separate from C016's9-versus11 event-count comparison.</x:v>
      </x:c>
      <x:c r="O16" s="6" t="str">
        <x:v>../../2024/jama.2024.12829/.ai_paper_validation/final_report_1_5_3.html</x:v>
      </x:c>
      <x:c r="P16" s="6" t="str">
        <x:v>2024/jama.2024.12829/.ai_paper_validation/final_report_1_5_3.md</x:v>
      </x:c>
      <x:c r="Q16" s="6" t="str">
        <x:v>C004</x:v>
      </x:c>
      <x:c r="R16" s="6" t="str">
        <x:v>Pending Human Adjudication</x:v>
      </x:c>
      <x:c r="S16" s="6" t="str">
        <x:v>The Table S6 BA percentage does not reconcile with its displayed n=249 under ordinary rounding.</x:v>
      </x:c>
      <x:c r="T16" s="12" t="b">
        <x:v>1</x:v>
      </x:c>
      <x:c r="U16" s="6" t="str">
        <x:v>count_percentage</x:v>
      </x:c>
      <x:c r="V16" s="6" t="str">
        <x:v>statistical_results</x:v>
      </x:c>
      <x:c r="W16" s="6" t="str">
        <x:v>Table S6 BA 9 (3.9) conflicts with its displayed denominator 249</x:v>
      </x:c>
      <x:c r="X16" s="6" t="str">
        <x:v>2024</x:v>
      </x:c>
      <x:c r="Y16" s="6" t="str">
        <x:v>meta_report/consistency_reclassification_2026-09-04/reclassified_candidates.json</x:v>
      </x:c>
      <x:c r="Z16" s="6" t="str">
        <x:v>S_W</x:v>
      </x:c>
      <x:c r="AA16" s="6" t="str">
        <x:v>statistical_results</x:v>
      </x:c>
      <x:c r="AB16" s="6" t="str">
        <x:v>retain</x:v>
      </x:c>
    </x:row>
    <x:row r="17" ht="90" customHeight="1">
      <x:c r="A17" s="11" t="b">
        <x:v>0</x:v>
      </x:c>
      <x:c r="B17" s="3" t="str">
        <x:v>Main flow context is corroborative; no specific contradictory main result is the target.</x:v>
      </x:c>
      <x:c r="C17" s="11" t="b">
        <x:v>0</x:v>
      </x:c>
      <x:c r="D17" s="3" t="str">
        <x:v>Denominator, proportion, or total inconsistency</x:v>
      </x:c>
      <x:c r="E17" s="11" t="b">
        <x:v>0</x:v>
      </x:c>
      <x:c r="F17" s="3" t="str">
        <x:v>C005</x:v>
      </x:c>
      <x:c r="G17" s="3" t="str">
        <x:v>2024::jama.2024.12829::C005</x:v>
      </x:c>
      <x:c r="H17" s="3"/>
      <x:c r="I17" s="3" t="str">
        <x:v>DOC-002 Table S7, PDF p. 20; DOC-001 Figure 1, PDF p. 5; DOC-002 Table S10, PDF p. 23</x:v>
      </x:c>
      <x:c r="J17" s="11" t="b">
        <x:v>0</x:v>
      </x:c>
      <x:c r="K17" s="3" t="str">
        <x:v>jama.2024.12829</x:v>
      </x:c>
      <x:c r="L17" s="3"/>
      <x:c r="M17" s="3" t="str">
        <x:v>S_W</x:v>
      </x:c>
      <x:c r="N17" s="3" t="str">
        <x:v>Within results-supplement TableS7, headers233/238 total471 while site totals sum501 and cell percentages imply other denominators. Main Figure1 provides contextual population totals.</x:v>
      </x:c>
      <x:c r="O17" s="3" t="str">
        <x:v>../../2024/jama.2024.12829/.ai_paper_validation/final_report_1_5_3.html</x:v>
      </x:c>
      <x:c r="P17" s="3" t="str">
        <x:v>2024/jama.2024.12829/.ai_paper_validation/final_report_1_5_3.md</x:v>
      </x:c>
      <x:c r="Q17" s="3" t="str">
        <x:v>C005</x:v>
      </x:c>
      <x:c r="R17" s="3" t="str">
        <x:v>Pending Human Adjudication</x:v>
      </x:c>
      <x:c r="S17" s="3" t="str">
        <x:v>Table S7's group headers, site totals, and displayed site percentages do not all describe one disclosed population.</x:v>
      </x:c>
      <x:c r="T17" s="11" t="b">
        <x:v>1</x:v>
      </x:c>
      <x:c r="U17" s="3" t="str">
        <x:v>denominator_population</x:v>
      </x:c>
      <x:c r="V17" s="3" t="str">
        <x:v>statistical_results</x:v>
      </x:c>
      <x:c r="W17" s="3" t="str">
        <x:v>Table S7 group headers conflict with site totals and displayed site percentages</x:v>
      </x:c>
      <x:c r="X17" s="3" t="str">
        <x:v>2024</x:v>
      </x:c>
      <x:c r="Y17" s="3" t="str">
        <x:v>meta_report/consistency_reclassification_2026-09-04/reclassified_candidates.json</x:v>
      </x:c>
      <x:c r="Z17" s="3" t="str">
        <x:v>S_W</x:v>
      </x:c>
      <x:c r="AA17" s="3" t="str">
        <x:v>statistical_results</x:v>
      </x:c>
      <x:c r="AB17" s="3" t="str">
        <x:v>retain</x:v>
      </x:c>
    </x:row>
    <x:row r="18" ht="90" customHeight="1">
      <x:c r="A18" s="12" t="b">
        <x:v>0</x:v>
      </x:c>
      <x:c r="B18" s="6" t="str">
        <x:v>Per-protocol denotes an analysis set, not a protocol document; main population totals corroborate the internal supplement mismatch.</x:v>
      </x:c>
      <x:c r="C18" s="12" t="b">
        <x:v>0</x:v>
      </x:c>
      <x:c r="D18" s="6" t="str">
        <x:v>Denominator, proportion, or total inconsistency</x:v>
      </x:c>
      <x:c r="E18" s="12" t="b">
        <x:v>0</x:v>
      </x:c>
      <x:c r="F18" s="6" t="str">
        <x:v>C006</x:v>
      </x:c>
      <x:c r="G18" s="6" t="str">
        <x:v>2024::jama.2024.12829::C006</x:v>
      </x:c>
      <x:c r="H18" s="6"/>
      <x:c r="I18" s="6" t="str">
        <x:v>DOC-002 Table S8, PDF p. 21; DOC-001 Figure 1, PDF p. 5; DOC-002 Table S10, PDF p. 23</x:v>
      </x:c>
      <x:c r="J18" s="12" t="b">
        <x:v>0</x:v>
      </x:c>
      <x:c r="K18" s="6" t="str">
        <x:v>jama.2024.12829</x:v>
      </x:c>
      <x:c r="L18" s="6"/>
      <x:c r="M18" s="6" t="str">
        <x:v>S_W</x:v>
      </x:c>
      <x:c r="N18" s="6" t="str">
        <x:v>Results-supplement TableS8 is labelled PPS but headers249/252 conflict with its percentages and same-supplement TableS10 PPS totals233/238. Main Figure1 corroborates those PPS totals.</x:v>
      </x:c>
      <x:c r="O18" s="6" t="str">
        <x:v>../../2024/jama.2024.12829/.ai_paper_validation/final_report_1_5_3.html</x:v>
      </x:c>
      <x:c r="P18" s="6" t="str">
        <x:v>2024/jama.2024.12829/.ai_paper_validation/final_report_1_5_3.md</x:v>
      </x:c>
      <x:c r="Q18" s="6" t="str">
        <x:v>C006</x:v>
      </x:c>
      <x:c r="R18" s="6" t="str">
        <x:v>Pending Human Adjudication</x:v>
      </x:c>
      <x:c r="S18" s="6" t="str">
        <x:v>Table S8 is labelled PPS but its printed headers conflict with the denominators that reproduce its percentages.</x:v>
      </x:c>
      <x:c r="T18" s="12" t="b">
        <x:v>1</x:v>
      </x:c>
      <x:c r="U18" s="6" t="str">
        <x:v>denominator_population</x:v>
      </x:c>
      <x:c r="V18" s="6" t="str">
        <x:v>statistical_results</x:v>
      </x:c>
      <x:c r="W18" s="6" t="str">
        <x:v>Table S8 per-protocol percentages conflict with headers 249/252</x:v>
      </x:c>
      <x:c r="X18" s="6" t="str">
        <x:v>2024</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Separate from C014's cell percentage, which fails even under the ATS denominator.</x:v>
      </x:c>
      <x:c r="C19" s="11" t="b">
        <x:v>0</x:v>
      </x:c>
      <x:c r="D19" s="3" t="str">
        <x:v>Denominator, proportion, or total inconsistency</x:v>
      </x:c>
      <x:c r="E19" s="11" t="b">
        <x:v>0</x:v>
      </x:c>
      <x:c r="F19" s="3" t="str">
        <x:v>C007</x:v>
      </x:c>
      <x:c r="G19" s="3" t="str">
        <x:v>2024::jama.2024.12829::C007</x:v>
      </x:c>
      <x:c r="H19" s="3"/>
      <x:c r="I19" s="3" t="str">
        <x:v>DOC-002 Table S9, PDF p. 22; DOC-002 Table S10, PDF p. 23</x:v>
      </x:c>
      <x:c r="J19" s="11" t="b">
        <x:v>0</x:v>
      </x:c>
      <x:c r="K19" s="3" t="str">
        <x:v>jama.2024.12829</x:v>
      </x:c>
      <x:c r="L19" s="3"/>
      <x:c r="M19" s="3" t="str">
        <x:v>S_W</x:v>
      </x:c>
      <x:c r="N19" s="3" t="str">
        <x:v>ATS TableS9 headers249/252 conflict with percentages reproduced by same-supplement TableS10 ATS totals247/254.</x:v>
      </x:c>
      <x:c r="O19" s="3" t="str">
        <x:v>../../2024/jama.2024.12829/.ai_paper_validation/final_report_1_5_3.html</x:v>
      </x:c>
      <x:c r="P19" s="3" t="str">
        <x:v>2024/jama.2024.12829/.ai_paper_validation/final_report_1_5_3.md</x:v>
      </x:c>
      <x:c r="Q19" s="3" t="str">
        <x:v>C007</x:v>
      </x:c>
      <x:c r="R19" s="3" t="str">
        <x:v>Pending Human Adjudication</x:v>
      </x:c>
      <x:c r="S19" s="3" t="str">
        <x:v>Table S9 is labelled ATS but its printed headers conflict with the denominators that reproduce its primary percentages.</x:v>
      </x:c>
      <x:c r="T19" s="11" t="b">
        <x:v>1</x:v>
      </x:c>
      <x:c r="U19" s="3" t="str">
        <x:v>denominator_population</x:v>
      </x:c>
      <x:c r="V19" s="3" t="str">
        <x:v>statistical_results</x:v>
      </x:c>
      <x:c r="W19" s="3" t="str">
        <x:v>Table S9 as-treated percentages conflict with headers 249/252</x:v>
      </x:c>
      <x:c r="X19" s="3" t="str">
        <x:v>2024</x:v>
      </x:c>
      <x:c r="Y19" s="3" t="str">
        <x:v>meta_report/consistency_reclassification_2026-09-04/reclassified_candidates.json</x:v>
      </x:c>
      <x:c r="Z19" s="3" t="str">
        <x:v>S_W</x:v>
      </x:c>
      <x:c r="AA19" s="3" t="str">
        <x:v>statistical_results</x:v>
      </x:c>
      <x:c r="AB19" s="3" t="str">
        <x:v>retain</x:v>
      </x:c>
    </x:row>
    <x:row r="20" ht="90" customHeight="1">
      <x:c r="A20" s="12" t="b">
        <x:v>0</x:v>
      </x:c>
      <x:c r="B20" s="6" t="str">
        <x:v>Measurement time/reader identity is unresolved; mention of possible protocol deviations does not make this a protocol-document comparison.</x:v>
      </x:c>
      <x:c r="C20" s="12" t="b">
        <x:v>0</x:v>
      </x:c>
      <x:c r="D20" s="6" t="str">
        <x:v>Analysis-unit or population inconsistency</x:v>
      </x:c>
      <x:c r="E20" s="12" t="b">
        <x:v>0</x:v>
      </x:c>
      <x:c r="F20" s="6" t="str">
        <x:v>C008</x:v>
      </x:c>
      <x:c r="G20" s="6" t="str">
        <x:v>2024::jama.2024.12829::C008</x:v>
      </x:c>
      <x:c r="H20" s="6"/>
      <x:c r="I20" s="6" t="str">
        <x:v>DOC-001 eligibility, PDF p. 2; DOC-001 Figure 1, PDF p. 5; DOC-001 Table 1, PDF p. 6</x:v>
      </x:c>
      <x:c r="J20" s="12" t="b">
        <x:v>0</x:v>
      </x:c>
      <x:c r="K20" s="6" t="str">
        <x:v>jama.2024.12829</x:v>
      </x:c>
      <x:c r="L20" s="6"/>
      <x:c r="M20" s="6" t="str">
        <x:v>S_W</x:v>
      </x:c>
      <x:c r="N20" s="6" t="str">
        <x:v>Main eligibility text specifies70%-99% stenosis while its Table1 includes four participants in60%-69% or100% categories.</x:v>
      </x:c>
      <x:c r="O20" s="6" t="str">
        <x:v>../../2024/jama.2024.12829/.ai_paper_validation/final_report_1_5_3.html</x:v>
      </x:c>
      <x:c r="P20" s="6" t="str">
        <x:v>2024/jama.2024.12829/.ai_paper_validation/final_report_1_5_3.md</x:v>
      </x:c>
      <x:c r="Q20" s="6" t="str">
        <x:v>C008</x:v>
      </x:c>
      <x:c r="R20" s="6" t="str">
        <x:v>Pending Human Adjudication</x:v>
      </x:c>
      <x:c r="S20" s="6" t="str">
        <x:v>A cross-location threshold/category mismatch is present between the stated eligibility interval and four Table 1 baseline categories; measurement identity is unresolved.</x:v>
      </x:c>
      <x:c r="T20" s="12" t="b">
        <x:v>1</x:v>
      </x:c>
      <x:c r="U20" s="6" t="str">
        <x:v>eligibility_distribution</x:v>
      </x:c>
      <x:c r="V20" s="6" t="str">
        <x:v>statistical_results</x:v>
      </x:c>
      <x:c r="W20" s="6" t="str">
        <x:v>Baseline stenosis categories include values outside the stated 70%-99% eligibility range</x:v>
      </x:c>
      <x:c r="X20" s="6" t="str">
        <x:v>2024</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Mixed results-supplement versus plan and main-versus-supplement discrepancy; a tighter operational contact window is possible but undefined.</x:v>
      </x:c>
      <x:c r="C21" s="11" t="b">
        <x:v>1</x:v>
      </x:c>
      <x:c r="D21" s="3" t="str">
        <x:v>Measure, label, or scale inconsistency</x:v>
      </x:c>
      <x:c r="E21" s="11" t="b">
        <x:v>1</x:v>
      </x:c>
      <x:c r="F21" s="3" t="str">
        <x:v>C009</x:v>
      </x:c>
      <x:c r="G21" s="3" t="str">
        <x:v>2024::jama.2024.12829::C009</x:v>
      </x:c>
      <x:c r="H21" s="3"/>
      <x:c r="I21" s="3" t="str">
        <x:v>DOC-002 study-design graphic, PDF p. 6; DOC-001 schedule, PDF p. 3; DOC-003 schedule, PDF p. 15</x:v>
      </x:c>
      <x:c r="J21" s="11" t="b">
        <x:v>0</x:v>
      </x:c>
      <x:c r="K21" s="3" t="str">
        <x:v>jama.2024.12829</x:v>
      </x:c>
      <x:c r="L21" s="3" t="str">
        <x:v>endpoint_definition_window_hierarchy</x:v>
      </x:c>
      <x:c r="M21" s="3" t="str">
        <x:v>P_R</x:v>
      </x:c>
      <x:c r="N21" s="3" t="str">
        <x:v>Non-plan study-design graphic says30±3days, whereas main schedule and supplied protocol schedule say30±7days for the matched visit.</x:v>
      </x:c>
      <x:c r="O21" s="3" t="str">
        <x:v>../../2024/jama.2024.12829/.ai_paper_validation/final_report_1_5_3.html</x:v>
      </x:c>
      <x:c r="P21" s="3" t="str">
        <x:v>2024/jama.2024.12829/.ai_paper_validation/final_report_1_5_3.md</x:v>
      </x:c>
      <x:c r="Q21" s="3" t="str">
        <x:v>C009</x:v>
      </x:c>
      <x:c r="R21" s="3" t="str">
        <x:v>Pending Human Adjudication</x:v>
      </x:c>
      <x:c r="S21" s="3" t="str">
        <x:v>The matched 30-day follow-up is labelled ±3 days in one supplied location and ±7 days in two others.</x:v>
      </x:c>
      <x:c r="T21" s="11" t="b">
        <x:v>1</x:v>
      </x:c>
      <x:c r="U21" s="3" t="str">
        <x:v>visit_window</x:v>
      </x:c>
      <x:c r="V21" s="3" t="str">
        <x:v>protocol_report</x:v>
      </x:c>
      <x:c r="W21" s="3" t="str">
        <x:v>Thirty-day follow-up tolerance is plus or minus 3 days in the supplement but plus or minus 7 days elsewhere</x:v>
      </x:c>
      <x:c r="X21" s="3" t="str">
        <x:v>2024</x:v>
      </x:c>
      <x:c r="Y21" s="3" t="str">
        <x:v>meta_report/consistency_reclassification_2026-09-04/reclassified_candidates.json</x:v>
      </x:c>
      <x:c r="Z21" s="3" t="str">
        <x:v>P_R</x:v>
      </x:c>
      <x:c r="AA21" s="3" t="str">
        <x:v>protocol_report</x:v>
      </x:c>
      <x:c r="AB21" s="3" t="str">
        <x:v>retain</x:v>
      </x:c>
    </x:row>
    <x:row r="22" ht="90" customHeight="1">
      <x:c r="A22" s="12" t="b">
        <x:v>0</x:v>
      </x:c>
      <x:c r="B22" s="6" t="str">
        <x:v>Same-version discrepancy; possible stale synopsis or unmarked amendment, not report-versus-plan.</x:v>
      </x:c>
      <x:c r="C22" s="12" t="b">
        <x:v>1</x:v>
      </x:c>
      <x:c r="D22" s="6" t="str">
        <x:v>Measure, label, or scale inconsistency</x:v>
      </x:c>
      <x:c r="E22" s="12" t="b">
        <x:v>0</x:v>
      </x:c>
      <x:c r="F22" s="6" t="str">
        <x:v>C010</x:v>
      </x:c>
      <x:c r="G22" s="6" t="str">
        <x:v>2024::jama.2024.12829::C010</x:v>
      </x:c>
      <x:c r="H22" s="6"/>
      <x:c r="I22" s="6" t="str">
        <x:v>DOC-003 synopsis, PDF p. 7; DOC-003 body eligibility, PDF p. 21</x:v>
      </x:c>
      <x:c r="J22" s="12" t="b">
        <x:v>0</x:v>
      </x:c>
      <x:c r="K22" s="6" t="str">
        <x:v>jama.2024.12829</x:v>
      </x:c>
      <x:c r="L22" s="6"/>
      <x:c r="M22" s="6" t="str">
        <x:v>P_P</x:v>
      </x:c>
      <x:c r="N22" s="6" t="str">
        <x:v>Within ProtocolV2.0, synopsis says ischemic stroke21-90days and body criterion says14-90days.</x:v>
      </x:c>
      <x:c r="O22" s="6" t="str">
        <x:v>../../2024/jama.2024.12829/.ai_paper_validation/final_report_1_5_3.html</x:v>
      </x:c>
      <x:c r="P22" s="6" t="str">
        <x:v>2024/jama.2024.12829/.ai_paper_validation/final_report_1_5_3.md</x:v>
      </x:c>
      <x:c r="Q22" s="6" t="str">
        <x:v>C010</x:v>
      </x:c>
      <x:c r="R22" s="6" t="str">
        <x:v>Pending Human Adjudication</x:v>
      </x:c>
      <x:c r="S22" s="6" t="str">
        <x:v>Protocol V2.0 prints two different lower bounds for the matched ischemic-stroke eligibility criterion.</x:v>
      </x:c>
      <x:c r="T22" s="12" t="b">
        <x:v>0</x:v>
      </x:c>
      <x:c r="U22" s="6" t="str">
        <x:v>eligibility_window</x:v>
      </x:c>
      <x:c r="V22" s="6" t="str">
        <x:v>plan_material</x:v>
      </x:c>
      <x:c r="W22" s="6" t="str">
        <x:v>Protocol V2.0 gives 21-day and 14-day lower bounds for the same stroke criterion</x:v>
      </x:c>
      <x:c r="X22" s="6" t="str">
        <x:v>2024</x:v>
      </x:c>
      <x:c r="Y22" s="6" t="str">
        <x:v>meta_report/consistency_reclassification_2026-09-04/reclassified_candidates.json</x:v>
      </x:c>
      <x:c r="Z22" s="6" t="str">
        <x:v>P_P</x:v>
      </x:c>
      <x:c r="AA22" s="6" t="str">
        <x:v>plan_material</x:v>
      </x:c>
      <x:c r="AB22" s="6" t="str">
        <x:v>retain</x:v>
      </x:c>
    </x:row>
    <x:row r="23" ht="90" customHeight="1">
      <x:c r="A23" s="11" t="b">
        <x:v>0</x:v>
      </x:c>
      <x:c r="B23" s="3" t="str">
        <x:v>Truncation could explain the display; evaluated denominator is not supplied.</x:v>
      </x:c>
      <x:c r="C23" s="11" t="b">
        <x:v>0</x:v>
      </x:c>
      <x:c r="D23" s="3" t="str">
        <x:v>Denominator, proportion, or total inconsistency</x:v>
      </x:c>
      <x:c r="E23" s="11" t="b">
        <x:v>0</x:v>
      </x:c>
      <x:c r="F23" s="3" t="str">
        <x:v>C011</x:v>
      </x:c>
      <x:c r="G23" s="3" t="str">
        <x:v>2024::jama.2024.12829::C011</x:v>
      </x:c>
      <x:c r="H23" s="3"/>
      <x:c r="I23" s="3" t="str">
        <x:v>DOC-002 Table S3, PDF p. 16</x:v>
      </x:c>
      <x:c r="J23" s="11" t="b">
        <x:v>0</x:v>
      </x:c>
      <x:c r="K23" s="3" t="str">
        <x:v>jama.2024.12829</x:v>
      </x:c>
      <x:c r="L23" s="3"/>
      <x:c r="M23" s="3" t="str">
        <x:v>S_W</x:v>
      </x:c>
      <x:c r="N23" s="3" t="str">
        <x:v>Results-supplement TableS3 gives234/249 as93.9% while ordinary nearest rounding gives94.0%.</x:v>
      </x:c>
      <x:c r="O23" s="3" t="str">
        <x:v>../../2024/jama.2024.12829/.ai_paper_validation/final_report_1_5_3.html</x:v>
      </x:c>
      <x:c r="P23" s="3" t="str">
        <x:v>2024/jama.2024.12829/.ai_paper_validation/final_report_1_5_3.md</x:v>
      </x:c>
      <x:c r="Q23" s="3" t="str">
        <x:v>C011</x:v>
      </x:c>
      <x:c r="R23" s="3" t="str">
        <x:v>Pending Human Adjudication</x:v>
      </x:c>
      <x:c r="S23" s="3" t="str">
        <x:v>The BA three-month aspirin percentage is inconsistent with the displayed arm denominator under ordinary nearest-one-decimal rounding.</x:v>
      </x:c>
      <x:c r="T23" s="11" t="b">
        <x:v>1</x:v>
      </x:c>
      <x:c r="U23" s="3" t="str">
        <x:v>rounding</x:v>
      </x:c>
      <x:c r="V23" s="3" t="str">
        <x:v>statistical_results</x:v>
      </x:c>
      <x:c r="W23" s="3" t="str">
        <x:v>BA 3-month aspirin percentage does not reconcile with count and displayed arm denominator</x:v>
      </x:c>
      <x:c r="X23" s="3" t="str">
        <x:v>2024</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repeated review-cycle convention is possible but unstated.</x:v>
      </x:c>
      <x:c r="C24" s="12" t="b">
        <x:v>0</x:v>
      </x:c>
      <x:c r="D24" s="6" t="str">
        <x:v>Measure, label, or scale inconsistency</x:v>
      </x:c>
      <x:c r="E24" s="12" t="b">
        <x:v>0</x:v>
      </x:c>
      <x:c r="F24" s="6" t="str">
        <x:v>C012</x:v>
      </x:c>
      <x:c r="G24" s="6" t="str">
        <x:v>2024::jama.2024.12829::C012</x:v>
      </x:c>
      <x:c r="H24" s="6"/>
      <x:c r="I24" s="6" t="str">
        <x:v>DOC-002 Figure S1, PDF p. 10</x:v>
      </x:c>
      <x:c r="J24" s="12" t="b">
        <x:v>0</x:v>
      </x:c>
      <x:c r="K24" s="6" t="str">
        <x:v>jama.2024.12829</x:v>
      </x:c>
      <x:c r="L24" s="6"/>
      <x:c r="M24" s="6" t="str">
        <x:v>S_W</x:v>
      </x:c>
      <x:c r="N24" s="6" t="str">
        <x:v>Non-plan FigureS1 repeats2nd meeting for three distinct dates within its own chronology.</x:v>
      </x:c>
      <x:c r="O24" s="6" t="str">
        <x:v>../../2024/jama.2024.12829/.ai_paper_validation/final_report_1_5_3.html</x:v>
      </x:c>
      <x:c r="P24" s="6" t="str">
        <x:v>2024/jama.2024.12829/.ai_paper_validation/final_report_1_5_3.md</x:v>
      </x:c>
      <x:c r="Q24" s="6" t="str">
        <x:v>C012</x:v>
      </x:c>
      <x:c r="R24" s="6" t="str">
        <x:v>Pending Human Adjudication</x:v>
      </x:c>
      <x:c r="S24" s="6" t="str">
        <x:v>Figure S1 repeats the ordinal 2nd meeting for three different dates within the displayed review process.</x:v>
      </x:c>
      <x:c r="T24" s="12" t="b">
        <x:v>1</x:v>
      </x:c>
      <x:c r="U24" s="6" t="str">
        <x:v>timeline_ordinal</x:v>
      </x:c>
      <x:c r="V24" s="6" t="str">
        <x:v>report_internal_inconsistency</x:v>
      </x:c>
      <x:c r="W24" s="6" t="str">
        <x:v>Figure S1 repeats “2nd meeting” for three chronologically distinct meetings</x:v>
      </x:c>
      <x:c r="X24" s="6" t="str">
        <x:v>2024</x:v>
      </x:c>
      <x:c r="Y24" s="6" t="str">
        <x:v>meta_report/consistency_reclassification_2026-09-04/reclassified_candidates.json</x:v>
      </x:c>
      <x:c r="Z24" s="6" t="str">
        <x:v>S_W</x:v>
      </x:c>
      <x:c r="AA24" s="6" t="str">
        <x:v>report_internal_inconsistency</x:v>
      </x:c>
      <x:c r="AB24" s="6" t="str">
        <x:v>retain</x:v>
      </x:c>
    </x:row>
    <x:row r="25" ht="90" customHeight="1">
      <x:c r="A25" s="11" t="b">
        <x:v>0</x:v>
      </x:c>
      <x:c r="B25" s="3" t="str">
        <x:v>The sentence may specify face-to-face subset9/11 rather than six successive visits; two versioned repetitions remain one retained candidate.</x:v>
      </x:c>
      <x:c r="C25" s="11" t="b">
        <x:v>1</x:v>
      </x:c>
      <x:c r="D25" s="3" t="str">
        <x:v>Measure, label, or scale inconsistency</x:v>
      </x:c>
      <x:c r="E25" s="11" t="b">
        <x:v>0</x:v>
      </x:c>
      <x:c r="F25" s="3" t="str">
        <x:v>C013</x:v>
      </x:c>
      <x:c r="G25" s="3" t="str">
        <x:v>2024::jama.2024.12829::C013</x:v>
      </x:c>
      <x:c r="H25" s="3"/>
      <x:c r="I25" s="3" t="str">
        <x:v>DOC-003 Protocol V2.0 paragraph, PDF p. 35; DOC-003 Protocol V2.3 paragraph, PDF p. 96; DOC-003 schedule, PDF p. 15</x:v>
      </x:c>
      <x:c r="J25" s="11" t="b">
        <x:v>0</x:v>
      </x:c>
      <x:c r="K25" s="3" t="str">
        <x:v>jama.2024.12829</x:v>
      </x:c>
      <x:c r="L25" s="3"/>
      <x:c r="M25" s="3" t="str">
        <x:v>P_P</x:v>
      </x:c>
      <x:c r="N25" s="3" t="str">
        <x:v>The same protocol bundle repeats visit9 and11 in a six-token sentence in bothV2.0 andV2.3, against its four-visit8-11 schedule.</x:v>
      </x:c>
      <x:c r="O25" s="3" t="str">
        <x:v>../../2024/jama.2024.12829/.ai_paper_validation/final_report_1_5_3.html</x:v>
      </x:c>
      <x:c r="P25" s="3" t="str">
        <x:v>2024/jama.2024.12829/.ai_paper_validation/final_report_1_5_3.md</x:v>
      </x:c>
      <x:c r="Q25" s="3" t="str">
        <x:v>C013</x:v>
      </x:c>
      <x:c r="R25" s="3" t="str">
        <x:v>Pending Human Adjudication</x:v>
      </x:c>
      <x:c r="S25" s="3" t="str">
        <x:v>The identical recurring-visit sentence is ambiguous between a four-visit sequence with a face-to-face subset and a six-token sequence because it repeats visits 9 and 11.</x:v>
      </x:c>
      <x:c r="T25" s="11" t="b">
        <x:v>0</x:v>
      </x:c>
      <x:c r="U25" s="3" t="str">
        <x:v>visit_sequence</x:v>
      </x:c>
      <x:c r="V25" s="3" t="str">
        <x:v>plan_material</x:v>
      </x:c>
      <x:c r="W25" s="3" t="str">
        <x:v>Recurring-visit sentence ambiguously repeats visit numbers 9 and 11</x:v>
      </x:c>
      <x:c r="X25" s="3" t="str">
        <x:v>2024</x:v>
      </x:c>
      <x:c r="Y25" s="3" t="str">
        <x:v>meta_report/consistency_reclassification_2026-09-04/reclassified_candidates.json</x:v>
      </x:c>
      <x:c r="Z25" s="3" t="str">
        <x:v>P_P</x:v>
      </x:c>
      <x:c r="AA25" s="3" t="str">
        <x:v>plan_material</x:v>
      </x:c>
      <x:c r="AB25" s="3" t="str">
        <x:v>retain</x:v>
      </x:c>
    </x:row>
    <x:row r="26" ht="90" customHeight="1">
      <x:c r="A26" s="12" t="b">
        <x:v>0</x:v>
      </x:c>
      <x:c r="B26" s="6" t="str">
        <x:v>Distinct from C007: changing the ATS header alone does not resolve this cell.</x:v>
      </x:c>
      <x:c r="C26" s="12" t="b">
        <x:v>0</x:v>
      </x:c>
      <x:c r="D26" s="6" t="str">
        <x:v>Numeric or arithmetic inconsistency</x:v>
      </x:c>
      <x:c r="E26" s="12" t="b">
        <x:v>0</x:v>
      </x:c>
      <x:c r="F26" s="6" t="str">
        <x:v>C014</x:v>
      </x:c>
      <x:c r="G26" s="6" t="str">
        <x:v>2024::jama.2024.12829::C014</x:v>
      </x:c>
      <x:c r="H26" s="6"/>
      <x:c r="I26" s="6" t="str">
        <x:v>DOC-002 Table S9, PDF p. 22; DOC-002 Table S10, PDF p. 23</x:v>
      </x:c>
      <x:c r="J26" s="12" t="b">
        <x:v>0</x:v>
      </x:c>
      <x:c r="K26" s="6" t="str">
        <x:v>jama.2024.12829</x:v>
      </x:c>
      <x:c r="L26" s="6"/>
      <x:c r="M26" s="6" t="str">
        <x:v>S_W</x:v>
      </x:c>
      <x:c r="N26" s="6" t="str">
        <x:v>Results-supplement TableS9 gives8(3.3), but both displayed249 and same-supplement ATS247 denominators produce3.2%.</x:v>
      </x:c>
      <x:c r="O26" s="6" t="str">
        <x:v>../../2024/jama.2024.12829/.ai_paper_validation/final_report_1_5_3.html</x:v>
      </x:c>
      <x:c r="P26" s="6" t="str">
        <x:v>2024/jama.2024.12829/.ai_paper_validation/final_report_1_5_3.md</x:v>
      </x:c>
      <x:c r="Q26" s="6" t="str">
        <x:v>C014</x:v>
      </x:c>
      <x:c r="R26" s="6" t="str">
        <x:v>Pending Human Adjudication</x:v>
      </x:c>
      <x:c r="S26" s="6" t="str">
        <x:v>The Table S9 BA 8 (3.3) cell does not round to 3.3% from either the displayed or supplied ATS denominator.</x:v>
      </x:c>
      <x:c r="T26" s="12" t="b">
        <x:v>1</x:v>
      </x:c>
      <x:c r="U26" s="6" t="str">
        <x:v>rounding</x:v>
      </x:c>
      <x:c r="V26" s="6" t="str">
        <x:v>statistical_results</x:v>
      </x:c>
      <x:c r="W26" s="6" t="str">
        <x:v>Table S9 BA 8 (3.3) does not round from either supplied ATS or displayed denominator</x:v>
      </x:c>
      <x:c r="X26" s="6" t="str">
        <x:v>2024</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Original cross-document category actually describes two locations in one article; dual reason coding remains possible.</x:v>
      </x:c>
      <x:c r="C27" s="11" t="b">
        <x:v>0</x:v>
      </x:c>
      <x:c r="D27" s="3" t="str">
        <x:v>Cross-document numeric inconsistency</x:v>
      </x:c>
      <x:c r="E27" s="11" t="b">
        <x:v>0</x:v>
      </x:c>
      <x:c r="F27" s="3" t="str">
        <x:v>C015</x:v>
      </x:c>
      <x:c r="G27" s="3" t="str">
        <x:v>2024::jama.2024.12829::C015</x:v>
      </x:c>
      <x:c r="H27" s="3"/>
      <x:c r="I27" s="3" t="str">
        <x:v>DOC-001 narrative, PDF p. 4; DOC-001 Figure 1, PDF p. 5</x:v>
      </x:c>
      <x:c r="J27" s="11" t="b">
        <x:v>1</x:v>
      </x:c>
      <x:c r="K27" s="3" t="str">
        <x:v>jama.2024.12829</x:v>
      </x:c>
      <x:c r="L27" s="3"/>
      <x:c r="M27" s="3" t="str">
        <x:v>S_W</x:v>
      </x:c>
      <x:c r="N27" s="3" t="str">
        <x:v>Main narrative attributes all11 exclusions to consent withdrawal; its Figure1 assigns10 to withdrawal and1 to erroneous randomization.</x:v>
      </x:c>
      <x:c r="O27" s="3" t="str">
        <x:v>../../2024/jama.2024.12829/.ai_paper_validation/final_report_1_5_3.html</x:v>
      </x:c>
      <x:c r="P27" s="3" t="str">
        <x:v>2024/jama.2024.12829/.ai_paper_validation/final_report_1_5_3.md</x:v>
      </x:c>
      <x:c r="Q27" s="3" t="str">
        <x:v>C015</x:v>
      </x:c>
      <x:c r="R27" s="3" t="str">
        <x:v>Pending Human Adjudication</x:v>
      </x:c>
      <x:c r="S27" s="3" t="str">
        <x:v>The narrative and Figure 1 reconcile to the same total removals but assign different reason categories to the 11 pre-analysis exclusions.</x:v>
      </x:c>
      <x:c r="T27" s="11" t="b">
        <x:v>1</x:v>
      </x:c>
      <x:c r="U27" s="3" t="str">
        <x:v>flow_reason_category</x:v>
      </x:c>
      <x:c r="V27" s="3" t="str">
        <x:v>report_internal_inconsistency</x:v>
      </x:c>
      <x:c r="W27" s="3" t="str">
        <x:v>Narrative assigns all 11 pre-analysis exclusions to consent withdrawal while Figure 1 assigns only 10</x:v>
      </x:c>
      <x:c r="X27" s="3" t="str">
        <x:v>2024</x:v>
      </x:c>
      <x:c r="Y27" s="3" t="str">
        <x:v>meta_report/consistency_reclassification_2026-09-04/reclassified_candidates.json</x:v>
      </x:c>
      <x:c r="Z27" s="3" t="str">
        <x:v>S_W</x:v>
      </x:c>
      <x:c r="AA27" s="3" t="str">
        <x:v>report_internal_inconsistency</x:v>
      </x:c>
      <x:c r="AB27" s="3" t="str">
        <x:v>retain</x:v>
      </x:c>
    </x:row>
    <x:row r="28" ht="90" customHeight="1">
      <x:c r="A28" s="12" t="b">
        <x:v>0</x:v>
      </x:c>
      <x:c r="B28" s="6" t="str">
        <x:v>Different from C004's arithmetic defect; unknown endpoint/population mapping could explain the count difference.</x:v>
      </x:c>
      <x:c r="C28" s="12" t="b">
        <x:v>0</x:v>
      </x:c>
      <x:c r="D28" s="6" t="str">
        <x:v>Cross-document numeric inconsistency</x:v>
      </x:c>
      <x:c r="E28" s="12" t="b">
        <x:v>1</x:v>
      </x:c>
      <x:c r="F28" s="6" t="str">
        <x:v>C016</x:v>
      </x:c>
      <x:c r="G28" s="6" t="str">
        <x:v>2024::jama.2024.12829::C016</x:v>
      </x:c>
      <x:c r="H28" s="6"/>
      <x:c r="I28" s="6" t="str">
        <x:v>DOC-001 primary narrative, PDF p. 5; DOC-001 Table 2, PDF p. 8; DOC-002 Table S6, PDF p. 19</x:v>
      </x:c>
      <x:c r="J28" s="12" t="b">
        <x:v>1</x:v>
      </x:c>
      <x:c r="K28" s="6" t="str">
        <x:v>jama.2024.12829</x:v>
      </x:c>
      <x:c r="L28" s="6"/>
      <x:c r="M28" s="6" t="str">
        <x:v>S_C</x:v>
      </x:c>
      <x:c r="N28" s="6" t="str">
        <x:v>Main primary endpoint narrative/Table2 giveBA11 events, whereas matched non-plan TableS6 prints9 under the same249 header and endpoint wording.</x:v>
      </x:c>
      <x:c r="O28" s="6" t="str">
        <x:v>../../2024/jama.2024.12829/.ai_paper_validation/final_report_1_5_3.html</x:v>
      </x:c>
      <x:c r="P28" s="6" t="str">
        <x:v>2024/jama.2024.12829/.ai_paper_validation/final_report_1_5_3.md</x:v>
      </x:c>
      <x:c r="Q28" s="6" t="str">
        <x:v>C016</x:v>
      </x:c>
      <x:c r="R28" s="6" t="str">
        <x:v>Pending Human Adjudication</x:v>
      </x:c>
      <x:c r="S28" s="6" t="str">
        <x:v>Table S6 prints a BA count of 9 for a matched primary endpoint and n=249 header where the main narrative and Table 2 print 11; this is distinct from C004.</x:v>
      </x:c>
      <x:c r="T28" s="12" t="b">
        <x:v>1</x:v>
      </x:c>
      <x:c r="U28" s="6" t="str">
        <x:v>event_count_repeat</x:v>
      </x:c>
      <x:c r="V28" s="6" t="str">
        <x:v>report_internal_inconsistency</x:v>
      </x:c>
      <x:c r="W28" s="6" t="str">
        <x:v>Table S6 BA event count 9 conflicts with the matched primary-analysis count 11</x:v>
      </x:c>
      <x:c r="X28" s="6" t="str">
        <x:v>2024</x:v>
      </x:c>
      <x:c r="Y28" s="6" t="str">
        <x:v>meta_report/consistency_reclassification_2026-09-04/reclassified_candidates.json</x:v>
      </x:c>
      <x:c r="Z28" s="6" t="str">
        <x:v>S_C</x:v>
      </x:c>
      <x:c r="AA28" s="6" t="str">
        <x:v>report_internal_inconsistency</x:v>
      </x:c>
      <x:c r="AB28" s="6" t="str">
        <x:v>retain</x:v>
      </x:c>
    </x:row>
    <x:row r="29" ht="90" customHeight="1">
      <x:c r="A29" s="11" t="b">
        <x:v>0</x:v>
      </x:c>
      <x:c r="B29" s="3" t="str">
        <x:v>The interval construction or a mismatched estimand is not supplied.</x:v>
      </x:c>
      <x:c r="C29" s="11" t="b">
        <x:v>0</x:v>
      </x:c>
      <x:c r="D29" s="3" t="str">
        <x:v>Statistical reporting inconsistency</x:v>
      </x:c>
      <x:c r="E29" s="11" t="b">
        <x:v>0</x:v>
      </x:c>
      <x:c r="F29" s="3" t="str">
        <x:v>C017</x:v>
      </x:c>
      <x:c r="G29" s="3" t="str">
        <x:v>2024::jama.2024.12829::C017</x:v>
      </x:c>
      <x:c r="H29" s="3"/>
      <x:c r="I29" s="3" t="str">
        <x:v>DOC-001 Table 2, PDF p. 8</x:v>
      </x:c>
      <x:c r="J29" s="11" t="b">
        <x:v>0</x:v>
      </x:c>
      <x:c r="K29" s="3" t="str">
        <x:v>jama.2024.12829</x:v>
      </x:c>
      <x:c r="L29" s="3"/>
      <x:c r="M29" s="3" t="str">
        <x:v>S_W</x:v>
      </x:c>
      <x:c r="N29" s="3" t="str">
        <x:v>Main Table2 incidence difference-0.4 lies outside its printed95%CI[-2.4,-1.7].</x:v>
      </x:c>
      <x:c r="O29" s="3" t="str">
        <x:v>../../2024/jama.2024.12829/.ai_paper_validation/final_report_1_5_3.html</x:v>
      </x:c>
      <x:c r="P29" s="3" t="str">
        <x:v>2024/jama.2024.12829/.ai_paper_validation/final_report_1_5_3.md</x:v>
      </x:c>
      <x:c r="Q29" s="3" t="str">
        <x:v>C017</x:v>
      </x:c>
      <x:c r="R29" s="3" t="str">
        <x:v>Pending Human Adjudication</x:v>
      </x:c>
      <x:c r="S29" s="3" t="str">
        <x:v>The printed one-year incidence-difference point estimate is not contained in its paired printed confidence interval.</x:v>
      </x:c>
      <x:c r="T29" s="11" t="b">
        <x:v>1</x:v>
      </x:c>
      <x:c r="U29" s="3" t="str">
        <x:v>point_interval_containment</x:v>
      </x:c>
      <x:c r="V29" s="3" t="str">
        <x:v>statistical_results</x:v>
      </x:c>
      <x:c r="W29" s="3" t="str">
        <x:v>One-year incidence-difference point estimate lies outside its confidence interval</x:v>
      </x:c>
      <x:c r="X29" s="3" t="str">
        <x:v>2024</x:v>
      </x:c>
      <x:c r="Y29" s="3" t="str">
        <x:v>meta_report/consistency_reclassification_2026-09-04/reclassified_candidates.json</x:v>
      </x:c>
      <x:c r="Z29" s="3" t="str">
        <x:v>S_W</x:v>
      </x:c>
      <x:c r="AA29" s="3" t="str">
        <x:v>statistical_results</x:v>
      </x:c>
      <x:c r="AB29" s="3" t="str">
        <x:v>retain</x:v>
      </x:c>
    </x:row>
    <x:row r="30" ht="90" customHeight="1">
      <x:c r="A30" s="12" t="b">
        <x:v>0</x:v>
      </x:c>
      <x:c r="B30" s="6" t="str">
        <x:v>NOT REPRODUCED: prior71-versus58 sum double-counted the13 parent; stable ID retained only for production-layout confirmation.</x:v>
      </x:c>
      <x:c r="C30" s="12" t="b">
        <x:v>0</x:v>
      </x:c>
      <x:c r="D30" s="6" t="str">
        <x:v>Numeric or arithmetic inconsistency</x:v>
      </x:c>
      <x:c r="E30" s="12" t="b">
        <x:v>0</x:v>
      </x:c>
      <x:c r="F30" s="6" t="str">
        <x:v>C001</x:v>
      </x:c>
      <x:c r="G30" s="6" t="str">
        <x:v>2024::jama.2024.19585::C001</x:v>
      </x:c>
      <x:c r="H30" s="6"/>
      <x:c r="I30" s="6" t="str">
        <x:v>jama_dupuis_2024_oi_240111_1733431204.38761.pdf — Figure 1, PDF p. 5, usual-care branch.</x:v>
      </x:c>
      <x:c r="J30" s="12" t="b">
        <x:v>0</x:v>
      </x:c>
      <x:c r="K30" s="6" t="str">
        <x:v>jama.2024.19585</x:v>
      </x:c>
      <x:c r="L30" s="6"/>
      <x:c r="M30" s="6" t="str">
        <x:v>S_W</x:v>
      </x:c>
      <x:c r="N30" s="6" t="str">
        <x:v>The retained candidate concerns nested counts within main Figure1; recheck explicitly finds7+4+2=13 and top-level sum58, reconciling the displayed total.</x:v>
      </x:c>
      <x:c r="O30" s="6" t="str">
        <x:v>../../2024/jama.2024.19585/.ai_paper_validation/final_report_1_5_3.html</x:v>
      </x:c>
      <x:c r="P30" s="6" t="str">
        <x:v>2024/jama.2024.19585/.ai_paper_validation/final_report_1_5_3.md</x:v>
      </x:c>
      <x:c r="Q30" s="6" t="str">
        <x:v>C001</x:v>
      </x:c>
      <x:c r="R30" s="6" t="str">
        <x:v>Pending Human Adjudication</x:v>
      </x:c>
      <x:c r="S30" s="6" t="str">
        <x:v>Stable C001 is retained for human confirmation of Figure 1's visual parent-child hierarchy. The direct source supports reconciliation, not a 71-versus-58 mismatch: the nested reasons sum to their parent and the top-level reasons sum to 58.</x:v>
      </x:c>
      <x:c r="T30" s="12" t="b">
        <x:v>1</x:v>
      </x:c>
      <x:c r="U30" s="6" t="str">
        <x:v>flow_hierarchy</x:v>
      </x:c>
      <x:c r="V30" s="6" t="str">
        <x:v>statistical_results</x:v>
      </x:c>
      <x:c r="W30" s="6" t="str">
        <x:v>Usual-care exclusion hierarchy requires source-layout confirmation</x:v>
      </x:c>
      <x:c r="X30" s="6" t="str">
        <x:v>2024</x:v>
      </x:c>
      <x:c r="Y30" s="6" t="str">
        <x:v>meta_report/consistency_reclassification_2026-09-04/reclassified_candidates.json</x:v>
      </x:c>
      <x:c r="Z30" s="6" t="str">
        <x:v>S_W</x:v>
      </x:c>
      <x:c r="AA30" s="6" t="str">
        <x:v>statistical_results</x:v>
      </x:c>
      <x:c r="AB30" s="6" t="str">
        <x:v>exclude</x:v>
      </x:c>
    </x:row>
    <x:row r="31" ht="90" customHeight="1">
      <x:c r="A31" s="11" t="b">
        <x:v>0</x:v>
      </x:c>
      <x:c r="B31" s="3" t="str">
        <x:v>A different unreported rejection population/definition remains possible.</x:v>
      </x:c>
      <x:c r="C31" s="11" t="b">
        <x:v>0</x:v>
      </x:c>
      <x:c r="D31" s="3" t="str">
        <x:v>Cross-document numeric inconsistency</x:v>
      </x:c>
      <x:c r="E31" s="11" t="b">
        <x:v>1</x:v>
      </x:c>
      <x:c r="F31" s="3" t="str">
        <x:v>C002</x:v>
      </x:c>
      <x:c r="G31" s="3" t="str">
        <x:v>2024::jama.2024.19585::C002</x:v>
      </x:c>
      <x:c r="H31" s="3"/>
      <x:c r="I31" s="3" t="str">
        <x:v>jama_dupuis_2024_oi_240111_1733431204.38761.pdf — narrative, PDF p. 2 and joi240111supp2_prod_1733431204.76024.pdf — eTable 3, PDF p. 6.</x:v>
      </x:c>
      <x:c r="J31" s="11" t="b">
        <x:v>1</x:v>
      </x:c>
      <x:c r="K31" s="3" t="str">
        <x:v>jama.2024.19585</x:v>
      </x:c>
      <x:c r="L31" s="3"/>
      <x:c r="M31" s="3" t="str">
        <x:v>S_C</x:v>
      </x:c>
      <x:c r="N31" s="3" t="str">
        <x:v>Main rejected-statement percentage6.4% conflicts with142/1350=10.5% from the supplied non-plan eTable3 site counts.</x:v>
      </x:c>
      <x:c r="O31" s="3" t="str">
        <x:v>../../2024/jama.2024.19585/.ai_paper_validation/final_report_1_5_3.html</x:v>
      </x:c>
      <x:c r="P31" s="3" t="str">
        <x:v>2024/jama.2024.19585/.ai_paper_validation/final_report_1_5_3.md</x:v>
      </x:c>
      <x:c r="Q31" s="3" t="str">
        <x:v>C002</x:v>
      </x:c>
      <x:c r="R31" s="3" t="str">
        <x:v>Pending Human Adjudication</x:v>
      </x:c>
      <x:c r="S31" s="3" t="str">
        <x:v>The main text reports 6.4% rejected across intervention sites, whereas the displayed eTable 3 reject counts and equal denominators imply 142/1,350 = 10.5%.</x:v>
      </x:c>
      <x:c r="T31" s="11" t="b">
        <x:v>1</x:v>
      </x:c>
      <x:c r="U31" s="3" t="str">
        <x:v>aggregate_percentage</x:v>
      </x:c>
      <x:c r="V31" s="3" t="str">
        <x:v>report_internal_inconsistency</x:v>
      </x:c>
      <x:c r="W31" s="3" t="str">
        <x:v>Main-text rejected-statement percentage conflicts with the supplement counts</x:v>
      </x:c>
      <x:c r="X31" s="3" t="str">
        <x:v>2024</x:v>
      </x:c>
      <x:c r="Y31" s="3" t="str">
        <x:v>meta_report/consistency_reclassification_2026-09-04/reclassified_candidates.json</x:v>
      </x:c>
      <x:c r="Z31" s="3" t="str">
        <x:v>S_C</x:v>
      </x:c>
      <x:c r="AA31" s="3" t="str">
        <x:v>report_internal_inconsistency</x:v>
      </x:c>
      <x:c r="AB31" s="3" t="str">
        <x:v>retain</x:v>
      </x:c>
    </x:row>
    <x:row r="32" ht="90" customHeight="1">
      <x:c r="A32" s="12" t="b">
        <x:v>0</x:v>
      </x:c>
      <x:c r="B32" s="6" t="str">
        <x:v>Difference might be an undefined generic heading; numerical odds-ratio error is not established.</x:v>
      </x:c>
      <x:c r="C32" s="12" t="b">
        <x:v>0</x:v>
      </x:c>
      <x:c r="D32" s="6" t="str">
        <x:v>Measure, label, or scale inconsistency</x:v>
      </x:c>
      <x:c r="E32" s="12" t="b">
        <x:v>0</x:v>
      </x:c>
      <x:c r="F32" s="6" t="str">
        <x:v>C003</x:v>
      </x:c>
      <x:c r="G32" s="6" t="str">
        <x:v>2024::jama.2024.19585::C003</x:v>
      </x:c>
      <x:c r="H32" s="6"/>
      <x:c r="I32" s="6" t="str">
        <x:v>joi240111supp2_prod_1733431204.76024.pdf — eTable 10 start, PDF p. 13; joi240111supp2_prod_1733431204.76024.pdf — eTable 10 continued values, PDF p. 14; joi240111supp2_prod_1733431204.76024.pdf — eTable 10 footnote, PDF p. 15; and joi240111supp2_prod_1733431204.76024.pdf — eMethods, PDF p. 22.</x:v>
      </x:c>
      <x:c r="J32" s="12" t="b">
        <x:v>0</x:v>
      </x:c>
      <x:c r="K32" s="6" t="str">
        <x:v>jama.2024.19585</x:v>
      </x:c>
      <x:c r="L32" s="6"/>
      <x:c r="M32" s="6" t="str">
        <x:v>S_W</x:v>
      </x:c>
      <x:c r="N32" s="6" t="str">
        <x:v>Within one results supplement, eTable10 labels modeled effects Difference while eMethods expressly defines the relevant analyses as logistic odds ratios.</x:v>
      </x:c>
      <x:c r="O32" s="6" t="str">
        <x:v>../../2024/jama.2024.19585/.ai_paper_validation/final_report_1_5_3.html</x:v>
      </x:c>
      <x:c r="P32" s="6" t="str">
        <x:v>2024/jama.2024.19585/.ai_paper_validation/final_report_1_5_3.md</x:v>
      </x:c>
      <x:c r="Q32" s="6" t="str">
        <x:v>C003</x:v>
      </x:c>
      <x:c r="R32" s="6" t="str">
        <x:v>Pending Human Adjudication</x:v>
      </x:c>
      <x:c r="S32" s="6" t="str">
        <x:v>eTable 10 labels its modeled-effect columns Difference (95% CI), while eMethods states that the documentation, any-intervention, and symptom-specific-intervention analyses estimate odds ratios using logistic regression.</x:v>
      </x:c>
      <x:c r="T32" s="12" t="b">
        <x:v>1</x:v>
      </x:c>
      <x:c r="U32" s="6" t="str">
        <x:v>effect_measure_label</x:v>
      </x:c>
      <x:c r="V32" s="6" t="str">
        <x:v>report_internal_inconsistency</x:v>
      </x:c>
      <x:c r="W32" s="6" t="str">
        <x:v>eTable 10 labels logistic-regression odds ratios as differences</x:v>
      </x:c>
      <x:c r="X32" s="6" t="str">
        <x:v>2024</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t="str">
        <x:v>Mixed relations; identical44/159 and27/149 counts do not establish which threshold was implemented.</x:v>
      </x:c>
      <x:c r="C33" s="11" t="b">
        <x:v>1</x:v>
      </x:c>
      <x:c r="D33" s="3" t="str">
        <x:v>Measure, label, or scale inconsistency</x:v>
      </x:c>
      <x:c r="E33" s="11" t="b">
        <x:v>1</x:v>
      </x:c>
      <x:c r="F33" s="3" t="str">
        <x:v>C001</x:v>
      </x:c>
      <x:c r="G33" s="3" t="str">
        <x:v>2024::jama.2024.2302::C001</x:v>
      </x:c>
      <x:c r="H33" s="3"/>
      <x:c r="I33" s="3" t="str">
        <x:v>main article — PDF p. 6, Table 2; results supplement — PDF p. 5, eTable 2; protocol — PDF p. 2; SAP — PDF p. 4.</x:v>
      </x:c>
      <x:c r="J33" s="11" t="b">
        <x:v>0</x:v>
      </x:c>
      <x:c r="K33" s="3" t="str">
        <x:v>jama.2024.2302</x:v>
      </x:c>
      <x:c r="L33" s="3" t="str">
        <x:v>endpoint_definition_window_hierarchy</x:v>
      </x:c>
      <x:c r="M33" s="3" t="str">
        <x:v>P_R</x:v>
      </x:c>
      <x:c r="N33" s="3" t="str">
        <x:v>Main Table2 and SAP define&gt;=1 SAE, while matched results eTable2 and protocol use&gt;1. This explicitly spans report-plan, protocol-SAP, and main-results-supplement definitions.</x:v>
      </x:c>
      <x:c r="O33" s="3" t="str">
        <x:v>../../2024/jama.2024.2302/.ai_paper_validation/final_report_1_5_3.html</x:v>
      </x:c>
      <x:c r="P33" s="3" t="str">
        <x:v>2024/jama.2024.2302/.ai_paper_validation/final_report_1_5_3.md</x:v>
      </x:c>
      <x:c r="Q33" s="3" t="str">
        <x:v>C001</x:v>
      </x:c>
      <x:c r="R33" s="3" t="str">
        <x:v>Pending Human Adjudication</x:v>
      </x:c>
      <x:c r="S33" s="3" t="str">
        <x:v>Matched primary SAE results are labeled ≥1/“any” in the main article and SAP but &gt;1 in the protocol and eTable.</x:v>
      </x:c>
      <x:c r="T33" s="11" t="b">
        <x:v>1</x:v>
      </x:c>
      <x:c r="U33" s="3" t="str">
        <x:v>endpoint_threshold</x:v>
      </x:c>
      <x:c r="V33" s="3" t="str">
        <x:v>protocol_report</x:v>
      </x:c>
      <x:c r="W33" s="3" t="str">
        <x:v>Primary SAE endpoint threshold label</x:v>
      </x:c>
      <x:c r="X33" s="3" t="str">
        <x:v>2024</x:v>
      </x:c>
      <x:c r="Y33" s="3" t="str">
        <x:v>meta_report/consistency_reclassification_2026-09-04/reclassified_candidates.json</x:v>
      </x:c>
      <x:c r="Z33" s="3" t="str">
        <x:v>P_R</x:v>
      </x:c>
      <x:c r="AA33" s="3" t="str">
        <x:v>protocol_report</x:v>
      </x:c>
      <x:c r="AB33" s="3" t="str">
        <x:v>retain</x:v>
      </x:c>
    </x:row>
    <x:row r="34" ht="90" customHeight="1">
      <x:c r="A34" s="12" t="b">
        <x:v>0</x:v>
      </x:c>
      <x:c r="B34" s="6" t="str">
        <x:v>SAP explicitly calls18/15 incorrect and identifies8/5 as intended. This is disclosed plan correction, not observed-result disagreement or an undisclosed deviation.</x:v>
      </x:c>
      <x:c r="C34" s="12" t="b">
        <x:v>1</x:v>
      </x:c>
      <x:c r="D34" s="6" t="str">
        <x:v>Cross-document numeric inconsistency</x:v>
      </x:c>
      <x:c r="E34" s="12" t="b">
        <x:v>0</x:v>
      </x:c>
      <x:c r="F34" s="6" t="str">
        <x:v>C002</x:v>
      </x:c>
      <x:c r="G34" s="6" t="str">
        <x:v>2024::jama.2024.2302::C002</x:v>
      </x:c>
      <x:c r="H34" s="6"/>
      <x:c r="I34" s="6" t="str">
        <x:v>protocol — PDF p. 3; protocol — PDF p. 12; SAP — PDF p. 3.</x:v>
      </x:c>
      <x:c r="J34" s="12" t="b">
        <x:v>1</x:v>
      </x:c>
      <x:c r="K34" s="6" t="str">
        <x:v>jama.2024.2302</x:v>
      </x:c>
      <x:c r="L34" s="6"/>
      <x:c r="M34" s="6" t="str">
        <x:v>P_P</x:v>
      </x:c>
      <x:c r="N34" s="6" t="str">
        <x:v>Protocol planning medians18/15 conflict with its own8/5 medians and the SAP's8/5; all compared numbers are planning assumptions.</x:v>
      </x:c>
      <x:c r="O34" s="6" t="str">
        <x:v>../../2024/jama.2024.2302/.ai_paper_validation/final_report_1_5_3.html</x:v>
      </x:c>
      <x:c r="P34" s="6" t="str">
        <x:v>2024/jama.2024.2302/.ai_paper_validation/final_report_1_5_3.md</x:v>
      </x:c>
      <x:c r="Q34" s="6" t="str">
        <x:v>C002</x:v>
      </x:c>
      <x:c r="R34" s="6" t="str">
        <x:v>Pending Human Adjudication</x:v>
      </x:c>
      <x:c r="S34" s="6" t="str">
        <x:v>Protocol/SAP locations print incompatible arm-specific planned median hospital-day values.</x:v>
      </x:c>
      <x:c r="T34" s="12" t="b">
        <x:v>0</x:v>
      </x:c>
      <x:c r="U34" s="6" t="str">
        <x:v>planning_medians</x:v>
      </x:c>
      <x:c r="V34" s="6" t="str">
        <x:v>plan_material</x:v>
      </x:c>
      <x:c r="W34" s="6" t="str">
        <x:v>Planned hospital-day medians</x:v>
      </x:c>
      <x:c r="X34" s="6" t="str">
        <x:v>2024</x:v>
      </x:c>
      <x:c r="Y34" s="6" t="str">
        <x:v>meta_report/consistency_reclassification_2026-09-04/reclassified_candidates.json</x:v>
      </x:c>
      <x:c r="Z34" s="6" t="str">
        <x:v>P_P</x:v>
      </x:c>
      <x:c r="AA34" s="6" t="str">
        <x:v>plan_material</x:v>
      </x:c>
      <x:c r="AB34" s="6" t="str">
        <x:v>retain</x:v>
      </x:c>
    </x:row>
    <x:row r="35" ht="90" customHeight="1">
      <x:c r="A35" s="11" t="b">
        <x:v>0</x:v>
      </x:c>
      <x:c r="B35" s="3" t="str">
        <x:v>Final outcome-specific code/amendment is missing; SAP's approximate log-scale quantiles are contextual, not a separate coded plan-internal candidate.</x:v>
      </x:c>
      <x:c r="C35" s="11" t="b">
        <x:v>1</x:v>
      </x:c>
      <x:c r="D35" s="3" t="str">
        <x:v>Statistical reporting inconsistency</x:v>
      </x:c>
      <x:c r="E35" s="11" t="b">
        <x:v>1</x:v>
      </x:c>
      <x:c r="F35" s="3" t="str">
        <x:v>C003</x:v>
      </x:c>
      <x:c r="G35" s="3" t="str">
        <x:v>2024::jama.2024.2302::C003</x:v>
      </x:c>
      <x:c r="H35" s="3"/>
      <x:c r="I35" s="3" t="str">
        <x:v>main article — PDF p. 4; SAP — PDF p. 8.</x:v>
      </x:c>
      <x:c r="J35" s="11" t="b">
        <x:v>0</x:v>
      </x:c>
      <x:c r="K35" s="3" t="str">
        <x:v>jama.2024.2302</x:v>
      </x:c>
      <x:c r="L35" s="3" t="str">
        <x:v>analysis_specification</x:v>
      </x:c>
      <x:c r="M35" s="3" t="str">
        <x:v>P_R</x:v>
      </x:c>
      <x:c r="N35" s="3" t="str">
        <x:v>Main common categorical/count intervention prior range0.33-3.0 differs from SAP categorical0.2-4 and count0.33-3.3 descriptions.</x:v>
      </x:c>
      <x:c r="O35" s="3" t="str">
        <x:v>../../2024/jama.2024.2302/.ai_paper_validation/final_report_1_5_3.html</x:v>
      </x:c>
      <x:c r="P35" s="3" t="str">
        <x:v>2024/jama.2024.2302/.ai_paper_validation/final_report_1_5_3.md</x:v>
      </x:c>
      <x:c r="Q35" s="3" t="str">
        <x:v>C003</x:v>
      </x:c>
      <x:c r="R35" s="3" t="str">
        <x:v>Pending Human Adjudication</x:v>
      </x:c>
      <x:c r="S35" s="3" t="str">
        <x:v>The article’s common intervention-prior range differs from the SAP’s class-specific prior descriptions.</x:v>
      </x:c>
      <x:c r="T35" s="11" t="b">
        <x:v>0</x:v>
      </x:c>
      <x:c r="U35" s="3" t="str">
        <x:v>prior_specification</x:v>
      </x:c>
      <x:c r="V35" s="3" t="str">
        <x:v>protocol_report</x:v>
      </x:c>
      <x:c r="W35" s="3" t="str">
        <x:v>Bayesian intervention priors</x:v>
      </x:c>
      <x:c r="X35" s="3" t="str">
        <x:v>2024</x:v>
      </x:c>
      <x:c r="Y35" s="3" t="str">
        <x:v>meta_report/consistency_reclassification_2026-09-04/reclassified_candidates.json</x:v>
      </x:c>
      <x:c r="Z35" s="3" t="str">
        <x:v>P_R</x:v>
      </x:c>
      <x:c r="AA35" s="3" t="str">
        <x:v>protocol_report</x:v>
      </x:c>
      <x:c r="AB35" s="3" t="str">
        <x:v>retain</x:v>
      </x:c>
    </x:row>
    <x:row r="36" ht="90" customHeight="1">
      <x:c r="A36" s="12" t="b">
        <x:v>0</x:v>
      </x:c>
      <x:c r="B36" s="6" t="str">
        <x:v>Mixed report-plan and internal-SAP boundary wording; covariate context supports possible shorthand but final coding is unknown.</x:v>
      </x:c>
      <x:c r="C36" s="12" t="b">
        <x:v>1</x:v>
      </x:c>
      <x:c r="D36" s="6" t="str">
        <x:v>Measure, label, or scale inconsistency</x:v>
      </x:c>
      <x:c r="E36" s="12" t="b">
        <x:v>1</x:v>
      </x:c>
      <x:c r="F36" s="6" t="str">
        <x:v>C004</x:v>
      </x:c>
      <x:c r="G36" s="6" t="str">
        <x:v>2024::jama.2024.2302::C004</x:v>
      </x:c>
      <x:c r="H36" s="6"/>
      <x:c r="I36" s="6" t="str">
        <x:v>main article — PDF p. 8, Figure 3; SAP — PDF p. 3; SAP — PDF p. 8; SAP — PDF p. 9.</x:v>
      </x:c>
      <x:c r="J36" s="12" t="b">
        <x:v>0</x:v>
      </x:c>
      <x:c r="K36" s="6" t="str">
        <x:v>jama.2024.2302</x:v>
      </x:c>
      <x:c r="L36" s="6" t="str">
        <x:v>analysis_specification</x:v>
      </x:c>
      <x:c r="M36" s="6" t="str">
        <x:v>P_R</x:v>
      </x:c>
      <x:c r="N36" s="6" t="str">
        <x:v>Actual Figure3 upperGA group&gt;=28 differs from SAP subgroup/stratification&gt;28 wording; the SAP itself also uses&gt;=28 for its covariate.</x:v>
      </x:c>
      <x:c r="O36" s="6" t="str">
        <x:v>../../2024/jama.2024.2302/.ai_paper_validation/final_report_1_5_3.html</x:v>
      </x:c>
      <x:c r="P36" s="6" t="str">
        <x:v>2024/jama.2024.2302/.ai_paper_validation/final_report_1_5_3.md</x:v>
      </x:c>
      <x:c r="Q36" s="6" t="str">
        <x:v>C004</x:v>
      </x:c>
      <x:c r="R36" s="6" t="str">
        <x:v>Pending Human Adjudication</x:v>
      </x:c>
      <x:c r="S36" s="6" t="str">
        <x:v>The actual-result subgroup label ≥28 weeks differs from planned SAP wording &gt;28 weeks.</x:v>
      </x:c>
      <x:c r="T36" s="12" t="b">
        <x:v>0</x:v>
      </x:c>
      <x:c r="U36" s="6" t="str">
        <x:v>subgroup_threshold</x:v>
      </x:c>
      <x:c r="V36" s="6" t="str">
        <x:v>protocol_report</x:v>
      </x:c>
      <x:c r="W36" s="6" t="str">
        <x:v>Gestational-age boundary</x:v>
      </x:c>
      <x:c r="X36" s="6" t="str">
        <x:v>2024</x:v>
      </x:c>
      <x:c r="Y36" s="6" t="str">
        <x:v>meta_report/consistency_reclassification_2026-09-04/reclassified_candidates.json</x:v>
      </x:c>
      <x:c r="Z36" s="6" t="str">
        <x:v>P_R</x:v>
      </x:c>
      <x:c r="AA36" s="6" t="str">
        <x:v>protocol_report</x:v>
      </x:c>
      <x:c r="AB36" s="6" t="str">
        <x:v>retain</x:v>
      </x:c>
    </x:row>
    <x:row r="37" ht="90" customHeight="1">
      <x:c r="A37" s="11" t="b">
        <x:v>0</x:v>
      </x:c>
      <x:c r="B37" s="3" t="str">
        <x:v>Mixed report-plan and internal/between-plan terminology; enrollment and randomization may be operationally simultaneous but are not defined as equal.</x:v>
      </x:c>
      <x:c r="C37" s="11" t="b">
        <x:v>1</x:v>
      </x:c>
      <x:c r="D37" s="3" t="str">
        <x:v>Measure, label, or scale inconsistency</x:v>
      </x:c>
      <x:c r="E37" s="11" t="b">
        <x:v>1</x:v>
      </x:c>
      <x:c r="F37" s="3" t="str">
        <x:v>C005</x:v>
      </x:c>
      <x:c r="G37" s="3" t="str">
        <x:v>2024::jama.2024.2302::C005</x:v>
      </x:c>
      <x:c r="H37" s="3"/>
      <x:c r="I37" s="3" t="str">
        <x:v>protocol — PDF p. 3; protocol — PDF p. 11; SAP — PDF p. 7; main article — PDF p. 3. Main article — PDF p. 6 footnote g is secondary-outcome context only, as it attaches to the hospital-stay row.</x:v>
      </x:c>
      <x:c r="J37" s="11" t="b">
        <x:v>0</x:v>
      </x:c>
      <x:c r="K37" s="3" t="str">
        <x:v>jama.2024.2302</x:v>
      </x:c>
      <x:c r="L37" s="3" t="str">
        <x:v>endpoint_definition_window_hierarchy</x:v>
      </x:c>
      <x:c r="M37" s="3" t="str">
        <x:v>P_R</x:v>
      </x:c>
      <x:c r="N37" s="3" t="str">
        <x:v>Article/SAP use randomization as primarySAE timezero whereas protocol definitions use enrollment; verifier also records both terms inside protocol.</x:v>
      </x:c>
      <x:c r="O37" s="3" t="str">
        <x:v>../../2024/jama.2024.2302/.ai_paper_validation/final_report_1_5_3.html</x:v>
      </x:c>
      <x:c r="P37" s="3" t="str">
        <x:v>2024/jama.2024.2302/.ai_paper_validation/final_report_1_5_3.md</x:v>
      </x:c>
      <x:c r="Q37" s="3" t="str">
        <x:v>C005</x:v>
      </x:c>
      <x:c r="R37" s="3" t="str">
        <x:v>Pending Human Adjudication</x:v>
      </x:c>
      <x:c r="S37" s="3" t="str">
        <x:v>Primary SAE ascertainment is labeled from enrollment in protocol text and from randomization in SAP/main-article text.</x:v>
      </x:c>
      <x:c r="T37" s="11" t="b">
        <x:v>0</x:v>
      </x:c>
      <x:c r="U37" s="3" t="str">
        <x:v>outcome_time_origin</x:v>
      </x:c>
      <x:c r="V37" s="3" t="str">
        <x:v>protocol_report</x:v>
      </x:c>
      <x:c r="W37" s="3" t="str">
        <x:v>Primary-outcome time origin</x:v>
      </x:c>
      <x:c r="X37" s="3" t="str">
        <x:v>2024</x:v>
      </x:c>
      <x:c r="Y37" s="3" t="str">
        <x:v>meta_report/consistency_reclassification_2026-09-04/reclassified_candidates.json</x:v>
      </x:c>
      <x:c r="Z37" s="3" t="str">
        <x:v>P_R</x:v>
      </x:c>
      <x:c r="AA37" s="3" t="str">
        <x:v>protocol_report</x:v>
      </x:c>
      <x:c r="AB37" s="3" t="str">
        <x:v>retain</x:v>
      </x:c>
    </x:row>
    <x:row r="38" ht="90" customHeight="1">
      <x:c r="A38" s="12" t="b">
        <x:v>0</x:v>
      </x:c>
      <x:c r="B38" s="6" t="str">
        <x:v>This is ambiguity of timezero, not proven differing derivation; article wording may be shorthand.</x:v>
      </x:c>
      <x:c r="C38" s="12" t="b">
        <x:v>1</x:v>
      </x:c>
      <x:c r="D38" s="6" t="str">
        <x:v>Cross-document numeric inconsistency</x:v>
      </x:c>
      <x:c r="E38" s="12" t="b">
        <x:v>1</x:v>
      </x:c>
      <x:c r="F38" s="6" t="str">
        <x:v>C001</x:v>
      </x:c>
      <x:c r="G38" s="6" t="str">
        <x:v>2024::jama.2024.23898::C001</x:v>
      </x:c>
      <x:c r="H38" s="6"/>
      <x:c r="I38" s="6" t="str">
        <x:v>main article — PDF p. 1; main article — PDF p. 5; main article — PDF p. 6; SAP — PDF p. 9.</x:v>
      </x:c>
      <x:c r="J38" s="12" t="b">
        <x:v>1</x:v>
      </x:c>
      <x:c r="K38" s="6" t="str">
        <x:v>jama.2024.23898</x:v>
      </x:c>
      <x:c r="L38" s="6" t="str">
        <x:v>endpoint_definition_window_hierarchy</x:v>
      </x:c>
      <x:c r="M38" s="6" t="str">
        <x:v>P_R</x:v>
      </x:c>
      <x:c r="N38" s="6" t="str">
        <x:v>Main primaryGI-3 labels72hours after surgery/operation, whereas SAP explicitly says72hours after start of operation.</x:v>
      </x:c>
      <x:c r="O38" s="6" t="str">
        <x:v>../../2024/jama.2024.23898/.ai_paper_validation/final_report_1_5_3.html</x:v>
      </x:c>
      <x:c r="P38" s="6" t="str">
        <x:v>2024/jama.2024.23898/.ai_paper_validation/final_report_1_5_3.md</x:v>
      </x:c>
      <x:c r="Q38" s="6" t="str">
        <x:v>C001</x:v>
      </x:c>
      <x:c r="R38" s="6" t="str">
        <x:v>Pending Human Adjudication</x:v>
      </x:c>
      <x:c r="S38" s="6" t="str">
        <x:v>The matched primary GI-3 result is described as 72 hours “after surgery/operation” in the article but as 72 hours “after the start of operation” in the SAP; the printed clock origin is not explicitly aligned.</x:v>
      </x:c>
      <x:c r="T38" s="12" t="b">
        <x:v>0</x:v>
      </x:c>
      <x:c r="U38" s="6" t="str">
        <x:v>outcome_time_origin</x:v>
      </x:c>
      <x:c r="V38" s="6" t="str">
        <x:v>protocol_report</x:v>
      </x:c>
      <x:c r="W38" s="6" t="str">
        <x:v>Primary-outcome 72-hour clock origin is not stated consistently</x:v>
      </x:c>
      <x:c r="X38" s="6" t="str">
        <x:v>2024</x:v>
      </x:c>
      <x:c r="Y38" s="6" t="str">
        <x:v>meta_report/consistency_reclassification_2026-09-04/reclassified_candidates.json</x:v>
      </x:c>
      <x:c r="Z38" s="6" t="str">
        <x:v>P_R</x:v>
      </x:c>
      <x:c r="AA38" s="6" t="str">
        <x:v>protocol_report</x:v>
      </x:c>
      <x:c r="AB38" s="6" t="str">
        <x:v>retain</x:v>
      </x:c>
    </x:row>
    <x:row r="39" ht="90" customHeight="1">
      <x:c r="A39" s="11" t="b">
        <x:v>0</x:v>
      </x:c>
      <x:c r="B39" s="3" t="str">
        <x:v>A distinct final endpoint or amendment remains possible but no supplied final record resolves it.</x:v>
      </x:c>
      <x:c r="C39" s="11" t="b">
        <x:v>1</x:v>
      </x:c>
      <x:c r="D39" s="3" t="str">
        <x:v>Cross-document numeric inconsistency</x:v>
      </x:c>
      <x:c r="E39" s="11" t="b">
        <x:v>1</x:v>
      </x:c>
      <x:c r="F39" s="3" t="str">
        <x:v>C002</x:v>
      </x:c>
      <x:c r="G39" s="3" t="str">
        <x:v>2024::jama.2024.23898::C002</x:v>
      </x:c>
      <x:c r="H39" s="3"/>
      <x:c r="I39" s="3" t="str">
        <x:v>main article — PDF p. 4; main article — PDF p. 6; protocol — PDF p. 17; SAP — PDF p. 11.</x:v>
      </x:c>
      <x:c r="J39" s="11" t="b">
        <x:v>1</x:v>
      </x:c>
      <x:c r="K39" s="3" t="str">
        <x:v>jama.2024.23898</x:v>
      </x:c>
      <x:c r="L39" s="3" t="str">
        <x:v>endpoint_definition_window_hierarchy</x:v>
      </x:c>
      <x:c r="M39" s="3" t="str">
        <x:v>P_R</x:v>
      </x:c>
      <x:c r="N39" s="3" t="str">
        <x:v>Main reports cumulative opioid consumption through24hours; protocol and SAP define the matched outcome through72hours.</x:v>
      </x:c>
      <x:c r="O39" s="3" t="str">
        <x:v>../../2024/jama.2024.23898/.ai_paper_validation/final_report_1_5_3.html</x:v>
      </x:c>
      <x:c r="P39" s="3" t="str">
        <x:v>2024/jama.2024.23898/.ai_paper_validation/final_report_1_5_3.md</x:v>
      </x:c>
      <x:c r="Q39" s="3" t="str">
        <x:v>C002</x:v>
      </x:c>
      <x:c r="R39" s="3" t="str">
        <x:v>Pending Human Adjudication</x:v>
      </x:c>
      <x:c r="S39" s="3" t="str">
        <x:v>The article defines and reports postoperative morphine-equivalent consumption through 24 hours, while the protocol and SAP define the matched endpoint through 72 hours.</x:v>
      </x:c>
      <x:c r="T39" s="11" t="b">
        <x:v>0</x:v>
      </x:c>
      <x:c r="U39" s="3" t="str">
        <x:v>outcome_window</x:v>
      </x:c>
      <x:c r="V39" s="3" t="str">
        <x:v>protocol_report</x:v>
      </x:c>
      <x:c r="W39" s="3" t="str">
        <x:v>Postoperative opioid-consumption window is 24 hours versus 72 hours</x:v>
      </x:c>
      <x:c r="X39" s="3" t="str">
        <x:v>2024</x:v>
      </x:c>
      <x:c r="Y39" s="3" t="str">
        <x:v>meta_report/consistency_reclassification_2026-09-04/reclassified_candidates.json</x:v>
      </x:c>
      <x:c r="Z39" s="3" t="str">
        <x:v>P_R</x:v>
      </x:c>
      <x:c r="AA39" s="3" t="str">
        <x:v>protocol_report</x:v>
      </x:c>
      <x:c r="AB39" s="3" t="str">
        <x:v>retain</x:v>
      </x:c>
    </x:row>
    <x:row r="40" ht="90" customHeight="1">
      <x:c r="A40" s="12" t="b">
        <x:v>0</x:v>
      </x:c>
      <x:c r="B40" s="6" t="str">
        <x:v>Mixed report-plan and internal-article discrepancy; actual31/34 counts may be30-day counts under a90-day label or reflect a changed window.</x:v>
      </x:c>
      <x:c r="C40" s="12" t="b">
        <x:v>1</x:v>
      </x:c>
      <x:c r="D40" s="6" t="str">
        <x:v>Cross-document numeric inconsistency</x:v>
      </x:c>
      <x:c r="E40" s="12" t="b">
        <x:v>1</x:v>
      </x:c>
      <x:c r="F40" s="6" t="str">
        <x:v>C003</x:v>
      </x:c>
      <x:c r="G40" s="6" t="str">
        <x:v>2024::jama.2024.23898::C003</x:v>
      </x:c>
      <x:c r="H40" s="6"/>
      <x:c r="I40" s="6" t="str">
        <x:v>main article — PDF p. 4; main article — PDF p. 8; protocol — PDF p. 18; SAP — PDF p. 10; SAP — PDF p. 27.</x:v>
      </x:c>
      <x:c r="J40" s="12" t="b">
        <x:v>1</x:v>
      </x:c>
      <x:c r="K40" s="6" t="str">
        <x:v>jama.2024.23898</x:v>
      </x:c>
      <x:c r="L40" s="6" t="str">
        <x:v>endpoint_definition_window_hierarchy</x:v>
      </x:c>
      <x:c r="M40" s="6" t="str">
        <x:v>P_R</x:v>
      </x:c>
      <x:c r="N40" s="6" t="str">
        <x:v>Main Table3 reports readmissions within90days, whereas main Methods and protocol/SAP definitions including dummy-table heading specify30days.</x:v>
      </x:c>
      <x:c r="O40" s="6" t="str">
        <x:v>../../2024/jama.2024.23898/.ai_paper_validation/final_report_1_5_3.html</x:v>
      </x:c>
      <x:c r="P40" s="6" t="str">
        <x:v>2024/jama.2024.23898/.ai_paper_validation/final_report_1_5_3.md</x:v>
      </x:c>
      <x:c r="Q40" s="6" t="str">
        <x:v>C003</x:v>
      </x:c>
      <x:c r="R40" s="6" t="str">
        <x:v>Pending Human Adjudication</x:v>
      </x:c>
      <x:c r="S40" s="6" t="str">
        <x:v>Table 3 labels 31 versus 34 unplanned readmissions within 90 days, while article Methods, protocol, and SAP define the endpoint within 30 days.</x:v>
      </x:c>
      <x:c r="T40" s="12" t="b">
        <x:v>1</x:v>
      </x:c>
      <x:c r="U40" s="6" t="str">
        <x:v>outcome_window</x:v>
      </x:c>
      <x:c r="V40" s="6" t="str">
        <x:v>protocol_report</x:v>
      </x:c>
      <x:c r="W40" s="6" t="str">
        <x:v>Unplanned-readmission window is 90 days versus 30 days</x:v>
      </x:c>
      <x:c r="X40" s="6" t="str">
        <x:v>2024</x:v>
      </x:c>
      <x:c r="Y40" s="6" t="str">
        <x:v>meta_report/consistency_reclassification_2026-09-04/reclassified_candidates.json</x:v>
      </x:c>
      <x:c r="Z40" s="6" t="str">
        <x:v>P_R</x:v>
      </x:c>
      <x:c r="AA40" s="6" t="str">
        <x:v>protocol_report</x:v>
      </x:c>
      <x:c r="AB40" s="6" t="str">
        <x:v>retain</x:v>
      </x:c>
    </x:row>
    <x:row r="41" ht="90" customHeight="1">
      <x:c r="A41" s="11" t="b">
        <x:v>0</x:v>
      </x:c>
      <x:c r="B41" s="3" t="str">
        <x:v>Protocol explicitly says e.g.; eFigure says definitions were not predefined. This is a candidate plan/report difference with disclosed exploratory categorization, not proof of protocol violation.</x:v>
      </x:c>
      <x:c r="C41" s="11" t="b">
        <x:v>1</x:v>
      </x:c>
      <x:c r="D41" s="3" t="str">
        <x:v>Measure, label, or scale inconsistency</x:v>
      </x:c>
      <x:c r="E41" s="11" t="b">
        <x:v>1</x:v>
      </x:c>
      <x:c r="F41" s="3" t="str">
        <x:v>C004</x:v>
      </x:c>
      <x:c r="G41" s="3" t="str">
        <x:v>2024::jama.2024.23898::C004</x:v>
      </x:c>
      <x:c r="H41" s="3"/>
      <x:c r="I41" s="3" t="str">
        <x:v>protocol — PDF p. 17; protocol — PDF p. 18; SAP — PDF p. 15; results supplement — PDF p. 2.</x:v>
      </x:c>
      <x:c r="J41" s="11" t="b">
        <x:v>0</x:v>
      </x:c>
      <x:c r="K41" s="3" t="str">
        <x:v>jama.2024.23898</x:v>
      </x:c>
      <x:c r="L41" s="3" t="str">
        <x:v>analysis_specification</x:v>
      </x:c>
      <x:c r="M41" s="3" t="str">
        <x:v>P_R</x:v>
      </x:c>
      <x:c r="N41" s="3" t="str">
        <x:v>Reported eFigure lowERAS&lt;5/10 places40% in low, unlike the protocol's example30%-60% middle band.</x:v>
      </x:c>
      <x:c r="O41" s="3" t="str">
        <x:v>../../2024/jama.2024.23898/.ai_paper_validation/final_report_1_5_3.html</x:v>
      </x:c>
      <x:c r="P41" s="3" t="str">
        <x:v>2024/jama.2024.23898/.ai_paper_validation/final_report_1_5_3.md</x:v>
      </x:c>
      <x:c r="Q41" s="3" t="str">
        <x:v>C004</x:v>
      </x:c>
      <x:c r="R41" s="3" t="str">
        <x:v>Pending Human Adjudication</x:v>
      </x:c>
      <x:c r="S41" s="3" t="str">
        <x:v>The protocol gives example ERAS compliance bands of 0–30%, 30–60%, and greater than 60%, whereas the eFigure defines low as fewer than 5 and high as at least 7 of 10 criteria; the printed definitions are not directly reconciled.</x:v>
      </x:c>
      <x:c r="T41" s="11" t="b">
        <x:v>0</x:v>
      </x:c>
      <x:c r="U41" s="3" t="str">
        <x:v>subgroup_cutpoints</x:v>
      </x:c>
      <x:c r="V41" s="3" t="str">
        <x:v>protocol_report</x:v>
      </x:c>
      <x:c r="W41" s="3" t="str">
        <x:v>ERAS subgroup cut points differ from the protocol bands</x:v>
      </x:c>
      <x:c r="X41" s="3" t="str">
        <x:v>2024</x:v>
      </x:c>
      <x:c r="Y41" s="3" t="str">
        <x:v>meta_report/consistency_reclassification_2026-09-04/reclassified_candidates.json</x:v>
      </x:c>
      <x:c r="Z41" s="3" t="str">
        <x:v>P_R</x:v>
      </x:c>
      <x:c r="AA41" s="3" t="str">
        <x:v>protocol_report</x:v>
      </x:c>
      <x:c r="AB41" s="3" t="str">
        <x:v>retain</x:v>
      </x:c>
    </x:row>
    <x:row r="42" ht="90" customHeight="1">
      <x:c r="A42" s="12" t="b">
        <x:v>0</x:v>
      </x:c>
      <x:c r="B42" s="6" t="str">
        <x:v>Do not count plan involvement merely because SAP corroborates one side of the internal figure-label mismatch.</x:v>
      </x:c>
      <x:c r="C42" s="12" t="b">
        <x:v>0</x:v>
      </x:c>
      <x:c r="D42" s="6" t="str">
        <x:v>Statistical reporting inconsistency</x:v>
      </x:c>
      <x:c r="E42" s="12" t="b">
        <x:v>0</x:v>
      </x:c>
      <x:c r="F42" s="6" t="str">
        <x:v>C005</x:v>
      </x:c>
      <x:c r="G42" s="6" t="str">
        <x:v>2024::jama.2024.23898::C005</x:v>
      </x:c>
      <x:c r="H42" s="6"/>
      <x:c r="I42" s="6" t="str">
        <x:v>results supplement — PDF p. 2; SAP — PDF p. 15.</x:v>
      </x:c>
      <x:c r="J42" s="12" t="b">
        <x:v>0</x:v>
      </x:c>
      <x:c r="K42" s="6" t="str">
        <x:v>jama.2024.23898</x:v>
      </x:c>
      <x:c r="L42" s="6"/>
      <x:c r="M42" s="6" t="str">
        <x:v>S_W</x:v>
      </x:c>
      <x:c r="N42" s="6" t="str">
        <x:v>One results eFigure labels subgroup intervals99% in its legend and95% in its caption; SAP99% convention supports the legend only.</x:v>
      </x:c>
      <x:c r="O42" s="6" t="str">
        <x:v>../../2024/jama.2024.23898/.ai_paper_validation/final_report_1_5_3.html</x:v>
      </x:c>
      <x:c r="P42" s="6" t="str">
        <x:v>2024/jama.2024.23898/.ai_paper_validation/final_report_1_5_3.md</x:v>
      </x:c>
      <x:c r="Q42" s="6" t="str">
        <x:v>C005</x:v>
      </x:c>
      <x:c r="R42" s="6" t="str">
        <x:v>Pending Human Adjudication</x:v>
      </x:c>
      <x:c r="S42" s="6" t="str">
        <x:v>The eFigure legend labels horizontal subgroup intervals as 99% CIs, while its caption calls the displayed within-subgroup intervals 95% CIs.</x:v>
      </x:c>
      <x:c r="T42" s="12" t="b">
        <x:v>1</x:v>
      </x:c>
      <x:c r="U42" s="6" t="str">
        <x:v>confidence_level_label</x:v>
      </x:c>
      <x:c r="V42" s="6" t="str">
        <x:v>statistical_results</x:v>
      </x:c>
      <x:c r="W42" s="6" t="str">
        <x:v>The eFigure assigns both 99% and 95% labels to the same intervals</x:v>
      </x:c>
      <x:c r="X42" s="6" t="str">
        <x:v>2024</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SAP is framework support, not a separately targeted plan/report deviation; overall versus timepoint narrative rule is absent.</x:v>
      </x:c>
      <x:c r="C43" s="11" t="b">
        <x:v>0</x:v>
      </x:c>
      <x:c r="D43" s="3" t="str">
        <x:v>Statistical reporting inconsistency</x:v>
      </x:c>
      <x:c r="E43" s="11" t="b">
        <x:v>0</x:v>
      </x:c>
      <x:c r="F43" s="3" t="str">
        <x:v>C006</x:v>
      </x:c>
      <x:c r="G43" s="3" t="str">
        <x:v>2024::jama.2024.23898::C006</x:v>
      </x:c>
      <x:c r="H43" s="3"/>
      <x:c r="I43" s="3" t="str">
        <x:v>main article — PDF p. 5; main article — PDF p. 6; SAP — PDF p. 13; SAP — PDF p. 14.</x:v>
      </x:c>
      <x:c r="J43" s="11" t="b">
        <x:v>0</x:v>
      </x:c>
      <x:c r="K43" s="3" t="str">
        <x:v>jama.2024.23898</x:v>
      </x:c>
      <x:c r="L43" s="3"/>
      <x:c r="M43" s="3" t="str">
        <x:v>S_W</x:v>
      </x:c>
      <x:c r="N43" s="3" t="str">
        <x:v>Main day5EQ-5D row givesP=.04 and95%CI excluding0 while its Results says no statistically significantEQ-5D difference. SAP confirms the nominal framework.</x:v>
      </x:c>
      <x:c r="O43" s="3" t="str">
        <x:v>../../2024/jama.2024.23898/.ai_paper_validation/final_report_1_5_3.html</x:v>
      </x:c>
      <x:c r="P43" s="3" t="str">
        <x:v>2024/jama.2024.23898/.ai_paper_validation/final_report_1_5_3.md</x:v>
      </x:c>
      <x:c r="Q43" s="3" t="str">
        <x:v>C006</x:v>
      </x:c>
      <x:c r="R43" s="3" t="str">
        <x:v>Pending Human Adjudication</x:v>
      </x:c>
      <x:c r="S43" s="3" t="str">
        <x:v>Table 2 reports a day-5 EQ-5D-5L contrast with a 95% CI excluding zero and P=.04, whereas Results says there was no statistically significant EQ-5D-5L difference between groups.</x:v>
      </x:c>
      <x:c r="T43" s="11" t="b">
        <x:v>1</x:v>
      </x:c>
      <x:c r="U43" s="3" t="str">
        <x:v>narrative_inference</x:v>
      </x:c>
      <x:c r="V43" s="3" t="str">
        <x:v>statistical_results</x:v>
      </x:c>
      <x:c r="W43" s="3" t="str">
        <x:v>Day-5 EQ-5D inference conflicts with blanket no-difference prose</x:v>
      </x:c>
      <x:c r="X43" s="3" t="str">
        <x:v>2024</x:v>
      </x:c>
      <x:c r="Y43" s="3" t="str">
        <x:v>meta_report/consistency_reclassification_2026-09-04/reclassified_candidates.json</x:v>
      </x:c>
      <x:c r="Z43" s="3" t="str">
        <x:v>S_W</x:v>
      </x:c>
      <x:c r="AA43" s="3" t="str">
        <x:v>statistical_results</x:v>
      </x:c>
      <x:c r="AB43" s="3" t="str">
        <x:v>retain</x:v>
      </x:c>
    </x:row>
    <x:row r="44" ht="90" customHeight="1">
      <x:c r="A44" s="12" t="b">
        <x:v>0</x:v>
      </x:c>
      <x:c r="B44" s="6" t="str">
        <x:v>Mixed report-plan and main-results-supplement labels; article could use shorthand or describe an extreme-level contrast. Distinct from C004's numerical cutpoints.</x:v>
      </x:c>
      <x:c r="C44" s="12" t="b">
        <x:v>1</x:v>
      </x:c>
      <x:c r="D44" s="6" t="str">
        <x:v>Measure, label, or scale inconsistency</x:v>
      </x:c>
      <x:c r="E44" s="12" t="b">
        <x:v>1</x:v>
      </x:c>
      <x:c r="F44" s="6" t="str">
        <x:v>C007</x:v>
      </x:c>
      <x:c r="G44" s="6" t="str">
        <x:v>2024::jama.2024.23898::C007</x:v>
      </x:c>
      <x:c r="H44" s="6"/>
      <x:c r="I44" s="6" t="str">
        <x:v>main article — PDF p. 5; SAP — PDF p. 15; results supplement — PDF p. 2.</x:v>
      </x:c>
      <x:c r="J44" s="12" t="b">
        <x:v>0</x:v>
      </x:c>
      <x:c r="K44" s="6" t="str">
        <x:v>jama.2024.23898</x:v>
      </x:c>
      <x:c r="L44" s="6" t="str">
        <x:v>analysis_specification</x:v>
      </x:c>
      <x:c r="M44" s="6" t="str">
        <x:v>P_R</x:v>
      </x:c>
      <x:c r="N44" s="6" t="str">
        <x:v>Main Methods callsERAS high versus low, but SAP and reported eFigure identify high/moderate/low for the displayed interaction.</x:v>
      </x:c>
      <x:c r="O44" s="6" t="str">
        <x:v>../../2024/jama.2024.23898/.ai_paper_validation/final_report_1_5_3.html</x:v>
      </x:c>
      <x:c r="P44" s="6" t="str">
        <x:v>2024/jama.2024.23898/.ai_paper_validation/final_report_1_5_3.md</x:v>
      </x:c>
      <x:c r="Q44" s="6" t="str">
        <x:v>C007</x:v>
      </x:c>
      <x:c r="R44" s="6" t="str">
        <x:v>Pending Human Adjudication</x:v>
      </x:c>
      <x:c r="S44" s="6" t="str">
        <x:v>Article Methods calls the ERAS subgroup “high vs low,” while the SAP and eFigure name high, moderate, and low strata for the displayed interaction.</x:v>
      </x:c>
      <x:c r="T44" s="12" t="b">
        <x:v>1</x:v>
      </x:c>
      <x:c r="U44" s="6" t="str">
        <x:v>subgroup_levels</x:v>
      </x:c>
      <x:c r="V44" s="6" t="str">
        <x:v>protocol_report</x:v>
      </x:c>
      <x:c r="W44" s="6" t="str">
        <x:v>ERAS subgroup is labeled as two levels versus three levels</x:v>
      </x:c>
      <x:c r="X44" s="6" t="str">
        <x:v>2024</x:v>
      </x:c>
      <x:c r="Y44" s="6" t="str">
        <x:v>meta_report/consistency_reclassification_2026-09-04/reclassified_candidates.json</x:v>
      </x:c>
      <x:c r="Z44" s="6" t="str">
        <x:v>P_R</x:v>
      </x:c>
      <x:c r="AA44" s="6" t="str">
        <x:v>protocol_report</x:v>
      </x:c>
      <x:c r="AB44" s="6" t="str">
        <x:v>retain</x:v>
      </x:c>
    </x:row>
    <x:row r="45" ht="90" customHeight="1">
      <x:c r="A45" s="11" t="b">
        <x:v>0</x:v>
      </x:c>
      <x:c r="B45" s="3"/>
      <x:c r="C45" s="11" t="b">
        <x:v>0</x:v>
      </x:c>
      <x:c r="D45" s="3" t="str">
        <x:v>Denominator, proportion, or total inconsistency</x:v>
      </x:c>
      <x:c r="E45" s="11" t="b">
        <x:v>0</x:v>
      </x:c>
      <x:c r="F45" s="3" t="str">
        <x:v>C001</x:v>
      </x:c>
      <x:c r="G45" s="3" t="str">
        <x:v>2024::jama.2024.25786::C001</x:v>
      </x:c>
      <x:c r="H45" s="3"/>
      <x:c r="I45" s="3" t="str">
        <x:v>Supplement 2, eTable 2, PDF p. 15, liberal oxygen group, walk-in transport row.</x:v>
      </x:c>
      <x:c r="J45" s="11" t="b">
        <x:v>0</x:v>
      </x:c>
      <x:c r="K45" s="3" t="str">
        <x:v>jama.2024.25786</x:v>
      </x:c>
      <x:c r="L45" s="3"/>
      <x:c r="M45" s="3" t="str">
        <x:v>S_W</x:v>
      </x:c>
      <x:c r="N45" s="3" t="str">
        <x:v>Results-supplement eTable2 pairs4/743 with5.3%, whereas the printed fraction gives0.5%.</x:v>
      </x:c>
      <x:c r="O45" s="3" t="str">
        <x:v>../../2024/jama.2024.25786/.ai_paper_validation/final_report_1_5_3.html</x:v>
      </x:c>
      <x:c r="P45" s="3" t="str">
        <x:v>2024/jama.2024.25786/.ai_paper_validation/final_report_1_5_3.md</x:v>
      </x:c>
      <x:c r="Q45" s="3" t="str">
        <x:v>C001</x:v>
      </x:c>
      <x:c r="R45" s="3" t="str">
        <x:v>Pending Human Adjudication</x:v>
      </x:c>
      <x:c r="S45" s="3" t="str">
        <x:v>The liberal-group walk-in transport cell does not reconcile under its printed count/total/percentage format.</x:v>
      </x:c>
      <x:c r="T45" s="11" t="b">
        <x:v>1</x:v>
      </x:c>
      <x:c r="U45" s="3" t="str">
        <x:v>count_percentage</x:v>
      </x:c>
      <x:c r="V45" s="3" t="str">
        <x:v>statistical_results</x:v>
      </x:c>
      <x:c r="W45" s="3" t="str">
        <x:v>Liberal walk-in transport percentage does not reconcile with 4/743</x:v>
      </x:c>
      <x:c r="X45" s="3" t="str">
        <x:v>2024</x:v>
      </x:c>
      <x:c r="Y45" s="3" t="str">
        <x:v>meta_report/consistency_reclassification_2026-09-04/reclassified_candidates.json</x:v>
      </x:c>
      <x:c r="Z45" s="3" t="str">
        <x:v>S_W</x:v>
      </x:c>
      <x:c r="AA45" s="3" t="str">
        <x:v>statistical_results</x:v>
      </x:c>
      <x:c r="AB45" s="3" t="str">
        <x:v>retain</x:v>
      </x:c>
    </x:row>
    <x:row r="46" ht="90" customHeight="1">
      <x:c r="A46" s="12" t="b">
        <x:v>0</x:v>
      </x:c>
      <x:c r="B46" s="6"/>
      <x:c r="C46" s="12" t="b">
        <x:v>0</x:v>
      </x:c>
      <x:c r="D46" s="6" t="str">
        <x:v>Denominator, proportion, or total inconsistency</x:v>
      </x:c>
      <x:c r="E46" s="12" t="b">
        <x:v>0</x:v>
      </x:c>
      <x:c r="F46" s="6" t="str">
        <x:v>C002</x:v>
      </x:c>
      <x:c r="G46" s="6" t="str">
        <x:v>2024::jama.2024.25786::C002</x:v>
      </x:c>
      <x:c r="H46" s="6"/>
      <x:c r="I46" s="6" t="str">
        <x:v>Supplement 2, eTable 2, PDF p. 15, liberal oxygen group, vascular surgery row.</x:v>
      </x:c>
      <x:c r="J46" s="12" t="b">
        <x:v>0</x:v>
      </x:c>
      <x:c r="K46" s="6" t="str">
        <x:v>jama.2024.25786</x:v>
      </x:c>
      <x:c r="L46" s="6"/>
      <x:c r="M46" s="6" t="str">
        <x:v>S_W</x:v>
      </x:c>
      <x:c r="N46" s="6" t="str">
        <x:v>Results-supplement eTable2 pairs0/747 with1.1%, inconsistent with its own count/total format.</x:v>
      </x:c>
      <x:c r="O46" s="6" t="str">
        <x:v>../../2024/jama.2024.25786/.ai_paper_validation/final_report_1_5_3.html</x:v>
      </x:c>
      <x:c r="P46" s="6" t="str">
        <x:v>2024/jama.2024.25786/.ai_paper_validation/final_report_1_5_3.md</x:v>
      </x:c>
      <x:c r="Q46" s="6" t="str">
        <x:v>C002</x:v>
      </x:c>
      <x:c r="R46" s="6" t="str">
        <x:v>Pending Human Adjudication</x:v>
      </x:c>
      <x:c r="S46" s="6" t="str">
        <x:v>The liberal vascular-surgery cell pairs a zero numerator with a nonzero percentage.</x:v>
      </x:c>
      <x:c r="T46" s="12" t="b">
        <x:v>1</x:v>
      </x:c>
      <x:c r="U46" s="6" t="str">
        <x:v>count_percentage</x:v>
      </x:c>
      <x:c r="V46" s="6" t="str">
        <x:v>statistical_results</x:v>
      </x:c>
      <x:c r="W46" s="6" t="str">
        <x:v>Liberal vascular-surgery percentage is nonzero with a printed zero numerator</x:v>
      </x:c>
      <x:c r="X46" s="6" t="str">
        <x:v>2024</x:v>
      </x:c>
      <x:c r="Y46" s="6" t="str">
        <x:v>meta_report/consistency_reclassification_2026-09-04/reclassified_candidates.json</x:v>
      </x:c>
      <x:c r="Z46" s="6" t="str">
        <x:v>S_W</x:v>
      </x:c>
      <x:c r="AA46" s="6" t="str">
        <x:v>statistical_results</x:v>
      </x:c>
      <x:c r="AB46" s="6" t="str">
        <x:v>retain</x:v>
      </x:c>
    </x:row>
    <x:row r="47" ht="90" customHeight="1">
      <x:c r="A47" s="11" t="b">
        <x:v>0</x:v>
      </x:c>
      <x:c r="B47" s="3" t="str">
        <x:v>Original cross-document category is within one non-plan PDF; precise model identity remains conditional.</x:v>
      </x:c>
      <x:c r="C47" s="11" t="b">
        <x:v>0</x:v>
      </x:c>
      <x:c r="D47" s="3" t="str">
        <x:v>Cross-document numeric inconsistency</x:v>
      </x:c>
      <x:c r="E47" s="11" t="b">
        <x:v>0</x:v>
      </x:c>
      <x:c r="F47" s="3" t="str">
        <x:v>C003</x:v>
      </x:c>
      <x:c r="G47" s="3" t="str">
        <x:v>2024::jama.2024.25786::C003</x:v>
      </x:c>
      <x:c r="H47" s="3"/>
      <x:c r="I47" s="3" t="str">
        <x:v>Supplement 2, eTable 4, PDF p. 17, further-adjusted primary outcome; Supplement 2, eTable 7, PDF p. 20, all-patient adjusted odds ratio; relevant methods Main article, PDF p. 5.</x:v>
      </x:c>
      <x:c r="J47" s="11" t="b">
        <x:v>1</x:v>
      </x:c>
      <x:c r="K47" s="3" t="str">
        <x:v>jama.2024.25786</x:v>
      </x:c>
      <x:c r="L47" s="3"/>
      <x:c r="M47" s="3" t="str">
        <x:v>S_W</x:v>
      </x:c>
      <x:c r="N47" s="3" t="str">
        <x:v>Matched eTables4 and7 within the same results supplement print upper95% limits1.41 and1.39 forOR0.98. Main methods only provide model context.</x:v>
      </x:c>
      <x:c r="O47" s="3" t="str">
        <x:v>../../2024/jama.2024.25786/.ai_paper_validation/final_report_1_5_3.html</x:v>
      </x:c>
      <x:c r="P47" s="3" t="str">
        <x:v>2024/jama.2024.25786/.ai_paper_validation/final_report_1_5_3.md</x:v>
      </x:c>
      <x:c r="Q47" s="3" t="str">
        <x:v>C003</x:v>
      </x:c>
      <x:c r="R47" s="3" t="str">
        <x:v>Pending Human Adjudication</x:v>
      </x:c>
      <x:c r="S47" s="3" t="str">
        <x:v>Two apparently matched all-patient adjusted results show different displayed upper confidence limits without a table-specific model distinction.</x:v>
      </x:c>
      <x:c r="T47" s="11" t="b">
        <x:v>1</x:v>
      </x:c>
      <x:c r="U47" s="3" t="str">
        <x:v>interval_repeat</x:v>
      </x:c>
      <x:c r="V47" s="3" t="str">
        <x:v>report_internal_inconsistency</x:v>
      </x:c>
      <x:c r="W47" s="3" t="str">
        <x:v>Matched all-patient adjusted confidence-interval upper limit differs between eTables 4 and 7</x:v>
      </x:c>
      <x:c r="X47" s="3" t="str">
        <x:v>2024</x:v>
      </x:c>
      <x:c r="Y47" s="3" t="str">
        <x:v>meta_report/consistency_reclassification_2026-09-04/reclassified_candidates.json</x:v>
      </x:c>
      <x:c r="Z47" s="3" t="str">
        <x:v>S_W</x:v>
      </x:c>
      <x:c r="AA47" s="3" t="str">
        <x:v>report_internal_inconsistency</x:v>
      </x:c>
      <x:c r="AB47" s="3" t="str">
        <x:v>retain</x:v>
      </x:c>
    </x:row>
    <x:row r="48" ht="90" customHeight="1">
      <x:c r="A48" s="12" t="b">
        <x:v>0</x:v>
      </x:c>
      <x:c r="B48" s="6" t="str">
        <x:v>Mixed cross-file repeated percentage and within-table arithmetic relationship.</x:v>
      </x:c>
      <x:c r="C48" s="12" t="b">
        <x:v>0</x:v>
      </x:c>
      <x:c r="D48" s="6" t="str">
        <x:v>Cross-document numeric inconsistency</x:v>
      </x:c>
      <x:c r="E48" s="12" t="b">
        <x:v>1</x:v>
      </x:c>
      <x:c r="F48" s="6" t="str">
        <x:v>C004</x:v>
      </x:c>
      <x:c r="G48" s="6" t="str">
        <x:v>2024::jama.2024.25786::C004</x:v>
      </x:c>
      <x:c r="H48" s="6"/>
      <x:c r="I48" s="6" t="str">
        <x:v>Main article, Figure 4, PDF p. 8, AIS score less than 3; Supplement 2, eTable 7, PDF p. 20, AIS less than 3.</x:v>
      </x:c>
      <x:c r="J48" s="12" t="b">
        <x:v>1</x:v>
      </x:c>
      <x:c r="K48" s="6" t="str">
        <x:v>jama.2024.25786</x:v>
      </x:c>
      <x:c r="L48" s="6"/>
      <x:c r="M48" s="6" t="str">
        <x:v>S_C</x:v>
      </x:c>
      <x:c r="N48" s="6" t="str">
        <x:v>Main Figure4 gives48/473(10.1) while results eTable7 gives48/473(9.2), also inconsistent with its own fraction.</x:v>
      </x:c>
      <x:c r="O48" s="6" t="str">
        <x:v>../../2024/jama.2024.25786/.ai_paper_validation/final_report_1_5_3.html</x:v>
      </x:c>
      <x:c r="P48" s="6" t="str">
        <x:v>2024/jama.2024.25786/.ai_paper_validation/final_report_1_5_3.md</x:v>
      </x:c>
      <x:c r="Q48" s="6" t="str">
        <x:v>C004</x:v>
      </x:c>
      <x:c r="R48" s="6" t="str">
        <x:v>Pending Human Adjudication</x:v>
      </x:c>
      <x:c r="S48" s="6" t="str">
        <x:v>The eTable 7 liberal AIS-less-than-3 percentage conflicts with its printed count/denominator and the matched Figure 4 display.</x:v>
      </x:c>
      <x:c r="T48" s="12" t="b">
        <x:v>1</x:v>
      </x:c>
      <x:c r="U48" s="6" t="str">
        <x:v>percentage_repeat</x:v>
      </x:c>
      <x:c r="V48" s="6" t="str">
        <x:v>report_internal_inconsistency</x:v>
      </x:c>
      <x:c r="W48" s="6" t="str">
        <x:v>AIS less-than-3 subgroup percentage conflicts with its count and matched Figure 4</x:v>
      </x:c>
      <x:c r="X48" s="6" t="str">
        <x:v>2024</x:v>
      </x:c>
      <x:c r="Y48" s="6" t="str">
        <x:v>meta_report/consistency_reclassification_2026-09-04/reclassified_candidates.json</x:v>
      </x:c>
      <x:c r="Z48" s="6" t="str">
        <x:v>S_C</x:v>
      </x:c>
      <x:c r="AA48" s="6" t="str">
        <x:v>report_internal_inconsistency</x:v>
      </x:c>
      <x:c r="AB48" s="6" t="str">
        <x:v>retain</x:v>
      </x:c>
    </x:row>
    <x:row r="49" ht="90" customHeight="1">
      <x:c r="A49" s="11" t="b">
        <x:v>0</x:v>
      </x:c>
      <x:c r="B49" s="3" t="str">
        <x:v>Mixed cross-file and internal arithmetic; unspecified truncation could explain20.2.</x:v>
      </x:c>
      <x:c r="C49" s="11" t="b">
        <x:v>0</x:v>
      </x:c>
      <x:c r="D49" s="3" t="str">
        <x:v>Cross-document numeric inconsistency</x:v>
      </x:c>
      <x:c r="E49" s="11" t="b">
        <x:v>1</x:v>
      </x:c>
      <x:c r="F49" s="3" t="str">
        <x:v>C005</x:v>
      </x:c>
      <x:c r="G49" s="3" t="str">
        <x:v>2024::jama.2024.25786::C005</x:v>
      </x:c>
      <x:c r="H49" s="3"/>
      <x:c r="I49" s="3" t="str">
        <x:v>Main article, Figure 4, PDF p. 8, known lung disease, yes; Supplement 2, eTable 7, PDF p. 20, known lung disease, yes.</x:v>
      </x:c>
      <x:c r="J49" s="11" t="b">
        <x:v>1</x:v>
      </x:c>
      <x:c r="K49" s="3" t="str">
        <x:v>jama.2024.25786</x:v>
      </x:c>
      <x:c r="L49" s="3"/>
      <x:c r="M49" s="3" t="str">
        <x:v>S_C</x:v>
      </x:c>
      <x:c r="N49" s="3" t="str">
        <x:v>Main Figure4 gives14/69(20.3) while results eTable7 gives14/69(20.2); the latter differs from ordinary nearest rounding.</x:v>
      </x:c>
      <x:c r="O49" s="3" t="str">
        <x:v>../../2024/jama.2024.25786/.ai_paper_validation/final_report_1_5_3.html</x:v>
      </x:c>
      <x:c r="P49" s="3" t="str">
        <x:v>2024/jama.2024.25786/.ai_paper_validation/final_report_1_5_3.md</x:v>
      </x:c>
      <x:c r="Q49" s="3" t="str">
        <x:v>C005</x:v>
      </x:c>
      <x:c r="R49" s="3" t="str">
        <x:v>Pending Human Adjudication</x:v>
      </x:c>
      <x:c r="S49" s="3" t="str">
        <x:v>The eTable 7 liberal known-lung-disease percentage differs from the matched Figure 4 percentage despite the same printed count and denominator.</x:v>
      </x:c>
      <x:c r="T49" s="11" t="b">
        <x:v>1</x:v>
      </x:c>
      <x:c r="U49" s="3" t="str">
        <x:v>rounding_repeat</x:v>
      </x:c>
      <x:c r="V49" s="3" t="str">
        <x:v>report_internal_inconsistency</x:v>
      </x:c>
      <x:c r="W49" s="3" t="str">
        <x:v>Known-lung-disease subgroup percentage conflicts with its count and matched Figure 4</x:v>
      </x:c>
      <x:c r="X49" s="3" t="str">
        <x:v>2024</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t="str">
        <x:v>Mixed cross-file counts and within-table total; four Swiss-law consent omissions per arm offer a plausible but unlabelled restriction.</x:v>
      </x:c>
      <x:c r="C50" s="12" t="b">
        <x:v>0</x:v>
      </x:c>
      <x:c r="D50" s="6" t="str">
        <x:v>Cross-document numeric inconsistency</x:v>
      </x:c>
      <x:c r="E50" s="12" t="b">
        <x:v>1</x:v>
      </x:c>
      <x:c r="F50" s="6" t="str">
        <x:v>C006</x:v>
      </x:c>
      <x:c r="G50" s="6" t="str">
        <x:v>2024::jama.2024.25786::C006</x:v>
      </x:c>
      <x:c r="H50" s="6"/>
      <x:c r="I50" s="6" t="str">
        <x:v>Supplement 2, eTable 10, PDF p. 24, exclusion after randomization; Main article, Figure 1, PDF p. 3, excluded after randomization.</x:v>
      </x:c>
      <x:c r="J50" s="12" t="b">
        <x:v>1</x:v>
      </x:c>
      <x:c r="K50" s="6" t="str">
        <x:v>jama.2024.25786</x:v>
      </x:c>
      <x:c r="L50" s="6"/>
      <x:c r="M50" s="6" t="str">
        <x:v>S_C</x:v>
      </x:c>
      <x:c r="N50" s="6" t="str">
        <x:v>Results eTable10 gives55+67=122 against its ownN130, while main Figure1 gives59+71=130.</x:v>
      </x:c>
      <x:c r="O50" s="6" t="str">
        <x:v>../../2024/jama.2024.25786/.ai_paper_validation/final_report_1_5_3.html</x:v>
      </x:c>
      <x:c r="P50" s="6" t="str">
        <x:v>2024/jama.2024.25786/.ai_paper_validation/final_report_1_5_3.md</x:v>
      </x:c>
      <x:c r="Q50" s="6" t="str">
        <x:v>C006</x:v>
      </x:c>
      <x:c r="R50" s="6" t="str">
        <x:v>Pending Human Adjudication</x:v>
      </x:c>
      <x:c r="S50" s="6" t="str">
        <x:v>eTable 10’s postrandomization-exclusion total and group counts do not reconcile with each other or with Figure 1 without an explained population restriction.</x:v>
      </x:c>
      <x:c r="T50" s="12" t="b">
        <x:v>1</x:v>
      </x:c>
      <x:c r="U50" s="6" t="str">
        <x:v>flow_total</x:v>
      </x:c>
      <x:c r="V50" s="6" t="str">
        <x:v>report_internal_inconsistency</x:v>
      </x:c>
      <x:c r="W50" s="6" t="str">
        <x:v>Postrandomization-exclusion total and group counts do not reconcile across eTable 10 and Figure 1</x:v>
      </x:c>
      <x:c r="X50" s="6" t="str">
        <x:v>2024</x:v>
      </x:c>
      <x:c r="Y50" s="6" t="str">
        <x:v>meta_report/consistency_reclassification_2026-09-04/reclassified_candidates.json</x:v>
      </x:c>
      <x:c r="Z50" s="6" t="str">
        <x:v>S_C</x:v>
      </x:c>
      <x:c r="AA50" s="6" t="str">
        <x:v>report_internal_inconsistency</x:v>
      </x:c>
      <x:c r="AB50" s="6" t="str">
        <x:v>retain</x:v>
      </x:c>
    </x:row>
    <x:row r="51" ht="90" customHeight="1">
      <x:c r="A51" s="11" t="b">
        <x:v>0</x:v>
      </x:c>
      <x:c r="B51" s="3" t="str">
        <x:v>Main is corroborative; the two unassigned cases are already explained by a footnote, so that two-person gap is not another discrepancy.</x:v>
      </x:c>
      <x:c r="C51" s="11" t="b">
        <x:v>0</x:v>
      </x:c>
      <x:c r="D51" s="3" t="str">
        <x:v>Denominator, proportion, or total inconsistency</x:v>
      </x:c>
      <x:c r="E51" s="11" t="b">
        <x:v>0</x:v>
      </x:c>
      <x:c r="F51" s="3" t="str">
        <x:v>C007</x:v>
      </x:c>
      <x:c r="G51" s="3" t="str">
        <x:v>2024::jama.2024.25786::C007</x:v>
      </x:c>
      <x:c r="H51" s="3"/>
      <x:c r="I51" s="3" t="str">
        <x:v>Supplement 2, eTable 10, PDF p. 24, secondary exclusion; count comparator Main article, Figure 1, PDF p. 3.</x:v>
      </x:c>
      <x:c r="J51" s="11" t="b">
        <x:v>0</x:v>
      </x:c>
      <x:c r="K51" s="3" t="str">
        <x:v>jama.2024.25786</x:v>
      </x:c>
      <x:c r="L51" s="3"/>
      <x:c r="M51" s="3" t="str">
        <x:v>S_W</x:v>
      </x:c>
      <x:c r="N51" s="3" t="str">
        <x:v>Results eTable10 pairs174/750 and165/758 with51%/49%, which instead partition339 cross-arm exclusions. Main Figure1 agrees with the counts.</x:v>
      </x:c>
      <x:c r="O51" s="3" t="str">
        <x:v>../../2024/jama.2024.25786/.ai_paper_validation/final_report_1_5_3.html</x:v>
      </x:c>
      <x:c r="P51" s="3" t="str">
        <x:v>2024/jama.2024.25786/.ai_paper_validation/final_report_1_5_3.md</x:v>
      </x:c>
      <x:c r="Q51" s="3" t="str">
        <x:v>C007</x:v>
      </x:c>
      <x:c r="R51" s="3" t="str">
        <x:v>Pending Human Adjudication</x:v>
      </x:c>
      <x:c r="S51" s="3" t="str">
        <x:v>eTable 10 pairs within-group denominators with percentages that instead partition the classified cross-group total.</x:v>
      </x:c>
      <x:c r="T51" s="11" t="b">
        <x:v>1</x:v>
      </x:c>
      <x:c r="U51" s="3" t="str">
        <x:v>denominator_estimand</x:v>
      </x:c>
      <x:c r="V51" s="3" t="str">
        <x:v>statistical_results</x:v>
      </x:c>
      <x:c r="W51" s="3" t="str">
        <x:v>Secondary-exclusion cells pair within-group denominators with cross-group partition percentages</x:v>
      </x:c>
      <x:c r="X51" s="3" t="str">
        <x:v>2024</x:v>
      </x:c>
      <x:c r="Y51" s="3" t="str">
        <x:v>meta_report/consistency_reclassification_2026-09-04/reclassified_candidates.json</x:v>
      </x:c>
      <x:c r="Z51" s="3" t="str">
        <x:v>S_W</x:v>
      </x:c>
      <x:c r="AA51" s="3" t="str">
        <x:v>statistical_results</x:v>
      </x:c>
      <x:c r="AB51" s="3" t="str">
        <x:v>retain</x:v>
      </x:c>
    </x:row>
    <x:row r="52" ht="90" customHeight="1">
      <x:c r="A52" s="12" t="b">
        <x:v>0</x:v>
      </x:c>
      <x:c r="B52" s="6" t="str">
        <x:v>Notation defect remains observed even though arithmetic reconciles; not a negated candidate.</x:v>
      </x:c>
      <x:c r="C52" s="12" t="b">
        <x:v>0</x:v>
      </x:c>
      <x:c r="D52" s="6" t="str">
        <x:v>Measure, label, or scale inconsistency</x:v>
      </x:c>
      <x:c r="E52" s="12" t="b">
        <x:v>0</x:v>
      </x:c>
      <x:c r="F52" s="6" t="str">
        <x:v>C008</x:v>
      </x:c>
      <x:c r="G52" s="6" t="str">
        <x:v>2024::jama.2024.25786::C008</x:v>
      </x:c>
      <x:c r="H52" s="6"/>
      <x:c r="I52" s="6" t="str">
        <x:v>Supplement 2, eTable 11, PDF p. 25, primary outcome with missing counted as event.</x:v>
      </x:c>
      <x:c r="J52" s="12" t="b">
        <x:v>0</x:v>
      </x:c>
      <x:c r="K52" s="6" t="str">
        <x:v>jama.2024.25786</x:v>
      </x:c>
      <x:c r="L52" s="6"/>
      <x:c r="M52" s="6" t="str">
        <x:v>S_W</x:v>
      </x:c>
      <x:c r="N52" s="6" t="str">
        <x:v>Results eTable11 prints135//750 with a doubled separator despite its own single-slash count convention; numerical18.0% reconciles.</x:v>
      </x:c>
      <x:c r="O52" s="6" t="str">
        <x:v>../../2024/jama.2024.25786/.ai_paper_validation/final_report_1_5_3.html</x:v>
      </x:c>
      <x:c r="P52" s="6" t="str">
        <x:v>2024/jama.2024.25786/.ai_paper_validation/final_report_1_5_3.md</x:v>
      </x:c>
      <x:c r="Q52" s="6" t="str">
        <x:v>C008</x:v>
      </x:c>
      <x:c r="R52" s="6" t="str">
        <x:v>Pending Human Adjudication</x:v>
      </x:c>
      <x:c r="S52" s="6" t="str">
        <x:v>The restrictive missing-as-event primary-outcome count has a doubled numerator/denominator separator despite otherwise reconciling numerically.</x:v>
      </x:c>
      <x:c r="T52" s="12" t="b">
        <x:v>1</x:v>
      </x:c>
      <x:c r="U52" s="6" t="str">
        <x:v>count_notation</x:v>
      </x:c>
      <x:c r="V52" s="6" t="str">
        <x:v>report_internal_inconsistency</x:v>
      </x:c>
      <x:c r="W52" s="6" t="str">
        <x:v>Missing-as-event primary count uses a doubled numerator/denominator separator</x:v>
      </x:c>
      <x:c r="X52" s="6" t="str">
        <x:v>2024</x:v>
      </x:c>
      <x:c r="Y52" s="6" t="str">
        <x:v>meta_report/consistency_reclassification_2026-09-04/reclassified_candidates.json</x:v>
      </x:c>
      <x:c r="Z52" s="6" t="str">
        <x:v>S_W</x:v>
      </x:c>
      <x:c r="AA52" s="6" t="str">
        <x:v>report_internal_inconsistency</x:v>
      </x:c>
      <x:c r="AB52" s="6" t="str">
        <x:v>retain</x:v>
      </x:c>
    </x:row>
    <x:row r="53" ht="90" customHeight="1">
      <x:c r="A53" s="11" t="b">
        <x:v>0</x:v>
      </x:c>
      <x:c r="B53" s="3"/>
      <x:c r="C53" s="11" t="b">
        <x:v>0</x:v>
      </x:c>
      <x:c r="D53" s="3" t="str">
        <x:v>Denominator, proportion, or total inconsistency</x:v>
      </x:c>
      <x:c r="E53" s="11" t="b">
        <x:v>0</x:v>
      </x:c>
      <x:c r="F53" s="3" t="str">
        <x:v>C001</x:v>
      </x:c>
      <x:c r="G53" s="3" t="str">
        <x:v>2024::jama.2024.4183::C001</x:v>
      </x:c>
      <x:c r="H53" s="3"/>
      <x:c r="I53" s="3" t="str">
        <x:v>Main article p. 1; Main article p. 6.</x:v>
      </x:c>
      <x:c r="J53" s="11" t="b">
        <x:v>0</x:v>
      </x:c>
      <x:c r="K53" s="3" t="str">
        <x:v>jama.2024.4183</x:v>
      </x:c>
      <x:c r="L53" s="3"/>
      <x:c r="M53" s="3" t="str">
        <x:v>S_W</x:v>
      </x:c>
      <x:c r="N53" s="3" t="str">
        <x:v>Main abstract phase2 allocations combine percentages based on191/157 and151/122, summing114%/115%; Figure2 supplies nonattender context.</x:v>
      </x:c>
      <x:c r="O53" s="3" t="str">
        <x:v>../../2024/jama.2024.4183/.ai_paper_validation/final_report_1_5_3.html</x:v>
      </x:c>
      <x:c r="P53" s="3" t="str">
        <x:v>2024/jama.2024.4183/.ai_paper_validation/final_report_1_5_3.md</x:v>
      </x:c>
      <x:c r="Q53" s="3" t="str">
        <x:v>C001</x:v>
      </x:c>
      <x:c r="R53" s="3" t="str">
        <x:v>Pending Human Adjudication</x:v>
      </x:c>
      <x:c r="S53" s="3" t="str">
        <x:v>Abstract phase-2 allocation percentages mix incompatible denominators.</x:v>
      </x:c>
      <x:c r="T53" s="11" t="b">
        <x:v>1</x:v>
      </x:c>
      <x:c r="U53" s="3" t="str">
        <x:v>denominator_population</x:v>
      </x:c>
      <x:c r="V53" s="3" t="str">
        <x:v>statistical_results</x:v>
      </x:c>
      <x:c r="W53" s="3" t="str">
        <x:v>Abstract phase-2 allocation percentages mix incompatible denominators</x:v>
      </x:c>
      <x:c r="X53" s="3" t="str">
        <x:v>2024</x:v>
      </x:c>
      <x:c r="Y53" s="3" t="str">
        <x:v>meta_report/consistency_reclassification_2026-09-04/reclassified_candidates.json</x:v>
      </x:c>
      <x:c r="Z53" s="3" t="str">
        <x:v>S_W</x:v>
      </x:c>
      <x:c r="AA53" s="3" t="str">
        <x:v>statistical_results</x:v>
      </x:c>
      <x:c r="AB53" s="3" t="str">
        <x:v>retain</x:v>
      </x:c>
    </x:row>
    <x:row r="54" ht="90" customHeight="1">
      <x:c r="A54" s="12" t="b">
        <x:v>0</x:v>
      </x:c>
      <x:c r="B54" s="6"/>
      <x:c r="C54" s="12" t="b">
        <x:v>0</x:v>
      </x:c>
      <x:c r="D54" s="6" t="str">
        <x:v>Denominator, proportion, or total inconsistency</x:v>
      </x:c>
      <x:c r="E54" s="12" t="b">
        <x:v>0</x:v>
      </x:c>
      <x:c r="F54" s="6" t="str">
        <x:v>C002</x:v>
      </x:c>
      <x:c r="G54" s="6" t="str">
        <x:v>2024::jama.2024.4183::C002</x:v>
      </x:c>
      <x:c r="H54" s="6"/>
      <x:c r="I54" s="6" t="str">
        <x:v>Main article p. 5, baseline Table.</x:v>
      </x:c>
      <x:c r="J54" s="12" t="b">
        <x:v>0</x:v>
      </x:c>
      <x:c r="K54" s="6" t="str">
        <x:v>jama.2024.4183</x:v>
      </x:c>
      <x:c r="L54" s="6"/>
      <x:c r="M54" s="6" t="str">
        <x:v>S_W</x:v>
      </x:c>
      <x:c r="N54" s="6" t="str">
        <x:v>Main baseline table gives105+145=250 within each n245 arm, and male145 does not yield57.1%.</x:v>
      </x:c>
      <x:c r="O54" s="6" t="str">
        <x:v>../../2024/jama.2024.4183/.ai_paper_validation/final_report_1_5_3.html</x:v>
      </x:c>
      <x:c r="P54" s="6" t="str">
        <x:v>2024/jama.2024.4183/.ai_paper_validation/final_report_1_5_3.md</x:v>
      </x:c>
      <x:c r="Q54" s="6" t="str">
        <x:v>C002</x:v>
      </x:c>
      <x:c r="R54" s="6" t="str">
        <x:v>Pending Human Adjudication</x:v>
      </x:c>
      <x:c r="S54" s="6" t="str">
        <x:v>Main baseline sex counts exceed both printed arm denominators.</x:v>
      </x:c>
      <x:c r="T54" s="12" t="b">
        <x:v>1</x:v>
      </x:c>
      <x:c r="U54" s="6" t="str">
        <x:v>count_total</x:v>
      </x:c>
      <x:c r="V54" s="6" t="str">
        <x:v>statistical_results</x:v>
      </x:c>
      <x:c r="W54" s="6" t="str">
        <x:v>Main baseline sex counts exceed both printed arm denominators</x:v>
      </x:c>
      <x:c r="X54" s="6" t="str">
        <x:v>2024</x:v>
      </x:c>
      <x:c r="Y54" s="6" t="str">
        <x:v>meta_report/consistency_reclassification_2026-09-04/reclassified_candidates.json</x:v>
      </x:c>
      <x:c r="Z54" s="6" t="str">
        <x:v>S_W</x:v>
      </x:c>
      <x:c r="AA54" s="6" t="str">
        <x:v>statistical_results</x:v>
      </x:c>
      <x:c r="AB54" s="6" t="str">
        <x:v>retain</x:v>
      </x:c>
    </x:row>
    <x:row r="55" ht="90" customHeight="1">
      <x:c r="A55" s="11" t="b">
        <x:v>0</x:v>
      </x:c>
      <x:c r="B55" s="3"/>
      <x:c r="C55" s="11" t="b">
        <x:v>0</x:v>
      </x:c>
      <x:c r="D55" s="3" t="str">
        <x:v>Denominator, proportion, or total inconsistency</x:v>
      </x:c>
      <x:c r="E55" s="11" t="b">
        <x:v>0</x:v>
      </x:c>
      <x:c r="F55" s="3" t="str">
        <x:v>C003</x:v>
      </x:c>
      <x:c r="G55" s="3" t="str">
        <x:v>2024::jama.2024.4183::C003</x:v>
      </x:c>
      <x:c r="H55" s="3"/>
      <x:c r="I55" s="3" t="str">
        <x:v>Main article p. 4; Main article p. 6.</x:v>
      </x:c>
      <x:c r="J55" s="11" t="b">
        <x:v>0</x:v>
      </x:c>
      <x:c r="K55" s="3" t="str">
        <x:v>jama.2024.4183</x:v>
      </x:c>
      <x:c r="L55" s="3"/>
      <x:c r="M55" s="3" t="str">
        <x:v>S_W</x:v>
      </x:c>
      <x:c r="N55" s="3" t="str">
        <x:v>Main initial randomized491 parent does not equal245+245=490 branches; later exclusion pertains to analysis total.</x:v>
      </x:c>
      <x:c r="O55" s="3" t="str">
        <x:v>../../2024/jama.2024.4183/.ai_paper_validation/final_report_1_5_3.html</x:v>
      </x:c>
      <x:c r="P55" s="3" t="str">
        <x:v>2024/jama.2024.4183/.ai_paper_validation/final_report_1_5_3.md</x:v>
      </x:c>
      <x:c r="Q55" s="3" t="str">
        <x:v>C003</x:v>
      </x:c>
      <x:c r="R55" s="3" t="str">
        <x:v>Pending Human Adjudication</x:v>
      </x:c>
      <x:c r="S55" s="3" t="str">
        <x:v>Displayed randomization total does not equal its two initial branches.</x:v>
      </x:c>
      <x:c r="T55" s="11" t="b">
        <x:v>1</x:v>
      </x:c>
      <x:c r="U55" s="3" t="str">
        <x:v>flow_total</x:v>
      </x:c>
      <x:c r="V55" s="3" t="str">
        <x:v>statistical_results</x:v>
      </x:c>
      <x:c r="W55" s="3" t="str">
        <x:v>Displayed randomization total does not equal its two initial branches</x:v>
      </x:c>
      <x:c r="X55" s="3" t="str">
        <x:v>2024</x:v>
      </x:c>
      <x:c r="Y55" s="3" t="str">
        <x:v>meta_report/consistency_reclassification_2026-09-04/reclassified_candidates.json</x:v>
      </x:c>
      <x:c r="Z55" s="3" t="str">
        <x:v>S_W</x:v>
      </x:c>
      <x:c r="AA55" s="3" t="str">
        <x:v>statistical_results</x:v>
      </x:c>
      <x:c r="AB55" s="3" t="str">
        <x:v>retain</x:v>
      </x:c>
    </x:row>
    <x:row r="56" ht="90" customHeight="1">
      <x:c r="A56" s="12" t="b">
        <x:v>0</x:v>
      </x:c>
      <x:c r="B56" s="6"/>
      <x:c r="C56" s="12" t="b">
        <x:v>0</x:v>
      </x:c>
      <x:c r="D56" s="6" t="str">
        <x:v>Analysis-unit or population inconsistency</x:v>
      </x:c>
      <x:c r="E56" s="12" t="b">
        <x:v>0</x:v>
      </x:c>
      <x:c r="F56" s="6" t="str">
        <x:v>C004</x:v>
      </x:c>
      <x:c r="G56" s="6" t="str">
        <x:v>2024::jama.2024.4183::C004</x:v>
      </x:c>
      <x:c r="H56" s="6"/>
      <x:c r="I56" s="6" t="str">
        <x:v>Main article p. 1; Main article p. 4; Main article p. 6.</x:v>
      </x:c>
      <x:c r="J56" s="12" t="b">
        <x:v>0</x:v>
      </x:c>
      <x:c r="K56" s="6" t="str">
        <x:v>jama.2024.4183</x:v>
      </x:c>
      <x:c r="L56" s="6"/>
      <x:c r="M56" s="6" t="str">
        <x:v>S_W</x:v>
      </x:c>
      <x:c r="N56" s="6" t="str">
        <x:v>Main Results calls the same40+35 continuation-assigned patients attendees, whereas abstract/Figure2 call them nonattendees.</x:v>
      </x:c>
      <x:c r="O56" s="6" t="str">
        <x:v>../../2024/jama.2024.4183/.ai_paper_validation/final_report_1_5_3.html</x:v>
      </x:c>
      <x:c r="P56" s="6" t="str">
        <x:v>2024/jama.2024.4183/.ai_paper_validation/final_report_1_5_3.md</x:v>
      </x:c>
      <x:c r="Q56" s="6" t="str">
        <x:v>C004</x:v>
      </x:c>
      <x:c r="R56" s="6" t="str">
        <x:v>Pending Human Adjudication</x:v>
      </x:c>
      <x:c r="S56" s="6" t="str">
        <x:v>Results reverses attendance status for continuation assignments.</x:v>
      </x:c>
      <x:c r="T56" s="12" t="b">
        <x:v>1</x:v>
      </x:c>
      <x:c r="U56" s="6" t="str">
        <x:v>flow_population_label</x:v>
      </x:c>
      <x:c r="V56" s="6" t="str">
        <x:v>statistical_results</x:v>
      </x:c>
      <x:c r="W56" s="6" t="str">
        <x:v>Results reverses attendance status for continuation assignments</x:v>
      </x:c>
      <x:c r="X56" s="6" t="str">
        <x:v>2024</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Mixed cross-file/internal repetitions if abstract parenthetical applies to both rescue strategies; it may apply only to switch. Related to C006 but a distinct contrast.</x:v>
      </x:c>
      <x:c r="C57" s="11" t="b">
        <x:v>0</x:v>
      </x:c>
      <x:c r="D57" s="3" t="str">
        <x:v>Statistical reporting inconsistency</x:v>
      </x:c>
      <x:c r="E57" s="11" t="b">
        <x:v>1</x:v>
      </x:c>
      <x:c r="F57" s="3" t="str">
        <x:v>C005</x:v>
      </x:c>
      <x:c r="G57" s="3" t="str">
        <x:v>2024::jama.2024.4183::C005</x:v>
      </x:c>
      <x:c r="H57" s="3"/>
      <x:c r="I57" s="3" t="str">
        <x:v>Main article p. 1; Main article p. 5; Supplement 2 p. 21.</x:v>
      </x:c>
      <x:c r="J57" s="11" t="b">
        <x:v>0</x:v>
      </x:c>
      <x:c r="K57" s="3" t="str">
        <x:v>jama.2024.4183</x:v>
      </x:c>
      <x:c r="L57" s="3"/>
      <x:c r="M57" s="3" t="str">
        <x:v>S_C</x:v>
      </x:c>
      <x:c r="N57" s="3" t="str">
        <x:v>Conditional abstract interval6%-11% for increasedCNRT differs from2%-11% explicitly printed in main Results and results eTable4.</x:v>
      </x:c>
      <x:c r="O57" s="3" t="str">
        <x:v>../../2024/jama.2024.4183/.ai_paper_validation/final_report_1_5_3.html</x:v>
      </x:c>
      <x:c r="P57" s="3" t="str">
        <x:v>2024/jama.2024.4183/.ai_paper_validation/final_report_1_5_3.md</x:v>
      </x:c>
      <x:c r="Q57" s="3" t="str">
        <x:v>C005</x:v>
      </x:c>
      <x:c r="R57" s="3" t="str">
        <x:v>Pending Human Adjudication</x:v>
      </x:c>
      <x:c r="S57" s="3" t="str">
        <x:v>CNRT dose-increase primary CrI differs between abstract and matched results.</x:v>
      </x:c>
      <x:c r="T57" s="11" t="b">
        <x:v>1</x:v>
      </x:c>
      <x:c r="U57" s="3" t="str">
        <x:v>credible_interval_repeat</x:v>
      </x:c>
      <x:c r="V57" s="3" t="str">
        <x:v>statistical_results</x:v>
      </x:c>
      <x:c r="W57" s="3" t="str">
        <x:v>CNRT dose-increase primary CrI differs between abstract and matched results</x:v>
      </x:c>
      <x:c r="X57" s="3" t="str">
        <x:v>2024</x:v>
      </x:c>
      <x:c r="Y57" s="3" t="str">
        <x:v>meta_report/consistency_reclassification_2026-09-04/reclassified_candidates.json</x:v>
      </x:c>
      <x:c r="Z57" s="3" t="str">
        <x:v>S_C</x:v>
      </x:c>
      <x:c r="AA57" s="3" t="str">
        <x:v>statistical_results</x:v>
      </x:c>
      <x:c r="AB57" s="3" t="str">
        <x:v>retain</x:v>
      </x:c>
    </x:row>
    <x:row r="58" ht="90" customHeight="1">
      <x:c r="A58" s="12" t="b">
        <x:v>0</x:v>
      </x:c>
      <x:c r="B58" s="6" t="str">
        <x:v>Mixed cross-file and internal repetitions; separate switch contrast from C005.</x:v>
      </x:c>
      <x:c r="C58" s="12" t="b">
        <x:v>0</x:v>
      </x:c>
      <x:c r="D58" s="6" t="str">
        <x:v>Statistical reporting inconsistency</x:v>
      </x:c>
      <x:c r="E58" s="12" t="b">
        <x:v>1</x:v>
      </x:c>
      <x:c r="F58" s="6" t="str">
        <x:v>C006</x:v>
      </x:c>
      <x:c r="G58" s="6" t="str">
        <x:v>2024::jama.2024.4183::C006</x:v>
      </x:c>
      <x:c r="H58" s="6"/>
      <x:c r="I58" s="6" t="str">
        <x:v>Main article p. 1; Main article p. 5; Supplement 2 p. 21.</x:v>
      </x:c>
      <x:c r="J58" s="12" t="b">
        <x:v>0</x:v>
      </x:c>
      <x:c r="K58" s="6" t="str">
        <x:v>jama.2024.4183</x:v>
      </x:c>
      <x:c r="L58" s="6"/>
      <x:c r="M58" s="6" t="str">
        <x:v>S_C</x:v>
      </x:c>
      <x:c r="N58" s="6" t="str">
        <x:v>CNRT-switch interval is6%-11% in main abstract,2%-11% in main Results, and2%-10% in results eTable4.</x:v>
      </x:c>
      <x:c r="O58" s="6" t="str">
        <x:v>../../2024/jama.2024.4183/.ai_paper_validation/final_report_1_5_3.html</x:v>
      </x:c>
      <x:c r="P58" s="6" t="str">
        <x:v>2024/jama.2024.4183/.ai_paper_validation/final_report_1_5_3.md</x:v>
      </x:c>
      <x:c r="Q58" s="6" t="str">
        <x:v>C006</x:v>
      </x:c>
      <x:c r="R58" s="6" t="str">
        <x:v>Pending Human Adjudication</x:v>
      </x:c>
      <x:c r="S58" s="6" t="str">
        <x:v>CNRT switch primary CrI differs across abstract, Results, and eTable.</x:v>
      </x:c>
      <x:c r="T58" s="12" t="b">
        <x:v>1</x:v>
      </x:c>
      <x:c r="U58" s="6" t="str">
        <x:v>credible_interval_repeat</x:v>
      </x:c>
      <x:c r="V58" s="6" t="str">
        <x:v>statistical_results</x:v>
      </x:c>
      <x:c r="W58" s="6" t="str">
        <x:v>CNRT switch primary CrI differs across abstract, Results, and eTable</x:v>
      </x:c>
      <x:c r="X58" s="6" t="str">
        <x:v>2024</x:v>
      </x:c>
      <x:c r="Y58" s="6" t="str">
        <x:v>meta_report/consistency_reclassification_2026-09-04/reclassified_candidates.json</x:v>
      </x:c>
      <x:c r="Z58" s="6" t="str">
        <x:v>S_C</x:v>
      </x:c>
      <x:c r="AA58" s="6" t="str">
        <x:v>statistical_results</x:v>
      </x:c>
      <x:c r="AB58" s="6" t="str">
        <x:v>retain</x:v>
      </x:c>
    </x:row>
    <x:row r="59" ht="90" customHeight="1">
      <x:c r="A59" s="11" t="b">
        <x:v>0</x:v>
      </x:c>
      <x:c r="B59" s="3" t="str">
        <x:v>Mixed cross-file sign/reference mismatch and main internal narrative direction mismatch.</x:v>
      </x:c>
      <x:c r="C59" s="11" t="b">
        <x:v>0</x:v>
      </x:c>
      <x:c r="D59" s="3" t="str">
        <x:v>Measure, label, or scale inconsistency</x:v>
      </x:c>
      <x:c r="E59" s="11" t="b">
        <x:v>1</x:v>
      </x:c>
      <x:c r="F59" s="3" t="str">
        <x:v>C007</x:v>
      </x:c>
      <x:c r="G59" s="3" t="str">
        <x:v>2024::jama.2024.4183::C007</x:v>
      </x:c>
      <x:c r="H59" s="3"/>
      <x:c r="I59" s="3" t="str">
        <x:v>Main article p. 1; Main article p. 5; Main article p. 7; Supplement 2 p. 21.</x:v>
      </x:c>
      <x:c r="J59" s="11" t="b">
        <x:v>0</x:v>
      </x:c>
      <x:c r="K59" s="3" t="str">
        <x:v>jama.2024.4183</x:v>
      </x:c>
      <x:c r="L59" s="3"/>
      <x:c r="M59" s="3" t="str">
        <x:v>S_C</x:v>
      </x:c>
      <x:c r="N59" s="3" t="str">
        <x:v>Main switch-versus-continuationRD-3% differs from+3% in results eTable4, while main text calls continuation worse despite own0% switch versus3% stay values.</x:v>
      </x:c>
      <x:c r="O59" s="3" t="str">
        <x:v>../../2024/jama.2024.4183/.ai_paper_validation/final_report_1_5_3.html</x:v>
      </x:c>
      <x:c r="P59" s="3" t="str">
        <x:v>2024/jama.2024.4183/.ai_paper_validation/final_report_1_5_3.md</x:v>
      </x:c>
      <x:c r="Q59" s="3" t="str">
        <x:v>C007</x:v>
      </x:c>
      <x:c r="R59" s="3" t="str">
        <x:v>Pending Human Adjudication</x:v>
      </x:c>
      <x:c r="S59" s="3" t="str">
        <x:v>Varenicline-to-CNRT switch contrast has inconsistent sign and reference.</x:v>
      </x:c>
      <x:c r="T59" s="11" t="b">
        <x:v>1</x:v>
      </x:c>
      <x:c r="U59" s="3" t="str">
        <x:v>contrast_sign_direction</x:v>
      </x:c>
      <x:c r="V59" s="3" t="str">
        <x:v>report_internal_inconsistency</x:v>
      </x:c>
      <x:c r="W59" s="3" t="str">
        <x:v>Varenicline-to-CNRT switch contrast has inconsistent sign and reference</x:v>
      </x:c>
      <x:c r="X59" s="3" t="str">
        <x:v>2024</x:v>
      </x:c>
      <x:c r="Y59" s="3" t="str">
        <x:v>meta_report/consistency_reclassification_2026-09-04/reclassified_candidates.json</x:v>
      </x:c>
      <x:c r="Z59" s="3" t="str">
        <x:v>S_C</x:v>
      </x:c>
      <x:c r="AA59" s="3" t="str">
        <x:v>report_internal_inconsistency</x:v>
      </x:c>
      <x:c r="AB59" s="3" t="str">
        <x:v>retain</x:v>
      </x:c>
    </x:row>
    <x:row r="60" ht="90" customHeight="1">
      <x:c r="A60" s="12" t="b">
        <x:v>0</x:v>
      </x:c>
      <x:c r="B60" s="6"/>
      <x:c r="C60" s="12" t="b">
        <x:v>0</x:v>
      </x:c>
      <x:c r="D60" s="6" t="str">
        <x:v>Statistical reporting inconsistency</x:v>
      </x:c>
      <x:c r="E60" s="12" t="b">
        <x:v>1</x:v>
      </x:c>
      <x:c r="F60" s="6" t="str">
        <x:v>C008</x:v>
      </x:c>
      <x:c r="G60" s="6" t="str">
        <x:v>2024::jama.2024.4183::C008</x:v>
      </x:c>
      <x:c r="H60" s="6"/>
      <x:c r="I60" s="6" t="str">
        <x:v>Main article p. 1; Main article p. 5; Supplement 2 p. 21.</x:v>
      </x:c>
      <x:c r="J60" s="12" t="b">
        <x:v>0</x:v>
      </x:c>
      <x:c r="K60" s="6" t="str">
        <x:v>jama.2024.4183</x:v>
      </x:c>
      <x:c r="L60" s="6"/>
      <x:c r="M60" s="6" t="str">
        <x:v>S_C</x:v>
      </x:c>
      <x:c r="N60" s="6" t="str">
        <x:v>Main increased-vareniclineRD18% interval13%-24% differs from results eTable4 interval13%-23%.</x:v>
      </x:c>
      <x:c r="O60" s="6" t="str">
        <x:v>../../2024/jama.2024.4183/.ai_paper_validation/final_report_1_5_3.html</x:v>
      </x:c>
      <x:c r="P60" s="6" t="str">
        <x:v>2024/jama.2024.4183/.ai_paper_validation/final_report_1_5_3.md</x:v>
      </x:c>
      <x:c r="Q60" s="6" t="str">
        <x:v>C008</x:v>
      </x:c>
      <x:c r="R60" s="6" t="str">
        <x:v>Pending Human Adjudication</x:v>
      </x:c>
      <x:c r="S60" s="6" t="str">
        <x:v>Increased-varenicline primary CrI upper endpoint differs.</x:v>
      </x:c>
      <x:c r="T60" s="12" t="b">
        <x:v>1</x:v>
      </x:c>
      <x:c r="U60" s="6" t="str">
        <x:v>credible_interval_repeat</x:v>
      </x:c>
      <x:c r="V60" s="6" t="str">
        <x:v>statistical_results</x:v>
      </x:c>
      <x:c r="W60" s="6" t="str">
        <x:v>Increased-varenicline primary CrI upper endpoint differs</x:v>
      </x:c>
      <x:c r="X60" s="6" t="str">
        <x:v>2024</x:v>
      </x:c>
      <x:c r="Y60" s="6" t="str">
        <x:v>meta_report/consistency_reclassification_2026-09-04/reclassified_candidates.json</x:v>
      </x:c>
      <x:c r="Z60" s="6" t="str">
        <x:v>S_C</x:v>
      </x:c>
      <x:c r="AA60" s="6" t="str">
        <x:v>statistical_results</x:v>
      </x:c>
      <x:c r="AB60" s="6" t="str">
        <x:v>retain</x:v>
      </x:c>
    </x:row>
    <x:row r="61" ht="90" customHeight="1">
      <x:c r="A61" s="11" t="b">
        <x:v>0</x:v>
      </x:c>
      <x:c r="B61" s="3"/>
      <x:c r="C61" s="11" t="b">
        <x:v>0</x:v>
      </x:c>
      <x:c r="D61" s="3" t="str">
        <x:v>Statistical reporting inconsistency</x:v>
      </x:c>
      <x:c r="E61" s="11" t="b">
        <x:v>1</x:v>
      </x:c>
      <x:c r="F61" s="3" t="str">
        <x:v>C009</x:v>
      </x:c>
      <x:c r="G61" s="3" t="str">
        <x:v>2024::jama.2024.4183::C009</x:v>
      </x:c>
      <x:c r="H61" s="3"/>
      <x:c r="I61" s="3" t="str">
        <x:v>Main article p. 7; Supplement 2 p. 21.</x:v>
      </x:c>
      <x:c r="J61" s="11" t="b">
        <x:v>0</x:v>
      </x:c>
      <x:c r="K61" s="3" t="str">
        <x:v>jama.2024.4183</x:v>
      </x:c>
      <x:c r="L61" s="3"/>
      <x:c r="M61" s="3" t="str">
        <x:v>S_C</x:v>
      </x:c>
      <x:c r="N61" s="3" t="str">
        <x:v>Main phase1-abstainerRD6% interval-5%-16% differs from results eTable4 interval-4%-16%.</x:v>
      </x:c>
      <x:c r="O61" s="3" t="str">
        <x:v>../../2024/jama.2024.4183/.ai_paper_validation/final_report_1_5_3.html</x:v>
      </x:c>
      <x:c r="P61" s="3" t="str">
        <x:v>2024/jama.2024.4183/.ai_paper_validation/final_report_1_5_3.md</x:v>
      </x:c>
      <x:c r="Q61" s="3" t="str">
        <x:v>C009</x:v>
      </x:c>
      <x:c r="R61" s="3" t="str">
        <x:v>Pending Human Adjudication</x:v>
      </x:c>
      <x:c r="S61" s="3" t="str">
        <x:v>Phase-1 abstainer primary CrI lower endpoint differs.</x:v>
      </x:c>
      <x:c r="T61" s="11" t="b">
        <x:v>1</x:v>
      </x:c>
      <x:c r="U61" s="3" t="str">
        <x:v>credible_interval_repeat</x:v>
      </x:c>
      <x:c r="V61" s="3" t="str">
        <x:v>statistical_results</x:v>
      </x:c>
      <x:c r="W61" s="3" t="str">
        <x:v>Phase-1 abstainer primary CrI lower endpoint differs</x:v>
      </x:c>
      <x:c r="X61" s="3" t="str">
        <x:v>2024</x:v>
      </x:c>
      <x:c r="Y61" s="3" t="str">
        <x:v>meta_report/consistency_reclassification_2026-09-04/reclassified_candidates.json</x:v>
      </x:c>
      <x:c r="Z61" s="3" t="str">
        <x:v>S_C</x:v>
      </x:c>
      <x:c r="AA61" s="3" t="str">
        <x:v>statistical_results</x:v>
      </x:c>
      <x:c r="AB61" s="3" t="str">
        <x:v>retain</x:v>
      </x:c>
    </x:row>
    <x:row r="62" ht="90" customHeight="1">
      <x:c r="A62" s="12" t="b">
        <x:v>0</x:v>
      </x:c>
      <x:c r="B62" s="6" t="str">
        <x:v>Whether paired interval describes that beta distribution is not explicit; no reported-result comparator.</x:v>
      </x:c>
      <x:c r="C62" s="12" t="b">
        <x:v>1</x:v>
      </x:c>
      <x:c r="D62" s="6" t="str">
        <x:v>Statistical reporting inconsistency</x:v>
      </x:c>
      <x:c r="E62" s="12" t="b">
        <x:v>0</x:v>
      </x:c>
      <x:c r="F62" s="6" t="str">
        <x:v>C010</x:v>
      </x:c>
      <x:c r="G62" s="6" t="str">
        <x:v>2024::jama.2024.4183::C010</x:v>
      </x:c>
      <x:c r="H62" s="6"/>
      <x:c r="I62" s="6" t="str">
        <x:v>Protocol p. 32, Figure 2.</x:v>
      </x:c>
      <x:c r="J62" s="12" t="b">
        <x:v>0</x:v>
      </x:c>
      <x:c r="K62" s="6" t="str">
        <x:v>jama.2024.4183</x:v>
      </x:c>
      <x:c r="L62" s="6"/>
      <x:c r="M62" s="6" t="str">
        <x:v>P_P</x:v>
      </x:c>
      <x:c r="N62" s="6" t="str">
        <x:v>Within protocolFigure2,Beta(785,869) yields mean0.4746 and diagnostic95%quantiles0.4506-0.4987 rather than paired0.50(0.40-0.60).</x:v>
      </x:c>
      <x:c r="O62" s="6" t="str">
        <x:v>../../2024/jama.2024.4183/.ai_paper_validation/final_report_1_5_3.html</x:v>
      </x:c>
      <x:c r="P62" s="6" t="str">
        <x:v>2024/jama.2024.4183/.ai_paper_validation/final_report_1_5_3.md</x:v>
      </x:c>
      <x:c r="Q62" s="6" t="str">
        <x:v>C010</x:v>
      </x:c>
      <x:c r="R62" s="6" t="str">
        <x:v>Pending Human Adjudication</x:v>
      </x:c>
      <x:c r="S62" s="6" t="str">
        <x:v>Protocol beta parameters do not reproduce the paired varenicline response probability.</x:v>
      </x:c>
      <x:c r="T62" s="12" t="b">
        <x:v>0</x:v>
      </x:c>
      <x:c r="U62" s="6" t="str">
        <x:v>prior_parameter_identity</x:v>
      </x:c>
      <x:c r="V62" s="6" t="str">
        <x:v>plan_material</x:v>
      </x:c>
      <x:c r="W62" s="6" t="str">
        <x:v>Protocol beta parameters do not reproduce the paired varenicline response probability</x:v>
      </x:c>
      <x:c r="X62" s="6" t="str">
        <x:v>2024</x:v>
      </x:c>
      <x:c r="Y62" s="6" t="str">
        <x:v>meta_report/consistency_reclassification_2026-09-04/reclassified_candidates.json</x:v>
      </x:c>
      <x:c r="Z62" s="6" t="str">
        <x:v>P_P</x:v>
      </x:c>
      <x:c r="AA62" s="6" t="str">
        <x:v>plan_material</x:v>
      </x:c>
      <x:c r="AB62" s="6" t="str">
        <x:v>retain</x:v>
      </x:c>
    </x:row>
    <x:row r="63" ht="90" customHeight="1">
      <x:c r="A63" s="11" t="b">
        <x:v>0</x:v>
      </x:c>
      <x:c r="B63" s="3" t="str">
        <x:v>Common simulation realizations are unconfirmed; independent MonteCarlo sets could explain the rise.</x:v>
      </x:c>
      <x:c r="C63" s="11" t="b">
        <x:v>1</x:v>
      </x:c>
      <x:c r="D63" s="3" t="str">
        <x:v>Statistical reporting inconsistency</x:v>
      </x:c>
      <x:c r="E63" s="11" t="b">
        <x:v>0</x:v>
      </x:c>
      <x:c r="F63" s="3" t="str">
        <x:v>C011</x:v>
      </x:c>
      <x:c r="G63" s="3" t="str">
        <x:v>2024::jama.2024.4183::C011</x:v>
      </x:c>
      <x:c r="H63" s="3"/>
      <x:c r="I63" s="3" t="str">
        <x:v>Protocol p. 34, Table 3.</x:v>
      </x:c>
      <x:c r="J63" s="11" t="b">
        <x:v>0</x:v>
      </x:c>
      <x:c r="K63" s="3" t="str">
        <x:v>jama.2024.4183</x:v>
      </x:c>
      <x:c r="L63" s="3"/>
      <x:c r="M63" s="3" t="str">
        <x:v>P_P</x:v>
      </x:c>
      <x:c r="N63" s="3" t="str">
        <x:v>ProtocolTable3 power rises0.948 to0.980 as posterior threshold tightens0.80 to0.85, conflicting with nested detection on one simulation set.</x:v>
      </x:c>
      <x:c r="O63" s="3" t="str">
        <x:v>../../2024/jama.2024.4183/.ai_paper_validation/final_report_1_5_3.html</x:v>
      </x:c>
      <x:c r="P63" s="3" t="str">
        <x:v>2024/jama.2024.4183/.ai_paper_validation/final_report_1_5_3.md</x:v>
      </x:c>
      <x:c r="Q63" s="3" t="str">
        <x:v>C011</x:v>
      </x:c>
      <x:c r="R63" s="3" t="str">
        <x:v>Pending Human Adjudication</x:v>
      </x:c>
      <x:c r="S63" s="3" t="str">
        <x:v>Protocol Aim-1 power increases at a stricter nested threshold.</x:v>
      </x:c>
      <x:c r="T63" s="11" t="b">
        <x:v>0</x:v>
      </x:c>
      <x:c r="U63" s="3" t="str">
        <x:v>power_monotonicity</x:v>
      </x:c>
      <x:c r="V63" s="3" t="str">
        <x:v>plan_material</x:v>
      </x:c>
      <x:c r="W63" s="3" t="str">
        <x:v>Protocol Aim-1 power increases at a stricter nested threshold</x:v>
      </x:c>
      <x:c r="X63" s="3" t="str">
        <x:v>2024</x:v>
      </x:c>
      <x:c r="Y63" s="3" t="str">
        <x:v>meta_report/consistency_reclassification_2026-09-04/reclassified_candidates.json</x:v>
      </x:c>
      <x:c r="Z63" s="3" t="str">
        <x:v>P_P</x:v>
      </x:c>
      <x:c r="AA63" s="3" t="str">
        <x:v>plan_material</x:v>
      </x:c>
      <x:c r="AB63" s="3" t="str">
        <x:v>retain</x:v>
      </x:c>
    </x:row>
    <x:row r="64" ht="90" customHeight="1">
      <x:c r="A64" s="12" t="b">
        <x:v>0</x:v>
      </x:c>
      <x:c r="B64" s="6"/>
      <x:c r="C64" s="12" t="b">
        <x:v>1</x:v>
      </x:c>
      <x:c r="D64" s="6" t="str">
        <x:v>Measure, label, or scale inconsistency</x:v>
      </x:c>
      <x:c r="E64" s="12" t="b">
        <x:v>0</x:v>
      </x:c>
      <x:c r="F64" s="6" t="str">
        <x:v>C012</x:v>
      </x:c>
      <x:c r="G64" s="6" t="str">
        <x:v>2024::jama.2024.4183::C012</x:v>
      </x:c>
      <x:c r="H64" s="6"/>
      <x:c r="I64" s="6" t="str">
        <x:v>Protocol p. 29; Protocol p. 33; Protocol p. 34.</x:v>
      </x:c>
      <x:c r="J64" s="12" t="b">
        <x:v>0</x:v>
      </x:c>
      <x:c r="K64" s="6" t="str">
        <x:v>jama.2024.4183</x:v>
      </x:c>
      <x:c r="L64" s="6"/>
      <x:c r="M64" s="6" t="str">
        <x:v>P_P</x:v>
      </x:c>
      <x:c r="N64" s="6" t="str">
        <x:v>ProtocolTable3 repeatsVARvsNPL for third effect0.195 even though its own contrast definitions and0.399-0.204 matchVARvsNPL+.</x:v>
      </x:c>
      <x:c r="O64" s="6" t="str">
        <x:v>../../2024/jama.2024.4183/.ai_paper_validation/final_report_1_5_3.html</x:v>
      </x:c>
      <x:c r="P64" s="6" t="str">
        <x:v>2024/jama.2024.4183/.ai_paper_validation/final_report_1_5_3.md</x:v>
      </x:c>
      <x:c r="Q64" s="6" t="str">
        <x:v>C012</x:v>
      </x:c>
      <x:c r="R64" s="6" t="str">
        <x:v>Pending Human Adjudication</x:v>
      </x:c>
      <x:c r="S64" s="6" t="str">
        <x:v>Protocol Table 3 duplicates an Aim-2 comparator label.</x:v>
      </x:c>
      <x:c r="T64" s="12" t="b">
        <x:v>0</x:v>
      </x:c>
      <x:c r="U64" s="6" t="str">
        <x:v>contrast_label</x:v>
      </x:c>
      <x:c r="V64" s="6" t="str">
        <x:v>plan_material</x:v>
      </x:c>
      <x:c r="W64" s="6" t="str">
        <x:v>Protocol Table 3 duplicates an Aim-2 comparator label</x:v>
      </x:c>
      <x:c r="X64" s="6" t="str">
        <x:v>2024</x:v>
      </x:c>
      <x:c r="Y64" s="6" t="str">
        <x:v>meta_report/consistency_reclassification_2026-09-04/reclassified_candidates.json</x:v>
      </x:c>
      <x:c r="Z64" s="6" t="str">
        <x:v>P_P</x:v>
      </x:c>
      <x:c r="AA64" s="6" t="str">
        <x:v>plan_material</x:v>
      </x:c>
      <x:c r="AB64" s="6" t="str">
        <x:v>retain</x:v>
      </x:c>
    </x:row>
    <x:row r="65" ht="90" customHeight="1">
      <x:c r="A65" s="11" t="b">
        <x:v>0</x:v>
      </x:c>
      <x:c r="B65" s="3"/>
      <x:c r="C65" s="11" t="b">
        <x:v>0</x:v>
      </x:c>
      <x:c r="D65" s="3" t="str">
        <x:v>Measure, label, or scale inconsistency</x:v>
      </x:c>
      <x:c r="E65" s="11" t="b">
        <x:v>0</x:v>
      </x:c>
      <x:c r="F65" s="3" t="str">
        <x:v>C013</x:v>
      </x:c>
      <x:c r="G65" s="3" t="str">
        <x:v>2024::jama.2024.4183::C013</x:v>
      </x:c>
      <x:c r="H65" s="3"/>
      <x:c r="I65" s="3" t="str">
        <x:v>Supplement 2 p. 19, ETable 3.</x:v>
      </x:c>
      <x:c r="J65" s="11" t="b">
        <x:v>0</x:v>
      </x:c>
      <x:c r="K65" s="3" t="str">
        <x:v>jama.2024.4183</x:v>
      </x:c>
      <x:c r="L65" s="3"/>
      <x:c r="M65" s="3" t="str">
        <x:v>S_W</x:v>
      </x:c>
      <x:c r="N65" s="3" t="str">
        <x:v>Results eTable3 raceOther cell4.9(2) reverses its n(%) order, with2/41=4.9%.</x:v>
      </x:c>
      <x:c r="O65" s="3" t="str">
        <x:v>../../2024/jama.2024.4183/.ai_paper_validation/final_report_1_5_3.html</x:v>
      </x:c>
      <x:c r="P65" s="3" t="str">
        <x:v>2024/jama.2024.4183/.ai_paper_validation/final_report_1_5_3.md</x:v>
      </x:c>
      <x:c r="Q65" s="3" t="str">
        <x:v>C013</x:v>
      </x:c>
      <x:c r="R65" s="3" t="str">
        <x:v>Pending Human Adjudication</x:v>
      </x:c>
      <x:c r="S65" s="3" t="str">
        <x:v>ETable 3 reverses count and percentage in one n (%) cell.</x:v>
      </x:c>
      <x:c r="T65" s="11" t="b">
        <x:v>1</x:v>
      </x:c>
      <x:c r="U65" s="3" t="str">
        <x:v>count_percent_order</x:v>
      </x:c>
      <x:c r="V65" s="3" t="str">
        <x:v>report_internal_inconsistency</x:v>
      </x:c>
      <x:c r="W65" s="3" t="str">
        <x:v>ETable 3 reverses count and percentage in one n (%) cell</x:v>
      </x:c>
      <x:c r="X65" s="3" t="str">
        <x:v>2024</x:v>
      </x:c>
      <x:c r="Y65" s="3" t="str">
        <x:v>meta_report/consistency_reclassification_2026-09-04/reclassified_candidates.json</x:v>
      </x:c>
      <x:c r="Z65" s="3" t="str">
        <x:v>S_W</x:v>
      </x:c>
      <x:c r="AA65" s="3" t="str">
        <x:v>report_internal_inconsistency</x:v>
      </x:c>
      <x:c r="AB65" s="3" t="str">
        <x:v>retain</x:v>
      </x:c>
    </x:row>
    <x:row r="66" ht="90" customHeight="1">
      <x:c r="A66" s="12" t="b">
        <x:v>0</x:v>
      </x:c>
      <x:c r="B66" s="6"/>
      <x:c r="C66" s="12" t="b">
        <x:v>0</x:v>
      </x:c>
      <x:c r="D66" s="6" t="str">
        <x:v>Statistical reporting inconsistency</x:v>
      </x:c>
      <x:c r="E66" s="12" t="b">
        <x:v>0</x:v>
      </x:c>
      <x:c r="F66" s="6" t="str">
        <x:v>C014</x:v>
      </x:c>
      <x:c r="G66" s="6" t="str">
        <x:v>2024::jama.2024.4183::C014</x:v>
      </x:c>
      <x:c r="H66" s="6"/>
      <x:c r="I66" s="6" t="str">
        <x:v>Supplement 2 p. 10; Supplement 2 p. 15.</x:v>
      </x:c>
      <x:c r="J66" s="12" t="b">
        <x:v>0</x:v>
      </x:c>
      <x:c r="K66" s="6" t="str">
        <x:v>jama.2024.4183</x:v>
      </x:c>
      <x:c r="L66" s="6"/>
      <x:c r="M66" s="6" t="str">
        <x:v>S_W</x:v>
      </x:c>
      <x:c r="N66" s="6" t="str">
        <x:v>Within results supplement,EOT+30CNRT-switch narrative1.0%(7.0%-1.3%) disagrees with eFigure2's5/51,10%(7%-13%), and has reversed/noncontaining bounds.</x:v>
      </x:c>
      <x:c r="O66" s="6" t="str">
        <x:v>../../2024/jama.2024.4183/.ai_paper_validation/final_report_1_5_3.html</x:v>
      </x:c>
      <x:c r="P66" s="6" t="str">
        <x:v>2024/jama.2024.4183/.ai_paper_validation/final_report_1_5_3.md</x:v>
      </x:c>
      <x:c r="Q66" s="6" t="str">
        <x:v>C014</x:v>
      </x:c>
      <x:c r="R66" s="6" t="str">
        <x:v>Pending Human Adjudication</x:v>
      </x:c>
      <x:c r="S66" s="6" t="str">
        <x:v>EOT+30 CNRT-switch cell estimate and CrI do not reconcile with matched figure as printed.</x:v>
      </x:c>
      <x:c r="T66" s="12" t="b">
        <x:v>1</x:v>
      </x:c>
      <x:c r="U66" s="6" t="str">
        <x:v>estimate_interval_repeat</x:v>
      </x:c>
      <x:c r="V66" s="6" t="str">
        <x:v>statistical_results</x:v>
      </x:c>
      <x:c r="W66" s="6" t="str">
        <x:v>EOT+30 CNRT-switch cell estimate and CrI do not reconcile with matched figure as printed</x:v>
      </x:c>
      <x:c r="X66" s="6" t="str">
        <x:v>2024</x:v>
      </x:c>
      <x:c r="Y66" s="6" t="str">
        <x:v>meta_report/consistency_reclassification_2026-09-04/reclassified_candidates.json</x:v>
      </x:c>
      <x:c r="Z66" s="6" t="str">
        <x:v>S_W</x:v>
      </x:c>
      <x:c r="AA66" s="6" t="str">
        <x:v>statistical_results</x:v>
      </x:c>
      <x:c r="AB66" s="6" t="str">
        <x:v>retain</x:v>
      </x:c>
    </x:row>
    <x:row r="67" ht="90" customHeight="1">
      <x:c r="A67" s="11" t="b">
        <x:v>0</x:v>
      </x:c>
      <x:c r="B67" s="3"/>
      <x:c r="C67" s="11" t="b">
        <x:v>0</x:v>
      </x:c>
      <x:c r="D67" s="3" t="str">
        <x:v>Statistical reporting inconsistency</x:v>
      </x:c>
      <x:c r="E67" s="11" t="b">
        <x:v>0</x:v>
      </x:c>
      <x:c r="F67" s="3" t="str">
        <x:v>C015</x:v>
      </x:c>
      <x:c r="G67" s="3" t="str">
        <x:v>2024::jama.2024.4183::C015</x:v>
      </x:c>
      <x:c r="H67" s="3"/>
      <x:c r="I67" s="3" t="str">
        <x:v>Supplement 2 p. 10; Supplement 2 p. 15.</x:v>
      </x:c>
      <x:c r="J67" s="11" t="b">
        <x:v>0</x:v>
      </x:c>
      <x:c r="K67" s="3" t="str">
        <x:v>jama.2024.4183</x:v>
      </x:c>
      <x:c r="L67" s="3"/>
      <x:c r="M67" s="3" t="str">
        <x:v>S_W</x:v>
      </x:c>
      <x:c r="N67" s="3" t="str">
        <x:v>Within results supplement,EOT+30increasedCNRT narrative8%(5%-1.1%) disagrees with eFigure2's8%(5%-11%).</x:v>
      </x:c>
      <x:c r="O67" s="3" t="str">
        <x:v>../../2024/jama.2024.4183/.ai_paper_validation/final_report_1_5_3.html</x:v>
      </x:c>
      <x:c r="P67" s="3" t="str">
        <x:v>2024/jama.2024.4183/.ai_paper_validation/final_report_1_5_3.md</x:v>
      </x:c>
      <x:c r="Q67" s="3" t="str">
        <x:v>C015</x:v>
      </x:c>
      <x:c r="R67" s="3" t="str">
        <x:v>Pending Human Adjudication</x:v>
      </x:c>
      <x:c r="S67" s="3" t="str">
        <x:v>EOT+30 increased-CNRT cell CrI upper endpoint does not reconcile with matched figure as printed.</x:v>
      </x:c>
      <x:c r="T67" s="11" t="b">
        <x:v>1</x:v>
      </x:c>
      <x:c r="U67" s="3" t="str">
        <x:v>credible_interval_repeat</x:v>
      </x:c>
      <x:c r="V67" s="3" t="str">
        <x:v>statistical_results</x:v>
      </x:c>
      <x:c r="W67" s="3" t="str">
        <x:v>EOT+30 increased-CNRT cell CrI upper endpoint does not reconcile with matched figure as printed</x:v>
      </x:c>
      <x:c r="X67" s="3" t="str">
        <x:v>2024</x:v>
      </x:c>
      <x:c r="Y67" s="3" t="str">
        <x:v>meta_report/consistency_reclassification_2026-09-04/reclassified_candidates.json</x:v>
      </x:c>
      <x:c r="Z67" s="3" t="str">
        <x:v>S_W</x:v>
      </x:c>
      <x:c r="AA67" s="3" t="str">
        <x:v>statistical_results</x:v>
      </x:c>
      <x:c r="AB67" s="3" t="str">
        <x:v>retain</x:v>
      </x:c>
    </x:row>
    <x:row r="68" ht="90" customHeight="1">
      <x:c r="A68" s="12" t="b">
        <x:v>0</x:v>
      </x:c>
      <x:c r="B68" s="6" t="str">
        <x:v>Different estimand from C014's arm-specific response cell, so not a duplicate.</x:v>
      </x:c>
      <x:c r="C68" s="12" t="b">
        <x:v>0</x:v>
      </x:c>
      <x:c r="D68" s="6" t="str">
        <x:v>Statistical reporting inconsistency</x:v>
      </x:c>
      <x:c r="E68" s="12" t="b">
        <x:v>0</x:v>
      </x:c>
      <x:c r="F68" s="6" t="str">
        <x:v>C016</x:v>
      </x:c>
      <x:c r="G68" s="6" t="str">
        <x:v>2024::jama.2024.4183::C016</x:v>
      </x:c>
      <x:c r="H68" s="6"/>
      <x:c r="I68" s="6" t="str">
        <x:v>Supplement 2 p. 10; Supplement 2 p. 33.</x:v>
      </x:c>
      <x:c r="J68" s="12" t="b">
        <x:v>0</x:v>
      </x:c>
      <x:c r="K68" s="6" t="str">
        <x:v>jama.2024.4183</x:v>
      </x:c>
      <x:c r="L68" s="6"/>
      <x:c r="M68" s="6" t="str">
        <x:v>S_W</x:v>
      </x:c>
      <x:c r="N68" s="6" t="str">
        <x:v>Within results supplement,CNRT-switchARD6%(3%-1.0%) narrative disagrees with eTable9's6%(3%-10%).</x:v>
      </x:c>
      <x:c r="O68" s="6" t="str">
        <x:v>../../2024/jama.2024.4183/.ai_paper_validation/final_report_1_5_3.html</x:v>
      </x:c>
      <x:c r="P68" s="6" t="str">
        <x:v>2024/jama.2024.4183/.ai_paper_validation/final_report_1_5_3.md</x:v>
      </x:c>
      <x:c r="Q68" s="6" t="str">
        <x:v>C016</x:v>
      </x:c>
      <x:c r="R68" s="6" t="str">
        <x:v>Pending Human Adjudication</x:v>
      </x:c>
      <x:c r="S68" s="6" t="str">
        <x:v>EOT+30 CNRT-switch ARD CrI upper endpoint does not reconcile with matched table as printed.</x:v>
      </x:c>
      <x:c r="T68" s="12" t="b">
        <x:v>1</x:v>
      </x:c>
      <x:c r="U68" s="6" t="str">
        <x:v>credible_interval_repeat</x:v>
      </x:c>
      <x:c r="V68" s="6" t="str">
        <x:v>statistical_results</x:v>
      </x:c>
      <x:c r="W68" s="6" t="str">
        <x:v>EOT+30 CNRT-switch ARD CrI upper endpoint does not reconcile with matched table as printed</x:v>
      </x:c>
      <x:c r="X68" s="6" t="str">
        <x:v>2024</x:v>
      </x:c>
      <x:c r="Y68" s="6" t="str">
        <x:v>meta_report/consistency_reclassification_2026-09-04/reclassified_candidates.json</x:v>
      </x:c>
      <x:c r="Z68" s="6" t="str">
        <x:v>S_W</x:v>
      </x:c>
      <x:c r="AA68" s="6" t="str">
        <x:v>statistical_results</x:v>
      </x:c>
      <x:c r="AB68" s="6" t="str">
        <x:v>retain</x:v>
      </x:c>
    </x:row>
    <x:row r="69" ht="90" customHeight="1">
      <x:c r="A69" s="11" t="b">
        <x:v>0</x:v>
      </x:c>
      <x:c r="B69" s="3" t="str">
        <x:v>Multiple repeated affected outputs intentionally preserved as one source candidate; distinct arm from C015.</x:v>
      </x:c>
      <x:c r="C69" s="11" t="b">
        <x:v>0</x:v>
      </x:c>
      <x:c r="D69" s="3" t="str">
        <x:v>Statistical reporting inconsistency</x:v>
      </x:c>
      <x:c r="E69" s="11" t="b">
        <x:v>0</x:v>
      </x:c>
      <x:c r="F69" s="3" t="str">
        <x:v>C017</x:v>
      </x:c>
      <x:c r="G69" s="3" t="str">
        <x:v>2024::jama.2024.4183::C017</x:v>
      </x:c>
      <x:c r="H69" s="3"/>
      <x:c r="I69" s="3" t="str">
        <x:v>Supplement 2 p. 10; Supplement 2 p. 11; Supplement 2 p. 15; Supplement 2 p. 33; Supplement 2 p. 34.</x:v>
      </x:c>
      <x:c r="J69" s="11" t="b">
        <x:v>0</x:v>
      </x:c>
      <x:c r="K69" s="3" t="str">
        <x:v>jama.2024.4183</x:v>
      </x:c>
      <x:c r="L69" s="3"/>
      <x:c r="M69" s="3" t="str">
        <x:v>S_W</x:v>
      </x:c>
      <x:c r="N69" s="3" t="str">
        <x:v>Within results supplement,increased-varenicline narrative repeats8%(5%-1.1%) for its cell and twoARDs, while matched eFigure/eTables give8%(5%-11%).</x:v>
      </x:c>
      <x:c r="O69" s="3" t="str">
        <x:v>../../2024/jama.2024.4183/.ai_paper_validation/final_report_1_5_3.html</x:v>
      </x:c>
      <x:c r="P69" s="3" t="str">
        <x:v>2024/jama.2024.4183/.ai_paper_validation/final_report_1_5_3.md</x:v>
      </x:c>
      <x:c r="Q69" s="3" t="str">
        <x:v>C017</x:v>
      </x:c>
      <x:c r="R69" s="3" t="str">
        <x:v>Pending Human Adjudication</x:v>
      </x:c>
      <x:c r="S69" s="3" t="str">
        <x:v>EOT+30 increased-varenicline narrative has repeated intervals that do not reconcile as printed.</x:v>
      </x:c>
      <x:c r="T69" s="11" t="b">
        <x:v>1</x:v>
      </x:c>
      <x:c r="U69" s="3" t="str">
        <x:v>credible_interval_repeat</x:v>
      </x:c>
      <x:c r="V69" s="3" t="str">
        <x:v>statistical_results</x:v>
      </x:c>
      <x:c r="W69" s="3" t="str">
        <x:v>EOT+30 increased-varenicline narrative has repeated intervals that do not reconcile as printed</x:v>
      </x:c>
      <x:c r="X69" s="3" t="str">
        <x:v>2024</x:v>
      </x:c>
      <x:c r="Y69" s="3" t="str">
        <x:v>meta_report/consistency_reclassification_2026-09-04/reclassified_candidates.json</x:v>
      </x:c>
      <x:c r="Z69" s="3" t="str">
        <x:v>S_W</x:v>
      </x:c>
      <x:c r="AA69" s="3" t="str">
        <x:v>statistical_results</x:v>
      </x:c>
      <x:c r="AB69" s="3" t="str">
        <x:v>retain</x:v>
      </x:c>
    </x:row>
    <x:row r="70" ht="90" customHeight="1">
      <x:c r="A70" s="12" t="b">
        <x:v>0</x:v>
      </x:c>
      <x:c r="B70" s="6"/>
      <x:c r="C70" s="12" t="b">
        <x:v>0</x:v>
      </x:c>
      <x:c r="D70" s="6" t="str">
        <x:v>Statistical reporting inconsistency</x:v>
      </x:c>
      <x:c r="E70" s="12" t="b">
        <x:v>0</x:v>
      </x:c>
      <x:c r="F70" s="6" t="str">
        <x:v>C018</x:v>
      </x:c>
      <x:c r="G70" s="6" t="str">
        <x:v>2024::jama.2024.4183::C018</x:v>
      </x:c>
      <x:c r="H70" s="6"/>
      <x:c r="I70" s="6" t="str">
        <x:v>Supplement 2 p. 11; Supplement 2 p. 15; Supplement 2 p. 35.</x:v>
      </x:c>
      <x:c r="J70" s="12" t="b">
        <x:v>0</x:v>
      </x:c>
      <x:c r="K70" s="6" t="str">
        <x:v>jama.2024.4183</x:v>
      </x:c>
      <x:c r="L70" s="6"/>
      <x:c r="M70" s="6" t="str">
        <x:v>S_W</x:v>
      </x:c>
      <x:c r="N70" s="6" t="str">
        <x:v>Within results supplement,abstainerARD1.1% narrative differs from11% in eTable11 and its67%-56% displayed cell difference.</x:v>
      </x:c>
      <x:c r="O70" s="6" t="str">
        <x:v>../../2024/jama.2024.4183/.ai_paper_validation/final_report_1_5_3.html</x:v>
      </x:c>
      <x:c r="P70" s="6" t="str">
        <x:v>2024/jama.2024.4183/.ai_paper_validation/final_report_1_5_3.md</x:v>
      </x:c>
      <x:c r="Q70" s="6" t="str">
        <x:v>C018</x:v>
      </x:c>
      <x:c r="R70" s="6" t="str">
        <x:v>Pending Human Adjudication</x:v>
      </x:c>
      <x:c r="S70" s="6" t="str">
        <x:v>EOT+30 abstainer ARD is 1.1% in narrative but 11% in eTable.</x:v>
      </x:c>
      <x:c r="T70" s="12" t="b">
        <x:v>1</x:v>
      </x:c>
      <x:c r="U70" s="6" t="str">
        <x:v>estimate_repeat</x:v>
      </x:c>
      <x:c r="V70" s="6" t="str">
        <x:v>statistical_results</x:v>
      </x:c>
      <x:c r="W70" s="6" t="str">
        <x:v>EOT+30 abstainer ARD is 1.1% in narrative but 11% in eTable</x:v>
      </x:c>
      <x:c r="X70" s="6" t="str">
        <x:v>2024</x:v>
      </x:c>
      <x:c r="Y70" s="6" t="str">
        <x:v>meta_report/consistency_reclassification_2026-09-04/reclassified_candidates.json</x:v>
      </x:c>
      <x:c r="Z70" s="6" t="str">
        <x:v>S_W</x:v>
      </x:c>
      <x:c r="AA70" s="6" t="str">
        <x:v>statistical_results</x:v>
      </x:c>
      <x:c r="AB70" s="6" t="str">
        <x:v>retain</x:v>
      </x:c>
    </x:row>
    <x:row r="71" ht="90" customHeight="1">
      <x:c r="A71" s="11" t="b">
        <x:v>0</x:v>
      </x:c>
      <x:c r="B71" s="3"/>
      <x:c r="C71" s="11" t="b">
        <x:v>0</x:v>
      </x:c>
      <x:c r="D71" s="3" t="str">
        <x:v>Measure, label, or scale inconsistency</x:v>
      </x:c>
      <x:c r="E71" s="11" t="b">
        <x:v>0</x:v>
      </x:c>
      <x:c r="F71" s="3" t="str">
        <x:v>C019</x:v>
      </x:c>
      <x:c r="G71" s="3" t="str">
        <x:v>2024::jama.2024.4183::C019</x:v>
      </x:c>
      <x:c r="H71" s="3"/>
      <x:c r="I71" s="3" t="str">
        <x:v>Supplement 2 p. 11; Supplement 2 p. 31; Supplement 2 p. 33.</x:v>
      </x:c>
      <x:c r="J71" s="11" t="b">
        <x:v>0</x:v>
      </x:c>
      <x:c r="K71" s="3" t="str">
        <x:v>jama.2024.4183</x:v>
      </x:c>
      <x:c r="L71" s="3"/>
      <x:c r="M71" s="3" t="str">
        <x:v>S_W</x:v>
      </x:c>
      <x:c r="N71" s="3" t="str">
        <x:v>Results-supplement sixmonthCNRT-switch narrative cites compliance eTable7 rather than matched outcome eTable9 in the same PDF.</x:v>
      </x:c>
      <x:c r="O71" s="3" t="str">
        <x:v>../../2024/jama.2024.4183/.ai_paper_validation/final_report_1_5_3.html</x:v>
      </x:c>
      <x:c r="P71" s="3" t="str">
        <x:v>2024/jama.2024.4183/.ai_paper_validation/final_report_1_5_3.md</x:v>
      </x:c>
      <x:c r="Q71" s="3" t="str">
        <x:v>C019</x:v>
      </x:c>
      <x:c r="R71" s="3" t="str">
        <x:v>Pending Human Adjudication</x:v>
      </x:c>
      <x:c r="S71" s="3" t="str">
        <x:v>The six-month CNRT-switch cross-reference does not directly identify the matched outcome table.</x:v>
      </x:c>
      <x:c r="T71" s="11" t="b">
        <x:v>1</x:v>
      </x:c>
      <x:c r="U71" s="3" t="str">
        <x:v>cross_reference</x:v>
      </x:c>
      <x:c r="V71" s="3" t="str">
        <x:v>report_internal_inconsistency</x:v>
      </x:c>
      <x:c r="W71" s="3" t="str">
        <x:v>Six-month CNRT-switch cross-reference does not directly identify the matched table</x:v>
      </x:c>
      <x:c r="X71" s="3" t="str">
        <x:v>2024</x:v>
      </x:c>
      <x:c r="Y71" s="3" t="str">
        <x:v>meta_report/consistency_reclassification_2026-09-04/reclassified_candidates.json</x:v>
      </x:c>
      <x:c r="Z71" s="3" t="str">
        <x:v>S_W</x:v>
      </x:c>
      <x:c r="AA71" s="3" t="str">
        <x:v>report_internal_inconsistency</x:v>
      </x:c>
      <x:c r="AB71" s="3" t="str">
        <x:v>retain</x:v>
      </x:c>
    </x:row>
    <x:row r="72" ht="90" customHeight="1">
      <x:c r="A72" s="12" t="b">
        <x:v>0</x:v>
      </x:c>
      <x:c r="B72" s="6" t="str">
        <x:v>Several result fields bundled in one retained candidate; no cross-file source or plan relationship.</x:v>
      </x:c>
      <x:c r="C72" s="12" t="b">
        <x:v>0</x:v>
      </x:c>
      <x:c r="D72" s="6" t="str">
        <x:v>Statistical reporting inconsistency</x:v>
      </x:c>
      <x:c r="E72" s="12" t="b">
        <x:v>0</x:v>
      </x:c>
      <x:c r="F72" s="6" t="str">
        <x:v>C020</x:v>
      </x:c>
      <x:c r="G72" s="6" t="str">
        <x:v>2024::jama.2024.4183::C020</x:v>
      </x:c>
      <x:c r="H72" s="6"/>
      <x:c r="I72" s="6" t="str">
        <x:v>Supplement 2 p. 12; Supplement 2 p. 16; Supplement 2 p. 35.</x:v>
      </x:c>
      <x:c r="J72" s="12" t="b">
        <x:v>0</x:v>
      </x:c>
      <x:c r="K72" s="6" t="str">
        <x:v>jama.2024.4183</x:v>
      </x:c>
      <x:c r="L72" s="6"/>
      <x:c r="M72" s="6" t="str">
        <x:v>S_W</x:v>
      </x:c>
      <x:c r="N72" s="6" t="str">
        <x:v>Within results supplement,sixmonthabstainer narrative+1%(-1.3%,-1.1%),probability55%,direction text conflict with eTable11+1%(-11%,12%),56% and paired figure values.</x:v>
      </x:c>
      <x:c r="O72" s="6" t="str">
        <x:v>../../2024/jama.2024.4183/.ai_paper_validation/final_report_1_5_3.html</x:v>
      </x:c>
      <x:c r="P72" s="6" t="str">
        <x:v>2024/jama.2024.4183/.ai_paper_validation/final_report_1_5_3.md</x:v>
      </x:c>
      <x:c r="Q72" s="6" t="str">
        <x:v>C020</x:v>
      </x:c>
      <x:c r="R72" s="6" t="str">
        <x:v>Pending Human Adjudication</x:v>
      </x:c>
      <x:c r="S72" s="6" t="str">
        <x:v>Six-month abstainer narrative interval and direction do not reconcile with matched sources.</x:v>
      </x:c>
      <x:c r="T72" s="12" t="b">
        <x:v>1</x:v>
      </x:c>
      <x:c r="U72" s="6" t="str">
        <x:v>interval_direction_repeat</x:v>
      </x:c>
      <x:c r="V72" s="6" t="str">
        <x:v>statistical_results</x:v>
      </x:c>
      <x:c r="W72" s="6" t="str">
        <x:v>Six-month abstainer narrative interval and direction do not reconcile with matched sources</x:v>
      </x:c>
      <x:c r="X72" s="6" t="str">
        <x:v>2024</x:v>
      </x:c>
      <x:c r="Y72" s="6" t="str">
        <x:v>meta_report/consistency_reclassification_2026-09-04/reclassified_candidates.json</x:v>
      </x:c>
      <x:c r="Z72" s="6" t="str">
        <x:v>S_W</x:v>
      </x:c>
      <x:c r="AA72" s="6" t="str">
        <x:v>statistical_results</x:v>
      </x:c>
      <x:c r="AB72" s="6" t="str">
        <x:v>retain</x:v>
      </x:c>
    </x:row>
    <x:row r="73" ht="90" customHeight="1">
      <x:c r="A73" s="11" t="b">
        <x:v>0</x:v>
      </x:c>
      <x:c r="B73" s="3"/>
      <x:c r="C73" s="11" t="b">
        <x:v>0</x:v>
      </x:c>
      <x:c r="D73" s="3" t="str">
        <x:v>Measure, label, or scale inconsistency</x:v>
      </x:c>
      <x:c r="E73" s="11" t="b">
        <x:v>0</x:v>
      </x:c>
      <x:c r="F73" s="3" t="str">
        <x:v>C021</x:v>
      </x:c>
      <x:c r="G73" s="3" t="str">
        <x:v>2024::jama.2024.4183::C021</x:v>
      </x:c>
      <x:c r="H73" s="3"/>
      <x:c r="I73" s="3" t="str">
        <x:v>Supplement 2 p. 10; Supplement 2 p. 34; Supplement 2 p. 35.</x:v>
      </x:c>
      <x:c r="J73" s="11" t="b">
        <x:v>0</x:v>
      </x:c>
      <x:c r="K73" s="3" t="str">
        <x:v>jama.2024.4183</x:v>
      </x:c>
      <x:c r="L73" s="3"/>
      <x:c r="M73" s="3" t="str">
        <x:v>S_W</x:v>
      </x:c>
      <x:c r="N73" s="3" t="str">
        <x:v>Results-supplement phase1-abstainer summary cites nonabstainer eTable10 rather than its matched eTable11 in the same PDF.</x:v>
      </x:c>
      <x:c r="O73" s="3" t="str">
        <x:v>../../2024/jama.2024.4183/.ai_paper_validation/final_report_1_5_3.html</x:v>
      </x:c>
      <x:c r="P73" s="3" t="str">
        <x:v>2024/jama.2024.4183/.ai_paper_validation/final_report_1_5_3.md</x:v>
      </x:c>
      <x:c r="Q73" s="3" t="str">
        <x:v>C021</x:v>
      </x:c>
      <x:c r="R73" s="3" t="str">
        <x:v>Pending Human Adjudication</x:v>
      </x:c>
      <x:c r="S73" s="3" t="str">
        <x:v>The phase-1-abstainer summary cross-reference does not directly identify the matched table.</x:v>
      </x:c>
      <x:c r="T73" s="11" t="b">
        <x:v>1</x:v>
      </x:c>
      <x:c r="U73" s="3" t="str">
        <x:v>cross_reference</x:v>
      </x:c>
      <x:c r="V73" s="3" t="str">
        <x:v>report_internal_inconsistency</x:v>
      </x:c>
      <x:c r="W73" s="3" t="str">
        <x:v>Phase-1-abstainer summary cross-reference does not directly identify the matched table</x:v>
      </x:c>
      <x:c r="X73" s="3" t="str">
        <x:v>2024</x:v>
      </x:c>
      <x:c r="Y73" s="3" t="str">
        <x:v>meta_report/consistency_reclassification_2026-09-04/reclassified_candidates.json</x:v>
      </x:c>
      <x:c r="Z73" s="3" t="str">
        <x:v>S_W</x:v>
      </x:c>
      <x:c r="AA73" s="3" t="str">
        <x:v>report_internal_inconsistency</x:v>
      </x:c>
      <x:c r="AB73" s="3" t="str">
        <x:v>retain</x:v>
      </x:c>
    </x:row>
    <x:row r="74" ht="90" customHeight="1">
      <x:c r="A74" s="12" t="b">
        <x:v>0</x:v>
      </x:c>
      <x:c r="B74" s="6"/>
      <x:c r="C74" s="12" t="b">
        <x:v>0</x:v>
      </x:c>
      <x:c r="D74" s="6" t="str">
        <x:v>Measure, label, or scale inconsistency</x:v>
      </x:c>
      <x:c r="E74" s="12" t="b">
        <x:v>0</x:v>
      </x:c>
      <x:c r="F74" s="6" t="str">
        <x:v>C022</x:v>
      </x:c>
      <x:c r="G74" s="6" t="str">
        <x:v>2024::jama.2024.4183::C022</x:v>
      </x:c>
      <x:c r="H74" s="6"/>
      <x:c r="I74" s="6" t="str">
        <x:v>Supplement 2 p. 12; Supplement 2 p. 33; Supplement 2 p. 34.</x:v>
      </x:c>
      <x:c r="J74" s="12" t="b">
        <x:v>0</x:v>
      </x:c>
      <x:c r="K74" s="6" t="str">
        <x:v>jama.2024.4183</x:v>
      </x:c>
      <x:c r="L74" s="6"/>
      <x:c r="M74" s="6" t="str">
        <x:v>S_W</x:v>
      </x:c>
      <x:c r="N74" s="6" t="str">
        <x:v>Results-supplement VARplus-versus-switch clause cites continuation-reference eTable9 rather than direct-switch-reference eTable10 in the same PDF.</x:v>
      </x:c>
      <x:c r="O74" s="6" t="str">
        <x:v>../../2024/jama.2024.4183/.ai_paper_validation/final_report_1_5_3.html</x:v>
      </x:c>
      <x:c r="P74" s="6" t="str">
        <x:v>2024/jama.2024.4183/.ai_paper_validation/final_report_1_5_3.md</x:v>
      </x:c>
      <x:c r="Q74" s="6" t="str">
        <x:v>C022</x:v>
      </x:c>
      <x:c r="R74" s="6" t="str">
        <x:v>Pending Human Adjudication</x:v>
      </x:c>
      <x:c r="S74" s="6" t="str">
        <x:v>The VAR-plus-versus-switch cross-reference does not directly identify the matched direct-contrast table.</x:v>
      </x:c>
      <x:c r="T74" s="12" t="b">
        <x:v>1</x:v>
      </x:c>
      <x:c r="U74" s="6" t="str">
        <x:v>cross_reference</x:v>
      </x:c>
      <x:c r="V74" s="6" t="str">
        <x:v>report_internal_inconsistency</x:v>
      </x:c>
      <x:c r="W74" s="6" t="str">
        <x:v>Six-month VAR-plus-versus-switch cross-reference does not directly identify the matched table</x:v>
      </x:c>
      <x:c r="X74" s="6" t="str">
        <x:v>2024</x:v>
      </x:c>
      <x:c r="Y74" s="6" t="str">
        <x:v>meta_report/consistency_reclassification_2026-09-04/reclassified_candidates.json</x:v>
      </x:c>
      <x:c r="Z74" s="6" t="str">
        <x:v>S_W</x:v>
      </x:c>
      <x:c r="AA74" s="6" t="str">
        <x:v>report_internal_inconsistency</x:v>
      </x:c>
      <x:c r="AB74" s="6" t="str">
        <x:v>retain</x:v>
      </x:c>
    </x:row>
    <x:row r="75" ht="90" customHeight="1">
      <x:c r="A75" s="11" t="b">
        <x:v>0</x:v>
      </x:c>
      <x:c r="B75" s="3" t="str">
        <x:v>Separate employment row block from C013's race cell.</x:v>
      </x:c>
      <x:c r="C75" s="11" t="b">
        <x:v>0</x:v>
      </x:c>
      <x:c r="D75" s="3" t="str">
        <x:v>Measure, label, or scale inconsistency</x:v>
      </x:c>
      <x:c r="E75" s="11" t="b">
        <x:v>0</x:v>
      </x:c>
      <x:c r="F75" s="3" t="str">
        <x:v>C023</x:v>
      </x:c>
      <x:c r="G75" s="3" t="str">
        <x:v>2024::jama.2024.4183::C023</x:v>
      </x:c>
      <x:c r="H75" s="3"/>
      <x:c r="I75" s="3" t="str">
        <x:v>Supplement 2 p. 19, ETable 3.</x:v>
      </x:c>
      <x:c r="J75" s="11" t="b">
        <x:v>0</x:v>
      </x:c>
      <x:c r="K75" s="3" t="str">
        <x:v>jama.2024.4183</x:v>
      </x:c>
      <x:c r="L75" s="3"/>
      <x:c r="M75" s="3" t="str">
        <x:v>S_W</x:v>
      </x:c>
      <x:c r="N75" s="3" t="str">
        <x:v>Results eTable3 employment heading n(%) disagrees with all16 cells displaying percentage(count).</x:v>
      </x:c>
      <x:c r="O75" s="3" t="str">
        <x:v>../../2024/jama.2024.4183/.ai_paper_validation/final_report_1_5_3.html</x:v>
      </x:c>
      <x:c r="P75" s="3" t="str">
        <x:v>2024/jama.2024.4183/.ai_paper_validation/final_report_1_5_3.md</x:v>
      </x:c>
      <x:c r="Q75" s="3" t="str">
        <x:v>C023</x:v>
      </x:c>
      <x:c r="R75" s="3" t="str">
        <x:v>Pending Human Adjudication</x:v>
      </x:c>
      <x:c r="S75" s="3" t="str">
        <x:v>ETable 3 employment value order differs from the declared n (%) heading.</x:v>
      </x:c>
      <x:c r="T75" s="11" t="b">
        <x:v>1</x:v>
      </x:c>
      <x:c r="U75" s="3" t="str">
        <x:v>count_percent_order</x:v>
      </x:c>
      <x:c r="V75" s="3" t="str">
        <x:v>report_internal_inconsistency</x:v>
      </x:c>
      <x:c r="W75" s="3" t="str">
        <x:v>ETable 3 employment value order differs from declared n (%)</x:v>
      </x:c>
      <x:c r="X75" s="3" t="str">
        <x:v>2024</x:v>
      </x:c>
      <x:c r="Y75" s="3" t="str">
        <x:v>meta_report/consistency_reclassification_2026-09-04/reclassified_candidates.json</x:v>
      </x:c>
      <x:c r="Z75" s="3" t="str">
        <x:v>S_W</x:v>
      </x:c>
      <x:c r="AA75" s="3" t="str">
        <x:v>report_internal_inconsistency</x:v>
      </x:c>
      <x:c r="AB75" s="3" t="str">
        <x:v>retain</x:v>
      </x:c>
    </x:row>
    <x:row r="76" ht="90" customHeight="1">
      <x:c r="A76" s="12" t="b">
        <x:v>0</x:v>
      </x:c>
      <x:c r="B76" s="6" t="str">
        <x:v>Distinct from C023: reordering values does not supply the missing participant per column.</x:v>
      </x:c>
      <x:c r="C76" s="12" t="b">
        <x:v>0</x:v>
      </x:c>
      <x:c r="D76" s="6" t="str">
        <x:v>Denominator, proportion, or total inconsistency</x:v>
      </x:c>
      <x:c r="E76" s="12" t="b">
        <x:v>0</x:v>
      </x:c>
      <x:c r="F76" s="6" t="str">
        <x:v>C024</x:v>
      </x:c>
      <x:c r="G76" s="6" t="str">
        <x:v>2024::jama.2024.4183::C024</x:v>
      </x:c>
      <x:c r="H76" s="6"/>
      <x:c r="I76" s="6" t="str">
        <x:v>Supplement 2 p. 19, ETable 3.</x:v>
      </x:c>
      <x:c r="J76" s="12" t="b">
        <x:v>0</x:v>
      </x:c>
      <x:c r="K76" s="6" t="str">
        <x:v>jama.2024.4183</x:v>
      </x:c>
      <x:c r="L76" s="6"/>
      <x:c r="M76" s="6" t="str">
        <x:v>S_W</x:v>
      </x:c>
      <x:c r="N76" s="6" t="str">
        <x:v>Results eTable3 employed/unemployed counts sum49/50 and38/39 with no missingness category.</x:v>
      </x:c>
      <x:c r="O76" s="6" t="str">
        <x:v>../../2024/jama.2024.4183/.ai_paper_validation/final_report_1_5_3.html</x:v>
      </x:c>
      <x:c r="P76" s="6" t="str">
        <x:v>2024/jama.2024.4183/.ai_paper_validation/final_report_1_5_3.md</x:v>
      </x:c>
      <x:c r="Q76" s="6" t="str">
        <x:v>C024</x:v>
      </x:c>
      <x:c r="R76" s="6" t="str">
        <x:v>Pending Human Adjudication</x:v>
      </x:c>
      <x:c r="S76" s="6" t="str">
        <x:v>ETable 3 employment totals do not close to two printed column Ns.</x:v>
      </x:c>
      <x:c r="T76" s="12" t="b">
        <x:v>1</x:v>
      </x:c>
      <x:c r="U76" s="6" t="str">
        <x:v>category_total</x:v>
      </x:c>
      <x:c r="V76" s="6" t="str">
        <x:v>statistical_results</x:v>
      </x:c>
      <x:c r="W76" s="6" t="str">
        <x:v>ETable 3 employment totals do not close to two printed column Ns</x:v>
      </x:c>
      <x:c r="X76" s="6" t="str">
        <x:v>2024</x:v>
      </x:c>
      <x:c r="Y76" s="6" t="str">
        <x:v>meta_report/consistency_reclassification_2026-09-04/reclassified_candidates.json</x:v>
      </x:c>
      <x:c r="Z76" s="6" t="str">
        <x:v>S_W</x:v>
      </x:c>
      <x:c r="AA76" s="6" t="str">
        <x:v>statistical_results</x:v>
      </x:c>
      <x:c r="AB76" s="6" t="str">
        <x:v>retain</x:v>
      </x:c>
    </x:row>
    <x:row r="77" ht="90" customHeight="1">
      <x:c r="A77" s="11" t="b">
        <x:v>0</x:v>
      </x:c>
      <x:c r="B77" s="3" t="str">
        <x:v>Disposition-category identity is conditional.</x:v>
      </x:c>
      <x:c r="C77" s="11" t="b">
        <x:v>0</x:v>
      </x:c>
      <x:c r="D77" s="3" t="str">
        <x:v>Denominator, proportion, or total inconsistency</x:v>
      </x:c>
      <x:c r="E77" s="11" t="b">
        <x:v>0</x:v>
      </x:c>
      <x:c r="F77" s="3" t="str">
        <x:v>C001</x:v>
      </x:c>
      <x:c r="G77" s="3" t="str">
        <x:v>2024::jama.2024.6063::C001</x:v>
      </x:c>
      <x:c r="H77" s="3"/>
      <x:c r="I77" s="3" t="str">
        <x:v>Main article — PDF p. 3; Main article — PDF p. 7.</x:v>
      </x:c>
      <x:c r="J77" s="11" t="b">
        <x:v>0</x:v>
      </x:c>
      <x:c r="K77" s="3" t="str">
        <x:v>jama.2024.6063</x:v>
      </x:c>
      <x:c r="L77" s="3"/>
      <x:c r="M77" s="3" t="str">
        <x:v>S_W</x:v>
      </x:c>
      <x:c r="N77" s="3" t="str">
        <x:v>Main Figure1 gives21placebo discontinuations/111completers but Results gives23withdrawals/losses and implied109completers.</x:v>
      </x:c>
      <x:c r="O77" s="3" t="str">
        <x:v>../../2024/jama.2024.6063/.ai_paper_validation/final_report_1_5_3.html</x:v>
      </x:c>
      <x:c r="P77" s="3" t="str">
        <x:v>2024/jama.2024.6063/.ai_paper_validation/final_report_1_5_3.md</x:v>
      </x:c>
      <x:c r="Q77" s="3" t="str">
        <x:v>C001</x:v>
      </x:c>
      <x:c r="R77" s="3" t="str">
        <x:v>Pending Human Adjudication</x:v>
      </x:c>
      <x:c r="S77" s="3" t="str">
        <x:v>Figure 1 and Results print different placebo-arm discontinuation/completion counts if their disposition terms refer to the same participants.</x:v>
      </x:c>
      <x:c r="T77" s="11" t="b">
        <x:v>1</x:v>
      </x:c>
      <x:c r="U77" s="3" t="str">
        <x:v>flow_count_repeat</x:v>
      </x:c>
      <x:c r="V77" s="3" t="str">
        <x:v>statistical_results</x:v>
      </x:c>
      <x:c r="W77" s="3" t="str">
        <x:v>Placebo discontinuation counts differ between Figure 1 and the Results text</x:v>
      </x:c>
      <x:c r="X77" s="3" t="str">
        <x:v>2024</x:v>
      </x:c>
      <x:c r="Y77" s="3" t="str">
        <x:v>meta_report/consistency_reclassification_2026-09-04/reclassified_candidates.json</x:v>
      </x:c>
      <x:c r="Z77" s="3" t="str">
        <x:v>S_W</x:v>
      </x:c>
      <x:c r="AA77" s="3" t="str">
        <x:v>statistical_results</x:v>
      </x:c>
      <x:c r="AB77" s="3" t="str">
        <x:v>retain</x:v>
      </x:c>
    </x:row>
    <x:row r="78" ht="90" customHeight="1">
      <x:c r="A78" s="12" t="b">
        <x:v>0</x:v>
      </x:c>
      <x:c r="B78" s="6" t="str">
        <x:v>A narrower footnote population is possible; separate from C016's main95% discrepancy.</x:v>
      </x:c>
      <x:c r="C78" s="12" t="b">
        <x:v>0</x:v>
      </x:c>
      <x:c r="D78" s="6" t="str">
        <x:v>Denominator, proportion, or total inconsistency</x:v>
      </x:c>
      <x:c r="E78" s="12" t="b">
        <x:v>0</x:v>
      </x:c>
      <x:c r="F78" s="6" t="str">
        <x:v>C002</x:v>
      </x:c>
      <x:c r="G78" s="6" t="str">
        <x:v>2024::jama.2024.6063::C002</x:v>
      </x:c>
      <x:c r="H78" s="6"/>
      <x:c r="I78" s="6" t="str">
        <x:v>Supplement 3 — PDF p. 3.</x:v>
      </x:c>
      <x:c r="J78" s="12" t="b">
        <x:v>0</x:v>
      </x:c>
      <x:c r="K78" s="6" t="str">
        <x:v>jama.2024.6063</x:v>
      </x:c>
      <x:c r="L78" s="6"/>
      <x:c r="M78" s="6" t="str">
        <x:v>S_W</x:v>
      </x:c>
      <x:c r="N78" s="6" t="str">
        <x:v>Results eTable2 row n167 and percentage-supported83+84 conflict with its footnote n165.</x:v>
      </x:c>
      <x:c r="O78" s="6" t="str">
        <x:v>../../2024/jama.2024.6063/.ai_paper_validation/final_report_1_5_3.html</x:v>
      </x:c>
      <x:c r="P78" s="6" t="str">
        <x:v>2024/jama.2024.6063/.ai_paper_validation/final_report_1_5_3.md</x:v>
      </x:c>
      <x:c r="Q78" s="6" t="str">
        <x:v>C002</x:v>
      </x:c>
      <x:c r="R78" s="6" t="str">
        <x:v>Pending Human Adjudication</x:v>
      </x:c>
      <x:c r="S78" s="6" t="str">
        <x:v>The overall eTable 2 row is supported by 167 participants while its adherence footnote names 165.</x:v>
      </x:c>
      <x:c r="T78" s="12" t="b">
        <x:v>1</x:v>
      </x:c>
      <x:c r="U78" s="6" t="str">
        <x:v>denominator_footnote</x:v>
      </x:c>
      <x:c r="V78" s="6" t="str">
        <x:v>statistical_results</x:v>
      </x:c>
      <x:c r="W78" s="6" t="str">
        <x:v>eTable 2 names 167 and 165 for the overall adherence population</x:v>
      </x:c>
      <x:c r="X78" s="6" t="str">
        <x:v>2024</x:v>
      </x:c>
      <x:c r="Y78" s="6" t="str">
        <x:v>meta_report/consistency_reclassification_2026-09-04/reclassified_candidates.json</x:v>
      </x:c>
      <x:c r="Z78" s="6" t="str">
        <x:v>S_W</x:v>
      </x:c>
      <x:c r="AA78" s="6" t="str">
        <x:v>statistical_results</x:v>
      </x:c>
      <x:c r="AB78" s="6" t="str">
        <x:v>retain</x:v>
      </x:c>
    </x:row>
    <x:row r="79" ht="90" customHeight="1">
      <x:c r="A79" s="11" t="b">
        <x:v>0</x:v>
      </x:c>
      <x:c r="B79" s="3"/>
      <x:c r="C79" s="11" t="b">
        <x:v>0</x:v>
      </x:c>
      <x:c r="D79" s="3" t="str">
        <x:v>Denominator, proportion, or total inconsistency</x:v>
      </x:c>
      <x:c r="E79" s="11" t="b">
        <x:v>0</x:v>
      </x:c>
      <x:c r="F79" s="3" t="str">
        <x:v>C003</x:v>
      </x:c>
      <x:c r="G79" s="3" t="str">
        <x:v>2024::jama.2024.6063::C003</x:v>
      </x:c>
      <x:c r="H79" s="3"/>
      <x:c r="I79" s="3" t="str">
        <x:v>Supplement 3 — PDF p. 8.</x:v>
      </x:c>
      <x:c r="J79" s="11" t="b">
        <x:v>0</x:v>
      </x:c>
      <x:c r="K79" s="3" t="str">
        <x:v>jama.2024.6063</x:v>
      </x:c>
      <x:c r="L79" s="3"/>
      <x:c r="M79" s="3" t="str">
        <x:v>S_W</x:v>
      </x:c>
      <x:c r="N79" s="3" t="str">
        <x:v>Results eTable5 krill smaller1unit10/107 is printed12%, versus ordinary9%.</x:v>
      </x:c>
      <x:c r="O79" s="3" t="str">
        <x:v>../../2024/jama.2024.6063/.ai_paper_validation/final_report_1_5_3.html</x:v>
      </x:c>
      <x:c r="P79" s="3" t="str">
        <x:v>2024/jama.2024.6063/.ai_paper_validation/final_report_1_5_3.md</x:v>
      </x:c>
      <x:c r="Q79" s="3" t="str">
        <x:v>C003</x:v>
      </x:c>
      <x:c r="R79" s="3" t="str">
        <x:v>Pending Human Adjudication</x:v>
      </x:c>
      <x:c r="S79" s="3" t="str">
        <x:v>The printed 12% does not reproduce from the printed krill count 10 and total 107.</x:v>
      </x:c>
      <x:c r="T79" s="11" t="b">
        <x:v>1</x:v>
      </x:c>
      <x:c r="U79" s="3" t="str">
        <x:v>count_percentage</x:v>
      </x:c>
      <x:c r="V79" s="3" t="str">
        <x:v>statistical_results</x:v>
      </x:c>
      <x:c r="W79" s="3" t="str">
        <x:v>eTable 5 krill “Smaller by 1 unit” percentage conflicts with 10 of 107</x:v>
      </x:c>
      <x:c r="X79" s="3" t="str">
        <x:v>2024</x:v>
      </x:c>
      <x:c r="Y79" s="3" t="str">
        <x:v>meta_report/consistency_reclassification_2026-09-04/reclassified_candidates.json</x:v>
      </x:c>
      <x:c r="Z79" s="3" t="str">
        <x:v>S_W</x:v>
      </x:c>
      <x:c r="AA79" s="3" t="str">
        <x:v>statistical_results</x:v>
      </x:c>
      <x:c r="AB79" s="3" t="str">
        <x:v>retain</x:v>
      </x:c>
    </x:row>
    <x:row r="80" ht="90" customHeight="1">
      <x:c r="A80" s="12" t="b">
        <x:v>0</x:v>
      </x:c>
      <x:c r="B80" s="6"/>
      <x:c r="C80" s="12" t="b">
        <x:v>0</x:v>
      </x:c>
      <x:c r="D80" s="6" t="str">
        <x:v>Denominator, proportion, or total inconsistency</x:v>
      </x:c>
      <x:c r="E80" s="12" t="b">
        <x:v>0</x:v>
      </x:c>
      <x:c r="F80" s="6" t="str">
        <x:v>C004</x:v>
      </x:c>
      <x:c r="G80" s="6" t="str">
        <x:v>2024::jama.2024.6063::C004</x:v>
      </x:c>
      <x:c r="H80" s="6"/>
      <x:c r="I80" s="6" t="str">
        <x:v>Supplement 3 — PDF p. 8.</x:v>
      </x:c>
      <x:c r="J80" s="12" t="b">
        <x:v>0</x:v>
      </x:c>
      <x:c r="K80" s="6" t="str">
        <x:v>jama.2024.6063</x:v>
      </x:c>
      <x:c r="L80" s="6"/>
      <x:c r="M80" s="6" t="str">
        <x:v>S_W</x:v>
      </x:c>
      <x:c r="N80" s="6" t="str">
        <x:v>Results eTable5 krill nochange80/107 is printed72%, versus ordinary75%.</x:v>
      </x:c>
      <x:c r="O80" s="6" t="str">
        <x:v>../../2024/jama.2024.6063/.ai_paper_validation/final_report_1_5_3.html</x:v>
      </x:c>
      <x:c r="P80" s="6" t="str">
        <x:v>2024/jama.2024.6063/.ai_paper_validation/final_report_1_5_3.md</x:v>
      </x:c>
      <x:c r="Q80" s="6" t="str">
        <x:v>C004</x:v>
      </x:c>
      <x:c r="R80" s="6" t="str">
        <x:v>Pending Human Adjudication</x:v>
      </x:c>
      <x:c r="S80" s="6" t="str">
        <x:v>The printed 72% does not reproduce from the printed krill count 80 and total 107.</x:v>
      </x:c>
      <x:c r="T80" s="12" t="b">
        <x:v>1</x:v>
      </x:c>
      <x:c r="U80" s="6" t="str">
        <x:v>count_percentage</x:v>
      </x:c>
      <x:c r="V80" s="6" t="str">
        <x:v>statistical_results</x:v>
      </x:c>
      <x:c r="W80" s="6" t="str">
        <x:v>eTable 5 krill “No change” percentage conflicts with 80 of 107</x:v>
      </x:c>
      <x:c r="X80" s="6" t="str">
        <x:v>2024</x:v>
      </x:c>
      <x:c r="Y80" s="6" t="str">
        <x:v>meta_report/consistency_reclassification_2026-09-04/reclassified_candidates.json</x:v>
      </x:c>
      <x:c r="Z80" s="6" t="str">
        <x:v>S_W</x:v>
      </x:c>
      <x:c r="AA80" s="6" t="str">
        <x:v>statistical_results</x:v>
      </x:c>
      <x:c r="AB80" s="6" t="str">
        <x:v>retain</x:v>
      </x:c>
    </x:row>
    <x:row r="81" ht="90" customHeight="1">
      <x:c r="A81" s="11" t="b">
        <x:v>0</x:v>
      </x:c>
      <x:c r="B81" s="3"/>
      <x:c r="C81" s="11" t="b">
        <x:v>0</x:v>
      </x:c>
      <x:c r="D81" s="3" t="str">
        <x:v>Denominator, proportion, or total inconsistency</x:v>
      </x:c>
      <x:c r="E81" s="11" t="b">
        <x:v>0</x:v>
      </x:c>
      <x:c r="F81" s="3" t="str">
        <x:v>C005</x:v>
      </x:c>
      <x:c r="G81" s="3" t="str">
        <x:v>2024::jama.2024.6063::C005</x:v>
      </x:c>
      <x:c r="H81" s="3"/>
      <x:c r="I81" s="3" t="str">
        <x:v>Supplement 3 — PDF p. 8.</x:v>
      </x:c>
      <x:c r="J81" s="11" t="b">
        <x:v>0</x:v>
      </x:c>
      <x:c r="K81" s="3" t="str">
        <x:v>jama.2024.6063</x:v>
      </x:c>
      <x:c r="L81" s="3"/>
      <x:c r="M81" s="3" t="str">
        <x:v>S_W</x:v>
      </x:c>
      <x:c r="N81" s="3" t="str">
        <x:v>Results eTable5 krill larger1unit12/107 is printed12%, versus ordinary11%.</x:v>
      </x:c>
      <x:c r="O81" s="3" t="str">
        <x:v>../../2024/jama.2024.6063/.ai_paper_validation/final_report_1_5_3.html</x:v>
      </x:c>
      <x:c r="P81" s="3" t="str">
        <x:v>2024/jama.2024.6063/.ai_paper_validation/final_report_1_5_3.md</x:v>
      </x:c>
      <x:c r="Q81" s="3" t="str">
        <x:v>C005</x:v>
      </x:c>
      <x:c r="R81" s="3" t="str">
        <x:v>Pending Human Adjudication</x:v>
      </x:c>
      <x:c r="S81" s="3" t="str">
        <x:v>The printed 12% does not reproduce from the printed krill count 12 and total 107.</x:v>
      </x:c>
      <x:c r="T81" s="11" t="b">
        <x:v>1</x:v>
      </x:c>
      <x:c r="U81" s="3" t="str">
        <x:v>count_percentage</x:v>
      </x:c>
      <x:c r="V81" s="3" t="str">
        <x:v>statistical_results</x:v>
      </x:c>
      <x:c r="W81" s="3" t="str">
        <x:v>eTable 5 krill “Larger by 1 unit” percentage conflicts with 12 of 107</x:v>
      </x:c>
      <x:c r="X81" s="3" t="str">
        <x:v>2024</x:v>
      </x:c>
      <x:c r="Y81" s="3" t="str">
        <x:v>meta_report/consistency_reclassification_2026-09-04/reclassified_candidates.json</x:v>
      </x:c>
      <x:c r="Z81" s="3" t="str">
        <x:v>S_W</x:v>
      </x:c>
      <x:c r="AA81" s="3" t="str">
        <x:v>statistical_results</x:v>
      </x:c>
      <x:c r="AB81" s="3" t="str">
        <x:v>retain</x:v>
      </x:c>
    </x:row>
    <x:row r="82" ht="90" customHeight="1">
      <x:c r="A82" s="12" t="b">
        <x:v>0</x:v>
      </x:c>
      <x:c r="B82" s="6"/>
      <x:c r="C82" s="12" t="b">
        <x:v>0</x:v>
      </x:c>
      <x:c r="D82" s="6" t="str">
        <x:v>Denominator, proportion, or total inconsistency</x:v>
      </x:c>
      <x:c r="E82" s="12" t="b">
        <x:v>0</x:v>
      </x:c>
      <x:c r="F82" s="6" t="str">
        <x:v>C006</x:v>
      </x:c>
      <x:c r="G82" s="6" t="str">
        <x:v>2024::jama.2024.6063::C006</x:v>
      </x:c>
      <x:c r="H82" s="6"/>
      <x:c r="I82" s="6" t="str">
        <x:v>Supplement 3 — PDF p. 8.</x:v>
      </x:c>
      <x:c r="J82" s="12" t="b">
        <x:v>0</x:v>
      </x:c>
      <x:c r="K82" s="6" t="str">
        <x:v>jama.2024.6063</x:v>
      </x:c>
      <x:c r="L82" s="6"/>
      <x:c r="M82" s="6" t="str">
        <x:v>S_W</x:v>
      </x:c>
      <x:c r="N82" s="6" t="str">
        <x:v>Results eTable5 placebo smaller2units2/109 is printed1.9%, versus ordinary1.8%.</x:v>
      </x:c>
      <x:c r="O82" s="6" t="str">
        <x:v>../../2024/jama.2024.6063/.ai_paper_validation/final_report_1_5_3.html</x:v>
      </x:c>
      <x:c r="P82" s="6" t="str">
        <x:v>2024/jama.2024.6063/.ai_paper_validation/final_report_1_5_3.md</x:v>
      </x:c>
      <x:c r="Q82" s="6" t="str">
        <x:v>C006</x:v>
      </x:c>
      <x:c r="R82" s="6" t="str">
        <x:v>Pending Human Adjudication</x:v>
      </x:c>
      <x:c r="S82" s="6" t="str">
        <x:v>The printed 1.9% does not reproduce from the printed placebo count 2 and total 109 at one-decimal precision.</x:v>
      </x:c>
      <x:c r="T82" s="12" t="b">
        <x:v>1</x:v>
      </x:c>
      <x:c r="U82" s="6" t="str">
        <x:v>rounding</x:v>
      </x:c>
      <x:c r="V82" s="6" t="str">
        <x:v>statistical_results</x:v>
      </x:c>
      <x:c r="W82" s="6" t="str">
        <x:v>eTable 5 placebo “Smaller by 2 units” percentage conflicts with 2 of 109</x:v>
      </x:c>
      <x:c r="X82" s="6" t="str">
        <x:v>2024</x:v>
      </x:c>
      <x:c r="Y82" s="6" t="str">
        <x:v>meta_report/consistency_reclassification_2026-09-04/reclassified_candidates.json</x:v>
      </x:c>
      <x:c r="Z82" s="6" t="str">
        <x:v>S_W</x:v>
      </x:c>
      <x:c r="AA82" s="6" t="str">
        <x:v>statistical_results</x:v>
      </x:c>
      <x:c r="AB82" s="6" t="str">
        <x:v>retain</x:v>
      </x:c>
    </x:row>
    <x:row r="83" ht="90" customHeight="1">
      <x:c r="A83" s="11" t="b">
        <x:v>0</x:v>
      </x:c>
      <x:c r="B83" s="3"/>
      <x:c r="C83" s="11" t="b">
        <x:v>0</x:v>
      </x:c>
      <x:c r="D83" s="3" t="str">
        <x:v>Denominator, proportion, or total inconsistency</x:v>
      </x:c>
      <x:c r="E83" s="11" t="b">
        <x:v>0</x:v>
      </x:c>
      <x:c r="F83" s="3" t="str">
        <x:v>C007</x:v>
      </x:c>
      <x:c r="G83" s="3" t="str">
        <x:v>2024::jama.2024.6063::C007</x:v>
      </x:c>
      <x:c r="H83" s="3"/>
      <x:c r="I83" s="3" t="str">
        <x:v>Supplement 3 — PDF p. 8.</x:v>
      </x:c>
      <x:c r="J83" s="11" t="b">
        <x:v>0</x:v>
      </x:c>
      <x:c r="K83" s="3" t="str">
        <x:v>jama.2024.6063</x:v>
      </x:c>
      <x:c r="L83" s="3"/>
      <x:c r="M83" s="3" t="str">
        <x:v>S_W</x:v>
      </x:c>
      <x:c r="N83" s="3" t="str">
        <x:v>Results eTable5 placebo smaller1unit16/109 is printed12%, versus ordinary15%.</x:v>
      </x:c>
      <x:c r="O83" s="3" t="str">
        <x:v>../../2024/jama.2024.6063/.ai_paper_validation/final_report_1_5_3.html</x:v>
      </x:c>
      <x:c r="P83" s="3" t="str">
        <x:v>2024/jama.2024.6063/.ai_paper_validation/final_report_1_5_3.md</x:v>
      </x:c>
      <x:c r="Q83" s="3" t="str">
        <x:v>C007</x:v>
      </x:c>
      <x:c r="R83" s="3" t="str">
        <x:v>Pending Human Adjudication</x:v>
      </x:c>
      <x:c r="S83" s="3" t="str">
        <x:v>The printed 12% does not reproduce from the printed placebo count 16 and total 109.</x:v>
      </x:c>
      <x:c r="T83" s="11" t="b">
        <x:v>1</x:v>
      </x:c>
      <x:c r="U83" s="3" t="str">
        <x:v>count_percentage</x:v>
      </x:c>
      <x:c r="V83" s="3" t="str">
        <x:v>statistical_results</x:v>
      </x:c>
      <x:c r="W83" s="3" t="str">
        <x:v>eTable 5 placebo “Smaller by 1 unit” percentage conflicts with 16 of 109</x:v>
      </x:c>
      <x:c r="X83" s="3" t="str">
        <x:v>2024</x:v>
      </x:c>
      <x:c r="Y83" s="3" t="str">
        <x:v>meta_report/consistency_reclassification_2026-09-04/reclassified_candidates.json</x:v>
      </x:c>
      <x:c r="Z83" s="3" t="str">
        <x:v>S_W</x:v>
      </x:c>
      <x:c r="AA83" s="3" t="str">
        <x:v>statistical_results</x:v>
      </x:c>
      <x:c r="AB83" s="3" t="str">
        <x:v>retain</x:v>
      </x:c>
    </x:row>
    <x:row r="84" ht="90" customHeight="1">
      <x:c r="A84" s="12" t="b">
        <x:v>0</x:v>
      </x:c>
      <x:c r="B84" s="6"/>
      <x:c r="C84" s="12" t="b">
        <x:v>0</x:v>
      </x:c>
      <x:c r="D84" s="6" t="str">
        <x:v>Denominator, proportion, or total inconsistency</x:v>
      </x:c>
      <x:c r="E84" s="12" t="b">
        <x:v>0</x:v>
      </x:c>
      <x:c r="F84" s="6" t="str">
        <x:v>C008</x:v>
      </x:c>
      <x:c r="G84" s="6" t="str">
        <x:v>2024::jama.2024.6063::C008</x:v>
      </x:c>
      <x:c r="H84" s="6"/>
      <x:c r="I84" s="6" t="str">
        <x:v>Supplement 3 — PDF p. 8.</x:v>
      </x:c>
      <x:c r="J84" s="12" t="b">
        <x:v>0</x:v>
      </x:c>
      <x:c r="K84" s="6" t="str">
        <x:v>jama.2024.6063</x:v>
      </x:c>
      <x:c r="L84" s="6"/>
      <x:c r="M84" s="6" t="str">
        <x:v>S_W</x:v>
      </x:c>
      <x:c r="N84" s="6" t="str">
        <x:v>Results eTable5 placebo nochange75/109 is printed72%, versus ordinary69%.</x:v>
      </x:c>
      <x:c r="O84" s="6" t="str">
        <x:v>../../2024/jama.2024.6063/.ai_paper_validation/final_report_1_5_3.html</x:v>
      </x:c>
      <x:c r="P84" s="6" t="str">
        <x:v>2024/jama.2024.6063/.ai_paper_validation/final_report_1_5_3.md</x:v>
      </x:c>
      <x:c r="Q84" s="6" t="str">
        <x:v>C008</x:v>
      </x:c>
      <x:c r="R84" s="6" t="str">
        <x:v>Pending Human Adjudication</x:v>
      </x:c>
      <x:c r="S84" s="6" t="str">
        <x:v>The printed 72% does not reproduce from the printed placebo count 75 and total 109.</x:v>
      </x:c>
      <x:c r="T84" s="12" t="b">
        <x:v>1</x:v>
      </x:c>
      <x:c r="U84" s="6" t="str">
        <x:v>count_percentage</x:v>
      </x:c>
      <x:c r="V84" s="6" t="str">
        <x:v>statistical_results</x:v>
      </x:c>
      <x:c r="W84" s="6" t="str">
        <x:v>eTable 5 placebo “No change” percentage conflicts with 75 of 109</x:v>
      </x:c>
      <x:c r="X84" s="6" t="str">
        <x:v>2024</x:v>
      </x:c>
      <x:c r="Y84" s="6" t="str">
        <x:v>meta_report/consistency_reclassification_2026-09-04/reclassified_candidates.json</x:v>
      </x:c>
      <x:c r="Z84" s="6" t="str">
        <x:v>S_W</x:v>
      </x:c>
      <x:c r="AA84" s="6" t="str">
        <x:v>statistical_results</x:v>
      </x:c>
      <x:c r="AB84" s="6" t="str">
        <x:v>retain</x:v>
      </x:c>
    </x:row>
    <x:row r="85" ht="90" customHeight="1">
      <x:c r="A85" s="11" t="b">
        <x:v>0</x:v>
      </x:c>
      <x:c r="B85" s="3" t="str">
        <x:v>Descriptive subtraction is diagnostic, not adjusted-model reconstruction; coincidence/production cause is unproven.</x:v>
      </x:c>
      <x:c r="C85" s="11" t="b">
        <x:v>0</x:v>
      </x:c>
      <x:c r="D85" s="3" t="str">
        <x:v>Numeric or arithmetic inconsistency</x:v>
      </x:c>
      <x:c r="E85" s="11" t="b">
        <x:v>0</x:v>
      </x:c>
      <x:c r="F85" s="3" t="str">
        <x:v>C009</x:v>
      </x:c>
      <x:c r="G85" s="3" t="str">
        <x:v>2024::jama.2024.6063::C009</x:v>
      </x:c>
      <x:c r="H85" s="3"/>
      <x:c r="I85" s="3" t="str">
        <x:v>Supplement 3 — PDF p. 5.</x:v>
      </x:c>
      <x:c r="J85" s="11" t="b">
        <x:v>0</x:v>
      </x:c>
      <x:c r="K85" s="3" t="str">
        <x:v>jama.2024.6063</x:v>
      </x:c>
      <x:c r="L85" s="3"/>
      <x:c r="M85" s="3" t="str">
        <x:v>S_W</x:v>
      </x:c>
      <x:c r="N85" s="3" t="str">
        <x:v>Within results eTable4,week4weight-bearingpain repeats both function-arm change estimates/intervals despite separate outcome labels.</x:v>
      </x:c>
      <x:c r="O85" s="3" t="str">
        <x:v>../../2024/jama.2024.6063/.ai_paper_validation/final_report_1_5_3.html</x:v>
      </x:c>
      <x:c r="P85" s="3" t="str">
        <x:v>2024/jama.2024.6063/.ai_paper_validation/final_report_1_5_3.md</x:v>
      </x:c>
      <x:c r="Q85" s="3" t="str">
        <x:v>C009</x:v>
      </x:c>
      <x:c r="R85" s="3" t="str">
        <x:v>Pending Human Adjudication</x:v>
      </x:c>
      <x:c r="S85" s="3" t="str">
        <x:v>eTable 4 prints the same two week-4 arm-change estimate/interval pairs for weight-bearing pain and function.</x:v>
      </x:c>
      <x:c r="T85" s="11" t="b">
        <x:v>1</x:v>
      </x:c>
      <x:c r="U85" s="3" t="str">
        <x:v>duplicated_output</x:v>
      </x:c>
      <x:c r="V85" s="3" t="str">
        <x:v>statistical_results</x:v>
      </x:c>
      <x:c r="W85" s="3" t="str">
        <x:v>eTable 4 repeats week-4 function changes in the weight-bearing-pain row</x:v>
      </x:c>
      <x:c r="X85" s="3" t="str">
        <x:v>2024</x:v>
      </x:c>
      <x:c r="Y85" s="3" t="str">
        <x:v>meta_report/consistency_reclassification_2026-09-04/reclassified_candidates.json</x:v>
      </x:c>
      <x:c r="Z85" s="3" t="str">
        <x:v>S_W</x:v>
      </x:c>
      <x:c r="AA85" s="3" t="str">
        <x:v>statistical_results</x:v>
      </x:c>
      <x:c r="AB85" s="3" t="str">
        <x:v>retain</x:v>
      </x:c>
    </x:row>
    <x:row r="86" ht="90" customHeight="1">
      <x:c r="A86" s="12" t="b">
        <x:v>0</x:v>
      </x:c>
      <x:c r="B86" s="6" t="str">
        <x:v>Distinct pair of rows from C009/C011; model-versus-descriptive differences alone are not proof.</x:v>
      </x:c>
      <x:c r="C86" s="12" t="b">
        <x:v>0</x:v>
      </x:c>
      <x:c r="D86" s="6" t="str">
        <x:v>Statistical reporting inconsistency</x:v>
      </x:c>
      <x:c r="E86" s="12" t="b">
        <x:v>0</x:v>
      </x:c>
      <x:c r="F86" s="6" t="str">
        <x:v>C010</x:v>
      </x:c>
      <x:c r="G86" s="6" t="str">
        <x:v>2024::jama.2024.6063::C010</x:v>
      </x:c>
      <x:c r="H86" s="6"/>
      <x:c r="I86" s="6" t="str">
        <x:v>Supplement 3 — PDF p. 6.</x:v>
      </x:c>
      <x:c r="J86" s="12" t="b">
        <x:v>0</x:v>
      </x:c>
      <x:c r="K86" s="6" t="str">
        <x:v>jama.2024.6063</x:v>
      </x:c>
      <x:c r="L86" s="6"/>
      <x:c r="M86" s="6" t="str">
        <x:v>S_W</x:v>
      </x:c>
      <x:c r="N86" s="6" t="str">
        <x:v>Within results eTable4,week12legstrength repeats the complete week4backpain changes,effect,interval,andP=.53.</x:v>
      </x:c>
      <x:c r="O86" s="6" t="str">
        <x:v>../../2024/jama.2024.6063/.ai_paper_validation/final_report_1_5_3.html</x:v>
      </x:c>
      <x:c r="P86" s="6" t="str">
        <x:v>2024/jama.2024.6063/.ai_paper_validation/final_report_1_5_3.md</x:v>
      </x:c>
      <x:c r="Q86" s="6" t="str">
        <x:v>C010</x:v>
      </x:c>
      <x:c r="R86" s="6" t="str">
        <x:v>Pending Human Adjudication</x:v>
      </x:c>
      <x:c r="S86" s="6" t="str">
        <x:v>eTable 4 prints the complete week-4 back-pain output again for week-12 lower-leg strength.</x:v>
      </x:c>
      <x:c r="T86" s="12" t="b">
        <x:v>1</x:v>
      </x:c>
      <x:c r="U86" s="6" t="str">
        <x:v>duplicated_output</x:v>
      </x:c>
      <x:c r="V86" s="6" t="str">
        <x:v>statistical_results</x:v>
      </x:c>
      <x:c r="W86" s="6" t="str">
        <x:v>eTable 4 repeats week-4 back-pain results in week-12 lower-leg strength</x:v>
      </x:c>
      <x:c r="X86" s="6" t="str">
        <x:v>2024</x:v>
      </x:c>
      <x:c r="Y86" s="6" t="str">
        <x:v>meta_report/consistency_reclassification_2026-09-04/reclassified_candidates.json</x:v>
      </x:c>
      <x:c r="Z86" s="6" t="str">
        <x:v>S_W</x:v>
      </x:c>
      <x:c r="AA86" s="6" t="str">
        <x:v>statistical_results</x:v>
      </x:c>
      <x:c r="AB86" s="6" t="str">
        <x:v>retain</x:v>
      </x:c>
    </x:row>
    <x:row r="87" ht="90" customHeight="1">
      <x:c r="A87" s="11" t="b">
        <x:v>0</x:v>
      </x:c>
      <x:c r="B87" s="3" t="str">
        <x:v>Separate paired measures from C009/C010; identical outputs are a candidate, not proof of copying.</x:v>
      </x:c>
      <x:c r="C87" s="11" t="b">
        <x:v>0</x:v>
      </x:c>
      <x:c r="D87" s="3" t="str">
        <x:v>Statistical reporting inconsistency</x:v>
      </x:c>
      <x:c r="E87" s="11" t="b">
        <x:v>0</x:v>
      </x:c>
      <x:c r="F87" s="3" t="str">
        <x:v>C011</x:v>
      </x:c>
      <x:c r="G87" s="3" t="str">
        <x:v>2024::jama.2024.6063::C011</x:v>
      </x:c>
      <x:c r="H87" s="3"/>
      <x:c r="I87" s="3" t="str">
        <x:v>Supplement 3 — PDF p. 6.</x:v>
      </x:c>
      <x:c r="J87" s="11" t="b">
        <x:v>0</x:v>
      </x:c>
      <x:c r="K87" s="3" t="str">
        <x:v>jama.2024.6063</x:v>
      </x:c>
      <x:c r="L87" s="3"/>
      <x:c r="M87" s="3" t="str">
        <x:v>S_W</x:v>
      </x:c>
      <x:c r="N87" s="3" t="str">
        <x:v>Within results eTable4,week12fastingglucose repeats hsCRP's between-group0.07(-1.19,1.33),P=.92.</x:v>
      </x:c>
      <x:c r="O87" s="3" t="str">
        <x:v>../../2024/jama.2024.6063/.ai_paper_validation/final_report_1_5_3.html</x:v>
      </x:c>
      <x:c r="P87" s="3" t="str">
        <x:v>2024/jama.2024.6063/.ai_paper_validation/final_report_1_5_3.md</x:v>
      </x:c>
      <x:c r="Q87" s="3" t="str">
        <x:v>C011</x:v>
      </x:c>
      <x:c r="R87" s="3" t="str">
        <x:v>Pending Human Adjudication</x:v>
      </x:c>
      <x:c r="S87" s="3" t="str">
        <x:v>eTable 4 prints the same between-group estimate, interval, and P value for week-12 hsCRP and fasting glucose.</x:v>
      </x:c>
      <x:c r="T87" s="11" t="b">
        <x:v>1</x:v>
      </x:c>
      <x:c r="U87" s="3" t="str">
        <x:v>duplicated_output</x:v>
      </x:c>
      <x:c r="V87" s="3" t="str">
        <x:v>statistical_results</x:v>
      </x:c>
      <x:c r="W87" s="3" t="str">
        <x:v>eTable 4 repeats the week-12 hsCRP result in fasting glucose</x:v>
      </x:c>
      <x:c r="X87" s="3" t="str">
        <x:v>2024</x:v>
      </x:c>
      <x:c r="Y87" s="3" t="str">
        <x:v>meta_report/consistency_reclassification_2026-09-04/reclassified_candidates.json</x:v>
      </x:c>
      <x:c r="Z87" s="3" t="str">
        <x:v>S_W</x:v>
      </x:c>
      <x:c r="AA87" s="3" t="str">
        <x:v>statistical_results</x:v>
      </x:c>
      <x:c r="AB87" s="3" t="str">
        <x:v>retain</x:v>
      </x:c>
    </x:row>
    <x:row r="88" ht="90" customHeight="1">
      <x:c r="A88" s="12" t="b">
        <x:v>0</x:v>
      </x:c>
      <x:c r="B88" s="6" t="str">
        <x:v>Mixed internal-main and cross-file sign discrepancy; common signed operand order is undefined.</x:v>
      </x:c>
      <x:c r="C88" s="12" t="b">
        <x:v>0</x:v>
      </x:c>
      <x:c r="D88" s="6" t="str">
        <x:v>Cross-document numeric inconsistency</x:v>
      </x:c>
      <x:c r="E88" s="12" t="b">
        <x:v>1</x:v>
      </x:c>
      <x:c r="F88" s="6" t="str">
        <x:v>C012</x:v>
      </x:c>
      <x:c r="G88" s="6" t="str">
        <x:v>2024::jama.2024.6063::C012</x:v>
      </x:c>
      <x:c r="H88" s="6"/>
      <x:c r="I88" s="6" t="str">
        <x:v>Main article — PDF p. 2; Main article — PDF p. 1; Main article — PDF p. 6; Main article — PDF p. 7; Supplement 3 — PDF p. 2.</x:v>
      </x:c>
      <x:c r="J88" s="12" t="b">
        <x:v>1</x:v>
      </x:c>
      <x:c r="K88" s="6" t="str">
        <x:v>jama.2024.6063</x:v>
      </x:c>
      <x:c r="L88" s="6"/>
      <x:c r="M88" s="6" t="str">
        <x:v>S_C</x:v>
      </x:c>
      <x:c r="N88" s="6" t="str">
        <x:v>Main KeyPoints gives+0.30 but its own abstract/table/Results give-0.3 and results eTable1 gives-0.27 for otherwise matched primary fields.</x:v>
      </x:c>
      <x:c r="O88" s="6" t="str">
        <x:v>../../2024/jama.2024.6063/.ai_paper_validation/final_report_1_5_3.html</x:v>
      </x:c>
      <x:c r="P88" s="6" t="str">
        <x:v>2024/jama.2024.6063/.ai_paper_validation/final_report_1_5_3.md</x:v>
      </x:c>
      <x:c r="Q88" s="6" t="str">
        <x:v>C012</x:v>
      </x:c>
      <x:c r="R88" s="6" t="str">
        <x:v>Pending Human Adjudication</x:v>
      </x:c>
      <x:c r="S88" s="6" t="str">
        <x:v>Otherwise matched displays of the 24-week primary result print +0.30 in Key Points and -0.3/-0.27 elsewhere, without defining a common signed operand order.</x:v>
      </x:c>
      <x:c r="T88" s="12" t="b">
        <x:v>1</x:v>
      </x:c>
      <x:c r="U88" s="6" t="str">
        <x:v>sign_repeat</x:v>
      </x:c>
      <x:c r="V88" s="6" t="str">
        <x:v>report_internal_inconsistency</x:v>
      </x:c>
      <x:c r="W88" s="6" t="str">
        <x:v>Key Points and other matched primary-result displays use opposite signs</x:v>
      </x:c>
      <x:c r="X88" s="6" t="str">
        <x:v>2024</x:v>
      </x:c>
      <x:c r="Y88" s="6" t="str">
        <x:v>meta_report/consistency_reclassification_2026-09-04/reclassified_candidates.json</x:v>
      </x:c>
      <x:c r="Z88" s="6" t="str">
        <x:v>S_C</x:v>
      </x:c>
      <x:c r="AA88" s="6" t="str">
        <x:v>report_internal_inconsistency</x:v>
      </x:c>
      <x:c r="AB88" s="6" t="str">
        <x:v>retain</x:v>
      </x:c>
    </x:row>
    <x:row r="89" ht="90" customHeight="1">
      <x:c r="A89" s="11" t="b">
        <x:v>0</x:v>
      </x:c>
      <x:c r="B89" s="3" t="str">
        <x:v>Mixed internal-main/cross-file counts; coding-category equivalence remains conditional.</x:v>
      </x:c>
      <x:c r="C89" s="11" t="b">
        <x:v>0</x:v>
      </x:c>
      <x:c r="D89" s="3" t="str">
        <x:v>Cross-document numeric inconsistency</x:v>
      </x:c>
      <x:c r="E89" s="11" t="b">
        <x:v>1</x:v>
      </x:c>
      <x:c r="F89" s="3" t="str">
        <x:v>C013</x:v>
      </x:c>
      <x:c r="G89" s="3" t="str">
        <x:v>2024::jama.2024.6063::C013</x:v>
      </x:c>
      <x:c r="H89" s="3"/>
      <x:c r="I89" s="3" t="str">
        <x:v>Main article — PDF p. 1; Main article — PDF p. 8; Supplement 3 — PDF p. 10.</x:v>
      </x:c>
      <x:c r="J89" s="11" t="b">
        <x:v>1</x:v>
      </x:c>
      <x:c r="K89" s="3" t="str">
        <x:v>jama.2024.6063</x:v>
      </x:c>
      <x:c r="L89" s="3"/>
      <x:c r="M89" s="3" t="str">
        <x:v>S_C</x:v>
      </x:c>
      <x:c r="N89" s="3" t="str">
        <x:v>Main Table3 placeboextremitypain count6 differs from5 in its abstract/narrative and results eTable7.</x:v>
      </x:c>
      <x:c r="O89" s="3" t="str">
        <x:v>../../2024/jama.2024.6063/.ai_paper_validation/final_report_1_5_3.html</x:v>
      </x:c>
      <x:c r="P89" s="3" t="str">
        <x:v>2024/jama.2024.6063/.ai_paper_validation/final_report_1_5_3.md</x:v>
      </x:c>
      <x:c r="Q89" s="3" t="str">
        <x:v>C013</x:v>
      </x:c>
      <x:c r="R89" s="3" t="str">
        <x:v>Pending Human Adjudication</x:v>
      </x:c>
      <x:c r="S89" s="3" t="str">
        <x:v>Table 3 prints six placebo Pain in extremity events, while matched Abstract, narrative, and eTable 7 displays print five.</x:v>
      </x:c>
      <x:c r="T89" s="11" t="b">
        <x:v>1</x:v>
      </x:c>
      <x:c r="U89" s="3" t="str">
        <x:v>adverse_event_count</x:v>
      </x:c>
      <x:c r="V89" s="3" t="str">
        <x:v>report_internal_inconsistency</x:v>
      </x:c>
      <x:c r="W89" s="3" t="str">
        <x:v>Placebo extremity-pain event count is 6 in Table 3 and 5 elsewhere</x:v>
      </x:c>
      <x:c r="X89" s="3" t="str">
        <x:v>2024</x:v>
      </x:c>
      <x:c r="Y89" s="3" t="str">
        <x:v>meta_report/consistency_reclassification_2026-09-04/reclassified_candidates.json</x:v>
      </x:c>
      <x:c r="Z89" s="3" t="str">
        <x:v>S_C</x:v>
      </x:c>
      <x:c r="AA89" s="3" t="str">
        <x:v>report_internal_inconsistency</x:v>
      </x:c>
      <x:c r="AB89" s="3" t="str">
        <x:v>retain</x:v>
      </x:c>
    </x:row>
    <x:row r="90" ht="90" customHeight="1">
      <x:c r="A90" s="12" t="b">
        <x:v>0</x:v>
      </x:c>
      <x:c r="B90" s="6" t="str">
        <x:v>Cross-file destination/content mismatch; main narrative corroborates intended eTable7.</x:v>
      </x:c>
      <x:c r="C90" s="12" t="b">
        <x:v>0</x:v>
      </x:c>
      <x:c r="D90" s="6" t="str">
        <x:v>Measure, label, or scale inconsistency</x:v>
      </x:c>
      <x:c r="E90" s="12" t="b">
        <x:v>1</x:v>
      </x:c>
      <x:c r="F90" s="6" t="str">
        <x:v>C014</x:v>
      </x:c>
      <x:c r="G90" s="6" t="str">
        <x:v>2024::jama.2024.6063::C014</x:v>
      </x:c>
      <x:c r="H90" s="6"/>
      <x:c r="I90" s="6" t="str">
        <x:v>Main article — PDF p. 8; Supplement 3 — PDF p. 5; Supplement 3 — PDF p. 10.</x:v>
      </x:c>
      <x:c r="J90" s="12" t="b">
        <x:v>0</x:v>
      </x:c>
      <x:c r="K90" s="6" t="str">
        <x:v>jama.2024.6063</x:v>
      </x:c>
      <x:c r="L90" s="6"/>
      <x:c r="M90" s="6" t="str">
        <x:v>S_C</x:v>
      </x:c>
      <x:c r="N90" s="6" t="str">
        <x:v>Main Table3 adverse-event footnote cites eTable4 but supplied results supplement eTable4 is secondary endpoints and eTable7 contains the stated adverse-event detail.</x:v>
      </x:c>
      <x:c r="O90" s="6" t="str">
        <x:v>../../2024/jama.2024.6063/.ai_paper_validation/final_report_1_5_3.html</x:v>
      </x:c>
      <x:c r="P90" s="6" t="str">
        <x:v>2024/jama.2024.6063/.ai_paper_validation/final_report_1_5_3.md</x:v>
      </x:c>
      <x:c r="Q90" s="6" t="str">
        <x:v>C014</x:v>
      </x:c>
      <x:c r="R90" s="6" t="str">
        <x:v>Pending Human Adjudication</x:v>
      </x:c>
      <x:c r="S90" s="6" t="str">
        <x:v>Table 3 footnote a directs regular-adverse-event detail to eTable 4, whereas eTable 7 is the supplied adverse-event table cited by the narrative.</x:v>
      </x:c>
      <x:c r="T90" s="12" t="b">
        <x:v>1</x:v>
      </x:c>
      <x:c r="U90" s="6" t="str">
        <x:v>cross_reference</x:v>
      </x:c>
      <x:c r="V90" s="6" t="str">
        <x:v>report_internal_inconsistency</x:v>
      </x:c>
      <x:c r="W90" s="6" t="str">
        <x:v>Table 3 regular-adverse-event footnote points to eTable 4 instead of eTable 7</x:v>
      </x:c>
      <x:c r="X90" s="6" t="str">
        <x:v>2024</x:v>
      </x:c>
      <x:c r="Y90" s="6" t="str">
        <x:v>meta_report/consistency_reclassification_2026-09-04/reclassified_candidates.json</x:v>
      </x:c>
      <x:c r="Z90" s="6" t="str">
        <x:v>S_C</x:v>
      </x:c>
      <x:c r="AA90" s="6" t="str">
        <x:v>report_internal_inconsistency</x:v>
      </x:c>
      <x:c r="AB90" s="6" t="str">
        <x:v>retain</x:v>
      </x:c>
    </x:row>
    <x:row r="91" ht="90" customHeight="1">
      <x:c r="A91" s="11" t="b">
        <x:v>0</x:v>
      </x:c>
      <x:c r="B91" s="3" t="str">
        <x:v>Cross-file destination/content mismatch; separate regular-versus-serious-event footnotes from C014.</x:v>
      </x:c>
      <x:c r="C91" s="11" t="b">
        <x:v>0</x:v>
      </x:c>
      <x:c r="D91" s="3" t="str">
        <x:v>Measure, label, or scale inconsistency</x:v>
      </x:c>
      <x:c r="E91" s="11" t="b">
        <x:v>1</x:v>
      </x:c>
      <x:c r="F91" s="3" t="str">
        <x:v>C015</x:v>
      </x:c>
      <x:c r="G91" s="3" t="str">
        <x:v>2024::jama.2024.6063::C015</x:v>
      </x:c>
      <x:c r="H91" s="3"/>
      <x:c r="I91" s="3" t="str">
        <x:v>Main article — PDF p. 8; Supplement 3 — PDF p. 8; Supplement 3 — PDF p. 9; Supplement 3 — PDF p. 14.</x:v>
      </x:c>
      <x:c r="J91" s="11" t="b">
        <x:v>0</x:v>
      </x:c>
      <x:c r="K91" s="3" t="str">
        <x:v>jama.2024.6063</x:v>
      </x:c>
      <x:c r="L91" s="3"/>
      <x:c r="M91" s="3" t="str">
        <x:v>S_C</x:v>
      </x:c>
      <x:c r="N91" s="3" t="str">
        <x:v>Main Table3 serious-event footnote cites eTables5/6 but results supplement uses those forWORMS/analgesics and places serious events in eTable8.</x:v>
      </x:c>
      <x:c r="O91" s="3" t="str">
        <x:v>../../2024/jama.2024.6063/.ai_paper_validation/final_report_1_5_3.html</x:v>
      </x:c>
      <x:c r="P91" s="3" t="str">
        <x:v>2024/jama.2024.6063/.ai_paper_validation/final_report_1_5_3.md</x:v>
      </x:c>
      <x:c r="Q91" s="3" t="str">
        <x:v>C015</x:v>
      </x:c>
      <x:c r="R91" s="3" t="str">
        <x:v>Pending Human Adjudication</x:v>
      </x:c>
      <x:c r="S91" s="3" t="str">
        <x:v>Table 3 footnote c directs serious-adverse-event detail to eTables 5 and 6, while eTable 8 contains the supplied serious-adverse-event detail.</x:v>
      </x:c>
      <x:c r="T91" s="11" t="b">
        <x:v>1</x:v>
      </x:c>
      <x:c r="U91" s="3" t="str">
        <x:v>cross_reference</x:v>
      </x:c>
      <x:c r="V91" s="3" t="str">
        <x:v>report_internal_inconsistency</x:v>
      </x:c>
      <x:c r="W91" s="3" t="str">
        <x:v>Table 3 serious-adverse-event footnote points to eTables 5 and 6 instead of eTable 8</x:v>
      </x:c>
      <x:c r="X91" s="3" t="str">
        <x:v>2024</x:v>
      </x:c>
      <x:c r="Y91" s="3" t="str">
        <x:v>meta_report/consistency_reclassification_2026-09-04/reclassified_candidates.json</x:v>
      </x:c>
      <x:c r="Z91" s="3" t="str">
        <x:v>S_C</x:v>
      </x:c>
      <x:c r="AA91" s="3" t="str">
        <x:v>report_internal_inconsistency</x:v>
      </x:c>
      <x:c r="AB91" s="3" t="str">
        <x:v>retain</x:v>
      </x:c>
    </x:row>
    <x:row r="92" ht="90" customHeight="1">
      <x:c r="A92" s="12" t="b">
        <x:v>0</x:v>
      </x:c>
      <x:c r="B92" s="6" t="str">
        <x:v>Main numerator/denominator unknown; C002 separately records the eTable167versus165 discrepancy, so not a duplicate and no added internal relation here.</x:v>
      </x:c>
      <x:c r="C92" s="12" t="b">
        <x:v>0</x:v>
      </x:c>
      <x:c r="D92" s="6" t="str">
        <x:v>Cross-document numeric inconsistency</x:v>
      </x:c>
      <x:c r="E92" s="12" t="b">
        <x:v>1</x:v>
      </x:c>
      <x:c r="F92" s="6" t="str">
        <x:v>C016</x:v>
      </x:c>
      <x:c r="G92" s="6" t="str">
        <x:v>2024::jama.2024.6063::C016</x:v>
      </x:c>
      <x:c r="H92" s="6"/>
      <x:c r="I92" s="6" t="str">
        <x:v>Main article — PDF p. 7; Supplement 3 — PDF p. 3.</x:v>
      </x:c>
      <x:c r="J92" s="12" t="b">
        <x:v>1</x:v>
      </x:c>
      <x:c r="K92" s="6" t="str">
        <x:v>jama.2024.6063</x:v>
      </x:c>
      <x:c r="L92" s="6"/>
      <x:c r="M92" s="6" t="str">
        <x:v>S_C</x:v>
      </x:c>
      <x:c r="N92" s="6" t="str">
        <x:v>Main95%adherence statement disagrees with163/167=97.6% from its cited results eTable2.</x:v>
      </x:c>
      <x:c r="O92" s="6" t="str">
        <x:v>../../2024/jama.2024.6063/.ai_paper_validation/final_report_1_5_3.html</x:v>
      </x:c>
      <x:c r="P92" s="6" t="str">
        <x:v>2024/jama.2024.6063/.ai_paper_validation/final_report_1_5_3.md</x:v>
      </x:c>
      <x:c r="Q92" s="6" t="str">
        <x:v>C016</x:v>
      </x:c>
      <x:c r="R92" s="6" t="str">
        <x:v>Pending Human Adjudication</x:v>
      </x:c>
      <x:c r="S92" s="6" t="str">
        <x:v>The main text’s 95% 24-week adherence statement does not reproduce from the cited eTable 2 overall row, conditional on a shared population.</x:v>
      </x:c>
      <x:c r="T92" s="12" t="b">
        <x:v>1</x:v>
      </x:c>
      <x:c r="U92" s="6" t="str">
        <x:v>aggregate_percentage</x:v>
      </x:c>
      <x:c r="V92" s="6" t="str">
        <x:v>report_internal_inconsistency</x:v>
      </x:c>
      <x:c r="W92" s="6" t="str">
        <x:v>Main-text 95% adherence does not reproduce the cited eTable 2 overall result</x:v>
      </x:c>
      <x:c r="X92" s="6" t="str">
        <x:v>2024</x:v>
      </x:c>
      <x:c r="Y92" s="6" t="str">
        <x:v>meta_report/consistency_reclassification_2026-09-04/reclassified_candidates.json</x:v>
      </x:c>
      <x:c r="Z92" s="6" t="str">
        <x:v>S_C</x:v>
      </x:c>
      <x:c r="AA92" s="6" t="str">
        <x:v>report_internal_inconsistency</x:v>
      </x:c>
      <x:c r="AB92" s="6" t="str">
        <x:v>retain</x:v>
      </x:c>
    </x:row>
  </x:sheetData>
  <x:pageMargins left="0.7" right="0.7" top="0.75" bottom="0.75" header="0.3" footer="0.3"/>
  <x:tableParts count="1">
    <x:tablePart xmlns:r="http://schemas.openxmlformats.org/officeDocument/2006/relationships" r:id="R37c5b8ea24a041e1"/>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2024::jama.2024.0318::C001</x:v>
      </x:c>
      <x:c r="B2" s="6" t="n">
        <x:v>0</x:v>
      </x:c>
      <x:c r="C2" s="6" t="str">
        <x:v>Source evidence</x:v>
      </x:c>
      <x:c r="D2" s="6" t="str">
        <x:v>The figure states 305 Available for long-term follow-up and randomized, then shows 193 Randomized to undergo bariatric surgery and 122 Randomized to undergo medical/lifestyle intervention. Its enrolled counts are 166 and 96.</x:v>
      </x:c>
    </x:row>
    <x:row r="3" ht="180" customHeight="1">
      <x:c r="A3" s="3" t="str">
        <x:v>2024::jama.2024.0318::C001</x:v>
      </x:c>
      <x:c r="B3" s="3" t="n">
        <x:v>1</x:v>
      </x:c>
      <x:c r="C3" s="3" t="str">
        <x:v>Reported-versus-comparator</x:v>
      </x:c>
      <x:c r="D3" s="3" t="str">
        <x:v>Reported parent: 305 available. Comparator branches: 193 + 122 = 315. Separately, enrolled counts 166 + 96 = 262.</x:v>
      </x:c>
    </x:row>
    <x:row r="4" ht="180" customHeight="1">
      <x:c r="A4" s="6" t="str">
        <x:v>2024::jama.2024.0318::C001</x:v>
      </x:c>
      <x:c r="B4" s="6" t="n">
        <x:v>2</x:v>
      </x:c>
      <x:c r="C4" s="6" t="str">
        <x:v>Calculation</x:v>
      </x:c>
      <x:c r="D4" s="6" t="str">
        <x:v>193 + 122 = 315; 315 - 305 = 10. Separately, 166 + 96 = 262, and 262 / 305 × 100 = 85.90%, consistent with the printed 86% after rounding.</x:v>
      </x:c>
    </x:row>
    <x:row r="5" ht="180" customHeight="1">
      <x:c r="A5" s="3" t="str">
        <x:v>2024::jama.2024.0318::C001</x:v>
      </x:c>
      <x:c r="B5" s="3" t="n">
        <x:v>3</x:v>
      </x:c>
      <x:c r="C5" s="3" t="str">
        <x:v>Alternative source-grounded interpretations</x:v>
      </x:c>
      <x:c r="D5" s="3" t="str">
        <x:v>The branch counts may preserve an earlier assignment cohort; the parent total may be wrong; or one or both branch counts or population labels may be wrong. The treatment-arm distribution of the 11 persons between 316 eligible and 305 available is not supplied.</x:v>
      </x:c>
    </x:row>
    <x:row r="6" ht="180" customHeight="1">
      <x:c r="A6" s="6" t="str">
        <x:v>2024::jama.2024.0318::C002</x:v>
      </x:c>
      <x:c r="B6" s="6" t="n">
        <x:v>0</x:v>
      </x:c>
      <x:c r="C6" s="6" t="str">
        <x:v>Source evidence</x:v>
      </x:c>
      <x:c r="D6" s="6" t="str">
        <x:v>The supplement title and both value columns state year 12; footnote e calls remission a 12-year rate. Footnotes a-c refer to baseline and year-7 data, 7-year-over-baseline ratios/odds, 7-year changes, and odds at year 7. The main article identifies the HbA1c eTable 2 result as at 12 years.</x:v>
      </x:c>
    </x:row>
    <x:row r="7" ht="180" customHeight="1">
      <x:c r="A7" s="3" t="str">
        <x:v>2024::jama.2024.0318::C002</x:v>
      </x:c>
      <x:c r="B7" s="3" t="n">
        <x:v>1</x:v>
      </x:c>
      <x:c r="C7" s="3" t="str">
        <x:v>Reported-versus-comparator</x:v>
      </x:c>
      <x:c r="D7" s="3" t="str">
        <x:v>Reported headings and main-text pointer: year 12. Comparator footnote definitions: year 7.</x:v>
      </x:c>
    </x:row>
    <x:row r="8" ht="180" customHeight="1">
      <x:c r="A8" s="6" t="str">
        <x:v>2024::jama.2024.0318::C002</x:v>
      </x:c>
      <x:c r="B8" s="6" t="n">
        <x:v>2</x:v>
      </x:c>
      <x:c r="C8" s="6" t="str">
        <x:v>Calculation</x:v>
      </x:c>
      <x:c r="D8" s="6" t="str">
        <x:v>No arithmetic is required: year 12 and year 7 are distinct timepoint definitions.</x:v>
      </x:c>
    </x:row>
    <x:row r="9" ht="180" customHeight="1">
      <x:c r="A9" s="3" t="str">
        <x:v>2024::jama.2024.0318::C002</x:v>
      </x:c>
      <x:c r="B9" s="3" t="n">
        <x:v>3</x:v>
      </x:c>
      <x:c r="C9" s="3" t="str">
        <x:v>Alternative source-grounded interpretations</x:v>
      </x:c>
      <x:c r="D9" s="3" t="str">
        <x:v>Footnotes may retain residual year-7 wording; the title/columns may be wrong; or the table may intentionally combine year-12 descriptive values with year-7 modeled quantities without a printed explanation.</x:v>
      </x:c>
    </x:row>
    <x:row r="10" ht="180" customHeight="1">
      <x:c r="A10" s="6" t="str">
        <x:v>2024::jama.2024.0318::C003</x:v>
      </x:c>
      <x:c r="B10" s="6" t="n">
        <x:v>0</x:v>
      </x:c>
      <x:c r="C10" s="6" t="str">
        <x:v>Source evidence</x:v>
      </x:c>
      <x:c r="D10" s="6" t="str">
        <x:v>Main-paper pages 1 and 3 print a surgery-minus-medical/lifestyle difference of -1.1% (95% CI, -1.7% to -0.5%) with P = .002; page 3 points to eTable 2. eTable 2 prints -1.1 (-1.7, -0.5) under its year-12 heading with P &lt; .001.</x:v>
      </x:c>
    </x:row>
    <x:row r="11" ht="180" customHeight="1">
      <x:c r="A11" s="3" t="str">
        <x:v>2024::jama.2024.0318::C003</x:v>
      </x:c>
      <x:c r="B11" s="3" t="n">
        <x:v>1</x:v>
      </x:c>
      <x:c r="C11" s="3" t="str">
        <x:v>Reported-versus-comparator</x:v>
      </x:c>
      <x:c r="D11" s="3" t="str">
        <x:v>Main result: P = .002. Supplement comparator for the matching displayed estimate and interval: P &lt; .001.</x:v>
      </x:c>
    </x:row>
    <x:row r="12" ht="180" customHeight="1">
      <x:c r="A12" s="6" t="str">
        <x:v>2024::jama.2024.0318::C003</x:v>
      </x:c>
      <x:c r="B12" s="6" t="n">
        <x:v>2</x:v>
      </x:c>
      <x:c r="C12" s="6" t="str">
        <x:v>Calculation</x:v>
      </x:c>
      <x:c r="D12" s="6" t="str">
        <x:v>The estimate and interval agree at displayed precision. .002 &lt; .001 is false, so a displayed P value of .002 is incompatible with &lt;.001 for an otherwise matched result.</x:v>
      </x:c>
    </x:row>
    <x:row r="13" ht="180" customHeight="1">
      <x:c r="A13" s="3" t="str">
        <x:v>2024::jama.2024.0318::C003</x:v>
      </x:c>
      <x:c r="B13" s="3" t="n">
        <x:v>3</x:v>
      </x:c>
      <x:c r="C13" s="3" t="str">
        <x:v>Alternative source-grounded interpretations</x:v>
      </x:c>
      <x:c r="D13" s="3" t="str">
        <x:v>One P value may be intended; the supplement may use a different unlabeled timepoint, test, model, or variance method. C002's conflicting timepoint footnotes leave the supplement estimand incompletely defined.</x:v>
      </x:c>
    </x:row>
    <x:row r="14" ht="180" customHeight="1">
      <x:c r="A14" s="6" t="str">
        <x:v>2024::jama.2024.0318::C004</x:v>
      </x:c>
      <x:c r="B14" s="6" t="n">
        <x:v>0</x:v>
      </x:c>
      <x:c r="C14" s="6" t="str">
        <x:v>Source evidence</x:v>
      </x:c>
      <x:c r="D14" s="6" t="str">
        <x:v>The narrative states HbA1c less than or equal to 6.5% with P = .002; Table 2. The cited table row is HbA1c &lt;6.5%, %, with 17.3% and 37.7%, OR 2.89 (95% CI 1.48-5.64), and P = .002.</x:v>
      </x:c>
    </x:row>
    <x:row r="15" ht="180" customHeight="1">
      <x:c r="A15" s="3" t="str">
        <x:v>2024::jama.2024.0318::C004</x:v>
      </x:c>
      <x:c r="B15" s="3" t="n">
        <x:v>1</x:v>
      </x:c>
      <x:c r="C15" s="3" t="str">
        <x:v>Reported-versus-comparator</x:v>
      </x:c>
      <x:c r="D15" s="3" t="str">
        <x:v>Reported narrative operator: &lt;=6.5%. Table comparator operator: &lt;6.5%, linked by the same P value and direct Table 2 citation.</x:v>
      </x:c>
    </x:row>
    <x:row r="16" ht="180" customHeight="1">
      <x:c r="A16" s="6" t="str">
        <x:v>2024::jama.2024.0318::C004</x:v>
      </x:c>
      <x:c r="B16" s="6" t="n">
        <x:v>2</x:v>
      </x:c>
      <x:c r="C16" s="6" t="str">
        <x:v>Calculation</x:v>
      </x:c>
      <x:c r="D16" s="6" t="str">
        <x:v>{x: x &lt; 6.5} is a subset of {x: x &lt;= 6.5}; only values exactly equal to 6.5 differ in membership.</x:v>
      </x:c>
    </x:row>
    <x:row r="17" ht="180" customHeight="1">
      <x:c r="A17" s="3" t="str">
        <x:v>2024::jama.2024.0318::C004</x:v>
      </x:c>
      <x:c r="B17" s="3" t="n">
        <x:v>3</x:v>
      </x:c>
      <x:c r="C17" s="3" t="str">
        <x:v>Alternative source-grounded interpretations</x:v>
      </x:c>
      <x:c r="D17" s="3" t="str">
        <x:v>The prose may be imprecise, the table may omit equality, or an undocumented measurement-precision/rounding convention may reconcile the labels. The package does not report the number at exactly 6.5%.</x:v>
      </x:c>
    </x:row>
    <x:row r="18" ht="180" customHeight="1">
      <x:c r="A18" s="6" t="str">
        <x:v>2024::jama.2024.0318::C005</x:v>
      </x:c>
      <x:c r="B18" s="6" t="n">
        <x:v>0</x:v>
      </x:c>
      <x:c r="C18" s="6" t="str">
        <x:v>Source evidence</x:v>
      </x:c>
      <x:c r="D18" s="6" t="str">
        <x:v>The abstract reports 4 deaths (2.2%), 2 in each group. The displayed enrolled groups are 96 medical/lifestyle and 166 surgery. Table 3 reports 2 (2.1%) of 96 and 2 (1.2%) of 166; the Results narrative also states four deaths, two per group.</x:v>
      </x:c>
    </x:row>
    <x:row r="19" ht="180" customHeight="1">
      <x:c r="A19" s="3" t="str">
        <x:v>2024::jama.2024.0318::C005</x:v>
      </x:c>
      <x:c r="B19" s="3" t="n">
        <x:v>1</x:v>
      </x:c>
      <x:c r="C19" s="3" t="str">
        <x:v>Reported-versus-comparator</x:v>
      </x:c>
      <x:c r="D19" s="3" t="str">
        <x:v>Abstract: four deaths, 2.2%. Comparator: four deaths among displayed group denominators totaling 262.</x:v>
      </x:c>
    </x:row>
    <x:row r="20" ht="180" customHeight="1">
      <x:c r="A20" s="6" t="str">
        <x:v>2024::jama.2024.0318::C005</x:v>
      </x:c>
      <x:c r="B20" s="6" t="n">
        <x:v>2</x:v>
      </x:c>
      <x:c r="C20" s="6" t="str">
        <x:v>Calculation</x:v>
      </x:c>
      <x:c r="D20" s="6" t="str">
        <x:v>2 / 96 × 100 = 2.0833% → 2.1%; 2 / 166 × 100 = 1.2048% → 1.2%; 4 / (96 + 166) × 100 = 1.5267% → 1.5%, not 2.2%.</x:v>
      </x:c>
    </x:row>
    <x:row r="21" ht="180" customHeight="1">
      <x:c r="A21" s="3" t="str">
        <x:v>2024::jama.2024.0318::C005</x:v>
      </x:c>
      <x:c r="B21" s="3" t="n">
        <x:v>3</x:v>
      </x:c>
      <x:c r="C21" s="3" t="str">
        <x:v>Alternative source-grounded interpretations</x:v>
      </x:c>
      <x:c r="D21" s="3" t="str">
        <x:v>The abstract may use an unstated risk-set denominator or measure; its percentage may be a transcription difference; or Table 3 may represent a population not distinguished in the abstract. The package does not identify the abstract denominator.</x:v>
      </x:c>
    </x:row>
    <x:row r="22" ht="180" customHeight="1">
      <x:c r="A22" s="6" t="str">
        <x:v>2024::jama.2024.0318::C006</x:v>
      </x:c>
      <x:c r="B22" s="6" t="n">
        <x:v>0</x:v>
      </x:c>
      <x:c r="C22" s="6" t="str">
        <x:v>Source evidence</x:v>
      </x:c>
      <x:c r="D22" s="6" t="str">
        <x:v>The main article describes BMI 27 to &lt;35 versus BMI 35 or greater and cites eFigure 6. eFigure 6 repeatedly labels the groups BMI &lt;35 and BMI &gt;35 for the corresponding HbA1c and weight-loss analysis.</x:v>
      </x:c>
    </x:row>
    <x:row r="23" ht="180" customHeight="1">
      <x:c r="A23" s="3" t="str">
        <x:v>2024::jama.2024.0318::C006</x:v>
      </x:c>
      <x:c r="B23" s="3" t="n">
        <x:v>1</x:v>
      </x:c>
      <x:c r="C23" s="3" t="str">
        <x:v>Reported-versus-comparator</x:v>
      </x:c>
      <x:c r="D23" s="3" t="str">
        <x:v>Main higher subgroup: BMI &gt;=35. eFigure higher subgroup: BMI &gt;35, with lower subgroup BMI &lt;35.</x:v>
      </x:c>
    </x:row>
    <x:row r="24" ht="180" customHeight="1">
      <x:c r="A24" s="6" t="str">
        <x:v>2024::jama.2024.0318::C006</x:v>
      </x:c>
      <x:c r="B24" s="6" t="n">
        <x:v>2</x:v>
      </x:c>
      <x:c r="C24" s="6" t="str">
        <x:v>Calculation</x:v>
      </x:c>
      <x:c r="D24" s="6" t="str">
        <x:v>The complement of {x: x &lt; 35} is {x: x &gt;= 35}. The figure pair {x: x &lt; 35} and {x: x &gt; 35} leaves x = 35 unassigned, whereas the main-text higher set includes it.</x:v>
      </x:c>
    </x:row>
    <x:row r="25" ht="180" customHeight="1">
      <x:c r="A25" s="3" t="str">
        <x:v>2024::jama.2024.0318::C006</x:v>
      </x:c>
      <x:c r="B25" s="3" t="n">
        <x:v>3</x:v>
      </x:c>
      <x:c r="C25" s="3" t="str">
        <x:v>Alternative source-grounded interpretations</x:v>
      </x:c>
      <x:c r="D25" s="3" t="str">
        <x:v>The figure may have omitted equality; the main wording may be imprecise; or no participant may have had unrounded BMI exactly 35. The supplied package does not establish which operator was implemented.</x:v>
      </x:c>
    </x:row>
    <x:row r="26" ht="180" customHeight="1">
      <x:c r="A26" s="6" t="str">
        <x:v>2024::jama.2024.0572::C001</x:v>
      </x:c>
      <x:c r="B26" s="6" t="n">
        <x:v>0</x:v>
      </x:c>
      <x:c r="C26" s="6" t="str">
        <x:v>Source evidence</x:v>
      </x:c>
      <x:c r="D26" s="6" t="str">
        <x:v>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x:v>
      </x:c>
    </x:row>
    <x:row r="27" ht="180" customHeight="1">
      <x:c r="A27" s="3" t="str">
        <x:v>2024::jama.2024.0572::C001</x:v>
      </x:c>
      <x:c r="B27" s="3" t="n">
        <x:v>1</x:v>
      </x:c>
      <x:c r="C27" s="3" t="str">
        <x:v>Reported-versus-comparator</x:v>
      </x:c>
      <x:c r="D27" s="3" t="str">
        <x:v>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x:v>
      </x:c>
    </x:row>
    <x:row r="28" ht="180" customHeight="1">
      <x:c r="A28" s="6" t="str">
        <x:v>2024::jama.2024.0572::C001</x:v>
      </x:c>
      <x:c r="B28" s="6" t="n">
        <x:v>2</x:v>
      </x:c>
      <x:c r="C28" s="6" t="str">
        <x:v>Calculation</x:v>
      </x:c>
      <x:c r="D28" s="6" t="str">
        <x:v>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x:v>
      </x:c>
    </x:row>
    <x:row r="29" ht="180" customHeight="1">
      <x:c r="A29" s="3" t="str">
        <x:v>2024::jama.2024.0572::C001</x:v>
      </x:c>
      <x:c r="B29" s="3" t="n">
        <x:v>3</x:v>
      </x:c>
      <x:c r="C29" s="3" t="str">
        <x:v>Alternative source-grounded interpretations</x:v>
      </x:c>
      <x:c r="D29" s="3" t="str">
        <x:v>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x:v>
      </x:c>
    </x:row>
    <x:row r="30" ht="180" customHeight="1">
      <x:c r="A30" s="6" t="str">
        <x:v>2024::jama.2024.0572::C002</x:v>
      </x:c>
      <x:c r="B30" s="6" t="n">
        <x:v>0</x:v>
      </x:c>
      <x:c r="C30" s="6" t="str">
        <x:v>Source evidence</x:v>
      </x:c>
      <x:c r="D30" s="6" t="str">
        <x:v>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x:v>
      </x:c>
    </x:row>
    <x:row r="31" ht="180" customHeight="1">
      <x:c r="A31" s="3" t="str">
        <x:v>2024::jama.2024.0572::C002</x:v>
      </x:c>
      <x:c r="B31" s="3" t="n">
        <x:v>1</x:v>
      </x:c>
      <x:c r="C31" s="3" t="str">
        <x:v>Reported-versus-comparator</x:v>
      </x:c>
      <x:c r="D31" s="3" t="str">
        <x:v>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x:v>
      </x:c>
    </x:row>
    <x:row r="32" ht="180" customHeight="1">
      <x:c r="A32" s="6" t="str">
        <x:v>2024::jama.2024.0572::C002</x:v>
      </x:c>
      <x:c r="B32" s="6" t="n">
        <x:v>2</x:v>
      </x:c>
      <x:c r="C32" s="6" t="str">
        <x:v>Calculation</x:v>
      </x:c>
      <x:c r="D32" s="6" t="str">
        <x:v>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x:v>
      </x:c>
    </x:row>
    <x:row r="33" ht="180" customHeight="1">
      <x:c r="A33" s="3" t="str">
        <x:v>2024::jama.2024.0572::C002</x:v>
      </x:c>
      <x:c r="B33" s="3" t="n">
        <x:v>3</x:v>
      </x:c>
      <x:c r="C33" s="3" t="str">
        <x:v>Alternative source-grounded interpretations</x:v>
      </x:c>
      <x:c r="D33" s="3" t="str">
        <x:v>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x:v>
      </x:c>
    </x:row>
    <x:row r="34" ht="180" customHeight="1">
      <x:c r="A34" s="6" t="str">
        <x:v>2024::jama.2024.11057::C001</x:v>
      </x:c>
      <x:c r="B34" s="6" t="n">
        <x:v>0</x:v>
      </x:c>
      <x:c r="C34" s="6" t="str">
        <x:v>Source evidence</x:v>
      </x:c>
      <x:c r="D34" s="6" t="str">
        <x:v>D001 states “6 weeks before and 8 weeks after”; D002 states “a week before and 8 weeks afterward”; D003 states “1 week preceding” and 8 weeks afterward.</x:v>
      </x:c>
    </x:row>
    <x:row r="35" ht="180" customHeight="1">
      <x:c r="A35" s="3" t="str">
        <x:v>2024::jama.2024.11057::C001</x:v>
      </x:c>
      <x:c r="B35" s="3" t="n">
        <x:v>1</x:v>
      </x:c>
      <x:c r="C35" s="3" t="str">
        <x:v>Reported-versus-comparator</x:v>
      </x:c>
      <x:c r="D35" s="3" t="str">
        <x:v>6 weeks before in D001 versus 1 week before in D002 and D003, with the intervention name, quit-date subgroup, temporal anchor, and week unit matched. All three print an 8-week post-quit period.</x:v>
      </x:c>
    </x:row>
    <x:row r="36" ht="180" customHeight="1">
      <x:c r="A36" s="6" t="str">
        <x:v>2024::jama.2024.11057::C001</x:v>
      </x:c>
      <x:c r="B36" s="6" t="n">
        <x:v>2</x:v>
      </x:c>
      <x:c r="C36" s="6" t="str">
        <x:v>Calculation</x:v>
      </x:c>
      <x:c r="D36" s="6" t="str">
        <x:v>6 weeks - 1 week = 5 weeks; 6 weeks != 1 week.</x:v>
      </x:c>
    </x:row>
    <x:row r="37" ht="180" customHeight="1">
      <x:c r="A37" s="3" t="str">
        <x:v>2024::jama.2024.11057::C001</x:v>
      </x:c>
      <x:c r="B37" s="3" t="n">
        <x:v>3</x:v>
      </x:c>
      <x:c r="C37" s="3" t="str">
        <x:v>Alternative source-grounded interpretations</x:v>
      </x:c>
      <x:c r="D37" s="3" t="str">
        <x:v>The texts may describe different programme versions, the support documents may be outdated, or one printed occurrence may be a production discrepancy. The supplied documents do not establish which explanation applies or which schedule trial participants received.</x:v>
      </x:c>
    </x:row>
    <x:row r="38" ht="180" customHeight="1">
      <x:c r="A38" s="6" t="str">
        <x:v>2024::jama.2024.11057::C002</x:v>
      </x:c>
      <x:c r="B38" s="6" t="n">
        <x:v>0</x:v>
      </x:c>
      <x:c r="C38" s="6" t="str">
        <x:v>Source evidence</x:v>
      </x:c>
      <x:c r="D38" s="6" t="str">
        <x:v>eTable 4 prints motivation as 4.1 (0.8) in both groups and confidence as 3.2 (1.1) and 3.5 (1.1) under median (IQR). The same table prints other median-IQR rows as endpoint pairs, including 30.0 (27.0-30.0) and 4.0 (3.0-5.0).</x:v>
      </x:c>
    </x:row>
    <x:row r="39" ht="180" customHeight="1">
      <x:c r="A39" s="3" t="str">
        <x:v>2024::jama.2024.11057::C002</x:v>
      </x:c>
      <x:c r="B39" s="3" t="n">
        <x:v>1</x:v>
      </x:c>
      <x:c r="C39" s="3" t="str">
        <x:v>Reported-versus-comparator</x:v>
      </x:c>
      <x:c r="D39" s="3" t="str">
        <x:v>A median (IQR) label with one parenthetical value versus the same table's median (IQR) rows with two hyphen-separated endpoint values. D001 Table 1 also uses endpoint-form IQRs for the same measures.</x:v>
      </x:c>
    </x:row>
    <x:row r="40" ht="180" customHeight="1">
      <x:c r="A40" s="6" t="str">
        <x:v>2024::jama.2024.11057::C002</x:v>
      </x:c>
      <x:c r="B40" s="6" t="n">
        <x:v>2</x:v>
      </x:c>
      <x:c r="C40" s="6" t="str">
        <x:v>Calculation</x:v>
      </x:c>
      <x:c r="D40" s="6" t="str">
        <x:v>The comparator format has two values inside parentheses; each affected cell has one. Rounding cannot create two unprinted endpoints from one displayed value.</x:v>
      </x:c>
    </x:row>
    <x:row r="41" ht="180" customHeight="1">
      <x:c r="A41" s="3" t="str">
        <x:v>2024::jama.2024.11057::C002</x:v>
      </x:c>
      <x:c r="B41" s="3" t="n">
        <x:v>3</x:v>
      </x:c>
      <x:c r="C41" s="3" t="str">
        <x:v>Alternative source-grounded interpretations</x:v>
      </x:c>
      <x:c r="D41" s="3" t="str">
        <x:v>The cells may be means (SDs), scalar IQR widths under an unstated convention, or medians with omitted endpoints. The supplied package does not define the intended convention or provide analysis output to resolve it.</x:v>
      </x:c>
    </x:row>
    <x:row r="42" ht="180" customHeight="1">
      <x:c r="A42" s="6" t="str">
        <x:v>2024::jama.2024.11057::C003</x:v>
      </x:c>
      <x:c r="B42" s="6" t="n">
        <x:v>0</x:v>
      </x:c>
      <x:c r="C42" s="6" t="str">
        <x:v>Source evidence</x:v>
      </x:c>
      <x:c r="D42" s="6" t="str">
        <x:v>D003 p. 5 defines IPRW as inverse probability of retention weighting and otherwise uses IPRW, but its repeated-PPA sentence prints IPWR with RR 2.21 (95% CI 1.67-2.93). D003 p. 14 and D001 p. 4 label the matching analysis IPRW.</x:v>
      </x:c>
    </x:row>
    <x:row r="43" ht="180" customHeight="1">
      <x:c r="A43" s="3" t="str">
        <x:v>2024::jama.2024.11057::C003</x:v>
      </x:c>
      <x:c r="B43" s="3" t="n">
        <x:v>1</x:v>
      </x:c>
      <x:c r="C43" s="3" t="str">
        <x:v>Reported-versus-comparator</x:v>
      </x:c>
      <x:c r="D43" s="3" t="str">
        <x:v>Undefined IPWR versus the defined and repeatedly printed IPRW for the same weighted repeated-PPA result; the RR and confidence interval match.</x:v>
      </x:c>
    </x:row>
    <x:row r="44" ht="180" customHeight="1">
      <x:c r="A44" s="6" t="str">
        <x:v>2024::jama.2024.11057::C003</x:v>
      </x:c>
      <x:c r="B44" s="6" t="n">
        <x:v>2</x:v>
      </x:c>
      <x:c r="C44" s="6" t="str">
        <x:v>Calculation</x:v>
      </x:c>
      <x:c r="D44" s="6" t="str">
        <x:v>IPWR != IPRW; the matched-result anchors are RR 2.21 = 2.21 and 1.67-2.93 = 1.67-2.93.</x:v>
      </x:c>
    </x:row>
    <x:row r="45" ht="180" customHeight="1">
      <x:c r="A45" s="3" t="str">
        <x:v>2024::jama.2024.11057::C003</x:v>
      </x:c>
      <x:c r="B45" s="3" t="n">
        <x:v>3</x:v>
      </x:c>
      <x:c r="C45" s="3" t="str">
        <x:v>Alternative source-grounded interpretations</x:v>
      </x:c>
      <x:c r="D45" s="3" t="str">
        <x:v>IPWR could be an unstated second abbreviation, but no supplied source defines it and the identical eTable result is labelled IPRW. A typographical transposition is plausible but is not asserted as a correction.</x:v>
      </x:c>
    </x:row>
    <x:row r="46" ht="180" customHeight="1">
      <x:c r="A46" s="6" t="str">
        <x:v>2024::jama.2024.12829::C001</x:v>
      </x:c>
      <x:c r="B46" s="6" t="n">
        <x:v>0</x:v>
      </x:c>
      <x:c r="C46" s="6" t="str">
        <x:v>Source evidence</x:v>
      </x:c>
      <x:c r="D46" s="6" t="str">
        <x:v>BA n=249; male 172 (69.1) and female 77 (30.1).</x:v>
      </x:c>
    </x:row>
    <x:row r="47" ht="180" customHeight="1">
      <x:c r="A47" s="3" t="str">
        <x:v>2024::jama.2024.12829::C001</x:v>
      </x:c>
      <x:c r="B47" s="3" t="n">
        <x:v>1</x:v>
      </x:c>
      <x:c r="C47" s="3" t="str">
        <x:v>Reported-versus-comparator</x:v>
      </x:c>
      <x:c r="D47" s="3" t="str">
        <x:v>Reported female 30.1% versus 77/249.</x:v>
      </x:c>
    </x:row>
    <x:row r="48" ht="180" customHeight="1">
      <x:c r="A48" s="6" t="str">
        <x:v>2024::jama.2024.12829::C001</x:v>
      </x:c>
      <x:c r="B48" s="6" t="n">
        <x:v>2</x:v>
      </x:c>
      <x:c r="C48" s="6" t="str">
        <x:v>Calculation</x:v>
      </x:c>
      <x:c r="D48" s="6" t="str">
        <x:v>172+77=249; 77/249×100=30.9237%, ordinarily 30.9%; printed sex percentages total 99.2%.</x:v>
      </x:c>
    </x:row>
    <x:row r="49" ht="180" customHeight="1">
      <x:c r="A49" s="3" t="str">
        <x:v>2024::jama.2024.12829::C001</x:v>
      </x:c>
      <x:c r="B49" s="3" t="n">
        <x:v>3</x:v>
      </x:c>
      <x:c r="C49" s="3" t="str">
        <x:v>Alternative source-grounded interpretations</x:v>
      </x:c>
      <x:c r="D49" s="3" t="str">
        <x:v>A hidden row denominator, transcription difference, or another displayed input could explain the observation; the source does not identify the production field that should govern.</x:v>
      </x:c>
    </x:row>
    <x:row r="50" ht="180" customHeight="1">
      <x:c r="A50" s="6" t="str">
        <x:v>2024::jama.2024.12829::C002</x:v>
      </x:c>
      <x:c r="B50" s="6" t="n">
        <x:v>0</x:v>
      </x:c>
      <x:c r="C50" s="6" t="str">
        <x:v>Source evidence</x:v>
      </x:c>
      <x:c r="D50" s="6" t="str">
        <x:v>Both tables print BA n=249 and ischemic stroke 215 (86.4); the complement is 34 (13.7).</x:v>
      </x:c>
    </x:row>
    <x:row r="51" ht="180" customHeight="1">
      <x:c r="A51" s="3" t="str">
        <x:v>2024::jama.2024.12829::C002</x:v>
      </x:c>
      <x:c r="B51" s="3" t="n">
        <x:v>1</x:v>
      </x:c>
      <x:c r="C51" s="3" t="str">
        <x:v>Reported-versus-comparator</x:v>
      </x:c>
      <x:c r="D51" s="3" t="str">
        <x:v>Reported 86.4% versus 215/249.</x:v>
      </x:c>
    </x:row>
    <x:row r="52" ht="180" customHeight="1">
      <x:c r="A52" s="6" t="str">
        <x:v>2024::jama.2024.12829::C002</x:v>
      </x:c>
      <x:c r="B52" s="6" t="n">
        <x:v>2</x:v>
      </x:c>
      <x:c r="C52" s="6" t="str">
        <x:v>Calculation</x:v>
      </x:c>
      <x:c r="D52" s="6" t="str">
        <x:v>215/249×100=86.3454%, ordinarily 86.3%; 34/249×100=13.6546%, ordinarily 13.7%; counts sum to 249.</x:v>
      </x:c>
    </x:row>
    <x:row r="53" ht="180" customHeight="1">
      <x:c r="A53" s="3" t="str">
        <x:v>2024::jama.2024.12829::C002</x:v>
      </x:c>
      <x:c r="B53" s="3" t="n">
        <x:v>3</x:v>
      </x:c>
      <x:c r="C53" s="3" t="str">
        <x:v>Alternative source-grounded interpretations</x:v>
      </x:c>
      <x:c r="D53" s="3" t="str">
        <x:v>An unstated rounding convention could produce the repeated presentation; the difference is near the ordinary rounding boundary and should not be called definitively erroneous.</x:v>
      </x:c>
    </x:row>
    <x:row r="54" ht="180" customHeight="1">
      <x:c r="A54" s="6" t="str">
        <x:v>2024::jama.2024.12829::C003</x:v>
      </x:c>
      <x:c r="B54" s="6" t="n">
        <x:v>0</x:v>
      </x:c>
      <x:c r="C54" s="6" t="str">
        <x:v>Source evidence</x:v>
      </x:c>
      <x:c r="D54" s="6" t="str">
        <x:v>The BA header is n=249; footnote a states that 241 of 249 underwent BA. Procedure rows include 182 (75.5), 214 (88.8), and 42 (17.4).</x:v>
      </x:c>
    </x:row>
    <x:row r="55" ht="180" customHeight="1">
      <x:c r="A55" s="3" t="str">
        <x:v>2024::jama.2024.12829::C003</x:v>
      </x:c>
      <x:c r="B55" s="3" t="n">
        <x:v>1</x:v>
      </x:c>
      <x:c r="C55" s="3" t="str">
        <x:v>Reported-versus-comparator</x:v>
      </x:c>
      <x:c r="D55" s="3" t="str">
        <x:v>Header 249 versus the linked footnoted procedure-applicable denominator 241.</x:v>
      </x:c>
    </x:row>
    <x:row r="56" ht="180" customHeight="1">
      <x:c r="A56" s="6" t="str">
        <x:v>2024::jama.2024.12829::C003</x:v>
      </x:c>
      <x:c r="B56" s="6" t="n">
        <x:v>2</x:v>
      </x:c>
      <x:c r="C56" s="6" t="str">
        <x:v>Calculation</x:v>
      </x:c>
      <x:c r="D56" s="6" t="str">
        <x:v>182+48+11=241; 182/241=75.5%, 214/241=88.8%, and 42/241=17.4% at one decimal.</x:v>
      </x:c>
    </x:row>
    <x:row r="57" ht="180" customHeight="1">
      <x:c r="A57" s="3" t="str">
        <x:v>2024::jama.2024.12829::C003</x:v>
      </x:c>
      <x:c r="B57" s="3" t="n">
        <x:v>3</x:v>
      </x:c>
      <x:c r="C57" s="3" t="str">
        <x:v>Alternative source-grounded interpretations</x:v>
      </x:c>
      <x:c r="D57" s="3" t="str">
        <x:v>The header may provide randomized-arm context and the footnote may sufficiently define the 241 denominator for procedure rows. The observation is not established incorrect arithmetic.</x:v>
      </x:c>
    </x:row>
    <x:row r="58" ht="180" customHeight="1">
      <x:c r="A58" s="6" t="str">
        <x:v>2024::jama.2024.12829::C004</x:v>
      </x:c>
      <x:c r="B58" s="6" t="n">
        <x:v>0</x:v>
      </x:c>
      <x:c r="C58" s="6" t="str">
        <x:v>Source evidence</x:v>
      </x:c>
      <x:c r="D58" s="6" t="str">
        <x:v>BA header n=249; primary-outcome cell 9 (3.9).</x:v>
      </x:c>
    </x:row>
    <x:row r="59" ht="180" customHeight="1">
      <x:c r="A59" s="3" t="str">
        <x:v>2024::jama.2024.12829::C004</x:v>
      </x:c>
      <x:c r="B59" s="3" t="n">
        <x:v>1</x:v>
      </x:c>
      <x:c r="C59" s="3" t="str">
        <x:v>Reported-versus-comparator</x:v>
      </x:c>
      <x:c r="D59" s="3" t="str">
        <x:v>Reported 3.9% versus 9/249.</x:v>
      </x:c>
    </x:row>
    <x:row r="60" ht="180" customHeight="1">
      <x:c r="A60" s="6" t="str">
        <x:v>2024::jama.2024.12829::C004</x:v>
      </x:c>
      <x:c r="B60" s="6" t="n">
        <x:v>2</x:v>
      </x:c>
      <x:c r="C60" s="6" t="str">
        <x:v>Calculation</x:v>
      </x:c>
      <x:c r="D60" s="6" t="str">
        <x:v>9/249×100=3.6145%, ordinarily 3.6%. Diagnostically, 9/233×100=3.8627%, ordinarily 3.9%.</x:v>
      </x:c>
    </x:row>
    <x:row r="61" ht="180" customHeight="1">
      <x:c r="A61" s="3" t="str">
        <x:v>2024::jama.2024.12829::C004</x:v>
      </x:c>
      <x:c r="B61" s="3" t="n">
        <x:v>3</x:v>
      </x:c>
      <x:c r="C61" s="3" t="str">
        <x:v>Alternative source-grounded interpretations</x:v>
      </x:c>
      <x:c r="D61" s="3" t="str">
        <x:v>The 233 comparison is a diagnostic inference from a separately supplied PPS total, not a Table S6 label. An unlabelled analysis set or display rule remains possible.</x:v>
      </x:c>
    </x:row>
    <x:row r="62" ht="180" customHeight="1">
      <x:c r="A62" s="6" t="str">
        <x:v>2024::jama.2024.12829::C005</x:v>
      </x:c>
      <x:c r="B62" s="6" t="n">
        <x:v>0</x:v>
      </x:c>
      <x:c r="C62" s="6" t="str">
        <x:v>Source evidence</x:v>
      </x:c>
      <x:c r="D62" s="6" t="str">
        <x:v>Headers are BA/AMM 233/238; site totals are 256 and 245; cells include 4 (2.9), 19 (16.1), 7 (6.3), and 15 (11.2).</x:v>
      </x:c>
    </x:row>
    <x:row r="63" ht="180" customHeight="1">
      <x:c r="A63" s="3" t="str">
        <x:v>2024::jama.2024.12829::C005</x:v>
      </x:c>
      <x:c r="B63" s="3" t="n">
        <x:v>1</x:v>
      </x:c>
      <x:c r="C63" s="3" t="str">
        <x:v>Reported-versus-comparator</x:v>
      </x:c>
      <x:c r="D63" s="3" t="str">
        <x:v>Header total 471 versus site total 501, with cell percentages inconsistent with the headers.</x:v>
      </x:c>
    </x:row>
    <x:row r="64" ht="180" customHeight="1">
      <x:c r="A64" s="6" t="str">
        <x:v>2024::jama.2024.12829::C005</x:v>
      </x:c>
      <x:c r="B64" s="6" t="n">
        <x:v>2</x:v>
      </x:c>
      <x:c r="C64" s="6" t="str">
        <x:v>Calculation</x:v>
      </x:c>
      <x:c r="D64" s="6" t="str">
        <x:v>233+238=471; 256+245=501. Rounded cells are diagnostically compatible with site-by-arm denominators summing to 249/252, not printed as such.</x:v>
      </x:c>
    </x:row>
    <x:row r="65" ht="180" customHeight="1">
      <x:c r="A65" s="3" t="str">
        <x:v>2024::jama.2024.12829::C005</x:v>
      </x:c>
      <x:c r="B65" s="3" t="n">
        <x:v>3</x:v>
      </x:c>
      <x:c r="C65" s="3" t="str">
        <x:v>Alternative source-grounded interpretations</x:v>
      </x:c>
      <x:c r="D65" s="3" t="str">
        <x:v>Derived site-by-arm denominators are diagnostic only. A different disclosed analysis population could explain the table if identified.</x:v>
      </x:c>
    </x:row>
    <x:row r="66" ht="180" customHeight="1">
      <x:c r="A66" s="6" t="str">
        <x:v>2024::jama.2024.12829::C006</x:v>
      </x:c>
      <x:c r="B66" s="6" t="n">
        <x:v>0</x:v>
      </x:c>
      <x:c r="C66" s="6" t="str">
        <x:v>Source evidence</x:v>
      </x:c>
      <x:c r="D66" s="6" t="str">
        <x:v>PPS headers print 249/252; rows include 9 (3.9), 33 (13.9), 6 (2.6), and 20 (8.4).</x:v>
      </x:c>
    </x:row>
    <x:row r="67" ht="180" customHeight="1">
      <x:c r="A67" s="3" t="str">
        <x:v>2024::jama.2024.12829::C006</x:v>
      </x:c>
      <x:c r="B67" s="3" t="n">
        <x:v>1</x:v>
      </x:c>
      <x:c r="C67" s="3" t="str">
        <x:v>Reported-versus-comparator</x:v>
      </x:c>
      <x:c r="D67" s="3" t="str">
        <x:v>Displayed 249/252 headers versus supplied PPS denominators 233/238.</x:v>
      </x:c>
    </x:row>
    <x:row r="68" ht="180" customHeight="1">
      <x:c r="A68" s="6" t="str">
        <x:v>2024::jama.2024.12829::C006</x:v>
      </x:c>
      <x:c r="B68" s="6" t="n">
        <x:v>2</x:v>
      </x:c>
      <x:c r="C68" s="6" t="str">
        <x:v>Calculation</x:v>
      </x:c>
      <x:c r="D68" s="6" t="str">
        <x:v>9/233=3.9%, 33/238=13.9%, 6/233=2.6%, and 20/238=8.4% at one decimal.</x:v>
      </x:c>
    </x:row>
    <x:row r="69" ht="180" customHeight="1">
      <x:c r="A69" s="3" t="str">
        <x:v>2024::jama.2024.12829::C006</x:v>
      </x:c>
      <x:c r="B69" s="3" t="n">
        <x:v>3</x:v>
      </x:c>
      <x:c r="C69" s="3" t="str">
        <x:v>Alternative source-grounded interpretations</x:v>
      </x:c>
      <x:c r="D69" s="3" t="str">
        <x:v>A copy-forward header is only an inferred mechanism. An outcome-specific PPS could exist but is not identified.</x:v>
      </x:c>
    </x:row>
    <x:row r="70" ht="180" customHeight="1">
      <x:c r="A70" s="6" t="str">
        <x:v>2024::jama.2024.12829::C007</x:v>
      </x:c>
      <x:c r="B70" s="6" t="n">
        <x:v>0</x:v>
      </x:c>
      <x:c r="C70" s="6" t="str">
        <x:v>Source evidence</x:v>
      </x:c>
      <x:c r="D70" s="6" t="str">
        <x:v>ATS headers print 249/252; primary values include 11 (4.5) and 34 (13.4).</x:v>
      </x:c>
    </x:row>
    <x:row r="71" ht="180" customHeight="1">
      <x:c r="A71" s="3" t="str">
        <x:v>2024::jama.2024.12829::C007</x:v>
      </x:c>
      <x:c r="B71" s="3" t="n">
        <x:v>1</x:v>
      </x:c>
      <x:c r="C71" s="3" t="str">
        <x:v>Reported-versus-comparator</x:v>
      </x:c>
      <x:c r="D71" s="3" t="str">
        <x:v>Displayed headers 249/252 versus supplied ATS denominators 247/254.</x:v>
      </x:c>
    </x:row>
    <x:row r="72" ht="180" customHeight="1">
      <x:c r="A72" s="6" t="str">
        <x:v>2024::jama.2024.12829::C007</x:v>
      </x:c>
      <x:c r="B72" s="6" t="n">
        <x:v>2</x:v>
      </x:c>
      <x:c r="C72" s="6" t="str">
        <x:v>Calculation</x:v>
      </x:c>
      <x:c r="D72" s="6" t="str">
        <x:v>11/247=4.5% and 34/254=13.4% at one decimal.</x:v>
      </x:c>
    </x:row>
    <x:row r="73" ht="180" customHeight="1">
      <x:c r="A73" s="3" t="str">
        <x:v>2024::jama.2024.12829::C007</x:v>
      </x:c>
      <x:c r="B73" s="3" t="n">
        <x:v>3</x:v>
      </x:c>
      <x:c r="C73" s="3" t="str">
        <x:v>Alternative source-grounded interpretations</x:v>
      </x:c>
      <x:c r="D73" s="3" t="str">
        <x:v>Copied primary headers are not directly observed; a different ATS definition remains possible if documented.</x:v>
      </x:c>
    </x:row>
    <x:row r="74" ht="180" customHeight="1">
      <x:c r="A74" s="6" t="str">
        <x:v>2024::jama.2024.12829::C008</x:v>
      </x:c>
      <x:c r="B74" s="6" t="n">
        <x:v>0</x:v>
      </x:c>
      <x:c r="C74" s="6" t="str">
        <x:v>Source evidence</x:v>
      </x:c>
      <x:c r="D74" s="6" t="str">
        <x:v>Eligibility is 70%-99%; Table 1 includes AMM 2 at 60%-69% and one participant in each arm at 100%.</x:v>
      </x:c>
    </x:row>
    <x:row r="75" ht="180" customHeight="1">
      <x:c r="A75" s="3" t="str">
        <x:v>2024::jama.2024.12829::C008</x:v>
      </x:c>
      <x:c r="B75" s="3" t="n">
        <x:v>1</x:v>
      </x:c>
      <x:c r="C75" s="3" t="str">
        <x:v>Reported-versus-comparator</x:v>
      </x:c>
      <x:c r="D75" s="3" t="str">
        <x:v>Eligibility interval 70%-99% versus displayed analysed baseline categories outside that interval.</x:v>
      </x:c>
    </x:row>
    <x:row r="76" ht="180" customHeight="1">
      <x:c r="A76" s="6" t="str">
        <x:v>2024::jama.2024.12829::C008</x:v>
      </x:c>
      <x:c r="B76" s="6" t="n">
        <x:v>2</x:v>
      </x:c>
      <x:c r="C76" s="6" t="str">
        <x:v>Calculation</x:v>
      </x:c>
      <x:c r="D76" s="6" t="str">
        <x:v>2+1+1=4 displayed participants are outside the inclusive 70%-99% interval.</x:v>
      </x:c>
    </x:row>
    <x:row r="77" ht="180" customHeight="1">
      <x:c r="A77" s="3" t="str">
        <x:v>2024::jama.2024.12829::C008</x:v>
      </x:c>
      <x:c r="B77" s="3" t="n">
        <x:v>3</x:v>
      </x:c>
      <x:c r="C77" s="3" t="str">
        <x:v>Alternative source-grounded interpretations</x:v>
      </x:c>
      <x:c r="D77" s="3" t="str">
        <x:v>Eligibility and table measurements may be from different times/readers or angiograms; retained protocol deviations are also possible. The sources do not establish identity conditions.</x:v>
      </x:c>
    </x:row>
    <x:row r="78" ht="180" customHeight="1">
      <x:c r="A78" s="6" t="str">
        <x:v>2024::jama.2024.12829::C009</x:v>
      </x:c>
      <x:c r="B78" s="6" t="n">
        <x:v>0</x:v>
      </x:c>
      <x:c r="C78" s="6" t="str">
        <x:v>Source evidence</x:v>
      </x:c>
      <x:c r="D78" s="6" t="str">
        <x:v>DOC-002 prints 30±3d; DOC-001 and DOC-003 print 30±7 days/30d±7d.</x:v>
      </x:c>
    </x:row>
    <x:row r="79" ht="180" customHeight="1">
      <x:c r="A79" s="3" t="str">
        <x:v>2024::jama.2024.12829::C009</x:v>
      </x:c>
      <x:c r="B79" s="3" t="n">
        <x:v>1</x:v>
      </x:c>
      <x:c r="C79" s="3" t="str">
        <x:v>Reported-versus-comparator</x:v>
      </x:c>
      <x:c r="D79" s="3" t="str">
        <x:v>±3 versus ±7 for the matched nominal 30-day visit.</x:v>
      </x:c>
    </x:row>
    <x:row r="80" ht="180" customHeight="1">
      <x:c r="A80" s="6" t="str">
        <x:v>2024::jama.2024.12829::C009</x:v>
      </x:c>
      <x:c r="B80" s="6" t="n">
        <x:v>2</x:v>
      </x:c>
      <x:c r="C80" s="6" t="str">
        <x:v>Calculation</x:v>
      </x:c>
      <x:c r="D80" s="6" t="str">
        <x:v>30±3 spans days 27-33 (numerical endpoint-to-endpoint width 6); 30±7 spans days 23-37 (width 14); half-widths differ by 4 days.</x:v>
      </x:c>
    </x:row>
    <x:row r="81" ht="180" customHeight="1">
      <x:c r="A81" s="3" t="str">
        <x:v>2024::jama.2024.12829::C009</x:v>
      </x:c>
      <x:c r="B81" s="3" t="n">
        <x:v>3</x:v>
      </x:c>
      <x:c r="C81" s="3" t="str">
        <x:v>Alternative source-grounded interpretations</x:v>
      </x:c>
      <x:c r="D81" s="3" t="str">
        <x:v>The graphic may depict a tighter operational contact window while the article/protocol allow a wider assessment window, but no source defines that distinction.</x:v>
      </x:c>
    </x:row>
    <x:row r="82" ht="180" customHeight="1">
      <x:c r="A82" s="6" t="str">
        <x:v>2024::jama.2024.12829::C010</x:v>
      </x:c>
      <x:c r="B82" s="6" t="n">
        <x:v>0</x:v>
      </x:c>
      <x:c r="C82" s="6" t="str">
        <x:v>Source evidence</x:v>
      </x:c>
      <x:c r="D82" s="6" t="str">
        <x:v>The synopsis prints 21-90 days; the body prints 14-90 days.</x:v>
      </x:c>
    </x:row>
    <x:row r="83" ht="180" customHeight="1">
      <x:c r="A83" s="3" t="str">
        <x:v>2024::jama.2024.12829::C010</x:v>
      </x:c>
      <x:c r="B83" s="3" t="n">
        <x:v>1</x:v>
      </x:c>
      <x:c r="C83" s="3" t="str">
        <x:v>Reported-versus-comparator</x:v>
      </x:c>
      <x:c r="D83" s="3" t="str">
        <x:v>Same-version lower bound 21 versus 14 days.</x:v>
      </x:c>
    </x:row>
    <x:row r="84" ht="180" customHeight="1">
      <x:c r="A84" s="6" t="str">
        <x:v>2024::jama.2024.12829::C010</x:v>
      </x:c>
      <x:c r="B84" s="6" t="n">
        <x:v>2</x:v>
      </x:c>
      <x:c r="C84" s="6" t="str">
        <x:v>Calculation</x:v>
      </x:c>
      <x:c r="D84" s="6" t="str">
        <x:v>Lower bounds differ by 21-14=7 days.</x:v>
      </x:c>
    </x:row>
    <x:row r="85" ht="180" customHeight="1">
      <x:c r="A85" s="3" t="str">
        <x:v>2024::jama.2024.12829::C010</x:v>
      </x:c>
      <x:c r="B85" s="3" t="n">
        <x:v>3</x:v>
      </x:c>
      <x:c r="C85" s="3" t="str">
        <x:v>Alternative source-grounded interpretations</x:v>
      </x:c>
      <x:c r="D85" s="3" t="str">
        <x:v>A stale synopsis, unmarked amendment, or other production difference could explain the mismatch; the governing criterion is not established.</x:v>
      </x:c>
    </x:row>
    <x:row r="86" ht="180" customHeight="1">
      <x:c r="A86" s="6" t="str">
        <x:v>2024::jama.2024.12829::C011</x:v>
      </x:c>
      <x:c r="B86" s="6" t="n">
        <x:v>0</x:v>
      </x:c>
      <x:c r="C86" s="6" t="str">
        <x:v>Source evidence</x:v>
      </x:c>
      <x:c r="D86" s="6" t="str">
        <x:v>BA header n=249; three-month aspirin 234 (93.9).</x:v>
      </x:c>
    </x:row>
    <x:row r="87" ht="180" customHeight="1">
      <x:c r="A87" s="3" t="str">
        <x:v>2024::jama.2024.12829::C011</x:v>
      </x:c>
      <x:c r="B87" s="3" t="n">
        <x:v>1</x:v>
      </x:c>
      <x:c r="C87" s="3" t="str">
        <x:v>Reported-versus-comparator</x:v>
      </x:c>
      <x:c r="D87" s="3" t="str">
        <x:v>Reported 93.9% versus 234/249.</x:v>
      </x:c>
    </x:row>
    <x:row r="88" ht="180" customHeight="1">
      <x:c r="A88" s="6" t="str">
        <x:v>2024::jama.2024.12829::C011</x:v>
      </x:c>
      <x:c r="B88" s="6" t="n">
        <x:v>2</x:v>
      </x:c>
      <x:c r="C88" s="6" t="str">
        <x:v>Calculation</x:v>
      </x:c>
      <x:c r="D88" s="6" t="str">
        <x:v>234/249×100=93.9759%, ordinarily 94.0%; truncation would display 93.9%.</x:v>
      </x:c>
    </x:row>
    <x:row r="89" ht="180" customHeight="1">
      <x:c r="A89" s="3" t="str">
        <x:v>2024::jama.2024.12829::C011</x:v>
      </x:c>
      <x:c r="B89" s="3" t="n">
        <x:v>3</x:v>
      </x:c>
      <x:c r="C89" s="3" t="str">
        <x:v>Alternative source-grounded interpretations</x:v>
      </x:c>
      <x:c r="D89" s="3" t="str">
        <x:v>Truncation, weighting, an undisclosed evaluated denominator, or missingness handling could explain the presentation. No alternative integer denominator no larger than 249 is identified as the answer.</x:v>
      </x:c>
    </x:row>
    <x:row r="90" ht="180" customHeight="1">
      <x:c r="A90" s="6" t="str">
        <x:v>2024::jama.2024.12829::C012</x:v>
      </x:c>
      <x:c r="B90" s="6" t="n">
        <x:v>0</x:v>
      </x:c>
      <x:c r="C90" s="6" t="str">
        <x:v>Source evidence</x:v>
      </x:c>
      <x:c r="D90" s="6" t="str">
        <x:v>The figure labels 1st (2021/05/30), then 2nd (2021/11/20, 2022/09/07, and 2023/04/10).</x:v>
      </x:c>
    </x:row>
    <x:row r="91" ht="180" customHeight="1">
      <x:c r="A91" s="3" t="str">
        <x:v>2024::jama.2024.12829::C012</x:v>
      </x:c>
      <x:c r="B91" s="3" t="n">
        <x:v>1</x:v>
      </x:c>
      <x:c r="C91" s="3" t="str">
        <x:v>Reported-versus-comparator</x:v>
      </x:c>
      <x:c r="D91" s="3" t="str">
        <x:v>Four chronologically distinct dated boxes versus two unique ordinal labels.</x:v>
      </x:c>
    </x:row>
    <x:row r="92" ht="180" customHeight="1">
      <x:c r="A92" s="6" t="str">
        <x:v>2024::jama.2024.12829::C012</x:v>
      </x:c>
      <x:c r="B92" s="6" t="n">
        <x:v>2</x:v>
      </x:c>
      <x:c r="C92" s="6" t="str">
        <x:v>Calculation</x:v>
      </x:c>
      <x:c r="D92" s="6" t="str">
        <x:v>Four dated boxes contain only two unique ordinals; 2nd meeting appears three times.</x:v>
      </x:c>
    </x:row>
    <x:row r="93" ht="180" customHeight="1">
      <x:c r="A93" s="3" t="str">
        <x:v>2024::jama.2024.12829::C012</x:v>
      </x:c>
      <x:c r="B93" s="3" t="n">
        <x:v>3</x:v>
      </x:c>
      <x:c r="C93" s="3" t="str">
        <x:v>Alternative source-grounded interpretations</x:v>
      </x:c>
      <x:c r="D93" s="3" t="str">
        <x:v>An unprinted review-cycle convention could use 2nd repeatedly. The figure does not label such a cycle; its case-count arithmetic separately reconciles.</x:v>
      </x:c>
    </x:row>
    <x:row r="94" ht="180" customHeight="1">
      <x:c r="A94" s="6" t="str">
        <x:v>2024::jama.2024.12829::C013</x:v>
      </x:c>
      <x:c r="B94" s="6" t="n">
        <x:v>0</x:v>
      </x:c>
      <x:c r="C94" s="6" t="str">
        <x:v>Source evidence</x:v>
      </x:c>
      <x:c r="D94" s="6" t="str">
        <x:v>V2.0 p. 35 and V2.3 p. 96 each print visit 8, visit 9, visit 10, visit 11, visit 9, and visit 11 require patients to undergo face-to-face follow-up; the schedule identifies visits 8-11 as four recurring visits.</x:v>
      </x:c>
    </x:row>
    <x:row r="95" ht="180" customHeight="1">
      <x:c r="A95" s="3" t="str">
        <x:v>2024::jama.2024.12829::C013</x:v>
      </x:c>
      <x:c r="B95" s="3" t="n">
        <x:v>1</x:v>
      </x:c>
      <x:c r="C95" s="3" t="str">
        <x:v>Reported-versus-comparator</x:v>
      </x:c>
      <x:c r="D95" s="3" t="str">
        <x:v>Six visit tokens 8,9,10,11,9,11 versus the four-visit schedule 8-11.</x:v>
      </x:c>
    </x:row>
    <x:row r="96" ht="180" customHeight="1">
      <x:c r="A96" s="6" t="str">
        <x:v>2024::jama.2024.12829::C013</x:v>
      </x:c>
      <x:c r="B96" s="6" t="n">
        <x:v>2</x:v>
      </x:c>
      <x:c r="C96" s="6" t="str">
        <x:v>Calculation</x:v>
      </x:c>
      <x:c r="D96" s="6" t="str">
        <x:v>Six tokens contain four unique identifiers; 9 and 11 each occur twice.</x:v>
      </x:c>
    </x:row>
    <x:row r="97" ht="180" customHeight="1">
      <x:c r="A97" s="3" t="str">
        <x:v>2024::jama.2024.12829::C013</x:v>
      </x:c>
      <x:c r="B97" s="3" t="n">
        <x:v>3</x:v>
      </x:c>
      <x:c r="C97" s="3" t="str">
        <x:v>Alternative source-grounded interpretations</x:v>
      </x:c>
      <x:c r="D97" s="3" t="str">
        <x:v>The sentence plausibly lists visits 8-11 and then names visits 9 and 11 as the face-to-face subset, with missing clarifying syntax. A six-visit sequence is not established.</x:v>
      </x:c>
    </x:row>
    <x:row r="98" ht="180" customHeight="1">
      <x:c r="A98" s="6" t="str">
        <x:v>2024::jama.2024.12829::C014</x:v>
      </x:c>
      <x:c r="B98" s="6" t="n">
        <x:v>0</x:v>
      </x:c>
      <x:c r="C98" s="6" t="str">
        <x:v>Source evidence</x:v>
      </x:c>
      <x:c r="D98" s="6" t="str">
        <x:v>Table S9 prints BA 8 (3.3) and header 249; Table S10 supplies ATS N=247.</x:v>
      </x:c>
    </x:row>
    <x:row r="99" ht="180" customHeight="1">
      <x:c r="A99" s="3" t="str">
        <x:v>2024::jama.2024.12829::C014</x:v>
      </x:c>
      <x:c r="B99" s="3" t="n">
        <x:v>1</x:v>
      </x:c>
      <x:c r="C99" s="3" t="str">
        <x:v>Reported-versus-comparator</x:v>
      </x:c>
      <x:c r="D99" s="3" t="str">
        <x:v>Reported 3.3% versus both 8/249 and 8/247.</x:v>
      </x:c>
    </x:row>
    <x:row r="100" ht="180" customHeight="1">
      <x:c r="A100" s="6" t="str">
        <x:v>2024::jama.2024.12829::C014</x:v>
      </x:c>
      <x:c r="B100" s="6" t="n">
        <x:v>2</x:v>
      </x:c>
      <x:c r="C100" s="6" t="str">
        <x:v>Calculation</x:v>
      </x:c>
      <x:c r="D100" s="6" t="str">
        <x:v>8/249×100=3.2129% and 8/247×100=3.2389%; both ordinarily round to 3.2%.</x:v>
      </x:c>
    </x:row>
    <x:row r="101" ht="180" customHeight="1">
      <x:c r="A101" s="3" t="str">
        <x:v>2024::jama.2024.12829::C014</x:v>
      </x:c>
      <x:c r="B101" s="3" t="n">
        <x:v>3</x:v>
      </x:c>
      <x:c r="C101" s="3" t="str">
        <x:v>Alternative source-grounded interpretations</x:v>
      </x:c>
      <x:c r="D101" s="3" t="str">
        <x:v>An unprinted outcome-specific risk set or nonstandard display rule could explain 3.3%; neither is supplied.</x:v>
      </x:c>
    </x:row>
    <x:row r="102" ht="180" customHeight="1">
      <x:c r="A102" s="6" t="str">
        <x:v>2024::jama.2024.12829::C015</x:v>
      </x:c>
      <x:c r="B102" s="6" t="n">
        <x:v>0</x:v>
      </x:c>
      <x:c r="C102" s="6" t="str">
        <x:v>Source evidence</x:v>
      </x:c>
      <x:c r="D102" s="6" t="str">
        <x:v>Narrative: 11 excluded due to consent withdrawal. Figure: BA 7 plus AMM 3 consent withdrawals, plus 1 erroneous randomization assignment.</x:v>
      </x:c>
    </x:row>
    <x:row r="103" ht="180" customHeight="1">
      <x:c r="A103" s="3" t="str">
        <x:v>2024::jama.2024.12829::C015</x:v>
      </x:c>
      <x:c r="B103" s="3" t="n">
        <x:v>1</x:v>
      </x:c>
      <x:c r="C103" s="3" t="str">
        <x:v>Reported-versus-comparator</x:v>
      </x:c>
      <x:c r="D103" s="3" t="str">
        <x:v>Narrative reason category for 11 versus Figure reason categories totaling 10+1.</x:v>
      </x:c>
    </x:row>
    <x:row r="104" ht="180" customHeight="1">
      <x:c r="A104" s="6" t="str">
        <x:v>2024::jama.2024.12829::C015</x:v>
      </x:c>
      <x:c r="B104" s="6" t="n">
        <x:v>2</x:v>
      </x:c>
      <x:c r="C104" s="6" t="str">
        <x:v>Calculation</x:v>
      </x:c>
      <x:c r="D104" s="6" t="str">
        <x:v>7+3=10 consent withdrawals; 10+1=11 total removals; the 501-person analysed total reconciles.</x:v>
      </x:c>
    </x:row>
    <x:row r="105" ht="180" customHeight="1">
      <x:c r="A105" s="3" t="str">
        <x:v>2024::jama.2024.12829::C015</x:v>
      </x:c>
      <x:c r="B105" s="3" t="n">
        <x:v>3</x:v>
      </x:c>
      <x:c r="C105" s="3" t="str">
        <x:v>Alternative source-grounded interpretations</x:v>
      </x:c>
      <x:c r="D105" s="3" t="str">
        <x:v>The narrative may use umbrella shorthand, or the erroneously assigned participant may also have withdrawn consent; Figure 1 presents a separate reason.</x:v>
      </x:c>
    </x:row>
    <x:row r="106" ht="180" customHeight="1">
      <x:c r="A106" s="6" t="str">
        <x:v>2024::jama.2024.12829::C016</x:v>
      </x:c>
      <x:c r="B106" s="6" t="n">
        <x:v>0</x:v>
      </x:c>
      <x:c r="C106" s="6" t="str">
        <x:v>Source evidence</x:v>
      </x:c>
      <x:c r="D106" s="6" t="str">
        <x:v>Main result: BA 11 (4.4) and AMM 34 (13.5) under 249/252. Centre-adjusted Table S6 has the matched composite wording and headers but prints BA 9 (3.9) and AMM 34 (13.5).</x:v>
      </x:c>
    </x:row>
    <x:row r="107" ht="180" customHeight="1">
      <x:c r="A107" s="3" t="str">
        <x:v>2024::jama.2024.12829::C016</x:v>
      </x:c>
      <x:c r="B107" s="3" t="n">
        <x:v>1</x:v>
      </x:c>
      <x:c r="C107" s="3" t="str">
        <x:v>Reported-versus-comparator</x:v>
      </x:c>
      <x:c r="D107" s="3" t="str">
        <x:v>Table S6 BA count 9 versus matched main BA count 11.</x:v>
      </x:c>
    </x:row>
    <x:row r="108" ht="180" customHeight="1">
      <x:c r="A108" s="6" t="str">
        <x:v>2024::jama.2024.12829::C016</x:v>
      </x:c>
      <x:c r="B108" s="6" t="n">
        <x:v>2</x:v>
      </x:c>
      <x:c r="C108" s="6" t="str">
        <x:v>Calculation</x:v>
      </x:c>
      <x:c r="D108" s="6" t="str">
        <x:v>11-9=2; AMM remains 34. Table S10's related no-revascularization composite has BA 9, but Table S6 retains revascularization in its label.</x:v>
      </x:c>
    </x:row>
    <x:row r="109" ht="180" customHeight="1">
      <x:c r="A109" s="3" t="str">
        <x:v>2024::jama.2024.12829::C016</x:v>
      </x:c>
      <x:c r="B109" s="3" t="n">
        <x:v>3</x:v>
      </x:c>
      <x:c r="C109" s="3" t="str">
        <x:v>Alternative source-grounded interpretations</x:v>
      </x:c>
      <x:c r="D109" s="3" t="str">
        <x:v>An unlabelled alternative set or carryover of the Table S10 no-revascularization count could explain the entry. Centre adjustment alone does not explain two fewer observed events.</x:v>
      </x:c>
    </x:row>
    <x:row r="110" ht="180" customHeight="1">
      <x:c r="A110" s="6" t="str">
        <x:v>2024::jama.2024.12829::C017</x:v>
      </x:c>
      <x:c r="B110" s="6" t="n">
        <x:v>0</x:v>
      </x:c>
      <x:c r="C110" s="6" t="str">
        <x:v>Source evidence</x:v>
      </x:c>
      <x:c r="D110" s="6" t="str">
        <x:v>For stroke outside the qualifying-artery territory within one year: BA 3 (1.2), AMM 4 (1.6), incidence difference −0.4% (95% CI, −2.4 to −1.7).</x:v>
      </x:c>
    </x:row>
    <x:row r="111" ht="180" customHeight="1">
      <x:c r="A111" s="3" t="str">
        <x:v>2024::jama.2024.12829::C017</x:v>
      </x:c>
      <x:c r="B111" s="3" t="n">
        <x:v>1</x:v>
      </x:c>
      <x:c r="C111" s="3" t="str">
        <x:v>Reported-versus-comparator</x:v>
      </x:c>
      <x:c r="D111" s="3" t="str">
        <x:v>Point estimate −0.4% versus interval [−2.4%, −1.7%].</x:v>
      </x:c>
    </x:row>
    <x:row r="112" ht="180" customHeight="1">
      <x:c r="A112" s="6" t="str">
        <x:v>2024::jama.2024.12829::C017</x:v>
      </x:c>
      <x:c r="B112" s="6" t="n">
        <x:v>2</x:v>
      </x:c>
      <x:c r="C112" s="6" t="str">
        <x:v>Calculation</x:v>
      </x:c>
      <x:c r="D112" s="6" t="str">
        <x:v>−0.4 is outside [−2.4,−1.7]; (3/249−4/252)×100=−0.3825 percentage points, which rounds to −0.4%.</x:v>
      </x:c>
    </x:row>
    <x:row r="113" ht="180" customHeight="1">
      <x:c r="A113" s="3" t="str">
        <x:v>2024::jama.2024.12829::C017</x:v>
      </x:c>
      <x:c r="B113" s="3" t="n">
        <x:v>3</x:v>
      </x:c>
      <x:c r="C113" s="3" t="str">
        <x:v>Alternative source-grounded interpretations</x:v>
      </x:c>
      <x:c r="D113" s="3" t="str">
        <x:v>A confidence-limit sign/value may be transcribed, or point and interval may use undisclosed different estimands/methods. The exact CI method is not supplied.</x:v>
      </x:c>
    </x:row>
    <x:row r="114" ht="180" customHeight="1">
      <x:c r="A114" s="6" t="str">
        <x:v>2024::jama.2024.19585::C001</x:v>
      </x:c>
      <x:c r="B114" s="6" t="n">
        <x:v>0</x:v>
      </x:c>
      <x:c r="C114" s="6" t="str">
        <x:v>Source evidence</x:v>
      </x:c>
      <x:c r="D114" s="6" t="str">
        <x:v>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x:v>
      </x:c>
    </x:row>
    <x:row r="115" ht="180" customHeight="1">
      <x:c r="A115" s="3" t="str">
        <x:v>2024::jama.2024.19585::C001</x:v>
      </x:c>
      <x:c r="B115" s="3" t="n">
        <x:v>1</x:v>
      </x:c>
      <x:c r="C115" s="3" t="str">
        <x:v>Reported-versus-comparator</x:v>
      </x:c>
      <x:c r="D115" s="3" t="str">
        <x:v>The printed exclusion total is 58; the source-layout comparator is the top-level hierarchy, not a flat list of all displayed counts.</x:v>
      </x:c>
    </x:row>
    <x:row r="116" ht="180" customHeight="1">
      <x:c r="A116" s="6" t="str">
        <x:v>2024::jama.2024.19585::C001</x:v>
      </x:c>
      <x:c r="B116" s="6" t="n">
        <x:v>2</x:v>
      </x:c>
      <x:c r="C116" s="6" t="str">
        <x:v>Calculation</x:v>
      </x:c>
      <x:c r="D116" s="6" t="str">
        <x:v>7 + 4 + 2 = 13. Then 13 + 15 + 14 + 7 + 4 + 3 + 2 = 58. The surrounding flow also reconciles: 323 - 58 = 265 and 265 - 41 = 224.</x:v>
      </x:c>
    </x:row>
    <x:row r="117" ht="180" customHeight="1">
      <x:c r="A117" s="3" t="str">
        <x:v>2024::jama.2024.19585::C001</x:v>
      </x:c>
      <x:c r="B117" s="3" t="n">
        <x:v>3</x:v>
      </x:c>
      <x:c r="C117" s="3" t="str">
        <x:v>Alternative source-grounded interpretations</x:v>
      </x:c>
      <x:c r="D117" s="3" t="str">
        <x:v>A production-layout error could make the indentation misleading, although the parallel branch supports the hierarchy interpretation. No flat 71-versus-58 comparison is carried forward.</x:v>
      </x:c>
    </x:row>
    <x:row r="118" ht="180" customHeight="1">
      <x:c r="A118" s="6" t="str">
        <x:v>2024::jama.2024.19585::C002</x:v>
      </x:c>
      <x:c r="B118" s="6" t="n">
        <x:v>0</x:v>
      </x:c>
      <x:c r="C118" s="6" t="str">
        <x:v>Source evidence</x:v>
      </x:c>
      <x:c r="D118" s="6" t="str">
        <x:v>The main text prints 40.8% adopted, 48.7% adapted, and 6.4% rejected across intervention sites. eTable 3 prints n=135 at each of 10 sites and reject counts of 15, 23, 5, 25, 9, 25, 12, 11, 11, and 6.</x:v>
      </x:c>
    </x:row>
    <x:row r="119" ht="180" customHeight="1">
      <x:c r="A119" s="3" t="str">
        <x:v>2024::jama.2024.19585::C002</x:v>
      </x:c>
      <x:c r="B119" s="3" t="n">
        <x:v>1</x:v>
      </x:c>
      <x:c r="C119" s="3" t="str">
        <x:v>Reported-versus-comparator</x:v>
      </x:c>
      <x:c r="D119" s="3" t="str">
        <x:v>Reported: 6.4% rejected. Comparator from the displayed eTable 3 rejection counts and denominators: 10.5% to one decimal place.</x:v>
      </x:c>
    </x:row>
    <x:row r="120" ht="180" customHeight="1">
      <x:c r="A120" s="6" t="str">
        <x:v>2024::jama.2024.19585::C002</x:v>
      </x:c>
      <x:c r="B120" s="6" t="n">
        <x:v>2</x:v>
      </x:c>
      <x:c r="C120" s="6" t="str">
        <x:v>Calculation</x:v>
      </x:c>
      <x:c r="D120" s="6" t="str">
        <x:v>Rejects = 15 + 23 + 5 + 25 + 9 + 25 + 12 + 11 + 11 + 6 = 142; total decisions = 10 x 135 = 1,350; 142 / 1,350 x 100 = 10.5185...%, or 10.5%. Keep and adapt totals are 551 and 657, reproducing 40.8% and 48.7%, respectively.</x:v>
      </x:c>
    </x:row>
    <x:row r="121" ht="180" customHeight="1">
      <x:c r="A121" s="3" t="str">
        <x:v>2024::jama.2024.19585::C002</x:v>
      </x:c>
      <x:c r="B121" s="3" t="n">
        <x:v>3</x:v>
      </x:c>
      <x:c r="C121" s="3" t="str">
        <x:v>Alternative source-grounded interpretations</x:v>
      </x:c>
      <x:c r="D121" s="3" t="str">
        <x:v>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x:v>
      </x:c>
    </x:row>
    <x:row r="122" ht="180" customHeight="1">
      <x:c r="A122" s="6" t="str">
        <x:v>2024::jama.2024.19585::C003</x:v>
      </x:c>
      <x:c r="B122" s="6" t="n">
        <x:v>0</x:v>
      </x:c>
      <x:c r="C122" s="6" t="str">
        <x:v>Source evidence</x:v>
      </x:c>
      <x:c r="D122" s="6" t="str">
        <x:v>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x:v>
      </x:c>
    </x:row>
    <x:row r="123" ht="180" customHeight="1">
      <x:c r="A123" s="3" t="str">
        <x:v>2024::jama.2024.19585::C003</x:v>
      </x:c>
      <x:c r="B123" s="3" t="n">
        <x:v>1</x:v>
      </x:c>
      <x:c r="C123" s="3" t="str">
        <x:v>Reported-versus-comparator</x:v>
      </x:c>
      <x:c r="D123" s="3" t="str">
        <x:v>Reported table label: Difference (95% CI). Methods comparator: odds ratio, a multiplicative effect measure with null value 1.</x:v>
      </x:c>
    </x:row>
    <x:row r="124" ht="180" customHeight="1">
      <x:c r="A124" s="6" t="str">
        <x:v>2024::jama.2024.19585::C003</x:v>
      </x:c>
      <x:c r="B124" s="6" t="n">
        <x:v>2</x:v>
      </x:c>
      <x:c r="C124" s="6" t="str">
        <x:v>Calculation</x:v>
      </x:c>
      <x:c r="D124" s="6" t="str">
        <x:v>No arithmetic reconstruction is needed. The representative estimates and intervals are organized around the multiplicative null of 1, consistent with the named odds-ratio estimand.</x:v>
      </x:c>
    </x:row>
    <x:row r="125" ht="180" customHeight="1">
      <x:c r="A125" s="3" t="str">
        <x:v>2024::jama.2024.19585::C003</x:v>
      </x:c>
      <x:c r="B125" s="3" t="n">
        <x:v>3</x:v>
      </x:c>
      <x:c r="C125" s="3" t="str">
        <x:v>Alternative source-grounded interpretations</x:v>
      </x:c>
      <x:c r="D125" s="3" t="str">
        <x:v>Difference may have been intended as a generic umbrella label for the modeled comparison while every cell remains an odds ratio. The package does not define that usage or identify any block as an additive difference.</x:v>
      </x:c>
    </x:row>
    <x:row r="126" ht="180" customHeight="1">
      <x:c r="A126" s="6" t="str">
        <x:v>2024::jama.2024.2302::C001</x:v>
      </x:c>
      <x:c r="B126" s="6" t="n">
        <x:v>0</x:v>
      </x:c>
      <x:c r="C126" s="6" t="str">
        <x:v>Source evidence</x:v>
      </x:c>
      <x:c r="D126" s="6" t="str">
        <x:v>Table 2 reports 44/159 and 27/149 as “Had ≥1 serious adverse event”; eTable 2 uses the same counts, percentages, and denominators under “Infant had &gt; 1 SAE.”</x:v>
      </x:c>
    </x:row>
    <x:row r="127" ht="180" customHeight="1">
      <x:c r="A127" s="3" t="str">
        <x:v>2024::jama.2024.2302::C001</x:v>
      </x:c>
      <x:c r="B127" s="3" t="n">
        <x:v>1</x:v>
      </x:c>
      <x:c r="C127" s="3" t="str">
        <x:v>Reported-versus-comparator</x:v>
      </x:c>
      <x:c r="D127" s="3" t="str">
        <x:v>≥1, “at least 1,” and “any” include exactly one SAE; &gt;1 means at least two SAEs.</x:v>
      </x:c>
    </x:row>
    <x:row r="128" ht="180" customHeight="1">
      <x:c r="A128" s="6" t="str">
        <x:v>2024::jama.2024.2302::C001</x:v>
      </x:c>
      <x:c r="B128" s="6" t="n">
        <x:v>2</x:v>
      </x:c>
      <x:c r="C128" s="6" t="str">
        <x:v>Calculation</x:v>
      </x:c>
      <x:c r="D128" s="6" t="str">
        <x:v>44/159 = 27.67% (28%) and 27/149 = 18.12% (18%). The differing sets are {k: k ≥ 1} and {k: k &gt; 1}.</x:v>
      </x:c>
    </x:row>
    <x:row r="129" ht="180" customHeight="1">
      <x:c r="A129" s="3" t="str">
        <x:v>2024::jama.2024.2302::C001</x:v>
      </x:c>
      <x:c r="B129" s="3" t="n">
        <x:v>3</x:v>
      </x:c>
      <x:c r="C129" s="3" t="str">
        <x:v>Alternative source-grounded interpretations</x:v>
      </x:c>
      <x:c r="D129" s="3" t="str">
        <x:v>Repeated “any,” “at least one,” and ≥1 wording supports the possibility that &gt;1 was used informally for more than zero. The number with exactly one SAE is not supplied.</x:v>
      </x:c>
    </x:row>
    <x:row r="130" ht="180" customHeight="1">
      <x:c r="A130" s="6" t="str">
        <x:v>2024::jama.2024.2302::C002</x:v>
      </x:c>
      <x:c r="B130" s="6" t="n">
        <x:v>0</x:v>
      </x:c>
      <x:c r="C130" s="6" t="str">
        <x:v>Source evidence</x:v>
      </x:c>
      <x:c r="D130" s="6" t="str">
        <x:v>Protocol p. 3 gives planned medians 18 early/15 late; p. 12 gives medians 8/5 and means 18/13. The SAP explicitly calls the p. 3 18/15 medians incorrect and identifies 8/5 as intended.</x:v>
      </x:c>
    </x:row>
    <x:row r="131" ht="180" customHeight="1">
      <x:c r="A131" s="3" t="str">
        <x:v>2024::jama.2024.2302::C002</x:v>
      </x:c>
      <x:c r="B131" s="3" t="n">
        <x:v>1</x:v>
      </x:c>
      <x:c r="C131" s="3" t="str">
        <x:v>Reported-versus-comparator</x:v>
      </x:c>
      <x:c r="D131" s="3" t="str">
        <x:v>Planned median pairs 18/15 versus 8/5 days for the same early/late contrast.</x:v>
      </x:c>
    </x:row>
    <x:row r="132" ht="180" customHeight="1">
      <x:c r="A132" s="6" t="str">
        <x:v>2024::jama.2024.2302::C002</x:v>
      </x:c>
      <x:c r="B132" s="6" t="n">
        <x:v>2</x:v>
      </x:c>
      <x:c r="C132" s="6" t="str">
        <x:v>Calculation</x:v>
      </x:c>
      <x:c r="D132" s="6" t="str">
        <x:v>18−15=3, 8−5=3, 18−8=10, and 15−5=10 days.</x:v>
      </x:c>
    </x:row>
    <x:row r="133" ht="180" customHeight="1">
      <x:c r="A133" s="3" t="str">
        <x:v>2024::jama.2024.2302::C002</x:v>
      </x:c>
      <x:c r="B133" s="3" t="n">
        <x:v>3</x:v>
      </x:c>
      <x:c r="C133" s="3" t="str">
        <x:v>Alternative source-grounded interpretations</x:v>
      </x:c>
      <x:c r="D133" s="3" t="str">
        <x:v>The page-12 mean/median distinction and the SAP’s explicit 8/5 clarification are supported. Amendment or drafting history is not supplied.</x:v>
      </x:c>
    </x:row>
    <x:row r="134" ht="180" customHeight="1">
      <x:c r="A134" s="6" t="str">
        <x:v>2024::jama.2024.2302::C003</x:v>
      </x:c>
      <x:c r="B134" s="6" t="n">
        <x:v>0</x:v>
      </x:c>
      <x:c r="C134" s="6" t="str">
        <x:v>Source evidence</x:v>
      </x:c>
      <x:c r="D134" s="6" t="str">
        <x:v>The article states 0.33-3.0 for categorical and count intervention effects. The SAP gives categorical OR 0.2-4 with Normal(0, SD=0.7) on log-OR scale, and count RR 0.33-3.3.</x:v>
      </x:c>
    </x:row>
    <x:row r="135" ht="180" customHeight="1">
      <x:c r="A135" s="3" t="str">
        <x:v>2024::jama.2024.2302::C003</x:v>
      </x:c>
      <x:c r="B135" s="3" t="n">
        <x:v>1</x:v>
      </x:c>
      <x:c r="C135" s="3" t="str">
        <x:v>Reported-versus-comparator</x:v>
      </x:c>
      <x:c r="D135" s="3" t="str">
        <x:v>A common 0.33-3.0 range versus categorical 0.2-4 and count 0.33-3.3 ranges.</x:v>
      </x:c>
    </x:row>
    <x:row r="136" ht="180" customHeight="1">
      <x:c r="A136" s="6" t="str">
        <x:v>2024::jama.2024.2302::C003</x:v>
      </x:c>
      <x:c r="B136" s="6" t="n">
        <x:v>2</x:v>
      </x:c>
      <x:c r="C136" s="6" t="str">
        <x:v>Calculation</x:v>
      </x:c>
      <x:c r="D136" s="6" t="str">
        <x:v>Categorical endpoint differences: 0.33−0.20=0.13 and 4.0−3.0=1.0; count upper-endpoint difference: 3.3−3.0=0.3.</x:v>
      </x:c>
    </x:row>
    <x:row r="137" ht="180" customHeight="1">
      <x:c r="A137" s="3" t="str">
        <x:v>2024::jama.2024.2302::C003</x:v>
      </x:c>
      <x:c r="B137" s="3" t="n">
        <x:v>3</x:v>
      </x:c>
      <x:c r="C137" s="3" t="str">
        <x:v>Alternative source-grounded interpretations</x:v>
      </x:c>
      <x:c r="D137" s="3" t="str">
        <x:v>The supplied documents do not select which stated range governed each final model. Amendment, simplification, and implementation history are not supplied.</x:v>
      </x:c>
    </x:row>
    <x:row r="138" ht="180" customHeight="1">
      <x:c r="A138" s="6" t="str">
        <x:v>2024::jama.2024.2302::C004</x:v>
      </x:c>
      <x:c r="B138" s="6" t="n">
        <x:v>0</x:v>
      </x:c>
      <x:c r="C138" s="6" t="str">
        <x:v>Source evidence</x:v>
      </x:c>
      <x:c r="D138" s="6" t="str">
        <x:v>Figure 3 reports &lt;28 wk and ≥28 wk. SAP pp. 3 and 9 use &lt;28/&gt;28; SAP p. 8 itself uses &lt;28/≥28.</x:v>
      </x:c>
    </x:row>
    <x:row r="139" ht="180" customHeight="1">
      <x:c r="A139" s="3" t="str">
        <x:v>2024::jama.2024.2302::C004</x:v>
      </x:c>
      <x:c r="B139" s="3" t="n">
        <x:v>1</x:v>
      </x:c>
      <x:c r="C139" s="3" t="str">
        <x:v>Reported-versus-comparator</x:v>
      </x:c>
      <x:c r="D139" s="3" t="str">
        <x:v>≥28 includes exactly 28 weeks; &gt;28 excludes it.</x:v>
      </x:c>
    </x:row>
    <x:row r="140" ht="180" customHeight="1">
      <x:c r="A140" s="6" t="str">
        <x:v>2024::jama.2024.2302::C004</x:v>
      </x:c>
      <x:c r="B140" s="6" t="n">
        <x:v>2</x:v>
      </x:c>
      <x:c r="C140" s="6" t="str">
        <x:v>Calculation</x:v>
      </x:c>
      <x:c r="D140" s="6" t="str">
        <x:v>At exactly 28 weeks, GA≥28 is true and GA&gt;28 is false. The Figure 3 subgroup denominators partition the analysis populations: 102+57=159 and 99+50=149.</x:v>
      </x:c>
    </x:row>
    <x:row r="141" ht="180" customHeight="1">
      <x:c r="A141" s="3" t="str">
        <x:v>2024::jama.2024.2302::C004</x:v>
      </x:c>
      <x:c r="B141" s="3" t="n">
        <x:v>3</x:v>
      </x:c>
      <x:c r="C141" s="3" t="str">
        <x:v>Alternative source-grounded interpretations</x:v>
      </x:c>
      <x:c r="D141" s="3" t="str">
        <x:v>SAP p. 8 and the article’s complete displayed partition support a possible inconsistent &gt;28 label. Exact gestational-age coding and exactly-28-week assignment are not supplied.</x:v>
      </x:c>
    </x:row>
    <x:row r="142" ht="180" customHeight="1">
      <x:c r="A142" s="6" t="str">
        <x:v>2024::jama.2024.2302::C005</x:v>
      </x:c>
      <x:c r="B142" s="6" t="n">
        <x:v>0</x:v>
      </x:c>
      <x:c r="C142" s="6" t="str">
        <x:v>Source evidence</x:v>
      </x:c>
      <x:c r="D142" s="6" t="str">
        <x:v>Protocol text defines SAE ascertainment from enrollment through 10 months after enrollment; the SAP and main article state primary-outcome collection for 10 months after randomization.</x:v>
      </x:c>
    </x:row>
    <x:row r="143" ht="180" customHeight="1">
      <x:c r="A143" s="3" t="str">
        <x:v>2024::jama.2024.2302::C005</x:v>
      </x:c>
      <x:c r="B143" s="3" t="n">
        <x:v>1</x:v>
      </x:c>
      <x:c r="C143" s="3" t="str">
        <x:v>Reported-versus-comparator</x:v>
      </x:c>
      <x:c r="D143" s="3" t="str">
        <x:v>[enrollment, enrollment + 10 months] versus [randomization, randomization + 10 months].</x:v>
      </x:c>
    </x:row>
    <x:row r="144" ht="180" customHeight="1">
      <x:c r="A144" s="6" t="str">
        <x:v>2024::jama.2024.2302::C005</x:v>
      </x:c>
      <x:c r="B144" s="6" t="n">
        <x:v>2</x:v>
      </x:c>
      <x:c r="C144" s="6" t="str">
        <x:v>Calculation</x:v>
      </x:c>
      <x:c r="D144" s="6" t="str">
        <x:v>The two windows have the same duration but different named origins unless enrollment equals randomization; the supplied package does not define that equality.</x:v>
      </x:c>
    </x:row>
    <x:row r="145" ht="180" customHeight="1">
      <x:c r="A145" s="3" t="str">
        <x:v>2024::jama.2024.2302::C005</x:v>
      </x:c>
      <x:c r="B145" s="3" t="n">
        <x:v>3</x:v>
      </x:c>
      <x:c r="C145" s="3" t="str">
        <x:v>Alternative source-grounded interpretations</x:v>
      </x:c>
      <x:c r="D145" s="3" t="str">
        <x:v>The protocol’s mixed terminology supports possible interchangeable usage. Operational simultaneity and any event-count difference are not supplied.</x:v>
      </x:c>
    </x:row>
    <x:row r="146" ht="180" customHeight="1">
      <x:c r="A146" s="6" t="str">
        <x:v>2024::jama.2024.23898::C001</x:v>
      </x:c>
      <x:c r="B146" s="6" t="n">
        <x:v>0</x:v>
      </x:c>
      <x:c r="C146" s="6" t="str">
        <x:v>Source evidence</x:v>
      </x:c>
      <x:c r="D146" s="6" t="str">
        <x:v>The article reports the same 160/279 versus 164/278 GI-3 result as “72 hours after surgery,” “at 72 hours after operation,” and “by 72 h after operation.”</x:v>
      </x:c>
    </x:row>
    <x:row r="147" ht="180" customHeight="1">
      <x:c r="A147" s="3" t="str">
        <x:v>2024::jama.2024.23898::C001</x:v>
      </x:c>
      <x:c r="B147" s="3" t="n">
        <x:v>1</x:v>
      </x:c>
      <x:c r="C147" s="3" t="str">
        <x:v>Reported-versus-comparator</x:v>
      </x:c>
      <x:c r="D147" s="3" t="str">
        <x:v>The SAP defines the same GI-3 composite “at 72 hours after the start of operation.”</x:v>
      </x:c>
    </x:row>
    <x:row r="148" ht="180" customHeight="1">
      <x:c r="A148" s="6" t="str">
        <x:v>2024::jama.2024.23898::C001</x:v>
      </x:c>
      <x:c r="B148" s="6" t="n">
        <x:v>2</x:v>
      </x:c>
      <x:c r="C148" s="6" t="str">
        <x:v>Calculation</x:v>
      </x:c>
      <x:c r="D148" s="6" t="str">
        <x:v>No numerical recalculation is claimed. The matched counts and effects agree; the reproducible comparison is the presence versus absence of “start of operation.”</x:v>
      </x:c>
    </x:row>
    <x:row r="149" ht="180" customHeight="1">
      <x:c r="A149" s="3" t="str">
        <x:v>2024::jama.2024.23898::C001</x:v>
      </x:c>
      <x:c r="B149" s="3" t="n">
        <x:v>3</x:v>
      </x:c>
      <x:c r="C149" s="3" t="str">
        <x:v>Alternative source-grounded interpretations</x:v>
      </x:c>
      <x:c r="D149" s="3" t="str">
        <x:v>“After surgery/operation” may be shorthand for the SAP origin, or the final derivation may have used completion of surgery, anaesthesia start, or another timestamp not supplied.</x:v>
      </x:c>
    </x:row>
    <x:row r="150" ht="180" customHeight="1">
      <x:c r="A150" s="6" t="str">
        <x:v>2024::jama.2024.23898::C002</x:v>
      </x:c>
      <x:c r="B150" s="6" t="n">
        <x:v>0</x:v>
      </x:c>
      <x:c r="C150" s="6" t="str">
        <x:v>Source evidence</x:v>
      </x:c>
      <x:c r="D150" s="6" t="str">
        <x:v>The article names postoperative opioid consumption “up to 24 hours” and reports OME medians 70.6 mg versus 45.0 mg, each n=210.</x:v>
      </x:c>
    </x:row>
    <x:row r="151" ht="180" customHeight="1">
      <x:c r="A151" s="3" t="str">
        <x:v>2024::jama.2024.23898::C002</x:v>
      </x:c>
      <x:c r="B151" s="3" t="n">
        <x:v>1</x:v>
      </x:c>
      <x:c r="C151" s="3" t="str">
        <x:v>Reported-versus-comparator</x:v>
      </x:c>
      <x:c r="D151" s="3" t="str">
        <x:v>The protocol specifies cumulative morphine-equivalent consumption until 72 hours after operation start; the SAP specifies total in-hospital opioid consumption up to 72 hours.</x:v>
      </x:c>
    </x:row>
    <x:row r="152" ht="180" customHeight="1">
      <x:c r="A152" s="6" t="str">
        <x:v>2024::jama.2024.23898::C002</x:v>
      </x:c>
      <x:c r="B152" s="6" t="n">
        <x:v>2</x:v>
      </x:c>
      <x:c r="C152" s="6" t="str">
        <x:v>Calculation</x:v>
      </x:c>
      <x:c r="D152" s="6" t="str">
        <x:v>72 hours − 24 hours = 48 hours. Aggregate 24-hour medians cannot reconstruct 72-hour medians.</x:v>
      </x:c>
    </x:row>
    <x:row r="153" ht="180" customHeight="1">
      <x:c r="A153" s="3" t="str">
        <x:v>2024::jama.2024.23898::C002</x:v>
      </x:c>
      <x:c r="B153" s="3" t="n">
        <x:v>3</x:v>
      </x:c>
      <x:c r="C153" s="3" t="str">
        <x:v>Alternative source-grounded interpretations</x:v>
      </x:c>
      <x:c r="D153" s="3" t="str">
        <x:v>The final analysis may intentionally report a distinct 24-hour measure, or the planned 72-hour endpoint may have changed before final analysis.</x:v>
      </x:c>
    </x:row>
    <x:row r="154" ht="180" customHeight="1">
      <x:c r="A154" s="6" t="str">
        <x:v>2024::jama.2024.23898::C003</x:v>
      </x:c>
      <x:c r="B154" s="6" t="n">
        <x:v>0</x:v>
      </x:c>
      <x:c r="C154" s="6" t="str">
        <x:v>Source evidence</x:v>
      </x:c>
      <x:c r="D154" s="6" t="str">
        <x:v>Article Methods says within 30 days; Table 3 says within 90 days and prints 31/279 (11.1%) versus 34/278 (12.2%).</x:v>
      </x:c>
    </x:row>
    <x:row r="155" ht="180" customHeight="1">
      <x:c r="A155" s="3" t="str">
        <x:v>2024::jama.2024.23898::C003</x:v>
      </x:c>
      <x:c r="B155" s="3" t="n">
        <x:v>1</x:v>
      </x:c>
      <x:c r="C155" s="3" t="str">
        <x:v>Reported-versus-comparator</x:v>
      </x:c>
      <x:c r="D155" s="3" t="str">
        <x:v>The protocol and SAP (including the SAP dummy-table heading) specify unplanned readmission within 30 days.</x:v>
      </x:c>
    </x:row>
    <x:row r="156" ht="180" customHeight="1">
      <x:c r="A156" s="6" t="str">
        <x:v>2024::jama.2024.23898::C003</x:v>
      </x:c>
      <x:c r="B156" s="6" t="n">
        <x:v>2</x:v>
      </x:c>
      <x:c r="C156" s="6" t="str">
        <x:v>Calculation</x:v>
      </x:c>
      <x:c r="D156" s="6" t="str">
        <x:v>90 days − 30 days = 60 days; 31 / 279 × 100 = 11.11% and 34 / 278 × 100 = 12.23%, reproducing the printed percentages at one decimal place but not the window.</x:v>
      </x:c>
    </x:row>
    <x:row r="157" ht="180" customHeight="1">
      <x:c r="A157" s="3" t="str">
        <x:v>2024::jama.2024.23898::C003</x:v>
      </x:c>
      <x:c r="B157" s="3" t="n">
        <x:v>3</x:v>
      </x:c>
      <x:c r="C157" s="3" t="str">
        <x:v>Alternative source-grounded interpretations</x:v>
      </x:c>
      <x:c r="D157" s="3" t="str">
        <x:v>Table 3 may contain 30-day counts under a 90-day label, or the final endpoint may have changed to 90 days while other text remained unrevised.</x:v>
      </x:c>
    </x:row>
    <x:row r="158" ht="180" customHeight="1">
      <x:c r="A158" s="6" t="str">
        <x:v>2024::jama.2024.23898::C004</x:v>
      </x:c>
      <x:c r="B158" s="6" t="n">
        <x:v>0</x:v>
      </x:c>
      <x:c r="C158" s="6" t="str">
        <x:v>Source evidence</x:v>
      </x:c>
      <x:c r="D158" s="6" t="str">
        <x:v>The eFigure displays high n=191, moderate n=274, low n=92; it defines high as ≥7/10 and low as &lt;5/10, and says the definitions were not predefined.</x:v>
      </x:c>
    </x:row>
    <x:row r="159" ht="180" customHeight="1">
      <x:c r="A159" s="3" t="str">
        <x:v>2024::jama.2024.23898::C004</x:v>
      </x:c>
      <x:c r="B159" s="3" t="n">
        <x:v>1</x:v>
      </x:c>
      <x:c r="C159" s="3" t="str">
        <x:v>Reported-versus-comparator</x:v>
      </x:c>
      <x:c r="D159" s="3" t="str">
        <x:v>The protocol calls its bands “e.g.” 0–30%, 30–60%, and &gt;60%; the SAP names high/moderate/low without cut points.</x:v>
      </x:c>
    </x:row>
    <x:row r="160" ht="180" customHeight="1">
      <x:c r="A160" s="6" t="str">
        <x:v>2024::jama.2024.23898::C004</x:v>
      </x:c>
      <x:c r="B160" s="6" t="n">
        <x:v>2</x:v>
      </x:c>
      <x:c r="C160" s="6" t="str">
        <x:v>Calculation</x:v>
      </x:c>
      <x:c r="D160" s="6" t="str">
        <x:v>4 / 10 × 100 = 40%. The eFigure classifies 4/10 as low, while 40% is in the protocol’s printed 30–60% example band. 191 + 274 + 92 = 557.</x:v>
      </x:c>
    </x:row>
    <x:row r="161" ht="180" customHeight="1">
      <x:c r="A161" s="3" t="str">
        <x:v>2024::jama.2024.23898::C004</x:v>
      </x:c>
      <x:c r="B161" s="3" t="n">
        <x:v>3</x:v>
      </x:c>
      <x:c r="C161" s="3" t="str">
        <x:v>Alternative source-grounded interpretations</x:v>
      </x:c>
      <x:c r="D161" s="3" t="str">
        <x:v>The “e.g.” bands may be illustrative and a final 0–4/5–6/7–10 rule may have superseded them; alternatively, the scales may not have been aligned. The eFigure does not expressly define moderate.</x:v>
      </x:c>
    </x:row>
    <x:row r="162" ht="180" customHeight="1">
      <x:c r="A162" s="6" t="str">
        <x:v>2024::jama.2024.23898::C005</x:v>
      </x:c>
      <x:c r="B162" s="6" t="n">
        <x:v>0</x:v>
      </x:c>
      <x:c r="C162" s="6" t="str">
        <x:v>Source evidence</x:v>
      </x:c>
      <x:c r="D162" s="6" t="str">
        <x:v>The eFigure legend says “99% CI”; its caption states that right-hand within-subgroup relative risks have “95% confidence interval.”</x:v>
      </x:c>
    </x:row>
    <x:row r="163" ht="180" customHeight="1">
      <x:c r="A163" s="3" t="str">
        <x:v>2024::jama.2024.23898::C005</x:v>
      </x:c>
      <x:c r="B163" s="3" t="n">
        <x:v>1</x:v>
      </x:c>
      <x:c r="C163" s="3" t="str">
        <x:v>Reported-versus-comparator</x:v>
      </x:c>
      <x:c r="D163" s="3" t="str">
        <x:v>The SAP specifies two-sided 1% subgroup tests and corresponding 99% CIs, supporting the legend’s planned convention but not proving the plotted calculation.</x:v>
      </x:c>
    </x:row>
    <x:row r="164" ht="180" customHeight="1">
      <x:c r="A164" s="6" t="str">
        <x:v>2024::jama.2024.23898::C005</x:v>
      </x:c>
      <x:c r="B164" s="6" t="n">
        <x:v>2</x:v>
      </x:c>
      <x:c r="C164" s="6" t="str">
        <x:v>Calculation</x:v>
      </x:c>
      <x:c r="D164" s="6" t="str">
        <x:v>99% − 95% = 4 percentage points; the explicit labels have no rounding tolerance.</x:v>
      </x:c>
    </x:row>
    <x:row r="165" ht="180" customHeight="1">
      <x:c r="A165" s="3" t="str">
        <x:v>2024::jama.2024.23898::C005</x:v>
      </x:c>
      <x:c r="B165" s="3" t="n">
        <x:v>3</x:v>
      </x:c>
      <x:c r="C165" s="3" t="str">
        <x:v>Alternative source-grounded interpretations</x:v>
      </x:c>
      <x:c r="D165" s="3" t="str">
        <x:v>The caption may use generic 95% wording, the legend may be incorrect, or different interval types may have been intended but not distinguished.</x:v>
      </x:c>
    </x:row>
    <x:row r="166" ht="180" customHeight="1">
      <x:c r="A166" s="6" t="str">
        <x:v>2024::jama.2024.23898::C006</x:v>
      </x:c>
      <x:c r="B166" s="6" t="n">
        <x:v>0</x:v>
      </x:c>
      <x:c r="C166" s="6" t="str">
        <x:v>Source evidence</x:v>
      </x:c>
      <x:c r="D166" s="6" t="str">
        <x:v>Day 5 is −0.057 (95% CI, −0.111 to −0.003), P=.04; Results uses blanket “no significant difference” prose for EQ-5D-5L.</x:v>
      </x:c>
    </x:row>
    <x:row r="167" ht="180" customHeight="1">
      <x:c r="A167" s="3" t="str">
        <x:v>2024::jama.2024.23898::C006</x:v>
      </x:c>
      <x:c r="B167" s="3" t="n">
        <x:v>1</x:v>
      </x:c>
      <x:c r="C167" s="3" t="str">
        <x:v>Reported-versus-comparator</x:v>
      </x:c>
      <x:c r="D167" s="3" t="str">
        <x:v>The SAP uses 95% CIs apart from subgroups, no secondary-outcome multiplicity adjustment, and time-by-treatment contrasts at each EQ-5D time point.</x:v>
      </x:c>
    </x:row>
    <x:row r="168" ht="180" customHeight="1">
      <x:c r="A168" s="6" t="str">
        <x:v>2024::jama.2024.23898::C006</x:v>
      </x:c>
      <x:c r="B168" s="6" t="n">
        <x:v>2</x:v>
      </x:c>
      <x:c r="C168" s="6" t="str">
        <x:v>Calculation</x:v>
      </x:c>
      <x:c r="D168" s="6" t="str">
        <x:v>−0.111 &lt; −0.057 &lt; −0.003; zero is outside the interval; .04 &lt; .05.</x:v>
      </x:c>
    </x:row>
    <x:row r="169" ht="180" customHeight="1">
      <x:c r="A169" s="3" t="str">
        <x:v>2024::jama.2024.23898::C006</x:v>
      </x:c>
      <x:c r="B169" s="3" t="n">
        <x:v>3</x:v>
      </x:c>
      <x:c r="C169" s="3" t="str">
        <x:v>Alternative source-grounded interpretations</x:v>
      </x:c>
      <x:c r="D169" s="3" t="str">
        <x:v>The prose may summarize an overall repeated-measures pattern, use an unstated endpoint-level decision rule, or omit mention of a nominal time-point result.</x:v>
      </x:c>
    </x:row>
    <x:row r="170" ht="180" customHeight="1">
      <x:c r="A170" s="6" t="str">
        <x:v>2024::jama.2024.23898::C007</x:v>
      </x:c>
      <x:c r="B170" s="6" t="n">
        <x:v>0</x:v>
      </x:c>
      <x:c r="C170" s="6" t="str">
        <x:v>Source evidence</x:v>
      </x:c>
      <x:c r="D170" s="6" t="str">
        <x:v>The eFigure prints high n=191, moderate n=274, and low n=92, with one interaction P=.966; the SAP names the same three levels.</x:v>
      </x:c>
    </x:row>
    <x:row r="171" ht="180" customHeight="1">
      <x:c r="A171" s="3" t="str">
        <x:v>2024::jama.2024.23898::C007</x:v>
      </x:c>
      <x:c r="B171" s="3" t="n">
        <x:v>1</x:v>
      </x:c>
      <x:c r="C171" s="3" t="str">
        <x:v>Reported-versus-comparator</x:v>
      </x:c>
      <x:c r="D171" s="3" t="str">
        <x:v>The article phrase names only high and low and does not identify it as shorthand or a separate extreme-level contrast.</x:v>
      </x:c>
    </x:row>
    <x:row r="172" ht="180" customHeight="1">
      <x:c r="A172" s="6" t="str">
        <x:v>2024::jama.2024.23898::C007</x:v>
      </x:c>
      <x:c r="B172" s="6" t="n">
        <x:v>2</x:v>
      </x:c>
      <x:c r="C172" s="6" t="str">
        <x:v>Calculation</x:v>
      </x:c>
      <x:c r="D172" s="6" t="str">
        <x:v>191 + 274 + 92 = 557. One interaction P appears beside the three-row factor, supporting a three-level display without reconstructing its coding.</x:v>
      </x:c>
    </x:row>
    <x:row r="173" ht="180" customHeight="1">
      <x:c r="A173" s="3" t="str">
        <x:v>2024::jama.2024.23898::C007</x:v>
      </x:c>
      <x:c r="B173" s="3" t="n">
        <x:v>3</x:v>
      </x:c>
      <x:c r="C173" s="3" t="str">
        <x:v>Alternative source-grounded interpretations</x:v>
      </x:c>
      <x:c r="D173" s="3" t="str">
        <x:v>“High vs low” may be shorthand for the three-level factor, or it may describe an extreme-level contrast while the eFigure displays a separate three-level interaction.</x:v>
      </x:c>
    </x:row>
    <x:row r="174" ht="180" customHeight="1">
      <x:c r="A174" s="6" t="str">
        <x:v>2024::jama.2024.25786::C001</x:v>
      </x:c>
      <x:c r="B174" s="6" t="n">
        <x:v>0</x:v>
      </x:c>
      <x:c r="C174" s="6" t="str">
        <x:v>Source evidence</x:v>
      </x:c>
      <x:c r="D174" s="6" t="str">
        <x:v>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5" ht="180" customHeight="1">
      <x:c r="A175" s="3" t="str">
        <x:v>2024::jama.2024.25786::C001</x:v>
      </x:c>
      <x:c r="B175" s="3" t="n">
        <x:v>1</x:v>
      </x:c>
      <x:c r="C175" s="3" t="str">
        <x:v>Reported-versus-comparator</x:v>
      </x:c>
      <x:c r="D175" s="3" t="str">
        <x:v>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6" ht="180" customHeight="1">
      <x:c r="A176" s="6" t="str">
        <x:v>2024::jama.2024.25786::C001</x:v>
      </x:c>
      <x:c r="B176" s="6" t="n">
        <x:v>2</x:v>
      </x:c>
      <x:c r="C176" s="6" t="str">
        <x:v>Calculation</x:v>
      </x:c>
      <x:c r="D176" s="6" t="str">
        <x:v>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7" ht="180" customHeight="1">
      <x:c r="A177" s="3" t="str">
        <x:v>2024::jama.2024.25786::C001</x:v>
      </x:c>
      <x:c r="B177" s="3" t="n">
        <x:v>3</x:v>
      </x:c>
      <x:c r="C177" s="3" t="str">
        <x:v>Alternative source-grounded interpretations</x:v>
      </x:c>
      <x:c r="D177" s="3" t="str">
        <x:v>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8" ht="180" customHeight="1">
      <x:c r="A178" s="6" t="str">
        <x:v>2024::jama.2024.25786::C002</x:v>
      </x:c>
      <x:c r="B178" s="6" t="n">
        <x:v>0</x:v>
      </x:c>
      <x:c r="C178" s="6" t="str">
        <x:v>Source evidence</x:v>
      </x:c>
      <x:c r="D178" s="6" t="str">
        <x:v>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79" ht="180" customHeight="1">
      <x:c r="A179" s="3" t="str">
        <x:v>2024::jama.2024.25786::C002</x:v>
      </x:c>
      <x:c r="B179" s="3" t="n">
        <x:v>1</x:v>
      </x:c>
      <x:c r="C179" s="3" t="str">
        <x:v>Reported-versus-comparator</x:v>
      </x:c>
      <x:c r="D179" s="3" t="str">
        <x:v>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0" ht="180" customHeight="1">
      <x:c r="A180" s="6" t="str">
        <x:v>2024::jama.2024.25786::C002</x:v>
      </x:c>
      <x:c r="B180" s="6" t="n">
        <x:v>2</x:v>
      </x:c>
      <x:c r="C180" s="6" t="str">
        <x:v>Calculation</x:v>
      </x:c>
      <x:c r="D180" s="6" t="str">
        <x:v>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1" ht="180" customHeight="1">
      <x:c r="A181" s="3" t="str">
        <x:v>2024::jama.2024.25786::C002</x:v>
      </x:c>
      <x:c r="B181" s="3" t="n">
        <x:v>3</x:v>
      </x:c>
      <x:c r="C181" s="3" t="str">
        <x:v>Alternative source-grounded interpretations</x:v>
      </x:c>
      <x:c r="D181" s="3" t="str">
        <x:v>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2" ht="180" customHeight="1">
      <x:c r="A182" s="6" t="str">
        <x:v>2024::jama.2024.25786::C003</x:v>
      </x:c>
      <x:c r="B182" s="6" t="n">
        <x:v>0</x:v>
      </x:c>
      <x:c r="C182" s="6" t="str">
        <x:v>Source evidence</x:v>
      </x:c>
      <x:c r="D182" s="6" t="str">
        <x:v>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3" ht="180" customHeight="1">
      <x:c r="A183" s="3" t="str">
        <x:v>2024::jama.2024.25786::C003</x:v>
      </x:c>
      <x:c r="B183" s="3" t="n">
        <x:v>1</x:v>
      </x:c>
      <x:c r="C183" s="3" t="str">
        <x:v>Reported-versus-comparator</x:v>
      </x:c>
      <x:c r="D183" s="3" t="str">
        <x:v>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4" ht="180" customHeight="1">
      <x:c r="A184" s="6" t="str">
        <x:v>2024::jama.2024.25786::C003</x:v>
      </x:c>
      <x:c r="B184" s="6" t="n">
        <x:v>2</x:v>
      </x:c>
      <x:c r="C184" s="6" t="str">
        <x:v>Calculation</x:v>
      </x:c>
      <x:c r="D184" s="6" t="str">
        <x:v>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5" ht="180" customHeight="1">
      <x:c r="A185" s="3" t="str">
        <x:v>2024::jama.2024.25786::C003</x:v>
      </x:c>
      <x:c r="B185" s="3" t="n">
        <x:v>3</x:v>
      </x:c>
      <x:c r="C185" s="3" t="str">
        <x:v>Alternative source-grounded interpretations</x:v>
      </x:c>
      <x:c r="D185" s="3" t="str">
        <x:v>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6" ht="180" customHeight="1">
      <x:c r="A186" s="6" t="str">
        <x:v>2024::jama.2024.25786::C004</x:v>
      </x:c>
      <x:c r="B186" s="6" t="n">
        <x:v>0</x:v>
      </x:c>
      <x:c r="C186" s="6" t="str">
        <x:v>Source evidence</x:v>
      </x:c>
      <x:c r="D186" s="6" t="str">
        <x:v>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7" ht="180" customHeight="1">
      <x:c r="A187" s="3" t="str">
        <x:v>2024::jama.2024.25786::C004</x:v>
      </x:c>
      <x:c r="B187" s="3" t="n">
        <x:v>1</x:v>
      </x:c>
      <x:c r="C187" s="3" t="str">
        <x:v>Reported-versus-comparator</x:v>
      </x:c>
      <x:c r="D187" s="3" t="str">
        <x:v>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8" ht="180" customHeight="1">
      <x:c r="A188" s="6" t="str">
        <x:v>2024::jama.2024.25786::C004</x:v>
      </x:c>
      <x:c r="B188" s="6" t="n">
        <x:v>2</x:v>
      </x:c>
      <x:c r="C188" s="6" t="str">
        <x:v>Calculation</x:v>
      </x:c>
      <x:c r="D188" s="6" t="str">
        <x:v>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9" ht="180" customHeight="1">
      <x:c r="A189" s="3" t="str">
        <x:v>2024::jama.2024.25786::C004</x:v>
      </x:c>
      <x:c r="B189" s="3" t="n">
        <x:v>3</x:v>
      </x:c>
      <x:c r="C189" s="3" t="str">
        <x:v>Alternative source-grounded interpretations</x:v>
      </x:c>
      <x:c r="D189" s="3" t="str">
        <x:v>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90" ht="180" customHeight="1">
      <x:c r="A190" s="6" t="str">
        <x:v>2024::jama.2024.25786::C005</x:v>
      </x:c>
      <x:c r="B190" s="6" t="n">
        <x:v>0</x:v>
      </x:c>
      <x:c r="C190" s="6" t="str">
        <x:v>Source evidence</x:v>
      </x:c>
      <x:c r="D190" s="6" t="str">
        <x:v>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1" ht="180" customHeight="1">
      <x:c r="A191" s="3" t="str">
        <x:v>2024::jama.2024.25786::C005</x:v>
      </x:c>
      <x:c r="B191" s="3" t="n">
        <x:v>1</x:v>
      </x:c>
      <x:c r="C191" s="3" t="str">
        <x:v>Reported-versus-comparator</x:v>
      </x:c>
      <x:c r="D191" s="3" t="str">
        <x:v>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2" ht="180" customHeight="1">
      <x:c r="A192" s="6" t="str">
        <x:v>2024::jama.2024.25786::C005</x:v>
      </x:c>
      <x:c r="B192" s="6" t="n">
        <x:v>2</x:v>
      </x:c>
      <x:c r="C192" s="6" t="str">
        <x:v>Calculation</x:v>
      </x:c>
      <x:c r="D192" s="6" t="str">
        <x:v>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3" ht="180" customHeight="1">
      <x:c r="A193" s="3" t="str">
        <x:v>2024::jama.2024.25786::C005</x:v>
      </x:c>
      <x:c r="B193" s="3" t="n">
        <x:v>3</x:v>
      </x:c>
      <x:c r="C193" s="3" t="str">
        <x:v>Alternative source-grounded interpretations</x:v>
      </x:c>
      <x:c r="D193" s="3" t="str">
        <x:v>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4" ht="180" customHeight="1">
      <x:c r="A194" s="6" t="str">
        <x:v>2024::jama.2024.25786::C006</x:v>
      </x:c>
      <x:c r="B194" s="6" t="n">
        <x:v>0</x:v>
      </x:c>
      <x:c r="C194" s="6" t="str">
        <x:v>Source evidence</x:v>
      </x:c>
      <x:c r="D194" s="6" t="str">
        <x:v>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5" ht="180" customHeight="1">
      <x:c r="A195" s="3" t="str">
        <x:v>2024::jama.2024.25786::C006</x:v>
      </x:c>
      <x:c r="B195" s="3" t="n">
        <x:v>1</x:v>
      </x:c>
      <x:c r="C195" s="3" t="str">
        <x:v>Reported-versus-comparator</x:v>
      </x:c>
      <x:c r="D195" s="3" t="str">
        <x:v>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6" ht="180" customHeight="1">
      <x:c r="A196" s="6" t="str">
        <x:v>2024::jama.2024.25786::C006</x:v>
      </x:c>
      <x:c r="B196" s="6" t="n">
        <x:v>2</x:v>
      </x:c>
      <x:c r="C196" s="6" t="str">
        <x:v>Calculation</x:v>
      </x:c>
      <x:c r="D196" s="6" t="str">
        <x:v>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7" ht="180" customHeight="1">
      <x:c r="A197" s="3" t="str">
        <x:v>2024::jama.2024.25786::C006</x:v>
      </x:c>
      <x:c r="B197" s="3" t="n">
        <x:v>3</x:v>
      </x:c>
      <x:c r="C197" s="3" t="str">
        <x:v>Alternative source-grounded interpretations</x:v>
      </x:c>
      <x:c r="D197" s="3" t="str">
        <x:v>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8" ht="180" customHeight="1">
      <x:c r="A198" s="6" t="str">
        <x:v>2024::jama.2024.25786::C007</x:v>
      </x:c>
      <x:c r="B198" s="6" t="n">
        <x:v>0</x:v>
      </x:c>
      <x:c r="C198" s="6" t="str">
        <x:v>Source evidence</x:v>
      </x:c>
      <x:c r="D198" s="6" t="str">
        <x:v>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199" ht="180" customHeight="1">
      <x:c r="A199" s="3" t="str">
        <x:v>2024::jama.2024.25786::C007</x:v>
      </x:c>
      <x:c r="B199" s="3" t="n">
        <x:v>1</x:v>
      </x:c>
      <x:c r="C199" s="3" t="str">
        <x:v>Reported-versus-comparator</x:v>
      </x:c>
      <x:c r="D199" s="3" t="str">
        <x:v>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0" ht="180" customHeight="1">
      <x:c r="A200" s="6" t="str">
        <x:v>2024::jama.2024.25786::C007</x:v>
      </x:c>
      <x:c r="B200" s="6" t="n">
        <x:v>2</x:v>
      </x:c>
      <x:c r="C200" s="6" t="str">
        <x:v>Calculation</x:v>
      </x:c>
      <x:c r="D200" s="6" t="str">
        <x:v>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1" ht="180" customHeight="1">
      <x:c r="A201" s="3" t="str">
        <x:v>2024::jama.2024.25786::C007</x:v>
      </x:c>
      <x:c r="B201" s="3" t="n">
        <x:v>3</x:v>
      </x:c>
      <x:c r="C201" s="3" t="str">
        <x:v>Alternative source-grounded interpretations</x:v>
      </x:c>
      <x:c r="D201" s="3" t="str">
        <x:v>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2" ht="180" customHeight="1">
      <x:c r="A202" s="6" t="str">
        <x:v>2024::jama.2024.25786::C008</x:v>
      </x:c>
      <x:c r="B202" s="6" t="n">
        <x:v>0</x:v>
      </x:c>
      <x:c r="C202" s="6" t="str">
        <x:v>Source evidence</x:v>
      </x:c>
      <x:c r="D202" s="6" t="str">
        <x:v>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3" ht="180" customHeight="1">
      <x:c r="A203" s="3" t="str">
        <x:v>2024::jama.2024.25786::C008</x:v>
      </x:c>
      <x:c r="B203" s="3" t="n">
        <x:v>1</x:v>
      </x:c>
      <x:c r="C203" s="3" t="str">
        <x:v>Reported-versus-comparator</x:v>
      </x:c>
      <x:c r="D203" s="3" t="str">
        <x:v>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4" ht="180" customHeight="1">
      <x:c r="A204" s="6" t="str">
        <x:v>2024::jama.2024.25786::C008</x:v>
      </x:c>
      <x:c r="B204" s="6" t="n">
        <x:v>2</x:v>
      </x:c>
      <x:c r="C204" s="6" t="str">
        <x:v>Calculation</x:v>
      </x:c>
      <x:c r="D204" s="6" t="str">
        <x:v>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5" ht="180" customHeight="1">
      <x:c r="A205" s="3" t="str">
        <x:v>2024::jama.2024.25786::C008</x:v>
      </x:c>
      <x:c r="B205" s="3" t="n">
        <x:v>3</x:v>
      </x:c>
      <x:c r="C205" s="3" t="str">
        <x:v>Alternative source-grounded interpretations</x:v>
      </x:c>
      <x:c r="D205" s="3" t="str">
        <x:v>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6" ht="180" customHeight="1">
      <x:c r="A206" s="6" t="str">
        <x:v>2024::jama.2024.4183::C001</x:v>
      </x:c>
      <x:c r="B206" s="6" t="n">
        <x:v>0</x:v>
      </x:c>
      <x:c r="C206" s="6" t="str">
        <x:v>Source evidence</x:v>
      </x:c>
      <x:c r="D206" s="6" t="str">
        <x:v>Among 191 CNRT nonabstainers the abstract prints 90 (47%), 50 (33%), and 51 (34%); among 157 varenicline nonabstainers it prints 39 (32%), 41 (34%), and 77 (49%). Figure 2 shows that 40 and 35 nonattenders were imputed into continuation.</x:v>
      </x:c>
    </x:row>
    <x:row r="207" ht="180" customHeight="1">
      <x:c r="A207" s="3" t="str">
        <x:v>2024::jama.2024.4183::C001</x:v>
      </x:c>
      <x:c r="B207" s="3" t="n">
        <x:v>1</x:v>
      </x:c>
      <x:c r="C207" s="3" t="str">
        <x:v>Reported-versus-comparator</x:v>
      </x:c>
      <x:c r="D207" s="3" t="str">
        <x:v>Printed evidence versus the matched source occurrence or stated consistency rule.</x:v>
      </x:c>
    </x:row>
    <x:row r="208" ht="180" customHeight="1">
      <x:c r="A208" s="6" t="str">
        <x:v>2024::jama.2024.4183::C001</x:v>
      </x:c>
      <x:c r="B208" s="6" t="n">
        <x:v>2</x:v>
      </x:c>
      <x:c r="C208" s="6" t="str">
        <x:v>Calculation</x:v>
      </x:c>
      <x:c r="D208" s="6" t="str">
        <x:v>Reproduce the stated arithmetic or direct printed comparison at displayed precision; see source evidence and consistency rule.</x:v>
      </x:c>
    </x:row>
    <x:row r="209" ht="180" customHeight="1">
      <x:c r="A209" s="3" t="str">
        <x:v>2024::jama.2024.4183::C001</x:v>
      </x:c>
      <x:c r="B209" s="3" t="n">
        <x:v>3</x:v>
      </x:c>
      <x:c r="C209" s="3" t="str">
        <x:v>Alternative source-grounded interpretations</x:v>
      </x:c>
      <x:c r="D209" s="3" t="str">
        <x:v>The supplied package does not state an authoritative correction; alternative production or version explanations require human review.</x:v>
      </x:c>
    </x:row>
    <x:row r="210" ht="180" customHeight="1">
      <x:c r="A210" s="6" t="str">
        <x:v>2024::jama.2024.4183::C002</x:v>
      </x:c>
      <x:c r="B210" s="6" t="n">
        <x:v>0</x:v>
      </x:c>
      <x:c r="C210" s="6" t="str">
        <x:v>Source evidence</x:v>
      </x:c>
      <x:c r="D210" s="6" t="str">
        <x:v>Each arm is n=245, but each prints female 105 (42.9) and male 145 (57.1).</x:v>
      </x:c>
    </x:row>
    <x:row r="211" ht="180" customHeight="1">
      <x:c r="A211" s="3" t="str">
        <x:v>2024::jama.2024.4183::C002</x:v>
      </x:c>
      <x:c r="B211" s="3" t="n">
        <x:v>1</x:v>
      </x:c>
      <x:c r="C211" s="3" t="str">
        <x:v>Reported-versus-comparator</x:v>
      </x:c>
      <x:c r="D211" s="3" t="str">
        <x:v>Printed evidence versus the matched source occurrence or stated consistency rule.</x:v>
      </x:c>
    </x:row>
    <x:row r="212" ht="180" customHeight="1">
      <x:c r="A212" s="6" t="str">
        <x:v>2024::jama.2024.4183::C002</x:v>
      </x:c>
      <x:c r="B212" s="6" t="n">
        <x:v>2</x:v>
      </x:c>
      <x:c r="C212" s="6" t="str">
        <x:v>Calculation</x:v>
      </x:c>
      <x:c r="D212" s="6" t="str">
        <x:v>Reproduce the stated arithmetic or direct printed comparison at displayed precision; see source evidence and consistency rule.</x:v>
      </x:c>
    </x:row>
    <x:row r="213" ht="180" customHeight="1">
      <x:c r="A213" s="3" t="str">
        <x:v>2024::jama.2024.4183::C002</x:v>
      </x:c>
      <x:c r="B213" s="3" t="n">
        <x:v>3</x:v>
      </x:c>
      <x:c r="C213" s="3" t="str">
        <x:v>Alternative source-grounded interpretations</x:v>
      </x:c>
      <x:c r="D213" s="3" t="str">
        <x:v>The supplied package does not state an authoritative correction; alternative production or version explanations require human review.</x:v>
      </x:c>
    </x:row>
    <x:row r="214" ht="180" customHeight="1">
      <x:c r="A214" s="6" t="str">
        <x:v>2024::jama.2024.4183::C003</x:v>
      </x:c>
      <x:c r="B214" s="6" t="n">
        <x:v>0</x:v>
      </x:c>
      <x:c r="C214" s="6" t="str">
        <x:v>Source evidence</x:v>
      </x:c>
      <x:c r="D214" s="6" t="str">
        <x:v>Results/Figure 2 state 491 randomized, followed by branches of 245 CNRT and 245 varenicline; the abstract/analysis population is 490 and one participant was excluded later.</x:v>
      </x:c>
    </x:row>
    <x:row r="215" ht="180" customHeight="1">
      <x:c r="A215" s="3" t="str">
        <x:v>2024::jama.2024.4183::C003</x:v>
      </x:c>
      <x:c r="B215" s="3" t="n">
        <x:v>1</x:v>
      </x:c>
      <x:c r="C215" s="3" t="str">
        <x:v>Reported-versus-comparator</x:v>
      </x:c>
      <x:c r="D215" s="3" t="str">
        <x:v>Printed evidence versus the matched source occurrence or stated consistency rule.</x:v>
      </x:c>
    </x:row>
    <x:row r="216" ht="180" customHeight="1">
      <x:c r="A216" s="6" t="str">
        <x:v>2024::jama.2024.4183::C003</x:v>
      </x:c>
      <x:c r="B216" s="6" t="n">
        <x:v>2</x:v>
      </x:c>
      <x:c r="C216" s="6" t="str">
        <x:v>Calculation</x:v>
      </x:c>
      <x:c r="D216" s="6" t="str">
        <x:v>Reproduce the stated arithmetic or direct printed comparison at displayed precision; see source evidence and consistency rule.</x:v>
      </x:c>
    </x:row>
    <x:row r="217" ht="180" customHeight="1">
      <x:c r="A217" s="3" t="str">
        <x:v>2024::jama.2024.4183::C003</x:v>
      </x:c>
      <x:c r="B217" s="3" t="n">
        <x:v>3</x:v>
      </x:c>
      <x:c r="C217" s="3" t="str">
        <x:v>Alternative source-grounded interpretations</x:v>
      </x:c>
      <x:c r="D217" s="3" t="str">
        <x:v>The supplied package does not state an authoritative correction; alternative production or version explanations require human review.</x:v>
      </x:c>
    </x:row>
    <x:row r="218" ht="180" customHeight="1">
      <x:c r="A218" s="6" t="str">
        <x:v>2024::jama.2024.4183::C004</x:v>
      </x:c>
      <x:c r="B218" s="6" t="n">
        <x:v>0</x:v>
      </x:c>
      <x:c r="C218" s="6" t="str">
        <x:v>Source evidence</x:v>
      </x:c>
      <x:c r="D218" s="6" t="str">
        <x:v>Results says the 40 CNRT and 35 varenicline participants who did attend rerandomization were assigned to continuation; abstract and Figure 2 say they did not return/attend.</x:v>
      </x:c>
    </x:row>
    <x:row r="219" ht="180" customHeight="1">
      <x:c r="A219" s="3" t="str">
        <x:v>2024::jama.2024.4183::C004</x:v>
      </x:c>
      <x:c r="B219" s="3" t="n">
        <x:v>1</x:v>
      </x:c>
      <x:c r="C219" s="3" t="str">
        <x:v>Reported-versus-comparator</x:v>
      </x:c>
      <x:c r="D219" s="3" t="str">
        <x:v>Printed evidence versus the matched source occurrence or stated consistency rule.</x:v>
      </x:c>
    </x:row>
    <x:row r="220" ht="180" customHeight="1">
      <x:c r="A220" s="6" t="str">
        <x:v>2024::jama.2024.4183::C004</x:v>
      </x:c>
      <x:c r="B220" s="6" t="n">
        <x:v>2</x:v>
      </x:c>
      <x:c r="C220" s="6" t="str">
        <x:v>Calculation</x:v>
      </x:c>
      <x:c r="D220" s="6" t="str">
        <x:v>Reproduce the stated arithmetic or direct printed comparison at displayed precision; see source evidence and consistency rule.</x:v>
      </x:c>
    </x:row>
    <x:row r="221" ht="180" customHeight="1">
      <x:c r="A221" s="3" t="str">
        <x:v>2024::jama.2024.4183::C004</x:v>
      </x:c>
      <x:c r="B221" s="3" t="n">
        <x:v>3</x:v>
      </x:c>
      <x:c r="C221" s="3" t="str">
        <x:v>Alternative source-grounded interpretations</x:v>
      </x:c>
      <x:c r="D221" s="3" t="str">
        <x:v>The supplied package does not state an authoritative correction; alternative production or version explanations require human review.</x:v>
      </x:c>
    </x:row>
    <x:row r="222" ht="180" customHeight="1">
      <x:c r="A222" s="6" t="str">
        <x:v>2024::jama.2024.4183::C005</x:v>
      </x:c>
      <x:c r="B222" s="6" t="n">
        <x:v>0</x:v>
      </x:c>
      <x:c r="C222" s="6" t="str">
        <x:v>Source evidence</x:v>
      </x:c>
      <x:c r="D222" s="6" t="str">
        <x:v>After listing both CNRT rescue arms, the abstract's singular following statement gives RD 6%, 95% CrI 6%-11%; Results and eTable 4 explicitly give 6%, 2%-11% for increased CNRT versus continuation.</x:v>
      </x:c>
    </x:row>
    <x:row r="223" ht="180" customHeight="1">
      <x:c r="A223" s="3" t="str">
        <x:v>2024::jama.2024.4183::C005</x:v>
      </x:c>
      <x:c r="B223" s="3" t="n">
        <x:v>1</x:v>
      </x:c>
      <x:c r="C223" s="3" t="str">
        <x:v>Reported-versus-comparator</x:v>
      </x:c>
      <x:c r="D223" s="3" t="str">
        <x:v>Printed evidence versus the matched source occurrence or stated consistency rule.</x:v>
      </x:c>
    </x:row>
    <x:row r="224" ht="180" customHeight="1">
      <x:c r="A224" s="6" t="str">
        <x:v>2024::jama.2024.4183::C005</x:v>
      </x:c>
      <x:c r="B224" s="6" t="n">
        <x:v>2</x:v>
      </x:c>
      <x:c r="C224" s="6" t="str">
        <x:v>Calculation</x:v>
      </x:c>
      <x:c r="D224" s="6" t="str">
        <x:v>Reproduce the stated arithmetic or direct printed comparison at displayed precision; see source evidence and consistency rule.</x:v>
      </x:c>
    </x:row>
    <x:row r="225" ht="180" customHeight="1">
      <x:c r="A225" s="3" t="str">
        <x:v>2024::jama.2024.4183::C005</x:v>
      </x:c>
      <x:c r="B225" s="3" t="n">
        <x:v>3</x:v>
      </x:c>
      <x:c r="C225" s="3" t="str">
        <x:v>Alternative source-grounded interpretations</x:v>
      </x:c>
      <x:c r="D225" s="3" t="str">
        <x:v>The abstract parenthetical may apply only to switching; this card remains conditional on grammatical scope.</x:v>
      </x:c>
    </x:row>
    <x:row r="226" ht="180" customHeight="1">
      <x:c r="A226" s="6" t="str">
        <x:v>2024::jama.2024.4183::C006</x:v>
      </x:c>
      <x:c r="B226" s="6" t="n">
        <x:v>0</x:v>
      </x:c>
      <x:c r="C226" s="6" t="str">
        <x:v>Source evidence</x:v>
      </x:c>
      <x:c r="D226" s="6" t="str">
        <x:v>Switch-to-varenicline versus continuation is RD 6% with CrI 6%-11%, 2%-11%, and 2%-10% at the three locations.</x:v>
      </x:c>
    </x:row>
    <x:row r="227" ht="180" customHeight="1">
      <x:c r="A227" s="3" t="str">
        <x:v>2024::jama.2024.4183::C006</x:v>
      </x:c>
      <x:c r="B227" s="3" t="n">
        <x:v>1</x:v>
      </x:c>
      <x:c r="C227" s="3" t="str">
        <x:v>Reported-versus-comparator</x:v>
      </x:c>
      <x:c r="D227" s="3" t="str">
        <x:v>Printed evidence versus the matched source occurrence or stated consistency rule.</x:v>
      </x:c>
    </x:row>
    <x:row r="228" ht="180" customHeight="1">
      <x:c r="A228" s="6" t="str">
        <x:v>2024::jama.2024.4183::C006</x:v>
      </x:c>
      <x:c r="B228" s="6" t="n">
        <x:v>2</x:v>
      </x:c>
      <x:c r="C228" s="6" t="str">
        <x:v>Calculation</x:v>
      </x:c>
      <x:c r="D228" s="6" t="str">
        <x:v>Reproduce the stated arithmetic or direct printed comparison at displayed precision; see source evidence and consistency rule.</x:v>
      </x:c>
    </x:row>
    <x:row r="229" ht="180" customHeight="1">
      <x:c r="A229" s="3" t="str">
        <x:v>2024::jama.2024.4183::C006</x:v>
      </x:c>
      <x:c r="B229" s="3" t="n">
        <x:v>3</x:v>
      </x:c>
      <x:c r="C229" s="3" t="str">
        <x:v>Alternative source-grounded interpretations</x:v>
      </x:c>
      <x:c r="D229" s="3" t="str">
        <x:v>The supplied package does not state an authoritative correction; alternative production or version explanations require human review.</x:v>
      </x:c>
    </x:row>
    <x:row r="230" ht="180" customHeight="1">
      <x:c r="A230" s="6" t="str">
        <x:v>2024::jama.2024.4183::C007</x:v>
      </x:c>
      <x:c r="B230" s="6" t="n">
        <x:v>0</x:v>
      </x:c>
      <x:c r="C230" s="6" t="str">
        <x:v>Source evidence</x:v>
      </x:c>
      <x:c r="D230" s="6" t="str">
        <x:v>Main text prints switch relative to continuation RD -3% (-4% to -1%) but says continuation was worse; eTable 4 labels switch versus stay and prints +3% (1%-4%); displayed cells are 0% switch and 3% stay.</x:v>
      </x:c>
    </x:row>
    <x:row r="231" ht="180" customHeight="1">
      <x:c r="A231" s="3" t="str">
        <x:v>2024::jama.2024.4183::C007</x:v>
      </x:c>
      <x:c r="B231" s="3" t="n">
        <x:v>1</x:v>
      </x:c>
      <x:c r="C231" s="3" t="str">
        <x:v>Reported-versus-comparator</x:v>
      </x:c>
      <x:c r="D231" s="3" t="str">
        <x:v>Printed evidence versus the matched source occurrence or stated consistency rule.</x:v>
      </x:c>
    </x:row>
    <x:row r="232" ht="180" customHeight="1">
      <x:c r="A232" s="6" t="str">
        <x:v>2024::jama.2024.4183::C007</x:v>
      </x:c>
      <x:c r="B232" s="6" t="n">
        <x:v>2</x:v>
      </x:c>
      <x:c r="C232" s="6" t="str">
        <x:v>Calculation</x:v>
      </x:c>
      <x:c r="D232" s="6" t="str">
        <x:v>Reproduce the stated arithmetic or direct printed comparison at displayed precision; see source evidence and consistency rule.</x:v>
      </x:c>
    </x:row>
    <x:row r="233" ht="180" customHeight="1">
      <x:c r="A233" s="3" t="str">
        <x:v>2024::jama.2024.4183::C007</x:v>
      </x:c>
      <x:c r="B233" s="3" t="n">
        <x:v>3</x:v>
      </x:c>
      <x:c r="C233" s="3" t="str">
        <x:v>Alternative source-grounded interpretations</x:v>
      </x:c>
      <x:c r="D233" s="3" t="str">
        <x:v>The supplied package does not state an authoritative correction; alternative production or version explanations require human review.</x:v>
      </x:c>
    </x:row>
    <x:row r="234" ht="180" customHeight="1">
      <x:c r="A234" s="6" t="str">
        <x:v>2024::jama.2024.4183::C008</x:v>
      </x:c>
      <x:c r="B234" s="6" t="n">
        <x:v>0</x:v>
      </x:c>
      <x:c r="C234" s="6" t="str">
        <x:v>Source evidence</x:v>
      </x:c>
      <x:c r="D234" s="6" t="str">
        <x:v>Main abstract/results print RD 18% (13%-24%); eTable 4 prints 18% (13%-23%).</x:v>
      </x:c>
    </x:row>
    <x:row r="235" ht="180" customHeight="1">
      <x:c r="A235" s="3" t="str">
        <x:v>2024::jama.2024.4183::C008</x:v>
      </x:c>
      <x:c r="B235" s="3" t="n">
        <x:v>1</x:v>
      </x:c>
      <x:c r="C235" s="3" t="str">
        <x:v>Reported-versus-comparator</x:v>
      </x:c>
      <x:c r="D235" s="3" t="str">
        <x:v>Printed evidence versus the matched source occurrence or stated consistency rule.</x:v>
      </x:c>
    </x:row>
    <x:row r="236" ht="180" customHeight="1">
      <x:c r="A236" s="6" t="str">
        <x:v>2024::jama.2024.4183::C008</x:v>
      </x:c>
      <x:c r="B236" s="6" t="n">
        <x:v>2</x:v>
      </x:c>
      <x:c r="C236" s="6" t="str">
        <x:v>Calculation</x:v>
      </x:c>
      <x:c r="D236" s="6" t="str">
        <x:v>Reproduce the stated arithmetic or direct printed comparison at displayed precision; see source evidence and consistency rule.</x:v>
      </x:c>
    </x:row>
    <x:row r="237" ht="180" customHeight="1">
      <x:c r="A237" s="3" t="str">
        <x:v>2024::jama.2024.4183::C008</x:v>
      </x:c>
      <x:c r="B237" s="3" t="n">
        <x:v>3</x:v>
      </x:c>
      <x:c r="C237" s="3" t="str">
        <x:v>Alternative source-grounded interpretations</x:v>
      </x:c>
      <x:c r="D237" s="3" t="str">
        <x:v>The supplied package does not state an authoritative correction; alternative production or version explanations require human review.</x:v>
      </x:c>
    </x:row>
    <x:row r="238" ht="180" customHeight="1">
      <x:c r="A238" s="6" t="str">
        <x:v>2024::jama.2024.4183::C009</x:v>
      </x:c>
      <x:c r="B238" s="6" t="n">
        <x:v>0</x:v>
      </x:c>
      <x:c r="C238" s="6" t="str">
        <x:v>Source evidence</x:v>
      </x:c>
      <x:c r="D238" s="6" t="str">
        <x:v>Main Results gives CNRT-versus-varenicline RD 6% (-5% to 16%); eTable 4 gives 6% (-4% to 16%).</x:v>
      </x:c>
    </x:row>
    <x:row r="239" ht="180" customHeight="1">
      <x:c r="A239" s="3" t="str">
        <x:v>2024::jama.2024.4183::C009</x:v>
      </x:c>
      <x:c r="B239" s="3" t="n">
        <x:v>1</x:v>
      </x:c>
      <x:c r="C239" s="3" t="str">
        <x:v>Reported-versus-comparator</x:v>
      </x:c>
      <x:c r="D239" s="3" t="str">
        <x:v>Printed evidence versus the matched source occurrence or stated consistency rule.</x:v>
      </x:c>
    </x:row>
    <x:row r="240" ht="180" customHeight="1">
      <x:c r="A240" s="6" t="str">
        <x:v>2024::jama.2024.4183::C009</x:v>
      </x:c>
      <x:c r="B240" s="6" t="n">
        <x:v>2</x:v>
      </x:c>
      <x:c r="C240" s="6" t="str">
        <x:v>Calculation</x:v>
      </x:c>
      <x:c r="D240" s="6" t="str">
        <x:v>Reproduce the stated arithmetic or direct printed comparison at displayed precision; see source evidence and consistency rule.</x:v>
      </x:c>
    </x:row>
    <x:row r="241" ht="180" customHeight="1">
      <x:c r="A241" s="3" t="str">
        <x:v>2024::jama.2024.4183::C009</x:v>
      </x:c>
      <x:c r="B241" s="3" t="n">
        <x:v>3</x:v>
      </x:c>
      <x:c r="C241" s="3" t="str">
        <x:v>Alternative source-grounded interpretations</x:v>
      </x:c>
      <x:c r="D241" s="3" t="str">
        <x:v>The supplied package does not state an authoritative correction; alternative production or version explanations require human review.</x:v>
      </x:c>
    </x:row>
    <x:row r="242" ht="180" customHeight="1">
      <x:c r="A242" s="6" t="str">
        <x:v>2024::jama.2024.4183::C010</x:v>
      </x:c>
      <x:c r="B242" s="6" t="n">
        <x:v>0</x:v>
      </x:c>
      <x:c r="C242" s="6" t="str">
        <x:v>Source evidence</x:v>
      </x:c>
      <x:c r="D242" s="6" t="str">
        <x:v>Varenicline week-6 response is paired as 0.50 (0.40-0.60) with Beta(785,869).</x:v>
      </x:c>
    </x:row>
    <x:row r="243" ht="180" customHeight="1">
      <x:c r="A243" s="3" t="str">
        <x:v>2024::jama.2024.4183::C010</x:v>
      </x:c>
      <x:c r="B243" s="3" t="n">
        <x:v>1</x:v>
      </x:c>
      <x:c r="C243" s="3" t="str">
        <x:v>Reported-versus-comparator</x:v>
      </x:c>
      <x:c r="D243" s="3" t="str">
        <x:v>Printed evidence versus the matched source occurrence or stated consistency rule.</x:v>
      </x:c>
    </x:row>
    <x:row r="244" ht="180" customHeight="1">
      <x:c r="A244" s="6" t="str">
        <x:v>2024::jama.2024.4183::C010</x:v>
      </x:c>
      <x:c r="B244" s="6" t="n">
        <x:v>2</x:v>
      </x:c>
      <x:c r="C244" s="6" t="str">
        <x:v>Calculation</x:v>
      </x:c>
      <x:c r="D244" s="6" t="str">
        <x:v>Reproduce the stated arithmetic or direct printed comparison at displayed precision; see source evidence and consistency rule.</x:v>
      </x:c>
    </x:row>
    <x:row r="245" ht="180" customHeight="1">
      <x:c r="A245" s="3" t="str">
        <x:v>2024::jama.2024.4183::C010</x:v>
      </x:c>
      <x:c r="B245" s="3" t="n">
        <x:v>3</x:v>
      </x:c>
      <x:c r="C245" s="3" t="str">
        <x:v>Alternative source-grounded interpretations</x:v>
      </x:c>
      <x:c r="D245" s="3" t="str">
        <x:v>The beta parameters may represent a different quantity; the interval-to-beta linkage is not defined.</x:v>
      </x:c>
    </x:row>
    <x:row r="246" ht="180" customHeight="1">
      <x:c r="A246" s="6" t="str">
        <x:v>2024::jama.2024.4183::C011</x:v>
      </x:c>
      <x:c r="B246" s="6" t="n">
        <x:v>0</x:v>
      </x:c>
      <x:c r="C246" s="6" t="str">
        <x:v>Source evidence</x:v>
      </x:c>
      <x:c r="D246" s="6" t="str">
        <x:v>Aim-1 detection power is 0.948, 0.980, 0.974, and 0.963 at posterior thresholds 0.80, 0.85, 0.90, and 0.95.</x:v>
      </x:c>
    </x:row>
    <x:row r="247" ht="180" customHeight="1">
      <x:c r="A247" s="3" t="str">
        <x:v>2024::jama.2024.4183::C011</x:v>
      </x:c>
      <x:c r="B247" s="3" t="n">
        <x:v>1</x:v>
      </x:c>
      <x:c r="C247" s="3" t="str">
        <x:v>Reported-versus-comparator</x:v>
      </x:c>
      <x:c r="D247" s="3" t="str">
        <x:v>Printed evidence versus the matched source occurrence or stated consistency rule.</x:v>
      </x:c>
    </x:row>
    <x:row r="248" ht="180" customHeight="1">
      <x:c r="A248" s="6" t="str">
        <x:v>2024::jama.2024.4183::C011</x:v>
      </x:c>
      <x:c r="B248" s="6" t="n">
        <x:v>2</x:v>
      </x:c>
      <x:c r="C248" s="6" t="str">
        <x:v>Calculation</x:v>
      </x:c>
      <x:c r="D248" s="6" t="str">
        <x:v>Reproduce the stated arithmetic or direct printed comparison at displayed precision; see source evidence and consistency rule.</x:v>
      </x:c>
    </x:row>
    <x:row r="249" ht="180" customHeight="1">
      <x:c r="A249" s="3" t="str">
        <x:v>2024::jama.2024.4183::C011</x:v>
      </x:c>
      <x:c r="B249" s="3" t="n">
        <x:v>3</x:v>
      </x:c>
      <x:c r="C249" s="3" t="str">
        <x:v>Alternative source-grounded interpretations</x:v>
      </x:c>
      <x:c r="D249" s="3" t="str">
        <x:v>Simulation realizations or detection definitions may differ; common use is not explicitly stated.</x:v>
      </x:c>
    </x:row>
    <x:row r="250" ht="180" customHeight="1">
      <x:c r="A250" s="6" t="str">
        <x:v>2024::jama.2024.4183::C012</x:v>
      </x:c>
      <x:c r="B250" s="6" t="n">
        <x:v>0</x:v>
      </x:c>
      <x:c r="C250" s="6" t="str">
        <x:v>Source evidence</x:v>
      </x:c>
      <x:c r="D250" s="6" t="str">
        <x:v>Table 3 labels the first and third Aim-2 effects VAR vs. NPL; the third estimate 0.195 equals 0.399-0.204, matching VAR versus NPL+, while 0.370 equals VAR versus NPL.</x:v>
      </x:c>
    </x:row>
    <x:row r="251" ht="180" customHeight="1">
      <x:c r="A251" s="3" t="str">
        <x:v>2024::jama.2024.4183::C012</x:v>
      </x:c>
      <x:c r="B251" s="3" t="n">
        <x:v>1</x:v>
      </x:c>
      <x:c r="C251" s="3" t="str">
        <x:v>Reported-versus-comparator</x:v>
      </x:c>
      <x:c r="D251" s="3" t="str">
        <x:v>Printed evidence versus the matched source occurrence or stated consistency rule.</x:v>
      </x:c>
    </x:row>
    <x:row r="252" ht="180" customHeight="1">
      <x:c r="A252" s="6" t="str">
        <x:v>2024::jama.2024.4183::C012</x:v>
      </x:c>
      <x:c r="B252" s="6" t="n">
        <x:v>2</x:v>
      </x:c>
      <x:c r="C252" s="6" t="str">
        <x:v>Calculation</x:v>
      </x:c>
      <x:c r="D252" s="6" t="str">
        <x:v>Reproduce the stated arithmetic or direct printed comparison at displayed precision; see source evidence and consistency rule.</x:v>
      </x:c>
    </x:row>
    <x:row r="253" ht="180" customHeight="1">
      <x:c r="A253" s="3" t="str">
        <x:v>2024::jama.2024.4183::C012</x:v>
      </x:c>
      <x:c r="B253" s="3" t="n">
        <x:v>3</x:v>
      </x:c>
      <x:c r="C253" s="3" t="str">
        <x:v>Alternative source-grounded interpretations</x:v>
      </x:c>
      <x:c r="D253" s="3" t="str">
        <x:v>The supplied package does not state an authoritative correction; alternative production or version explanations require human review.</x:v>
      </x:c>
    </x:row>
    <x:row r="254" ht="180" customHeight="1">
      <x:c r="A254" s="6" t="str">
        <x:v>2024::jama.2024.4183::C013</x:v>
      </x:c>
      <x:c r="B254" s="6" t="n">
        <x:v>0</x:v>
      </x:c>
      <x:c r="C254" s="6" t="str">
        <x:v>Source evidence</x:v>
      </x:c>
      <x:c r="D254" s="6" t="str">
        <x:v>Under n (%), race/ethnicity Other for the N=41 VAR-nonabstainer-to-CNRT column is 4.9 (2).</x:v>
      </x:c>
    </x:row>
    <x:row r="255" ht="180" customHeight="1">
      <x:c r="A255" s="3" t="str">
        <x:v>2024::jama.2024.4183::C013</x:v>
      </x:c>
      <x:c r="B255" s="3" t="n">
        <x:v>1</x:v>
      </x:c>
      <x:c r="C255" s="3" t="str">
        <x:v>Reported-versus-comparator</x:v>
      </x:c>
      <x:c r="D255" s="3" t="str">
        <x:v>Printed evidence versus the matched source occurrence or stated consistency rule.</x:v>
      </x:c>
    </x:row>
    <x:row r="256" ht="180" customHeight="1">
      <x:c r="A256" s="6" t="str">
        <x:v>2024::jama.2024.4183::C013</x:v>
      </x:c>
      <x:c r="B256" s="6" t="n">
        <x:v>2</x:v>
      </x:c>
      <x:c r="C256" s="6" t="str">
        <x:v>Calculation</x:v>
      </x:c>
      <x:c r="D256" s="6" t="str">
        <x:v>Reproduce the stated arithmetic or direct printed comparison at displayed precision; see source evidence and consistency rule.</x:v>
      </x:c>
    </x:row>
    <x:row r="257" ht="180" customHeight="1">
      <x:c r="A257" s="3" t="str">
        <x:v>2024::jama.2024.4183::C013</x:v>
      </x:c>
      <x:c r="B257" s="3" t="n">
        <x:v>3</x:v>
      </x:c>
      <x:c r="C257" s="3" t="str">
        <x:v>Alternative source-grounded interpretations</x:v>
      </x:c>
      <x:c r="D257" s="3" t="str">
        <x:v>The supplied package does not state an authoritative correction; alternative production or version explanations require human review.</x:v>
      </x:c>
    </x:row>
    <x:row r="258" ht="180" customHeight="1">
      <x:c r="A258" s="6" t="str">
        <x:v>2024::jama.2024.4183::C014</x:v>
      </x:c>
      <x:c r="B258" s="6" t="n">
        <x:v>0</x:v>
      </x:c>
      <x:c r="C258" s="6" t="str">
        <x:v>Source evidence</x:v>
      </x:c>
      <x:c r="D258" s="6" t="str">
        <x:v>Narrative prints 1.0% (7.0%-1.3%); matched eFigure 2 prints 5/51, 10% (7%-13%).</x:v>
      </x:c>
    </x:row>
    <x:row r="259" ht="180" customHeight="1">
      <x:c r="A259" s="3" t="str">
        <x:v>2024::jama.2024.4183::C014</x:v>
      </x:c>
      <x:c r="B259" s="3" t="n">
        <x:v>1</x:v>
      </x:c>
      <x:c r="C259" s="3" t="str">
        <x:v>Reported-versus-comparator</x:v>
      </x:c>
      <x:c r="D259" s="3" t="str">
        <x:v>Printed evidence versus the matched source occurrence or stated consistency rule.</x:v>
      </x:c>
    </x:row>
    <x:row r="260" ht="180" customHeight="1">
      <x:c r="A260" s="6" t="str">
        <x:v>2024::jama.2024.4183::C014</x:v>
      </x:c>
      <x:c r="B260" s="6" t="n">
        <x:v>2</x:v>
      </x:c>
      <x:c r="C260" s="6" t="str">
        <x:v>Calculation</x:v>
      </x:c>
      <x:c r="D260" s="6" t="str">
        <x:v>Reproduce the stated arithmetic or direct printed comparison at displayed precision; see source evidence and consistency rule.</x:v>
      </x:c>
    </x:row>
    <x:row r="261" ht="180" customHeight="1">
      <x:c r="A261" s="3" t="str">
        <x:v>2024::jama.2024.4183::C014</x:v>
      </x:c>
      <x:c r="B261" s="3" t="n">
        <x:v>3</x:v>
      </x:c>
      <x:c r="C261" s="3" t="str">
        <x:v>Alternative source-grounded interpretations</x:v>
      </x:c>
      <x:c r="D261" s="3" t="str">
        <x:v>The supplied package does not state an authoritative correction; alternative production or version explanations require human review.</x:v>
      </x:c>
    </x:row>
    <x:row r="262" ht="180" customHeight="1">
      <x:c r="A262" s="6" t="str">
        <x:v>2024::jama.2024.4183::C015</x:v>
      </x:c>
      <x:c r="B262" s="6" t="n">
        <x:v>0</x:v>
      </x:c>
      <x:c r="C262" s="6" t="str">
        <x:v>Source evidence</x:v>
      </x:c>
      <x:c r="D262" s="6" t="str">
        <x:v>Narrative prints 8.0% (5.0%-1.1%); eFigure 2 prints 4/50, 8% (5%-11%).</x:v>
      </x:c>
    </x:row>
    <x:row r="263" ht="180" customHeight="1">
      <x:c r="A263" s="3" t="str">
        <x:v>2024::jama.2024.4183::C015</x:v>
      </x:c>
      <x:c r="B263" s="3" t="n">
        <x:v>1</x:v>
      </x:c>
      <x:c r="C263" s="3" t="str">
        <x:v>Reported-versus-comparator</x:v>
      </x:c>
      <x:c r="D263" s="3" t="str">
        <x:v>Printed evidence versus the matched source occurrence or stated consistency rule.</x:v>
      </x:c>
    </x:row>
    <x:row r="264" ht="180" customHeight="1">
      <x:c r="A264" s="6" t="str">
        <x:v>2024::jama.2024.4183::C015</x:v>
      </x:c>
      <x:c r="B264" s="6" t="n">
        <x:v>2</x:v>
      </x:c>
      <x:c r="C264" s="6" t="str">
        <x:v>Calculation</x:v>
      </x:c>
      <x:c r="D264" s="6" t="str">
        <x:v>Reproduce the stated arithmetic or direct printed comparison at displayed precision; see source evidence and consistency rule.</x:v>
      </x:c>
    </x:row>
    <x:row r="265" ht="180" customHeight="1">
      <x:c r="A265" s="3" t="str">
        <x:v>2024::jama.2024.4183::C015</x:v>
      </x:c>
      <x:c r="B265" s="3" t="n">
        <x:v>3</x:v>
      </x:c>
      <x:c r="C265" s="3" t="str">
        <x:v>Alternative source-grounded interpretations</x:v>
      </x:c>
      <x:c r="D265" s="3" t="str">
        <x:v>The supplied package does not state an authoritative correction; alternative production or version explanations require human review.</x:v>
      </x:c>
    </x:row>
    <x:row r="266" ht="180" customHeight="1">
      <x:c r="A266" s="6" t="str">
        <x:v>2024::jama.2024.4183::C016</x:v>
      </x:c>
      <x:c r="B266" s="6" t="n">
        <x:v>0</x:v>
      </x:c>
      <x:c r="C266" s="6" t="str">
        <x:v>Source evidence</x:v>
      </x:c>
      <x:c r="D266" s="6" t="str">
        <x:v>Narrative prints switch-versus-continuation ARD 6.0% (3.0%-1.0%); eTable 9 prints 6% (3%-10%).</x:v>
      </x:c>
    </x:row>
    <x:row r="267" ht="180" customHeight="1">
      <x:c r="A267" s="3" t="str">
        <x:v>2024::jama.2024.4183::C016</x:v>
      </x:c>
      <x:c r="B267" s="3" t="n">
        <x:v>1</x:v>
      </x:c>
      <x:c r="C267" s="3" t="str">
        <x:v>Reported-versus-comparator</x:v>
      </x:c>
      <x:c r="D267" s="3" t="str">
        <x:v>Printed evidence versus the matched source occurrence or stated consistency rule.</x:v>
      </x:c>
    </x:row>
    <x:row r="268" ht="180" customHeight="1">
      <x:c r="A268" s="6" t="str">
        <x:v>2024::jama.2024.4183::C016</x:v>
      </x:c>
      <x:c r="B268" s="6" t="n">
        <x:v>2</x:v>
      </x:c>
      <x:c r="C268" s="6" t="str">
        <x:v>Calculation</x:v>
      </x:c>
      <x:c r="D268" s="6" t="str">
        <x:v>Reproduce the stated arithmetic or direct printed comparison at displayed precision; see source evidence and consistency rule.</x:v>
      </x:c>
    </x:row>
    <x:row r="269" ht="180" customHeight="1">
      <x:c r="A269" s="3" t="str">
        <x:v>2024::jama.2024.4183::C016</x:v>
      </x:c>
      <x:c r="B269" s="3" t="n">
        <x:v>3</x:v>
      </x:c>
      <x:c r="C269" s="3" t="str">
        <x:v>Alternative source-grounded interpretations</x:v>
      </x:c>
      <x:c r="D269" s="3" t="str">
        <x:v>The supplied package does not state an authoritative correction; alternative production or version explanations require human review.</x:v>
      </x:c>
    </x:row>
    <x:row r="270" ht="180" customHeight="1">
      <x:c r="A270" s="6" t="str">
        <x:v>2024::jama.2024.4183::C017</x:v>
      </x:c>
      <x:c r="B270" s="6" t="n">
        <x:v>0</x:v>
      </x:c>
      <x:c r="C270" s="6" t="str">
        <x:v>Source evidence</x:v>
      </x:c>
      <x:c r="D270" s="6" t="str">
        <x:v>Narrative repeats 8.0% (5.0%-1.1%) for the cell and two ARDs; eFigure 2 and eTables 9-10 print 8% (5%-11%).</x:v>
      </x:c>
    </x:row>
    <x:row r="271" ht="180" customHeight="1">
      <x:c r="A271" s="3" t="str">
        <x:v>2024::jama.2024.4183::C017</x:v>
      </x:c>
      <x:c r="B271" s="3" t="n">
        <x:v>1</x:v>
      </x:c>
      <x:c r="C271" s="3" t="str">
        <x:v>Reported-versus-comparator</x:v>
      </x:c>
      <x:c r="D271" s="3" t="str">
        <x:v>Printed evidence versus the matched source occurrence or stated consistency rule.</x:v>
      </x:c>
    </x:row>
    <x:row r="272" ht="180" customHeight="1">
      <x:c r="A272" s="6" t="str">
        <x:v>2024::jama.2024.4183::C017</x:v>
      </x:c>
      <x:c r="B272" s="6" t="n">
        <x:v>2</x:v>
      </x:c>
      <x:c r="C272" s="6" t="str">
        <x:v>Calculation</x:v>
      </x:c>
      <x:c r="D272" s="6" t="str">
        <x:v>Reproduce the stated arithmetic or direct printed comparison at displayed precision; see source evidence and consistency rule.</x:v>
      </x:c>
    </x:row>
    <x:row r="273" ht="180" customHeight="1">
      <x:c r="A273" s="3" t="str">
        <x:v>2024::jama.2024.4183::C017</x:v>
      </x:c>
      <x:c r="B273" s="3" t="n">
        <x:v>3</x:v>
      </x:c>
      <x:c r="C273" s="3" t="str">
        <x:v>Alternative source-grounded interpretations</x:v>
      </x:c>
      <x:c r="D273" s="3" t="str">
        <x:v>The supplied package does not state an authoritative correction; alternative production or version explanations require human review.</x:v>
      </x:c>
    </x:row>
    <x:row r="274" ht="180" customHeight="1">
      <x:c r="A274" s="6" t="str">
        <x:v>2024::jama.2024.4183::C018</x:v>
      </x:c>
      <x:c r="B274" s="6" t="n">
        <x:v>0</x:v>
      </x:c>
      <x:c r="C274" s="6" t="str">
        <x:v>Source evidence</x:v>
      </x:c>
      <x:c r="D274" s="6" t="str">
        <x:v>Narrative gives ARD 1.1% (-1.0%-22%), while eTable 11 gives 11% (-1%-22%); cell probabilities are 67% versus 56% and probability is 97%.</x:v>
      </x:c>
    </x:row>
    <x:row r="275" ht="180" customHeight="1">
      <x:c r="A275" s="3" t="str">
        <x:v>2024::jama.2024.4183::C018</x:v>
      </x:c>
      <x:c r="B275" s="3" t="n">
        <x:v>1</x:v>
      </x:c>
      <x:c r="C275" s="3" t="str">
        <x:v>Reported-versus-comparator</x:v>
      </x:c>
      <x:c r="D275" s="3" t="str">
        <x:v>Printed evidence versus the matched source occurrence or stated consistency rule.</x:v>
      </x:c>
    </x:row>
    <x:row r="276" ht="180" customHeight="1">
      <x:c r="A276" s="6" t="str">
        <x:v>2024::jama.2024.4183::C018</x:v>
      </x:c>
      <x:c r="B276" s="6" t="n">
        <x:v>2</x:v>
      </x:c>
      <x:c r="C276" s="6" t="str">
        <x:v>Calculation</x:v>
      </x:c>
      <x:c r="D276" s="6" t="str">
        <x:v>Reproduce the stated arithmetic or direct printed comparison at displayed precision; see source evidence and consistency rule.</x:v>
      </x:c>
    </x:row>
    <x:row r="277" ht="180" customHeight="1">
      <x:c r="A277" s="3" t="str">
        <x:v>2024::jama.2024.4183::C018</x:v>
      </x:c>
      <x:c r="B277" s="3" t="n">
        <x:v>3</x:v>
      </x:c>
      <x:c r="C277" s="3" t="str">
        <x:v>Alternative source-grounded interpretations</x:v>
      </x:c>
      <x:c r="D277" s="3" t="str">
        <x:v>The supplied package does not state an authoritative correction; alternative production or version explanations require human review.</x:v>
      </x:c>
    </x:row>
    <x:row r="278" ht="180" customHeight="1">
      <x:c r="A278" s="6" t="str">
        <x:v>2024::jama.2024.4183::C019</x:v>
      </x:c>
      <x:c r="B278" s="6" t="n">
        <x:v>0</x:v>
      </x:c>
      <x:c r="C278" s="6" t="str">
        <x:v>Source evidence</x:v>
      </x:c>
      <x:c r="D278" s="6" t="str">
        <x:v>Narrative assigns ARD 1.0% (-2.0%-3.0%), probability 66%, to ETable 7; ETable 7 is compliance, while ETable 9 contains the exact outcome contrast.</x:v>
      </x:c>
    </x:row>
    <x:row r="279" ht="180" customHeight="1">
      <x:c r="A279" s="3" t="str">
        <x:v>2024::jama.2024.4183::C019</x:v>
      </x:c>
      <x:c r="B279" s="3" t="n">
        <x:v>1</x:v>
      </x:c>
      <x:c r="C279" s="3" t="str">
        <x:v>Reported-versus-comparator</x:v>
      </x:c>
      <x:c r="D279" s="3" t="str">
        <x:v>Printed evidence versus the matched source occurrence or stated consistency rule.</x:v>
      </x:c>
    </x:row>
    <x:row r="280" ht="180" customHeight="1">
      <x:c r="A280" s="6" t="str">
        <x:v>2024::jama.2024.4183::C019</x:v>
      </x:c>
      <x:c r="B280" s="6" t="n">
        <x:v>2</x:v>
      </x:c>
      <x:c r="C280" s="6" t="str">
        <x:v>Calculation</x:v>
      </x:c>
      <x:c r="D280" s="6" t="str">
        <x:v>Reproduce the stated arithmetic or direct printed comparison at displayed precision; see source evidence and consistency rule.</x:v>
      </x:c>
    </x:row>
    <x:row r="281" ht="180" customHeight="1">
      <x:c r="A281" s="3" t="str">
        <x:v>2024::jama.2024.4183::C019</x:v>
      </x:c>
      <x:c r="B281" s="3" t="n">
        <x:v>3</x:v>
      </x:c>
      <x:c r="C281" s="3" t="str">
        <x:v>Alternative source-grounded interpretations</x:v>
      </x:c>
      <x:c r="D281" s="3" t="str">
        <x:v>The supplied package does not state an authoritative correction; alternative production or version explanations require human review.</x:v>
      </x:c>
    </x:row>
    <x:row r="282" ht="180" customHeight="1">
      <x:c r="A282" s="6" t="str">
        <x:v>2024::jama.2024.4183::C020</x:v>
      </x:c>
      <x:c r="B282" s="6" t="n">
        <x:v>0</x:v>
      </x:c>
      <x:c r="C282" s="6" t="str">
        <x:v>Source evidence</x:v>
      </x:c>
      <x:c r="D282" s="6" t="str">
        <x:v>Narrative gives CNRT 39%, VAR 40%, posterior probability 55%, ARD +1.0% (-1.3% to -1.1%), and a varenicline benefit; eTable 11 headed CNRT vs VAR gives +1% (-11% to 12%), probability 56%.</x:v>
      </x:c>
    </x:row>
    <x:row r="283" ht="180" customHeight="1">
      <x:c r="A283" s="3" t="str">
        <x:v>2024::jama.2024.4183::C020</x:v>
      </x:c>
      <x:c r="B283" s="3" t="n">
        <x:v>1</x:v>
      </x:c>
      <x:c r="C283" s="3" t="str">
        <x:v>Reported-versus-comparator</x:v>
      </x:c>
      <x:c r="D283" s="3" t="str">
        <x:v>Printed evidence versus the matched source occurrence or stated consistency rule.</x:v>
      </x:c>
    </x:row>
    <x:row r="284" ht="180" customHeight="1">
      <x:c r="A284" s="6" t="str">
        <x:v>2024::jama.2024.4183::C020</x:v>
      </x:c>
      <x:c r="B284" s="6" t="n">
        <x:v>2</x:v>
      </x:c>
      <x:c r="C284" s="6" t="str">
        <x:v>Calculation</x:v>
      </x:c>
      <x:c r="D284" s="6" t="str">
        <x:v>Reproduce the stated arithmetic or direct printed comparison at displayed precision; see source evidence and consistency rule.</x:v>
      </x:c>
    </x:row>
    <x:row r="285" ht="180" customHeight="1">
      <x:c r="A285" s="3" t="str">
        <x:v>2024::jama.2024.4183::C020</x:v>
      </x:c>
      <x:c r="B285" s="3" t="n">
        <x:v>3</x:v>
      </x:c>
      <x:c r="C285" s="3" t="str">
        <x:v>Alternative source-grounded interpretations</x:v>
      </x:c>
      <x:c r="D285" s="3" t="str">
        <x:v>The supplied package does not state an authoritative correction; alternative production or version explanations require human review.</x:v>
      </x:c>
    </x:row>
    <x:row r="286" ht="180" customHeight="1">
      <x:c r="A286" s="6" t="str">
        <x:v>2024::jama.2024.4183::C021</x:v>
      </x:c>
      <x:c r="B286" s="6" t="n">
        <x:v>0</x:v>
      </x:c>
      <x:c r="C286" s="6" t="str">
        <x:v>Source evidence</x:v>
      </x:c>
      <x:c r="D286" s="6" t="str">
        <x:v>The phase-1-abstainer EOT+30 and six-month summary cites ETable 10; ETable 10 reports increase-versus-switch comparisons among nonabstainers, while ETable 11 reports the phase-1-abstainer CNRT-versus-VAR results.</x:v>
      </x:c>
    </x:row>
    <x:row r="287" ht="180" customHeight="1">
      <x:c r="A287" s="3" t="str">
        <x:v>2024::jama.2024.4183::C021</x:v>
      </x:c>
      <x:c r="B287" s="3" t="n">
        <x:v>1</x:v>
      </x:c>
      <x:c r="C287" s="3" t="str">
        <x:v>Reported-versus-comparator</x:v>
      </x:c>
      <x:c r="D287" s="3" t="str">
        <x:v>Printed evidence versus the matched source occurrence or stated consistency rule.</x:v>
      </x:c>
    </x:row>
    <x:row r="288" ht="180" customHeight="1">
      <x:c r="A288" s="6" t="str">
        <x:v>2024::jama.2024.4183::C021</x:v>
      </x:c>
      <x:c r="B288" s="6" t="n">
        <x:v>2</x:v>
      </x:c>
      <x:c r="C288" s="6" t="str">
        <x:v>Calculation</x:v>
      </x:c>
      <x:c r="D288" s="6" t="str">
        <x:v>Reproduce the stated arithmetic or direct printed comparison at displayed precision; see source evidence and consistency rule.</x:v>
      </x:c>
    </x:row>
    <x:row r="289" ht="180" customHeight="1">
      <x:c r="A289" s="3" t="str">
        <x:v>2024::jama.2024.4183::C021</x:v>
      </x:c>
      <x:c r="B289" s="3" t="n">
        <x:v>3</x:v>
      </x:c>
      <x:c r="C289" s="3" t="str">
        <x:v>Alternative source-grounded interpretations</x:v>
      </x:c>
      <x:c r="D289" s="3" t="str">
        <x:v>The supplied package does not state an authoritative correction; alternative production or version explanations require human review.</x:v>
      </x:c>
    </x:row>
    <x:row r="290" ht="180" customHeight="1">
      <x:c r="A290" s="6" t="str">
        <x:v>2024::jama.2024.4183::C022</x:v>
      </x:c>
      <x:c r="B290" s="6" t="n">
        <x:v>0</x:v>
      </x:c>
      <x:c r="C290" s="6" t="str">
        <x:v>Source evidence</x:v>
      </x:c>
      <x:c r="D290" s="6" t="str">
        <x:v>The narrative cites ETable 9 for both VAR+ versus continuation and VAR+ versus CNRT switch; ETable 9 contains continuation-reference comparisons, while ETable 10 contains the switch-reference comparison 2% (1%-5%), greater than 99%.</x:v>
      </x:c>
    </x:row>
    <x:row r="291" ht="180" customHeight="1">
      <x:c r="A291" s="3" t="str">
        <x:v>2024::jama.2024.4183::C022</x:v>
      </x:c>
      <x:c r="B291" s="3" t="n">
        <x:v>1</x:v>
      </x:c>
      <x:c r="C291" s="3" t="str">
        <x:v>Reported-versus-comparator</x:v>
      </x:c>
      <x:c r="D291" s="3" t="str">
        <x:v>Printed evidence versus the matched source occurrence or stated consistency rule.</x:v>
      </x:c>
    </x:row>
    <x:row r="292" ht="180" customHeight="1">
      <x:c r="A292" s="6" t="str">
        <x:v>2024::jama.2024.4183::C022</x:v>
      </x:c>
      <x:c r="B292" s="6" t="n">
        <x:v>2</x:v>
      </x:c>
      <x:c r="C292" s="6" t="str">
        <x:v>Calculation</x:v>
      </x:c>
      <x:c r="D292" s="6" t="str">
        <x:v>Reproduce the stated arithmetic or direct printed comparison at displayed precision; see source evidence and consistency rule.</x:v>
      </x:c>
    </x:row>
    <x:row r="293" ht="180" customHeight="1">
      <x:c r="A293" s="3" t="str">
        <x:v>2024::jama.2024.4183::C022</x:v>
      </x:c>
      <x:c r="B293" s="3" t="n">
        <x:v>3</x:v>
      </x:c>
      <x:c r="C293" s="3" t="str">
        <x:v>Alternative source-grounded interpretations</x:v>
      </x:c>
      <x:c r="D293" s="3" t="str">
        <x:v>The supplied package does not state an authoritative correction; alternative production or version explanations require human review.</x:v>
      </x:c>
    </x:row>
    <x:row r="294" ht="180" customHeight="1">
      <x:c r="A294" s="6" t="str">
        <x:v>2024::jama.2024.4183::C023</x:v>
      </x:c>
      <x:c r="B294" s="6" t="n">
        <x:v>0</x:v>
      </x:c>
      <x:c r="C294" s="6" t="str">
        <x:v>Source evidence</x:v>
      </x:c>
      <x:c r="D294" s="6" t="str">
        <x:v>The section heading is Employment, n (%), but every populated Employed and Unemployed cell prints percentage first and count in parentheses, including 72.2 (39) and 27.8 (15) under N=54 and 74.5 (38) and 25.5 (13) under N=51.</x:v>
      </x:c>
    </x:row>
    <x:row r="295" ht="180" customHeight="1">
      <x:c r="A295" s="3" t="str">
        <x:v>2024::jama.2024.4183::C023</x:v>
      </x:c>
      <x:c r="B295" s="3" t="n">
        <x:v>1</x:v>
      </x:c>
      <x:c r="C295" s="3" t="str">
        <x:v>Reported-versus-comparator</x:v>
      </x:c>
      <x:c r="D295" s="3" t="str">
        <x:v>Printed evidence versus the matched source occurrence or stated consistency rule.</x:v>
      </x:c>
    </x:row>
    <x:row r="296" ht="180" customHeight="1">
      <x:c r="A296" s="6" t="str">
        <x:v>2024::jama.2024.4183::C023</x:v>
      </x:c>
      <x:c r="B296" s="6" t="n">
        <x:v>2</x:v>
      </x:c>
      <x:c r="C296" s="6" t="str">
        <x:v>Calculation</x:v>
      </x:c>
      <x:c r="D296" s="6" t="str">
        <x:v>Reproduce the stated arithmetic or direct printed comparison at displayed precision; see source evidence and consistency rule.</x:v>
      </x:c>
    </x:row>
    <x:row r="297" ht="180" customHeight="1">
      <x:c r="A297" s="3" t="str">
        <x:v>2024::jama.2024.4183::C023</x:v>
      </x:c>
      <x:c r="B297" s="3" t="n">
        <x:v>3</x:v>
      </x:c>
      <x:c r="C297" s="3" t="str">
        <x:v>Alternative source-grounded interpretations</x:v>
      </x:c>
      <x:c r="D297" s="3" t="str">
        <x:v>The supplied package does not state an authoritative correction; alternative production or version explanations require human review.</x:v>
      </x:c>
    </x:row>
    <x:row r="298" ht="180" customHeight="1">
      <x:c r="A298" s="6" t="str">
        <x:v>2024::jama.2024.4183::C024</x:v>
      </x:c>
      <x:c r="B298" s="6" t="n">
        <x:v>0</x:v>
      </x:c>
      <x:c r="C298" s="6" t="str">
        <x:v>Source evidence</x:v>
      </x:c>
      <x:c r="D298" s="6" t="str">
        <x:v>In the CNRT+ N=50 column, Employment counts are 40 and 9 (percentages 80 and 18); in the VAR+ N=39 column they are 27 and 11 (69.2 and 28.2). No employment missingness category or footnote is printed.</x:v>
      </x:c>
    </x:row>
    <x:row r="299" ht="180" customHeight="1">
      <x:c r="A299" s="3" t="str">
        <x:v>2024::jama.2024.4183::C024</x:v>
      </x:c>
      <x:c r="B299" s="3" t="n">
        <x:v>1</x:v>
      </x:c>
      <x:c r="C299" s="3" t="str">
        <x:v>Reported-versus-comparator</x:v>
      </x:c>
      <x:c r="D299" s="3" t="str">
        <x:v>Printed evidence versus the matched source occurrence or stated consistency rule.</x:v>
      </x:c>
    </x:row>
    <x:row r="300" ht="180" customHeight="1">
      <x:c r="A300" s="6" t="str">
        <x:v>2024::jama.2024.4183::C024</x:v>
      </x:c>
      <x:c r="B300" s="6" t="n">
        <x:v>2</x:v>
      </x:c>
      <x:c r="C300" s="6" t="str">
        <x:v>Calculation</x:v>
      </x:c>
      <x:c r="D300" s="6" t="str">
        <x:v>Reproduce the stated arithmetic or direct printed comparison at displayed precision; see source evidence and consistency rule.</x:v>
      </x:c>
    </x:row>
    <x:row r="301" ht="180" customHeight="1">
      <x:c r="A301" s="3" t="str">
        <x:v>2024::jama.2024.4183::C024</x:v>
      </x:c>
      <x:c r="B301" s="3" t="n">
        <x:v>3</x:v>
      </x:c>
      <x:c r="C301" s="3" t="str">
        <x:v>Alternative source-grounded interpretations</x:v>
      </x:c>
      <x:c r="D301" s="3" t="str">
        <x:v>The supplied package does not state an authoritative correction; alternative production or version explanations require human review.</x:v>
      </x:c>
    </x:row>
    <x:row r="302" ht="180" customHeight="1">
      <x:c r="A302" s="6" t="str">
        <x:v>2024::jama.2024.6063::C001</x:v>
      </x:c>
      <x:c r="B302" s="6" t="n">
        <x:v>0</x:v>
      </x:c>
      <x:c r="C302" s="6" t="str">
        <x:v>Source evidence</x:v>
      </x:c>
      <x:c r="D302" s="6" t="str">
        <x:v>Figure 1 prints 132 placebo randomized, 111 completing treatment, and 21 discontinuing. Results prints 23 placebo participants withdrew or were lost and 222 total completed.</x:v>
      </x:c>
    </x:row>
    <x:row r="303" ht="180" customHeight="1">
      <x:c r="A303" s="3" t="str">
        <x:v>2024::jama.2024.6063::C001</x:v>
      </x:c>
      <x:c r="B303" s="3" t="n">
        <x:v>1</x:v>
      </x:c>
      <x:c r="C303" s="3" t="str">
        <x:v>Reported-versus-comparator</x:v>
      </x:c>
      <x:c r="D303" s="3" t="str">
        <x:v>Figure 1’s placebo 21 discontinuations and 111 completers versus Results’ 23 withdrawals/losses and implied 109 placebo completers.</x:v>
      </x:c>
    </x:row>
    <x:row r="304" ht="180" customHeight="1">
      <x:c r="A304" s="6" t="str">
        <x:v>2024::jama.2024.6063::C001</x:v>
      </x:c>
      <x:c r="B304" s="6" t="n">
        <x:v>2</x:v>
      </x:c>
      <x:c r="C304" s="6" t="str">
        <x:v>Calculation</x:v>
      </x:c>
      <x:c r="D304" s="6" t="str">
        <x:v>111 + 21 = 132; 132 - 23 = 109, not 111. Across arms, Figure 1 has 38 discontinuations/224 completers versus Results’ 40/222.</x:v>
      </x:c>
    </x:row>
    <x:row r="305" ht="180" customHeight="1">
      <x:c r="A305" s="3" t="str">
        <x:v>2024::jama.2024.6063::C001</x:v>
      </x:c>
      <x:c r="B305" s="3" t="n">
        <x:v>3</x:v>
      </x:c>
      <x:c r="C305" s="3" t="str">
        <x:v>Alternative source-grounded interpretations</x:v>
      </x:c>
      <x:c r="D305" s="3" t="str">
        <x:v>Results may include two placebo participants outside Figure 1’s discontinuation category, or one display may have a transcription difference.</x:v>
      </x:c>
    </x:row>
    <x:row r="306" ht="180" customHeight="1">
      <x:c r="A306" s="6" t="str">
        <x:v>2024::jama.2024.6063::C002</x:v>
      </x:c>
      <x:c r="B306" s="6" t="n">
        <x:v>0</x:v>
      </x:c>
      <x:c r="C306" s="6" t="str">
        <x:v>Source evidence</x:v>
      </x:c>
      <x:c r="D306" s="6" t="str">
        <x:v>The overall 0–24-week row prints n = 167, 82 (98.8%), and 81 (96.4%); the footnote names n = 165 for pill-count data and completers.</x:v>
      </x:c>
    </x:row>
    <x:row r="307" ht="180" customHeight="1">
      <x:c r="A307" s="3" t="str">
        <x:v>2024::jama.2024.6063::C002</x:v>
      </x:c>
      <x:c r="B307" s="3" t="n">
        <x:v>1</x:v>
      </x:c>
      <x:c r="C307" s="3" t="str">
        <x:v>Reported-versus-comparator</x:v>
      </x:c>
      <x:c r="D307" s="3" t="str">
        <x:v>Row total 167 and percentage-supported arm denominators versus footnote total 165.</x:v>
      </x:c>
    </x:row>
    <x:row r="308" ht="180" customHeight="1">
      <x:c r="A308" s="6" t="str">
        <x:v>2024::jama.2024.6063::C002</x:v>
      </x:c>
      <x:c r="B308" s="6" t="n">
        <x:v>2</x:v>
      </x:c>
      <x:c r="C308" s="6" t="str">
        <x:v>Calculation</x:v>
      </x:c>
      <x:c r="D308" s="6" t="str">
        <x:v>82/83 × 100 = 98.7952%; 81/84 × 100 = 96.4286%; 83 + 84 = 167, not 165.</x:v>
      </x:c>
    </x:row>
    <x:row r="309" ht="180" customHeight="1">
      <x:c r="A309" s="3" t="str">
        <x:v>2024::jama.2024.6063::C002</x:v>
      </x:c>
      <x:c r="B309" s="3" t="n">
        <x:v>3</x:v>
      </x:c>
      <x:c r="C309" s="3" t="str">
        <x:v>Alternative source-grounded interpretations</x:v>
      </x:c>
      <x:c r="D309" s="3" t="str">
        <x:v>The footnote may describe an unlabelled narrower subset, or it may be stale relative to the row.</x:v>
      </x:c>
    </x:row>
    <x:row r="310" ht="180" customHeight="1">
      <x:c r="A310" s="6" t="str">
        <x:v>2024::jama.2024.6063::C003</x:v>
      </x:c>
      <x:c r="B310" s="6" t="n">
        <x:v>0</x:v>
      </x:c>
      <x:c r="C310" s="6" t="str">
        <x:v>Source evidence</x:v>
      </x:c>
      <x:c r="D310" s="6" t="str">
        <x:v>The krill Smaller - 1 unit cell is 10 (12%); its total is 107 (100%).</x:v>
      </x:c>
    </x:row>
    <x:row r="311" ht="180" customHeight="1">
      <x:c r="A311" s="3" t="str">
        <x:v>2024::jama.2024.6063::C003</x:v>
      </x:c>
      <x:c r="B311" s="3" t="n">
        <x:v>1</x:v>
      </x:c>
      <x:c r="C311" s="3" t="str">
        <x:v>Reported-versus-comparator</x:v>
      </x:c>
      <x:c r="D311" s="3" t="str">
        <x:v>Printed 12% versus the percentage from 10/107.</x:v>
      </x:c>
    </x:row>
    <x:row r="312" ht="180" customHeight="1">
      <x:c r="A312" s="6" t="str">
        <x:v>2024::jama.2024.6063::C003</x:v>
      </x:c>
      <x:c r="B312" s="6" t="n">
        <x:v>2</x:v>
      </x:c>
      <x:c r="C312" s="6" t="str">
        <x:v>Calculation</x:v>
      </x:c>
      <x:c r="D312" s="6" t="str">
        <x:v>10/107 × 100 = 9.3458%, which rounds to 9%, not 12%.</x:v>
      </x:c>
    </x:row>
    <x:row r="313" ht="180" customHeight="1">
      <x:c r="A313" s="3" t="str">
        <x:v>2024::jama.2024.6063::C003</x:v>
      </x:c>
      <x:c r="B313" s="3" t="n">
        <x:v>3</x:v>
      </x:c>
      <x:c r="C313" s="3" t="str">
        <x:v>Alternative source-grounded interpretations</x:v>
      </x:c>
      <x:c r="D313" s="3" t="str">
        <x:v>An unprinted denominator or a different table version could explain the discrepancy.</x:v>
      </x:c>
    </x:row>
    <x:row r="314" ht="180" customHeight="1">
      <x:c r="A314" s="6" t="str">
        <x:v>2024::jama.2024.6063::C004</x:v>
      </x:c>
      <x:c r="B314" s="6" t="n">
        <x:v>0</x:v>
      </x:c>
      <x:c r="C314" s="6" t="str">
        <x:v>Source evidence</x:v>
      </x:c>
      <x:c r="D314" s="6" t="str">
        <x:v>Krill No change is 80 (72%); the arm total is 107 (100%).</x:v>
      </x:c>
    </x:row>
    <x:row r="315" ht="180" customHeight="1">
      <x:c r="A315" s="3" t="str">
        <x:v>2024::jama.2024.6063::C004</x:v>
      </x:c>
      <x:c r="B315" s="3" t="n">
        <x:v>1</x:v>
      </x:c>
      <x:c r="C315" s="3" t="str">
        <x:v>Reported-versus-comparator</x:v>
      </x:c>
      <x:c r="D315" s="3" t="str">
        <x:v>Printed 72% versus the percentage from 80/107.</x:v>
      </x:c>
    </x:row>
    <x:row r="316" ht="180" customHeight="1">
      <x:c r="A316" s="6" t="str">
        <x:v>2024::jama.2024.6063::C004</x:v>
      </x:c>
      <x:c r="B316" s="6" t="n">
        <x:v>2</x:v>
      </x:c>
      <x:c r="C316" s="6" t="str">
        <x:v>Calculation</x:v>
      </x:c>
      <x:c r="D316" s="6" t="str">
        <x:v>80/107 × 100 = 74.7664%, which rounds to 75%, not 72%.</x:v>
      </x:c>
    </x:row>
    <x:row r="317" ht="180" customHeight="1">
      <x:c r="A317" s="3" t="str">
        <x:v>2024::jama.2024.6063::C004</x:v>
      </x:c>
      <x:c r="B317" s="3" t="n">
        <x:v>3</x:v>
      </x:c>
      <x:c r="C317" s="3" t="str">
        <x:v>Alternative source-grounded interpretations</x:v>
      </x:c>
      <x:c r="D317" s="3" t="str">
        <x:v>A different unprinted denominator or a table-version difference is possible.</x:v>
      </x:c>
    </x:row>
    <x:row r="318" ht="180" customHeight="1">
      <x:c r="A318" s="6" t="str">
        <x:v>2024::jama.2024.6063::C005</x:v>
      </x:c>
      <x:c r="B318" s="6" t="n">
        <x:v>0</x:v>
      </x:c>
      <x:c r="C318" s="6" t="str">
        <x:v>Source evidence</x:v>
      </x:c>
      <x:c r="D318" s="6" t="str">
        <x:v>Krill Larger - 1 unit is 12 (12%); the arm total is 107 (100%).</x:v>
      </x:c>
    </x:row>
    <x:row r="319" ht="180" customHeight="1">
      <x:c r="A319" s="3" t="str">
        <x:v>2024::jama.2024.6063::C005</x:v>
      </x:c>
      <x:c r="B319" s="3" t="n">
        <x:v>1</x:v>
      </x:c>
      <x:c r="C319" s="3" t="str">
        <x:v>Reported-versus-comparator</x:v>
      </x:c>
      <x:c r="D319" s="3" t="str">
        <x:v>Printed 12% versus the percentage from 12/107.</x:v>
      </x:c>
    </x:row>
    <x:row r="320" ht="180" customHeight="1">
      <x:c r="A320" s="6" t="str">
        <x:v>2024::jama.2024.6063::C005</x:v>
      </x:c>
      <x:c r="B320" s="6" t="n">
        <x:v>2</x:v>
      </x:c>
      <x:c r="C320" s="6" t="str">
        <x:v>Calculation</x:v>
      </x:c>
      <x:c r="D320" s="6" t="str">
        <x:v>12/107 × 100 = 11.2150%, which rounds to 11%, not 12%.</x:v>
      </x:c>
    </x:row>
    <x:row r="321" ht="180" customHeight="1">
      <x:c r="A321" s="3" t="str">
        <x:v>2024::jama.2024.6063::C005</x:v>
      </x:c>
      <x:c r="B321" s="3" t="n">
        <x:v>3</x:v>
      </x:c>
      <x:c r="C321" s="3" t="str">
        <x:v>Alternative source-grounded interpretations</x:v>
      </x:c>
      <x:c r="D321" s="3" t="str">
        <x:v>Another unprinted denominator or a table-version difference could explain the cells.</x:v>
      </x:c>
    </x:row>
    <x:row r="322" ht="180" customHeight="1">
      <x:c r="A322" s="6" t="str">
        <x:v>2024::jama.2024.6063::C006</x:v>
      </x:c>
      <x:c r="B322" s="6" t="n">
        <x:v>0</x:v>
      </x:c>
      <x:c r="C322" s="6" t="str">
        <x:v>Source evidence</x:v>
      </x:c>
      <x:c r="D322" s="6" t="str">
        <x:v>Placebo Smaller - 2 units is 2 (1.9%); the arm total is 109 (100%).</x:v>
      </x:c>
    </x:row>
    <x:row r="323" ht="180" customHeight="1">
      <x:c r="A323" s="3" t="str">
        <x:v>2024::jama.2024.6063::C006</x:v>
      </x:c>
      <x:c r="B323" s="3" t="n">
        <x:v>1</x:v>
      </x:c>
      <x:c r="C323" s="3" t="str">
        <x:v>Reported-versus-comparator</x:v>
      </x:c>
      <x:c r="D323" s="3" t="str">
        <x:v>Printed 1.9% versus the percentage from 2/109.</x:v>
      </x:c>
    </x:row>
    <x:row r="324" ht="180" customHeight="1">
      <x:c r="A324" s="6" t="str">
        <x:v>2024::jama.2024.6063::C006</x:v>
      </x:c>
      <x:c r="B324" s="6" t="n">
        <x:v>2</x:v>
      </x:c>
      <x:c r="C324" s="6" t="str">
        <x:v>Calculation</x:v>
      </x:c>
      <x:c r="D324" s="6" t="str">
        <x:v>2/109 × 100 = 1.8349%, which rounds to 1.8%, not 1.9%.</x:v>
      </x:c>
    </x:row>
    <x:row r="325" ht="180" customHeight="1">
      <x:c r="A325" s="3" t="str">
        <x:v>2024::jama.2024.6063::C006</x:v>
      </x:c>
      <x:c r="B325" s="3" t="n">
        <x:v>3</x:v>
      </x:c>
      <x:c r="C325" s="3" t="str">
        <x:v>Alternative source-grounded interpretations</x:v>
      </x:c>
      <x:c r="D325" s="3" t="str">
        <x:v>A denominator near 105 or a table-version difference could account for 1.9%; neither is supplied.</x:v>
      </x:c>
    </x:row>
    <x:row r="326" ht="180" customHeight="1">
      <x:c r="A326" s="6" t="str">
        <x:v>2024::jama.2024.6063::C007</x:v>
      </x:c>
      <x:c r="B326" s="6" t="n">
        <x:v>0</x:v>
      </x:c>
      <x:c r="C326" s="6" t="str">
        <x:v>Source evidence</x:v>
      </x:c>
      <x:c r="D326" s="6" t="str">
        <x:v>Placebo Smaller - 1 unit is 16 (12%); the arm total is 109 (100%).</x:v>
      </x:c>
    </x:row>
    <x:row r="327" ht="180" customHeight="1">
      <x:c r="A327" s="3" t="str">
        <x:v>2024::jama.2024.6063::C007</x:v>
      </x:c>
      <x:c r="B327" s="3" t="n">
        <x:v>1</x:v>
      </x:c>
      <x:c r="C327" s="3" t="str">
        <x:v>Reported-versus-comparator</x:v>
      </x:c>
      <x:c r="D327" s="3" t="str">
        <x:v>Printed 12% versus the percentage from 16/109.</x:v>
      </x:c>
    </x:row>
    <x:row r="328" ht="180" customHeight="1">
      <x:c r="A328" s="6" t="str">
        <x:v>2024::jama.2024.6063::C007</x:v>
      </x:c>
      <x:c r="B328" s="6" t="n">
        <x:v>2</x:v>
      </x:c>
      <x:c r="C328" s="6" t="str">
        <x:v>Calculation</x:v>
      </x:c>
      <x:c r="D328" s="6" t="str">
        <x:v>16/109 × 100 = 14.6789%, which rounds to 15%, not 12%.</x:v>
      </x:c>
    </x:row>
    <x:row r="329" ht="180" customHeight="1">
      <x:c r="A329" s="3" t="str">
        <x:v>2024::jama.2024.6063::C007</x:v>
      </x:c>
      <x:c r="B329" s="3" t="n">
        <x:v>3</x:v>
      </x:c>
      <x:c r="C329" s="3" t="str">
        <x:v>Alternative source-grounded interpretations</x:v>
      </x:c>
      <x:c r="D329" s="3" t="str">
        <x:v>A denominator near 133 would yield 12%, but it conflicts with the printed total; a version difference is also possible.</x:v>
      </x:c>
    </x:row>
    <x:row r="330" ht="180" customHeight="1">
      <x:c r="A330" s="6" t="str">
        <x:v>2024::jama.2024.6063::C008</x:v>
      </x:c>
      <x:c r="B330" s="6" t="n">
        <x:v>0</x:v>
      </x:c>
      <x:c r="C330" s="6" t="str">
        <x:v>Source evidence</x:v>
      </x:c>
      <x:c r="D330" s="6" t="str">
        <x:v>Placebo No change is 75 (72%); the arm total is 109 (100%).</x:v>
      </x:c>
    </x:row>
    <x:row r="331" ht="180" customHeight="1">
      <x:c r="A331" s="3" t="str">
        <x:v>2024::jama.2024.6063::C008</x:v>
      </x:c>
      <x:c r="B331" s="3" t="n">
        <x:v>1</x:v>
      </x:c>
      <x:c r="C331" s="3" t="str">
        <x:v>Reported-versus-comparator</x:v>
      </x:c>
      <x:c r="D331" s="3" t="str">
        <x:v>Printed 72% versus the percentage from 75/109.</x:v>
      </x:c>
    </x:row>
    <x:row r="332" ht="180" customHeight="1">
      <x:c r="A332" s="6" t="str">
        <x:v>2024::jama.2024.6063::C008</x:v>
      </x:c>
      <x:c r="B332" s="6" t="n">
        <x:v>2</x:v>
      </x:c>
      <x:c r="C332" s="6" t="str">
        <x:v>Calculation</x:v>
      </x:c>
      <x:c r="D332" s="6" t="str">
        <x:v>75/109 × 100 = 68.8073%, which rounds to 69%, not 72%.</x:v>
      </x:c>
    </x:row>
    <x:row r="333" ht="180" customHeight="1">
      <x:c r="A333" s="3" t="str">
        <x:v>2024::jama.2024.6063::C008</x:v>
      </x:c>
      <x:c r="B333" s="3" t="n">
        <x:v>3</x:v>
      </x:c>
      <x:c r="C333" s="3" t="str">
        <x:v>Alternative source-grounded interpretations</x:v>
      </x:c>
      <x:c r="D333" s="3" t="str">
        <x:v>A denominator near 104 or a different table version could explain 72%; neither is printed.</x:v>
      </x:c>
    </x:row>
    <x:row r="334" ht="180" customHeight="1">
      <x:c r="A334" s="6" t="str">
        <x:v>2024::jama.2024.6063::C009</x:v>
      </x:c>
      <x:c r="B334" s="6" t="n">
        <x:v>0</x:v>
      </x:c>
      <x:c r="C334" s="6" t="str">
        <x:v>Source evidence</x:v>
      </x:c>
      <x:c r="D334" s="6" t="str">
        <x:v>Weight-bearing pain and the adjacent function row both print -84 (-122 to -46) and -103 (-141 to -65); weight-bearing final/baseline values are 100/127 and 108/141.</x:v>
      </x:c>
    </x:row>
    <x:row r="335" ht="180" customHeight="1">
      <x:c r="A335" s="3" t="str">
        <x:v>2024::jama.2024.6063::C009</x:v>
      </x:c>
      <x:c r="B335" s="3" t="n">
        <x:v>1</x:v>
      </x:c>
      <x:c r="C335" s="3" t="str">
        <x:v>Reported-versus-comparator</x:v>
      </x:c>
      <x:c r="D335" s="3" t="str">
        <x:v>Identical arm-change estimate/interval pairs across distinct, separately labelled outcome rows.</x:v>
      </x:c>
    </x:row>
    <x:row r="336" ht="180" customHeight="1">
      <x:c r="A336" s="6" t="str">
        <x:v>2024::jama.2024.6063::C009</x:v>
      </x:c>
      <x:c r="B336" s="6" t="n">
        <x:v>2</x:v>
      </x:c>
      <x:c r="C336" s="6" t="str">
        <x:v>Calculation</x:v>
      </x:c>
      <x:c r="D336" s="6" t="str">
        <x:v>The paired printed values match character for character. Diagnostics: 100 - 127 = -27 and 108 - 141 = -33, not -84 and -103.</x:v>
      </x:c>
    </x:row>
    <x:row r="337" ht="180" customHeight="1">
      <x:c r="A337" s="3" t="str">
        <x:v>2024::jama.2024.6063::C009</x:v>
      </x:c>
      <x:c r="B337" s="3" t="n">
        <x:v>3</x:v>
      </x:c>
      <x:c r="C337" s="3" t="str">
        <x:v>Alternative source-grounded interpretations</x:v>
      </x:c>
      <x:c r="D337" s="3" t="str">
        <x:v>Modelled changes may differ from descriptive subtraction; copying, displacement, or coincidence is not established from the package.</x:v>
      </x:c>
    </x:row>
    <x:row r="338" ht="180" customHeight="1">
      <x:c r="A338" s="6" t="str">
        <x:v>2024::jama.2024.6063::C010</x:v>
      </x:c>
      <x:c r="B338" s="6" t="n">
        <x:v>0</x:v>
      </x:c>
      <x:c r="C338" s="6" t="str">
        <x:v>Source evidence</x:v>
      </x:c>
      <x:c r="D338" s="6" t="str">
        <x:v>Both rows print arm changes -2.8 (-6.0 to 0.4) and -4.2 (-7.4 to -1.1), and between-group -1.4 (-5.9 to 3.0), P = .53; strength final/baseline values are 72.6/66.5 and 70.2/65.9.</x:v>
      </x:c>
    </x:row>
    <x:row r="339" ht="180" customHeight="1">
      <x:c r="A339" s="3" t="str">
        <x:v>2024::jama.2024.6063::C010</x:v>
      </x:c>
      <x:c r="B339" s="3" t="n">
        <x:v>1</x:v>
      </x:c>
      <x:c r="C339" s="3" t="str">
        <x:v>Reported-versus-comparator</x:v>
      </x:c>
      <x:c r="D339" s="3" t="str">
        <x:v>Identical arm changes, estimate, interval, and P value across differently labelled outcomes, times, units, and directions.</x:v>
      </x:c>
    </x:row>
    <x:row r="340" ht="180" customHeight="1">
      <x:c r="A340" s="6" t="str">
        <x:v>2024::jama.2024.6063::C010</x:v>
      </x:c>
      <x:c r="B340" s="6" t="n">
        <x:v>2</x:v>
      </x:c>
      <x:c r="C340" s="6" t="str">
        <x:v>Calculation</x:v>
      </x:c>
      <x:c r="D340" s="6" t="str">
        <x:v>All displayed output fields match exactly. Diagnostic strength changes are 72.6 - 66.5 = +6.1 and 70.2 - 65.9 = +4.3.</x:v>
      </x:c>
    </x:row>
    <x:row r="341" ht="180" customHeight="1">
      <x:c r="A341" s="3" t="str">
        <x:v>2024::jama.2024.6063::C010</x:v>
      </x:c>
      <x:c r="B341" s="3" t="n">
        <x:v>3</x:v>
      </x:c>
      <x:c r="C341" s="3" t="str">
        <x:v>Alternative source-grounded interpretations</x:v>
      </x:c>
      <x:c r="D341" s="3" t="str">
        <x:v>A modelled change can differ from subtraction, and coincidence is possible; no supplied definition explains complete identity.</x:v>
      </x:c>
    </x:row>
    <x:row r="342" ht="180" customHeight="1">
      <x:c r="A342" s="6" t="str">
        <x:v>2024::jama.2024.6063::C011</x:v>
      </x:c>
      <x:c r="B342" s="6" t="n">
        <x:v>0</x:v>
      </x:c>
      <x:c r="C342" s="6" t="str">
        <x:v>Source evidence</x:v>
      </x:c>
      <x:c r="D342" s="6" t="str">
        <x:v>Both rows print 0.07 (-1.19 to 1.33), P = .92; glucose arm changes are 0.09 (-0.07 to 0.24) and 0.15 (-0.01 to 0.31).</x:v>
      </x:c>
    </x:row>
    <x:row r="343" ht="180" customHeight="1">
      <x:c r="A343" s="3" t="str">
        <x:v>2024::jama.2024.6063::C011</x:v>
      </x:c>
      <x:c r="B343" s="3" t="n">
        <x:v>1</x:v>
      </x:c>
      <x:c r="C343" s="3" t="str">
        <x:v>Reported-versus-comparator</x:v>
      </x:c>
      <x:c r="D343" s="3" t="str">
        <x:v>Identical estimate/interval/P output for separately labelled measures with different arm-level changes.</x:v>
      </x:c>
    </x:row>
    <x:row r="344" ht="180" customHeight="1">
      <x:c r="A344" s="6" t="str">
        <x:v>2024::jama.2024.6063::C011</x:v>
      </x:c>
      <x:c r="B344" s="6" t="n">
        <x:v>2</x:v>
      </x:c>
      <x:c r="C344" s="6" t="str">
        <x:v>Calculation</x:v>
      </x:c>
      <x:c r="D344" s="6" t="str">
        <x:v>The three between-group fields match exactly. Diagnostic glucose contrast: 0.09 - 0.15 = -0.06, which does not reconstruct an adjusted model.</x:v>
      </x:c>
    </x:row>
    <x:row r="345" ht="180" customHeight="1">
      <x:c r="A345" s="3" t="str">
        <x:v>2024::jama.2024.6063::C011</x:v>
      </x:c>
      <x:c r="B345" s="3" t="n">
        <x:v>3</x:v>
      </x:c>
      <x:c r="C345" s="3" t="str">
        <x:v>Alternative source-grounded interpretations</x:v>
      </x:c>
      <x:c r="D345" s="3" t="str">
        <x:v>A separately modelled glucose result may differ from subtraction, and equality may be coincidental; no supplied rule explains the full repeated output.</x:v>
      </x:c>
    </x:row>
    <x:row r="346" ht="180" customHeight="1">
      <x:c r="A346" s="6" t="str">
        <x:v>2024::jama.2024.6063::C012</x:v>
      </x:c>
      <x:c r="B346" s="6" t="n">
        <x:v>0</x:v>
      </x:c>
      <x:c r="C346" s="6" t="str">
        <x:v>Source evidence</x:v>
      </x:c>
      <x:c r="D346" s="6" t="str">
        <x:v>Key Points prints 0.30 (95% CI -6.9 to 6.4; P = .94). Abstract, Table 2, and Results print -0.3; eTable 1 prints -0.27 (-6.92 to 6.38), P = .94.</x:v>
      </x:c>
    </x:row>
    <x:row r="347" ht="180" customHeight="1">
      <x:c r="A347" s="3" t="str">
        <x:v>2024::jama.2024.6063::C012</x:v>
      </x:c>
      <x:c r="B347" s="3" t="n">
        <x:v>1</x:v>
      </x:c>
      <x:c r="C347" s="3" t="str">
        <x:v>Reported-versus-comparator</x:v>
      </x:c>
      <x:c r="D347" s="3" t="str">
        <x:v>Positive 0.30 in Key Points versus negative matched point estimates with matching intervals and P values.</x:v>
      </x:c>
    </x:row>
    <x:row r="348" ht="180" customHeight="1">
      <x:c r="A348" s="6" t="str">
        <x:v>2024::jama.2024.6063::C012</x:v>
      </x:c>
      <x:c r="B348" s="6" t="n">
        <x:v>2</x:v>
      </x:c>
      <x:c r="C348" s="6" t="str">
        <x:v>Calculation</x:v>
      </x:c>
      <x:c r="D348" s="6" t="str">
        <x:v>Rounding -0.27 to one decimal gives -0.3, not +0.30.</x:v>
      </x:c>
    </x:row>
    <x:row r="349" ht="180" customHeight="1">
      <x:c r="A349" s="3" t="str">
        <x:v>2024::jama.2024.6063::C012</x:v>
      </x:c>
      <x:c r="B349" s="3" t="n">
        <x:v>3</x:v>
      </x:c>
      <x:c r="C349" s="3" t="str">
        <x:v>Alternative source-grounded interpretations</x:v>
      </x:c>
      <x:c r="D349" s="3" t="str">
        <x:v>Key Points may intend an unsigned magnitude; one display may use an unstated opposite operand order; or a sign may have been lost. The sources do not define a common signed contrast orientation.</x:v>
      </x:c>
    </x:row>
    <x:row r="350" ht="180" customHeight="1">
      <x:c r="A350" s="6" t="str">
        <x:v>2024::jama.2024.6063::C013</x:v>
      </x:c>
      <x:c r="B350" s="6" t="n">
        <x:v>0</x:v>
      </x:c>
      <x:c r="C350" s="6" t="str">
        <x:v>Source evidence</x:v>
      </x:c>
      <x:c r="D350" s="6" t="str">
        <x:v>Table 3 prints pain in extremity as 1 krill and 6 placebo events. Abstract, narrative, and eTable 7 print lower-extremity/pain-in-extremity as 1 and 5.</x:v>
      </x:c>
    </x:row>
    <x:row r="351" ht="180" customHeight="1">
      <x:c r="A351" s="3" t="str">
        <x:v>2024::jama.2024.6063::C013</x:v>
      </x:c>
      <x:c r="B351" s="3" t="n">
        <x:v>1</x:v>
      </x:c>
      <x:c r="C351" s="3" t="str">
        <x:v>Reported-versus-comparator</x:v>
      </x:c>
      <x:c r="D351" s="3" t="str">
        <x:v>Table 3 placebo count 6 versus three matched displays’ placebo count 5.</x:v>
      </x:c>
    </x:row>
    <x:row r="352" ht="180" customHeight="1">
      <x:c r="A352" s="6" t="str">
        <x:v>2024::jama.2024.6063::C013</x:v>
      </x:c>
      <x:c r="B352" s="6" t="n">
        <x:v>2</x:v>
      </x:c>
      <x:c r="C352" s="6" t="str">
        <x:v>Calculation</x:v>
      </x:c>
      <x:c r="D352" s="6" t="str">
        <x:v>Krill is 1 in all locations; placebo differs by one event: 6 - 5 = 1.</x:v>
      </x:c>
    </x:row>
    <x:row r="353" ht="180" customHeight="1">
      <x:c r="A353" s="3" t="str">
        <x:v>2024::jama.2024.6063::C013</x:v>
      </x:c>
      <x:c r="B353" s="3" t="n">
        <x:v>3</x:v>
      </x:c>
      <x:c r="C353" s="3" t="str">
        <x:v>Alternative source-grounded interpretations</x:v>
      </x:c>
      <x:c r="D353" s="3" t="str">
        <x:v>The phrasings could denote different coding aggregates, though eTable 7 uses Pain in extremity and prints 5; a transcription difference is also possible.</x:v>
      </x:c>
    </x:row>
    <x:row r="354" ht="180" customHeight="1">
      <x:c r="A354" s="6" t="str">
        <x:v>2024::jama.2024.6063::C014</x:v>
      </x:c>
      <x:c r="B354" s="6" t="n">
        <x:v>0</x:v>
      </x:c>
      <x:c r="C354" s="6" t="str">
        <x:v>Source evidence</x:v>
      </x:c>
      <x:c r="D354" s="6" t="str">
        <x:v>Footnote a cites eTable 4 for detailed information. eTable 4 is Change in secondary endpoints; the narrative cites eTable 7, Summary of adverse events.</x:v>
      </x:c>
    </x:row>
    <x:row r="355" ht="180" customHeight="1">
      <x:c r="A355" s="3" t="str">
        <x:v>2024::jama.2024.6063::C014</x:v>
      </x:c>
      <x:c r="B355" s="3" t="n">
        <x:v>1</x:v>
      </x:c>
      <x:c r="C355" s="3" t="str">
        <x:v>Reported-versus-comparator</x:v>
      </x:c>
      <x:c r="D355" s="3" t="str">
        <x:v>Footnote destination eTable 4 versus the supplied table that contains the stated adverse-event subject, eTable 7.</x:v>
      </x:c>
    </x:row>
    <x:row r="356" ht="180" customHeight="1">
      <x:c r="A356" s="6" t="str">
        <x:v>2024::jama.2024.6063::C014</x:v>
      </x:c>
      <x:c r="B356" s="6" t="n">
        <x:v>2</x:v>
      </x:c>
      <x:c r="C356" s="6" t="str">
        <x:v>Calculation</x:v>
      </x:c>
      <x:c r="D356" s="6" t="str">
        <x:v>Not applicable; logical header/content matching identifies eTable 4 as a secondary-endpoint table and eTable 7 as the adverse-event table.</x:v>
      </x:c>
    </x:row>
    <x:row r="357" ht="180" customHeight="1">
      <x:c r="A357" s="3" t="str">
        <x:v>2024::jama.2024.6063::C014</x:v>
      </x:c>
      <x:c r="B357" s="3" t="n">
        <x:v>3</x:v>
      </x:c>
      <x:c r="C357" s="3" t="str">
        <x:v>Alternative source-grounded interpretations</x:v>
      </x:c>
      <x:c r="D357" s="3" t="str">
        <x:v>Footnote a may retain an earlier supplement numbering scheme.</x:v>
      </x:c>
    </x:row>
    <x:row r="358" ht="180" customHeight="1">
      <x:c r="A358" s="6" t="str">
        <x:v>2024::jama.2024.6063::C015</x:v>
      </x:c>
      <x:c r="B358" s="6" t="n">
        <x:v>0</x:v>
      </x:c>
      <x:c r="C358" s="6" t="str">
        <x:v>Source evidence</x:v>
      </x:c>
      <x:c r="D358" s="6" t="str">
        <x:v>Footnote c cites eTables 5 and 6. Those tables concern WORMS effusion score and analgesic use; the narrative cites eTable 8, the serious-adverse-event table.</x:v>
      </x:c>
    </x:row>
    <x:row r="359" ht="180" customHeight="1">
      <x:c r="A359" s="3" t="str">
        <x:v>2024::jama.2024.6063::C015</x:v>
      </x:c>
      <x:c r="B359" s="3" t="n">
        <x:v>1</x:v>
      </x:c>
      <x:c r="C359" s="3" t="str">
        <x:v>Reported-versus-comparator</x:v>
      </x:c>
      <x:c r="D359" s="3" t="str">
        <x:v>Footnote destinations eTables 5/6 versus eTable 8, which contains the stated serious-event subject.</x:v>
      </x:c>
    </x:row>
    <x:row r="360" ht="180" customHeight="1">
      <x:c r="A360" s="6" t="str">
        <x:v>2024::jama.2024.6063::C015</x:v>
      </x:c>
      <x:c r="B360" s="6" t="n">
        <x:v>2</x:v>
      </x:c>
      <x:c r="C360" s="6" t="str">
        <x:v>Calculation</x:v>
      </x:c>
      <x:c r="D360" s="6" t="str">
        <x:v>Not applicable; neither eTable 5 nor eTable 6 contains serious-event detail, while eTable 8 does.</x:v>
      </x:c>
    </x:row>
    <x:row r="361" ht="180" customHeight="1">
      <x:c r="A361" s="3" t="str">
        <x:v>2024::jama.2024.6063::C015</x:v>
      </x:c>
      <x:c r="B361" s="3" t="n">
        <x:v>3</x:v>
      </x:c>
      <x:c r="C361" s="3" t="str">
        <x:v>Alternative source-grounded interpretations</x:v>
      </x:c>
      <x:c r="D361" s="3" t="str">
        <x:v>The footnote may reflect an earlier supplement layout or numbering scheme.</x:v>
      </x:c>
    </x:row>
    <x:row r="362" ht="180" customHeight="1">
      <x:c r="A362" s="6" t="str">
        <x:v>2024::jama.2024.6063::C016</x:v>
      </x:c>
      <x:c r="B362" s="6" t="n">
        <x:v>0</x:v>
      </x:c>
      <x:c r="C362" s="6" t="str">
        <x:v>Source evidence</x:v>
      </x:c>
      <x:c r="D362" s="6" t="str">
        <x:v>Main text states 95% consumed at least 80% of softgels over 24 weeks and cites eTable 2. The overall row prints n = 167, 82 (98.8%), and 81 (96.4%); its footnote separately names 165.</x:v>
      </x:c>
    </x:row>
    <x:row r="363" ht="180" customHeight="1">
      <x:c r="A363" s="3" t="str">
        <x:v>2024::jama.2024.6063::C016</x:v>
      </x:c>
      <x:c r="B363" s="3" t="n">
        <x:v>1</x:v>
      </x:c>
      <x:c r="C363" s="3" t="str">
        <x:v>Reported-versus-comparator</x:v>
      </x:c>
      <x:c r="D363" s="3" t="str">
        <x:v>Main-text 95% versus pooled 163 of 167 from the cited row.</x:v>
      </x:c>
    </x:row>
    <x:row r="364" ht="180" customHeight="1">
      <x:c r="A364" s="6" t="str">
        <x:v>2024::jama.2024.6063::C016</x:v>
      </x:c>
      <x:c r="B364" s="6" t="n">
        <x:v>2</x:v>
      </x:c>
      <x:c r="C364" s="6" t="str">
        <x:v>Calculation</x:v>
      </x:c>
      <x:c r="D364" s="6" t="str">
        <x:v>82 + 81 = 163; 163/167 × 100 = 97.6048%, displayed as 97.6% or 98%, not 95%.</x:v>
      </x:c>
    </x:row>
    <x:row r="365" ht="180" customHeight="1">
      <x:c r="A365" s="3" t="str">
        <x:v>2024::jama.2024.6063::C016</x:v>
      </x:c>
      <x:c r="B365" s="3" t="n">
        <x:v>3</x:v>
      </x:c>
      <x:c r="C365" s="3" t="str">
        <x:v>Alternative source-grounded interpretations</x:v>
      </x:c>
      <x:c r="D365" s="3" t="str">
        <x:v>The main text may use an unstated subset or earlier table version; the cited table itself names both 167 and 165.</x:v>
      </x:c>
    </x:row>
  </x:sheetData>
  <x:pageMargins left="0.7" right="0.7" top="0.75" bottom="0.75" header="0.3" footer="0.3"/>
  <x:tableParts count="1">
    <x:tablePart xmlns:r="http://schemas.openxmlformats.org/officeDocument/2006/relationships" r:id="R78453bcca8c04965"/>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2024::jama.2024.0318::C001</x:v>
      </x:c>
      <x:c r="B2" s="6" t="str">
        <x:v>sourceLinks</x:v>
      </x:c>
      <x:c r="C2" s="6" t="n">
        <x:v>0</x:v>
      </x:c>
      <x:c r="D2" s="6" t="str">
        <x:v>jama_courcoulas_2024_oi_240004_1721756962.76052.pdf — PDF p. 3</x:v>
      </x:c>
      <x:c r="E2" s="6" t="str">
        <x:v>../../2024/jama.2024.0318/jama_courcoulas_2024_oi_240004_1721756962.76052.pdf#page=3</x:v>
      </x:c>
    </x:row>
    <x:row r="3" ht="90" customHeight="1">
      <x:c r="A3" s="3" t="str">
        <x:v>2024::jama.2024.0318::C001</x:v>
      </x:c>
      <x:c r="B3" s="3" t="str">
        <x:v>evidencePaths</x:v>
      </x:c>
      <x:c r="C3" s="3" t="n">
        <x:v>0</x:v>
      </x:c>
      <x:c r="D3" s="3" t="str">
        <x:v>2024/jama.2024.0318/.ai_paper_validation/review_1_5_3/source_inventory.md</x:v>
      </x:c>
      <x:c r="E3" s="3" t="str">
        <x:v>../../2024/jama.2024.0318/.ai_paper_validation/review_1_5_3/source_inventory.md</x:v>
      </x:c>
    </x:row>
    <x:row r="4" ht="90" customHeight="1">
      <x:c r="A4" s="6" t="str">
        <x:v>2024::jama.2024.0318::C002</x:v>
      </x:c>
      <x:c r="B4" s="6" t="str">
        <x:v>sourceLinks</x:v>
      </x:c>
      <x:c r="C4" s="6" t="n">
        <x:v>0</x:v>
      </x:c>
      <x:c r="D4" s="6" t="str">
        <x:v>joi240004supp2_prod_1721756962.82552.pdf — PDF p. 15</x:v>
      </x:c>
      <x:c r="E4" s="6" t="str">
        <x:v>../../2024/jama.2024.0318/joi240004supp2_prod_1721756962.82552.pdf#page=15</x:v>
      </x:c>
    </x:row>
    <x:row r="5" ht="90" customHeight="1">
      <x:c r="A5" s="3" t="str">
        <x:v>2024::jama.2024.0318::C002</x:v>
      </x:c>
      <x:c r="B5" s="3" t="str">
        <x:v>sourceLinks</x:v>
      </x:c>
      <x:c r="C5" s="3" t="n">
        <x:v>1</x:v>
      </x:c>
      <x:c r="D5" s="3" t="str">
        <x:v>joi240004supp2_prod_1721756962.82552.pdf — PDF p. 16</x:v>
      </x:c>
      <x:c r="E5" s="3" t="str">
        <x:v>../../2024/jama.2024.0318/joi240004supp2_prod_1721756962.82552.pdf#page=16</x:v>
      </x:c>
    </x:row>
    <x:row r="6" ht="90" customHeight="1">
      <x:c r="A6" s="6" t="str">
        <x:v>2024::jama.2024.0318::C002</x:v>
      </x:c>
      <x:c r="B6" s="6" t="str">
        <x:v>sourceLinks</x:v>
      </x:c>
      <x:c r="C6" s="6" t="n">
        <x:v>2</x:v>
      </x:c>
      <x:c r="D6" s="6" t="str">
        <x:v>jama_courcoulas_2024_oi_240004_1721756962.76052.pdf — PDF p. 3</x:v>
      </x:c>
      <x:c r="E6" s="6" t="str">
        <x:v>../../2024/jama.2024.0318/jama_courcoulas_2024_oi_240004_1721756962.76052.pdf#page=3</x:v>
      </x:c>
    </x:row>
    <x:row r="7" ht="90" customHeight="1">
      <x:c r="A7" s="3" t="str">
        <x:v>2024::jama.2024.0318::C002</x:v>
      </x:c>
      <x:c r="B7" s="3" t="str">
        <x:v>evidencePaths</x:v>
      </x:c>
      <x:c r="C7" s="3" t="n">
        <x:v>0</x:v>
      </x:c>
      <x:c r="D7" s="3" t="str">
        <x:v>2024/jama.2024.0318/.ai_paper_validation/review_1_5_3/source_inventory.md</x:v>
      </x:c>
      <x:c r="E7" s="3" t="str">
        <x:v>../../2024/jama.2024.0318/.ai_paper_validation/review_1_5_3/source_inventory.md</x:v>
      </x:c>
    </x:row>
    <x:row r="8" ht="90" customHeight="1">
      <x:c r="A8" s="6" t="str">
        <x:v>2024::jama.2024.0318::C002</x:v>
      </x:c>
      <x:c r="B8" s="6" t="str">
        <x:v>evidencePaths</x:v>
      </x:c>
      <x:c r="C8" s="6" t="n">
        <x:v>1</x:v>
      </x:c>
      <x:c r="D8" s="6" t="str">
        <x:v>2024/jama.2024.0318/.ai_paper_validation/review_1_5_3/verification/evidence_recheck.md</x:v>
      </x:c>
      <x:c r="E8" s="6" t="str">
        <x:v>../../2024/jama.2024.0318/.ai_paper_validation/review_1_5_3/verification/evidence_recheck.md</x:v>
      </x:c>
    </x:row>
    <x:row r="9" ht="90" customHeight="1">
      <x:c r="A9" s="3" t="str">
        <x:v>2024::jama.2024.0318::C003</x:v>
      </x:c>
      <x:c r="B9" s="3" t="str">
        <x:v>sourceLinks</x:v>
      </x:c>
      <x:c r="C9" s="3" t="n">
        <x:v>0</x:v>
      </x:c>
      <x:c r="D9" s="3" t="str">
        <x:v>jama_courcoulas_2024_oi_240004_1721756962.76052.pdf — PDF p. 1</x:v>
      </x:c>
      <x:c r="E9" s="3" t="str">
        <x:v>../../2024/jama.2024.0318/jama_courcoulas_2024_oi_240004_1721756962.76052.pdf#page=1</x:v>
      </x:c>
    </x:row>
    <x:row r="10" ht="90" customHeight="1">
      <x:c r="A10" s="6" t="str">
        <x:v>2024::jama.2024.0318::C003</x:v>
      </x:c>
      <x:c r="B10" s="6" t="str">
        <x:v>sourceLinks</x:v>
      </x:c>
      <x:c r="C10" s="6" t="n">
        <x:v>1</x:v>
      </x:c>
      <x:c r="D10" s="6" t="str">
        <x:v>jama_courcoulas_2024_oi_240004_1721756962.76052.pdf — PDF p. 3</x:v>
      </x:c>
      <x:c r="E10" s="6" t="str">
        <x:v>../../2024/jama.2024.0318/jama_courcoulas_2024_oi_240004_1721756962.76052.pdf#page=3</x:v>
      </x:c>
    </x:row>
    <x:row r="11" ht="90" customHeight="1">
      <x:c r="A11" s="3" t="str">
        <x:v>2024::jama.2024.0318::C003</x:v>
      </x:c>
      <x:c r="B11" s="3" t="str">
        <x:v>sourceLinks</x:v>
      </x:c>
      <x:c r="C11" s="3" t="n">
        <x:v>2</x:v>
      </x:c>
      <x:c r="D11" s="3" t="str">
        <x:v>joi240004supp2_prod_1721756962.82552.pdf — PDF p. 15</x:v>
      </x:c>
      <x:c r="E11" s="3" t="str">
        <x:v>../../2024/jama.2024.0318/joi240004supp2_prod_1721756962.82552.pdf#page=15</x:v>
      </x:c>
    </x:row>
    <x:row r="12" ht="90" customHeight="1">
      <x:c r="A12" s="6" t="str">
        <x:v>2024::jama.2024.0318::C003</x:v>
      </x:c>
      <x:c r="B12" s="6" t="str">
        <x:v>evidencePaths</x:v>
      </x:c>
      <x:c r="C12" s="6" t="n">
        <x:v>0</x:v>
      </x:c>
      <x:c r="D12" s="6" t="str">
        <x:v>2024/jama.2024.0318/.ai_paper_validation/review_1_5_3/source_inventory.md</x:v>
      </x:c>
      <x:c r="E12" s="6" t="str">
        <x:v>../../2024/jama.2024.0318/.ai_paper_validation/review_1_5_3/source_inventory.md</x:v>
      </x:c>
    </x:row>
    <x:row r="13" ht="90" customHeight="1">
      <x:c r="A13" s="3" t="str">
        <x:v>2024::jama.2024.0318::C004</x:v>
      </x:c>
      <x:c r="B13" s="3" t="str">
        <x:v>sourceLinks</x:v>
      </x:c>
      <x:c r="C13" s="3" t="n">
        <x:v>0</x:v>
      </x:c>
      <x:c r="D13" s="3" t="str">
        <x:v>jama_courcoulas_2024_oi_240004_1721756962.76052.pdf — PDF p. 4</x:v>
      </x:c>
      <x:c r="E13" s="3" t="str">
        <x:v>../../2024/jama.2024.0318/jama_courcoulas_2024_oi_240004_1721756962.76052.pdf#page=4</x:v>
      </x:c>
    </x:row>
    <x:row r="14" ht="90" customHeight="1">
      <x:c r="A14" s="6" t="str">
        <x:v>2024::jama.2024.0318::C004</x:v>
      </x:c>
      <x:c r="B14" s="6" t="str">
        <x:v>sourceLinks</x:v>
      </x:c>
      <x:c r="C14" s="6" t="n">
        <x:v>1</x:v>
      </x:c>
      <x:c r="D14" s="6" t="str">
        <x:v>jama_courcoulas_2024_oi_240004_1721756962.76052.pdf — PDF p. 6</x:v>
      </x:c>
      <x:c r="E14" s="6" t="str">
        <x:v>../../2024/jama.2024.0318/jama_courcoulas_2024_oi_240004_1721756962.76052.pdf#page=6</x:v>
      </x:c>
    </x:row>
    <x:row r="15" ht="90" customHeight="1">
      <x:c r="A15" s="3" t="str">
        <x:v>2024::jama.2024.0318::C004</x:v>
      </x:c>
      <x:c r="B15" s="3" t="str">
        <x:v>sourceLinks</x:v>
      </x:c>
      <x:c r="C15" s="3" t="n">
        <x:v>2</x:v>
      </x:c>
      <x:c r="D15" s="3" t="str">
        <x:v>joi240004supp2_prod_1721756962.82552.pdf — PDF p. 4</x:v>
      </x:c>
      <x:c r="E15" s="3" t="str">
        <x:v>../../2024/jama.2024.0318/joi240004supp2_prod_1721756962.82552.pdf#page=4</x:v>
      </x:c>
    </x:row>
    <x:row r="16" ht="90" customHeight="1">
      <x:c r="A16" s="6" t="str">
        <x:v>2024::jama.2024.0318::C004</x:v>
      </x:c>
      <x:c r="B16" s="6" t="str">
        <x:v>evidencePaths</x:v>
      </x:c>
      <x:c r="C16" s="6" t="n">
        <x:v>0</x:v>
      </x:c>
      <x:c r="D16" s="6" t="str">
        <x:v>2024/jama.2024.0318/.ai_paper_validation/review_1_5_3/source_inventory.md</x:v>
      </x:c>
      <x:c r="E16" s="6" t="str">
        <x:v>../../2024/jama.2024.0318/.ai_paper_validation/review_1_5_3/source_inventory.md</x:v>
      </x:c>
    </x:row>
    <x:row r="17" ht="90" customHeight="1">
      <x:c r="A17" s="3" t="str">
        <x:v>2024::jama.2024.0318::C004</x:v>
      </x:c>
      <x:c r="B17" s="3" t="str">
        <x:v>evidencePaths</x:v>
      </x:c>
      <x:c r="C17" s="3" t="n">
        <x:v>1</x:v>
      </x:c>
      <x:c r="D17" s="3" t="str">
        <x:v>2024/jama.2024.0318/.ai_paper_validation/review_1_5_3/verification/evidence_recheck.md</x:v>
      </x:c>
      <x:c r="E17" s="3" t="str">
        <x:v>../../2024/jama.2024.0318/.ai_paper_validation/review_1_5_3/verification/evidence_recheck.md</x:v>
      </x:c>
    </x:row>
    <x:row r="18" ht="90" customHeight="1">
      <x:c r="A18" s="6" t="str">
        <x:v>2024::jama.2024.0318::C005</x:v>
      </x:c>
      <x:c r="B18" s="6" t="str">
        <x:v>sourceLinks</x:v>
      </x:c>
      <x:c r="C18" s="6" t="n">
        <x:v>0</x:v>
      </x:c>
      <x:c r="D18" s="6" t="str">
        <x:v>jama_courcoulas_2024_oi_240004_1721756962.76052.pdf — PDF p. 1</x:v>
      </x:c>
      <x:c r="E18" s="6" t="str">
        <x:v>../../2024/jama.2024.0318/jama_courcoulas_2024_oi_240004_1721756962.76052.pdf#page=1</x:v>
      </x:c>
    </x:row>
    <x:row r="19" ht="90" customHeight="1">
      <x:c r="A19" s="3" t="str">
        <x:v>2024::jama.2024.0318::C005</x:v>
      </x:c>
      <x:c r="B19" s="3" t="str">
        <x:v>sourceLinks</x:v>
      </x:c>
      <x:c r="C19" s="3" t="n">
        <x:v>1</x:v>
      </x:c>
      <x:c r="D19" s="3" t="str">
        <x:v>jama_courcoulas_2024_oi_240004_1721756962.76052.pdf — PDF p. 3</x:v>
      </x:c>
      <x:c r="E19" s="3" t="str">
        <x:v>../../2024/jama.2024.0318/jama_courcoulas_2024_oi_240004_1721756962.76052.pdf#page=3</x:v>
      </x:c>
    </x:row>
    <x:row r="20" ht="90" customHeight="1">
      <x:c r="A20" s="6" t="str">
        <x:v>2024::jama.2024.0318::C005</x:v>
      </x:c>
      <x:c r="B20" s="6" t="str">
        <x:v>sourceLinks</x:v>
      </x:c>
      <x:c r="C20" s="6" t="n">
        <x:v>2</x:v>
      </x:c>
      <x:c r="D20" s="6" t="str">
        <x:v>jama_courcoulas_2024_oi_240004_1721756962.76052.pdf — PDF p. 7</x:v>
      </x:c>
      <x:c r="E20" s="6" t="str">
        <x:v>../../2024/jama.2024.0318/jama_courcoulas_2024_oi_240004_1721756962.76052.pdf#page=7</x:v>
      </x:c>
    </x:row>
    <x:row r="21" ht="90" customHeight="1">
      <x:c r="A21" s="3" t="str">
        <x:v>2024::jama.2024.0318::C005</x:v>
      </x:c>
      <x:c r="B21" s="3" t="str">
        <x:v>sourceLinks</x:v>
      </x:c>
      <x:c r="C21" s="3" t="n">
        <x:v>3</x:v>
      </x:c>
      <x:c r="D21" s="3" t="str">
        <x:v>jama_courcoulas_2024_oi_240004_1721756962.76052.pdf — PDF p. 8</x:v>
      </x:c>
      <x:c r="E21" s="3" t="str">
        <x:v>../../2024/jama.2024.0318/jama_courcoulas_2024_oi_240004_1721756962.76052.pdf#page=8</x:v>
      </x:c>
    </x:row>
    <x:row r="22" ht="90" customHeight="1">
      <x:c r="A22" s="6" t="str">
        <x:v>2024::jama.2024.0318::C005</x:v>
      </x:c>
      <x:c r="B22" s="6" t="str">
        <x:v>evidencePaths</x:v>
      </x:c>
      <x:c r="C22" s="6" t="n">
        <x:v>0</x:v>
      </x:c>
      <x:c r="D22" s="6" t="str">
        <x:v>2024/jama.2024.0318/.ai_paper_validation/review_1_5_3/source_inventory.md</x:v>
      </x:c>
      <x:c r="E22" s="6" t="str">
        <x:v>../../2024/jama.2024.0318/.ai_paper_validation/review_1_5_3/source_inventory.md</x:v>
      </x:c>
    </x:row>
    <x:row r="23" ht="90" customHeight="1">
      <x:c r="A23" s="3" t="str">
        <x:v>2024::jama.2024.0318::C006</x:v>
      </x:c>
      <x:c r="B23" s="3" t="str">
        <x:v>sourceLinks</x:v>
      </x:c>
      <x:c r="C23" s="3" t="n">
        <x:v>0</x:v>
      </x:c>
      <x:c r="D23" s="3" t="str">
        <x:v>jama_courcoulas_2024_oi_240004_1721756962.76052.pdf — PDF p. 7</x:v>
      </x:c>
      <x:c r="E23" s="3" t="str">
        <x:v>../../2024/jama.2024.0318/jama_courcoulas_2024_oi_240004_1721756962.76052.pdf#page=7</x:v>
      </x:c>
    </x:row>
    <x:row r="24" ht="90" customHeight="1">
      <x:c r="A24" s="6" t="str">
        <x:v>2024::jama.2024.0318::C006</x:v>
      </x:c>
      <x:c r="B24" s="6" t="str">
        <x:v>sourceLinks</x:v>
      </x:c>
      <x:c r="C24" s="6" t="n">
        <x:v>1</x:v>
      </x:c>
      <x:c r="D24" s="6" t="str">
        <x:v>joi240004supp2_prod_1721756962.82552.pdf — PDF p. 13</x:v>
      </x:c>
      <x:c r="E24" s="6" t="str">
        <x:v>../../2024/jama.2024.0318/joi240004supp2_prod_1721756962.82552.pdf#page=13</x:v>
      </x:c>
    </x:row>
    <x:row r="25" ht="90" customHeight="1">
      <x:c r="A25" s="3" t="str">
        <x:v>2024::jama.2024.0318::C006</x:v>
      </x:c>
      <x:c r="B25" s="3" t="str">
        <x:v>evidencePaths</x:v>
      </x:c>
      <x:c r="C25" s="3" t="n">
        <x:v>0</x:v>
      </x:c>
      <x:c r="D25" s="3" t="str">
        <x:v>2024/jama.2024.0318/.ai_paper_validation/review_1_5_3/source_inventory.md</x:v>
      </x:c>
      <x:c r="E25" s="3" t="str">
        <x:v>../../2024/jama.2024.0318/.ai_paper_validation/review_1_5_3/source_inventory.md</x:v>
      </x:c>
    </x:row>
    <x:row r="26" ht="90" customHeight="1">
      <x:c r="A26" s="6" t="str">
        <x:v>2024::jama.2024.0572::C001</x:v>
      </x:c>
      <x:c r="B26" s="6" t="str">
        <x:v>sourceLinks</x:v>
      </x:c>
      <x:c r="C26" s="6" t="n">
        <x:v>0</x:v>
      </x:c>
      <x:c r="D26" s="6" t="str">
        <x:v>Main article Figure 2 — PDF p. 7</x:v>
      </x:c>
      <x:c r="E26" s="6" t="str">
        <x:v>../../2024/jama.2024.0572/jama_sarraj_2024_oi_240006_1708623114.96234.pdf#page=7</x:v>
      </x:c>
    </x:row>
    <x:row r="27" ht="90" customHeight="1">
      <x:c r="A27" s="3" t="str">
        <x:v>2024::jama.2024.0572::C001</x:v>
      </x:c>
      <x:c r="B27" s="3" t="str">
        <x:v>sourceLinks</x:v>
      </x:c>
      <x:c r="C27" s="3" t="n">
        <x:v>1</x:v>
      </x:c>
      <x:c r="D27" s="3" t="str">
        <x:v>Supplement 5 eTable 2 — PDF p. 38</x:v>
      </x:c>
      <x:c r="E27" s="3" t="str">
        <x:v>../../2024/jama.2024.0572/joi240006supp5_prod_1708623115.01733.pdf#page=38</x:v>
      </x:c>
    </x:row>
    <x:row r="28" ht="90" customHeight="1">
      <x:c r="A28" s="6" t="str">
        <x:v>2024::jama.2024.0572::C001</x:v>
      </x:c>
      <x:c r="B28" s="6" t="str">
        <x:v>sourceLinks</x:v>
      </x:c>
      <x:c r="C28" s="6" t="n">
        <x:v>2</x:v>
      </x:c>
      <x:c r="D28" s="6" t="str">
        <x:v>main Results population statement — PDF p. 4</x:v>
      </x:c>
      <x:c r="E28" s="6" t="str">
        <x:v>../../2024/jama.2024.0572/jama_sarraj_2024_oi_240006_1708623114.96234.pdf#page=4</x:v>
      </x:c>
    </x:row>
    <x:row r="29" ht="90" customHeight="1">
      <x:c r="A29" s="3" t="str">
        <x:v>2024::jama.2024.0572::C001</x:v>
      </x:c>
      <x:c r="B29" s="3" t="str">
        <x:v>sourceLinks</x:v>
      </x:c>
      <x:c r="C29" s="3" t="n">
        <x:v>3</x:v>
      </x:c>
      <x:c r="D29" s="3" t="str">
        <x:v>Supplement 5 eFigure 3 — PDF p. 8</x:v>
      </x:c>
      <x:c r="E29" s="3" t="str">
        <x:v>../../2024/jama.2024.0572/joi240006supp5_prod_1708623115.01733.pdf#page=8</x:v>
      </x:c>
    </x:row>
    <x:row r="30" ht="90" customHeight="1">
      <x:c r="A30" s="6" t="str">
        <x:v>2024::jama.2024.0572::C001</x:v>
      </x:c>
      <x:c r="B30" s="6" t="str">
        <x:v>evidencePaths</x:v>
      </x:c>
      <x:c r="C30" s="6" t="n">
        <x:v>0</x:v>
      </x:c>
      <x:c r="D30" s="6" t="str">
        <x:v>2024/jama.2024.0572/.ai_paper_validation/review_1_5_3/source_inventory.md</x:v>
      </x:c>
      <x:c r="E30" s="6" t="str">
        <x:v>../../2024/jama.2024.0572/.ai_paper_validation/review_1_5_3/source_inventory.md</x:v>
      </x:c>
    </x:row>
    <x:row r="31" ht="90" customHeight="1">
      <x:c r="A31" s="3" t="str">
        <x:v>2024::jama.2024.0572::C001</x:v>
      </x:c>
      <x:c r="B31" s="3" t="str">
        <x:v>evidencePaths</x:v>
      </x:c>
      <x:c r="C31" s="3" t="n">
        <x:v>1</x:v>
      </x:c>
      <x:c r="D31" s="3" t="str">
        <x:v>2024/jama.2024.0572/.ai_paper_validation/review_1_5_3/verification/evidence_recheck.md</x:v>
      </x:c>
      <x:c r="E31" s="3" t="str">
        <x:v>../../2024/jama.2024.0572/.ai_paper_validation/review_1_5_3/verification/evidence_recheck.md</x:v>
      </x:c>
    </x:row>
    <x:row r="32" ht="90" customHeight="1">
      <x:c r="A32" s="6" t="str">
        <x:v>2024::jama.2024.0572::C002</x:v>
      </x:c>
      <x:c r="B32" s="6" t="str">
        <x:v>sourceLinks</x:v>
      </x:c>
      <x:c r="C32" s="6" t="n">
        <x:v>0</x:v>
      </x:c>
      <x:c r="D32" s="6" t="str">
        <x:v>Main narrative — PDF p. 6</x:v>
      </x:c>
      <x:c r="E32" s="6" t="str">
        <x:v>../../2024/jama.2024.0572/jama_sarraj_2024_oi_240006_1708623114.96234.pdf#page=6</x:v>
      </x:c>
    </x:row>
    <x:row r="33" ht="90" customHeight="1">
      <x:c r="A33" s="3" t="str">
        <x:v>2024::jama.2024.0572::C002</x:v>
      </x:c>
      <x:c r="B33" s="3" t="str">
        <x:v>sourceLinks</x:v>
      </x:c>
      <x:c r="C33" s="3" t="n">
        <x:v>1</x:v>
      </x:c>
      <x:c r="D33" s="3" t="str">
        <x:v>Main Table 2 — PDF p. 7</x:v>
      </x:c>
      <x:c r="E33" s="3" t="str">
        <x:v>../../2024/jama.2024.0572/jama_sarraj_2024_oi_240006_1708623114.96234.pdf#page=7</x:v>
      </x:c>
    </x:row>
    <x:row r="34" ht="90" customHeight="1">
      <x:c r="A34" s="6" t="str">
        <x:v>2024::jama.2024.0572::C002</x:v>
      </x:c>
      <x:c r="B34" s="6" t="str">
        <x:v>sourceLinks</x:v>
      </x:c>
      <x:c r="C34" s="6" t="n">
        <x:v>2</x:v>
      </x:c>
      <x:c r="D34" s="6" t="str">
        <x:v>Main Table 3 — PDF p. 9</x:v>
      </x:c>
      <x:c r="E34" s="6" t="str">
        <x:v>../../2024/jama.2024.0572/jama_sarraj_2024_oi_240006_1708623114.96234.pdf#page=9</x:v>
      </x:c>
    </x:row>
    <x:row r="35" ht="90" customHeight="1">
      <x:c r="A35" s="3" t="str">
        <x:v>2024::jama.2024.0572::C002</x:v>
      </x:c>
      <x:c r="B35" s="3" t="str">
        <x:v>sourceLinks</x:v>
      </x:c>
      <x:c r="C35" s="3" t="n">
        <x:v>3</x:v>
      </x:c>
      <x:c r="D35" s="3" t="str">
        <x:v>trial SAP — PDF p. 17</x:v>
      </x:c>
      <x:c r="E35" s="3" t="str">
        <x:v>../../2024/jama.2024.0572/joi240006supp3_prod_1708623114.99733.pdf#page=17</x:v>
      </x:c>
    </x:row>
    <x:row r="36" ht="90" customHeight="1">
      <x:c r="A36" s="6" t="str">
        <x:v>2024::jama.2024.0572::C002</x:v>
      </x:c>
      <x:c r="B36" s="6" t="str">
        <x:v>sourceLinks</x:v>
      </x:c>
      <x:c r="C36" s="6" t="n">
        <x:v>4</x:v>
      </x:c>
      <x:c r="D36" s="6" t="str">
        <x:v>secondary-analysis SAP — PDF p. 4</x:v>
      </x:c>
      <x:c r="E36" s="6" t="str">
        <x:v>../../2024/jama.2024.0572/joi240006supp4_prod_1708623115.00733.pdf#page=4</x:v>
      </x:c>
    </x:row>
    <x:row r="37" ht="90" customHeight="1">
      <x:c r="A37" s="3" t="str">
        <x:v>2024::jama.2024.0572::C002</x:v>
      </x:c>
      <x:c r="B37" s="3" t="str">
        <x:v>sourceLinks</x:v>
      </x:c>
      <x:c r="C37" s="3" t="n">
        <x:v>5</x:v>
      </x:c>
      <x:c r="D37" s="3" t="str">
        <x:v>Supplement 5 eTable 7 — PDF p. 43</x:v>
      </x:c>
      <x:c r="E37" s="3" t="str">
        <x:v>../../2024/jama.2024.0572/joi240006supp5_prod_1708623115.01733.pdf#page=43</x:v>
      </x:c>
    </x:row>
    <x:row r="38" ht="90" customHeight="1">
      <x:c r="A38" s="6" t="str">
        <x:v>2024::jama.2024.0572::C002</x:v>
      </x:c>
      <x:c r="B38" s="6" t="str">
        <x:v>evidencePaths</x:v>
      </x:c>
      <x:c r="C38" s="6" t="n">
        <x:v>0</x:v>
      </x:c>
      <x:c r="D38" s="6" t="str">
        <x:v>2024/jama.2024.0572/.ai_paper_validation/review_1_5_3/source_inventory.md</x:v>
      </x:c>
      <x:c r="E38" s="6" t="str">
        <x:v>../../2024/jama.2024.0572/.ai_paper_validation/review_1_5_3/source_inventory.md</x:v>
      </x:c>
    </x:row>
    <x:row r="39" ht="90" customHeight="1">
      <x:c r="A39" s="3" t="str">
        <x:v>2024::jama.2024.0572::C002</x:v>
      </x:c>
      <x:c r="B39" s="3" t="str">
        <x:v>evidencePaths</x:v>
      </x:c>
      <x:c r="C39" s="3" t="n">
        <x:v>1</x:v>
      </x:c>
      <x:c r="D39" s="3" t="str">
        <x:v>2024/jama.2024.0572/.ai_paper_validation/review_1_5_3/verification/evidence_recheck.md</x:v>
      </x:c>
      <x:c r="E39" s="3" t="str">
        <x:v>../../2024/jama.2024.0572/.ai_paper_validation/review_1_5_3/verification/evidence_recheck.md</x:v>
      </x:c>
    </x:row>
    <x:row r="40" ht="90" customHeight="1">
      <x:c r="A40" s="6" t="str">
        <x:v>2024::jama.2024.11057::C001</x:v>
      </x:c>
      <x:c r="B40" s="6" t="str">
        <x:v>sourceLinks</x:v>
      </x:c>
      <x:c r="C40" s="6" t="n">
        <x:v>0</x:v>
      </x:c>
      <x:c r="D40" s="6" t="str">
        <x:v>jama_graham_2024_oi_240078_1739900423.19074.pdf — PDF p. 3</x:v>
      </x:c>
      <x:c r="E40" s="6" t="str">
        <x:v>../../2024/jama.2024.11057/jama_graham_2024_oi_240078_1739900423.19074.pdf#page=3</x:v>
      </x:c>
    </x:row>
    <x:row r="41" ht="90" customHeight="1">
      <x:c r="A41" s="3" t="str">
        <x:v>2024::jama.2024.11057::C001</x:v>
      </x:c>
      <x:c r="B41" s="3" t="str">
        <x:v>sourceLinks</x:v>
      </x:c>
      <x:c r="C41" s="3" t="n">
        <x:v>1</x:v>
      </x:c>
      <x:c r="D41" s="3" t="str">
        <x:v>joi240078supp1_prod_1739900423.22574.pdf — PDF p. 2</x:v>
      </x:c>
      <x:c r="E41" s="3" t="str">
        <x:v>../../2024/jama.2024.11057/joi240078supp1_prod_1739900423.22574.pdf#page=2</x:v>
      </x:c>
    </x:row>
    <x:row r="42" ht="90" customHeight="1">
      <x:c r="A42" s="6" t="str">
        <x:v>2024::jama.2024.11057::C001</x:v>
      </x:c>
      <x:c r="B42" s="6" t="str">
        <x:v>sourceLinks</x:v>
      </x:c>
      <x:c r="C42" s="6" t="n">
        <x:v>2</x:v>
      </x:c>
      <x:c r="D42" s="6" t="str">
        <x:v>joi240078supp2_prod_1739900423.24574.pdf — PDF p. 2</x:v>
      </x:c>
      <x:c r="E42" s="6" t="str">
        <x:v>../../2024/jama.2024.11057/joi240078supp2_prod_1739900423.24574.pdf#page=2</x:v>
      </x:c>
    </x:row>
    <x:row r="43" ht="90" customHeight="1">
      <x:c r="A43" s="3" t="str">
        <x:v>2024::jama.2024.11057::C001</x:v>
      </x:c>
      <x:c r="B43" s="3" t="str">
        <x:v>evidencePaths</x:v>
      </x:c>
      <x:c r="C43" s="3" t="n">
        <x:v>0</x:v>
      </x:c>
      <x:c r="D43" s="3" t="str">
        <x:v>2024/jama.2024.11057/.ai_paper_validation/review_1_5_3/source_inventory.md</x:v>
      </x:c>
      <x:c r="E43" s="3" t="str">
        <x:v>../../2024/jama.2024.11057/.ai_paper_validation/review_1_5_3/source_inventory.md</x:v>
      </x:c>
    </x:row>
    <x:row r="44" ht="90" customHeight="1">
      <x:c r="A44" s="6" t="str">
        <x:v>2024::jama.2024.11057::C001</x:v>
      </x:c>
      <x:c r="B44" s="6" t="str">
        <x:v>evidencePaths</x:v>
      </x:c>
      <x:c r="C44" s="6" t="n">
        <x:v>1</x:v>
      </x:c>
      <x:c r="D44" s="6" t="str">
        <x:v>2024/jama.2024.11057/.ai_paper_validation/review_1_5_3/verification/evidence_recheck.md</x:v>
      </x:c>
      <x:c r="E44" s="6" t="str">
        <x:v>../../2024/jama.2024.11057/.ai_paper_validation/review_1_5_3/verification/evidence_recheck.md</x:v>
      </x:c>
    </x:row>
    <x:row r="45" ht="90" customHeight="1">
      <x:c r="A45" s="3" t="str">
        <x:v>2024::jama.2024.11057::C002</x:v>
      </x:c>
      <x:c r="B45" s="3" t="str">
        <x:v>sourceLinks</x:v>
      </x:c>
      <x:c r="C45" s="3" t="n">
        <x:v>0</x:v>
      </x:c>
      <x:c r="D45" s="3" t="str">
        <x:v>joi240078supp2_prod_1739900423.24574.pdf — PDF p. 12</x:v>
      </x:c>
      <x:c r="E45" s="3" t="str">
        <x:v>../../2024/jama.2024.11057/joi240078supp2_prod_1739900423.24574.pdf#page=12</x:v>
      </x:c>
    </x:row>
    <x:row r="46" ht="90" customHeight="1">
      <x:c r="A46" s="6" t="str">
        <x:v>2024::jama.2024.11057::C002</x:v>
      </x:c>
      <x:c r="B46" s="6" t="str">
        <x:v>sourceLinks</x:v>
      </x:c>
      <x:c r="C46" s="6" t="n">
        <x:v>1</x:v>
      </x:c>
      <x:c r="D46" s="6" t="str">
        <x:v>joi240078supp2_prod_1739900423.24574.pdf — PDF p. 13</x:v>
      </x:c>
      <x:c r="E46" s="6" t="str">
        <x:v>../../2024/jama.2024.11057/joi240078supp2_prod_1739900423.24574.pdf#page=13</x:v>
      </x:c>
    </x:row>
    <x:row r="47" ht="90" customHeight="1">
      <x:c r="A47" s="3" t="str">
        <x:v>2024::jama.2024.11057::C002</x:v>
      </x:c>
      <x:c r="B47" s="3" t="str">
        <x:v>sourceLinks</x:v>
      </x:c>
      <x:c r="C47" s="3" t="n">
        <x:v>2</x:v>
      </x:c>
      <x:c r="D47" s="3" t="str">
        <x:v>jama_graham_2024_oi_240078_1739900423.19074.pdf — PDF p. 4</x:v>
      </x:c>
      <x:c r="E47" s="3" t="str">
        <x:v>../../2024/jama.2024.11057/jama_graham_2024_oi_240078_1739900423.19074.pdf#page=4</x:v>
      </x:c>
    </x:row>
    <x:row r="48" ht="90" customHeight="1">
      <x:c r="A48" s="6" t="str">
        <x:v>2024::jama.2024.11057::C002</x:v>
      </x:c>
      <x:c r="B48" s="6" t="str">
        <x:v>evidencePaths</x:v>
      </x:c>
      <x:c r="C48" s="6" t="n">
        <x:v>0</x:v>
      </x:c>
      <x:c r="D48" s="6" t="str">
        <x:v>2024/jama.2024.11057/.ai_paper_validation/review_1_5_3/source_inventory.md</x:v>
      </x:c>
      <x:c r="E48" s="6" t="str">
        <x:v>../../2024/jama.2024.11057/.ai_paper_validation/review_1_5_3/source_inventory.md</x:v>
      </x:c>
    </x:row>
    <x:row r="49" ht="90" customHeight="1">
      <x:c r="A49" s="3" t="str">
        <x:v>2024::jama.2024.11057::C002</x:v>
      </x:c>
      <x:c r="B49" s="3" t="str">
        <x:v>evidencePaths</x:v>
      </x:c>
      <x:c r="C49" s="3" t="n">
        <x:v>1</x:v>
      </x:c>
      <x:c r="D49" s="3" t="str">
        <x:v>2024/jama.2024.11057/.ai_paper_validation/review_1_5_3/verification/evidence_recheck.md</x:v>
      </x:c>
      <x:c r="E49" s="3" t="str">
        <x:v>../../2024/jama.2024.11057/.ai_paper_validation/review_1_5_3/verification/evidence_recheck.md</x:v>
      </x:c>
    </x:row>
    <x:row r="50" ht="90" customHeight="1">
      <x:c r="A50" s="6" t="str">
        <x:v>2024::jama.2024.11057::C003</x:v>
      </x:c>
      <x:c r="B50" s="6" t="str">
        <x:v>sourceLinks</x:v>
      </x:c>
      <x:c r="C50" s="6" t="n">
        <x:v>0</x:v>
      </x:c>
      <x:c r="D50" s="6" t="str">
        <x:v>joi240078supp2_prod_1739900423.24574.pdf — PDF p. 5</x:v>
      </x:c>
      <x:c r="E50" s="6" t="str">
        <x:v>../../2024/jama.2024.11057/joi240078supp2_prod_1739900423.24574.pdf#page=5</x:v>
      </x:c>
    </x:row>
    <x:row r="51" ht="90" customHeight="1">
      <x:c r="A51" s="3" t="str">
        <x:v>2024::jama.2024.11057::C003</x:v>
      </x:c>
      <x:c r="B51" s="3" t="str">
        <x:v>sourceLinks</x:v>
      </x:c>
      <x:c r="C51" s="3" t="n">
        <x:v>1</x:v>
      </x:c>
      <x:c r="D51" s="3" t="str">
        <x:v>joi240078supp2_prod_1739900423.24574.pdf — PDF p. 14</x:v>
      </x:c>
      <x:c r="E51" s="3" t="str">
        <x:v>../../2024/jama.2024.11057/joi240078supp2_prod_1739900423.24574.pdf#page=14</x:v>
      </x:c>
    </x:row>
    <x:row r="52" ht="90" customHeight="1">
      <x:c r="A52" s="6" t="str">
        <x:v>2024::jama.2024.11057::C003</x:v>
      </x:c>
      <x:c r="B52" s="6" t="str">
        <x:v>sourceLinks</x:v>
      </x:c>
      <x:c r="C52" s="6" t="n">
        <x:v>2</x:v>
      </x:c>
      <x:c r="D52" s="6" t="str">
        <x:v>jama_graham_2024_oi_240078_1739900423.19074.pdf — PDF p. 4</x:v>
      </x:c>
      <x:c r="E52" s="6" t="str">
        <x:v>../../2024/jama.2024.11057/jama_graham_2024_oi_240078_1739900423.19074.pdf#page=4</x:v>
      </x:c>
    </x:row>
    <x:row r="53" ht="90" customHeight="1">
      <x:c r="A53" s="3" t="str">
        <x:v>2024::jama.2024.11057::C003</x:v>
      </x:c>
      <x:c r="B53" s="3" t="str">
        <x:v>evidencePaths</x:v>
      </x:c>
      <x:c r="C53" s="3" t="n">
        <x:v>0</x:v>
      </x:c>
      <x:c r="D53" s="3" t="str">
        <x:v>2024/jama.2024.11057/.ai_paper_validation/review_1_5_3/source_inventory.md</x:v>
      </x:c>
      <x:c r="E53" s="3" t="str">
        <x:v>../../2024/jama.2024.11057/.ai_paper_validation/review_1_5_3/source_inventory.md</x:v>
      </x:c>
    </x:row>
    <x:row r="54" ht="90" customHeight="1">
      <x:c r="A54" s="6" t="str">
        <x:v>2024::jama.2024.11057::C003</x:v>
      </x:c>
      <x:c r="B54" s="6" t="str">
        <x:v>evidencePaths</x:v>
      </x:c>
      <x:c r="C54" s="6" t="n">
        <x:v>1</x:v>
      </x:c>
      <x:c r="D54" s="6" t="str">
        <x:v>2024/jama.2024.11057/.ai_paper_validation/review_1_5_3/verification/evidence_recheck_C003.md</x:v>
      </x:c>
      <x:c r="E54" s="6" t="str">
        <x:v>../../2024/jama.2024.11057/.ai_paper_validation/review_1_5_3/verification/evidence_recheck_C003.md</x:v>
      </x:c>
    </x:row>
    <x:row r="55" ht="90" customHeight="1">
      <x:c r="A55" s="3" t="str">
        <x:v>2024::jama.2024.12829::C001</x:v>
      </x:c>
      <x:c r="B55" s="3" t="str">
        <x:v>sourceLinks</x:v>
      </x:c>
      <x:c r="C55" s="3" t="n">
        <x:v>0</x:v>
      </x:c>
      <x:c r="D55" s="3" t="str">
        <x:v>DOC-001 Table 1, PDF p. 6</x:v>
      </x:c>
      <x:c r="E55" s="3" t="str">
        <x:v>../../2024/jama.2024.12829/jama_sun_2024_oi_240088_1746815064.14747.pdf#page=6</x:v>
      </x:c>
    </x:row>
    <x:row r="56" ht="90" customHeight="1">
      <x:c r="A56" s="6" t="str">
        <x:v>2024::jama.2024.12829::C001</x:v>
      </x:c>
      <x:c r="B56" s="6" t="str">
        <x:v>evidencePaths</x:v>
      </x:c>
      <x:c r="C56" s="6" t="n">
        <x:v>0</x:v>
      </x:c>
      <x:c r="D56" s="6" t="str">
        <x:v>2024/jama.2024.12829/.ai_paper_validation/review_1_5_3/source_inventory.md</x:v>
      </x:c>
      <x:c r="E56" s="6" t="str">
        <x:v>../../2024/jama.2024.12829/.ai_paper_validation/review_1_5_3/source_inventory.md</x:v>
      </x:c>
    </x:row>
    <x:row r="57" ht="90" customHeight="1">
      <x:c r="A57" s="3" t="str">
        <x:v>2024::jama.2024.12829::C002</x:v>
      </x:c>
      <x:c r="B57" s="3" t="str">
        <x:v>sourceLinks</x:v>
      </x:c>
      <x:c r="C57" s="3" t="n">
        <x:v>0</x:v>
      </x:c>
      <x:c r="D57" s="3" t="str">
        <x:v>DOC-001 Table 1, PDF p. 6</x:v>
      </x:c>
      <x:c r="E57" s="3" t="str">
        <x:v>../../2024/jama.2024.12829/jama_sun_2024_oi_240088_1746815064.14747.pdf#page=6</x:v>
      </x:c>
    </x:row>
    <x:row r="58" ht="90" customHeight="1">
      <x:c r="A58" s="6" t="str">
        <x:v>2024::jama.2024.12829::C002</x:v>
      </x:c>
      <x:c r="B58" s="6" t="str">
        <x:v>sourceLinks</x:v>
      </x:c>
      <x:c r="C58" s="6" t="n">
        <x:v>1</x:v>
      </x:c>
      <x:c r="D58" s="6" t="str">
        <x:v>DOC-002 Table S1, PDF p. 14</x:v>
      </x:c>
      <x:c r="E58" s="6" t="str">
        <x:v>../../2024/jama.2024.12829/joi240088supp1_prod_1746815064.21247.pdf#page=14</x:v>
      </x:c>
    </x:row>
    <x:row r="59" ht="90" customHeight="1">
      <x:c r="A59" s="3" t="str">
        <x:v>2024::jama.2024.12829::C002</x:v>
      </x:c>
      <x:c r="B59" s="3" t="str">
        <x:v>evidencePaths</x:v>
      </x:c>
      <x:c r="C59" s="3" t="n">
        <x:v>0</x:v>
      </x:c>
      <x:c r="D59" s="3" t="str">
        <x:v>2024/jama.2024.12829/.ai_paper_validation/review_1_5_3/source_inventory.md</x:v>
      </x:c>
      <x:c r="E59" s="3" t="str">
        <x:v>../../2024/jama.2024.12829/.ai_paper_validation/review_1_5_3/source_inventory.md</x:v>
      </x:c>
    </x:row>
    <x:row r="60" ht="90" customHeight="1">
      <x:c r="A60" s="6" t="str">
        <x:v>2024::jama.2024.12829::C003</x:v>
      </x:c>
      <x:c r="B60" s="6" t="str">
        <x:v>sourceLinks</x:v>
      </x:c>
      <x:c r="C60" s="6" t="n">
        <x:v>0</x:v>
      </x:c>
      <x:c r="D60" s="6" t="str">
        <x:v>DOC-002 Table S4, PDF p. 17</x:v>
      </x:c>
      <x:c r="E60" s="6" t="str">
        <x:v>../../2024/jama.2024.12829/joi240088supp1_prod_1746815064.21247.pdf#page=17</x:v>
      </x:c>
    </x:row>
    <x:row r="61" ht="90" customHeight="1">
      <x:c r="A61" s="3" t="str">
        <x:v>2024::jama.2024.12829::C003</x:v>
      </x:c>
      <x:c r="B61" s="3" t="str">
        <x:v>evidencePaths</x:v>
      </x:c>
      <x:c r="C61" s="3" t="n">
        <x:v>0</x:v>
      </x:c>
      <x:c r="D61" s="3" t="str">
        <x:v>2024/jama.2024.12829/.ai_paper_validation/review_1_5_3/source_inventory.md</x:v>
      </x:c>
      <x:c r="E61" s="3" t="str">
        <x:v>../../2024/jama.2024.12829/.ai_paper_validation/review_1_5_3/source_inventory.md</x:v>
      </x:c>
    </x:row>
    <x:row r="62" ht="90" customHeight="1">
      <x:c r="A62" s="6" t="str">
        <x:v>2024::jama.2024.12829::C004</x:v>
      </x:c>
      <x:c r="B62" s="6" t="str">
        <x:v>sourceLinks</x:v>
      </x:c>
      <x:c r="C62" s="6" t="n">
        <x:v>0</x:v>
      </x:c>
      <x:c r="D62" s="6" t="str">
        <x:v>DOC-002 Table S6, PDF p. 19</x:v>
      </x:c>
      <x:c r="E62" s="6" t="str">
        <x:v>../../2024/jama.2024.12829/joi240088supp1_prod_1746815064.21247.pdf#page=19</x:v>
      </x:c>
    </x:row>
    <x:row r="63" ht="90" customHeight="1">
      <x:c r="A63" s="3" t="str">
        <x:v>2024::jama.2024.12829::C004</x:v>
      </x:c>
      <x:c r="B63" s="3" t="str">
        <x:v>evidencePaths</x:v>
      </x:c>
      <x:c r="C63" s="3" t="n">
        <x:v>0</x:v>
      </x:c>
      <x:c r="D63" s="3" t="str">
        <x:v>2024/jama.2024.12829/.ai_paper_validation/review_1_5_3/source_inventory.md</x:v>
      </x:c>
      <x:c r="E63" s="3" t="str">
        <x:v>../../2024/jama.2024.12829/.ai_paper_validation/review_1_5_3/source_inventory.md</x:v>
      </x:c>
    </x:row>
    <x:row r="64" ht="90" customHeight="1">
      <x:c r="A64" s="6" t="str">
        <x:v>2024::jama.2024.12829::C005</x:v>
      </x:c>
      <x:c r="B64" s="6" t="str">
        <x:v>sourceLinks</x:v>
      </x:c>
      <x:c r="C64" s="6" t="n">
        <x:v>0</x:v>
      </x:c>
      <x:c r="D64" s="6" t="str">
        <x:v>DOC-002 Table S7, PDF p. 20</x:v>
      </x:c>
      <x:c r="E64" s="6" t="str">
        <x:v>../../2024/jama.2024.12829/joi240088supp1_prod_1746815064.21247.pdf#page=20</x:v>
      </x:c>
    </x:row>
    <x:row r="65" ht="90" customHeight="1">
      <x:c r="A65" s="3" t="str">
        <x:v>2024::jama.2024.12829::C005</x:v>
      </x:c>
      <x:c r="B65" s="3" t="str">
        <x:v>sourceLinks</x:v>
      </x:c>
      <x:c r="C65" s="3" t="n">
        <x:v>1</x:v>
      </x:c>
      <x:c r="D65" s="3" t="str">
        <x:v>DOC-001 Figure 1, PDF p. 5</x:v>
      </x:c>
      <x:c r="E65" s="3" t="str">
        <x:v>../../2024/jama.2024.12829/jama_sun_2024_oi_240088_1746815064.14747.pdf#page=5</x:v>
      </x:c>
    </x:row>
    <x:row r="66" ht="90" customHeight="1">
      <x:c r="A66" s="6" t="str">
        <x:v>2024::jama.2024.12829::C005</x:v>
      </x:c>
      <x:c r="B66" s="6" t="str">
        <x:v>sourceLinks</x:v>
      </x:c>
      <x:c r="C66" s="6" t="n">
        <x:v>2</x:v>
      </x:c>
      <x:c r="D66" s="6" t="str">
        <x:v>DOC-002 Table S10, PDF p. 23</x:v>
      </x:c>
      <x:c r="E66" s="6" t="str">
        <x:v>../../2024/jama.2024.12829/joi240088supp1_prod_1746815064.21247.pdf#page=23</x:v>
      </x:c>
    </x:row>
    <x:row r="67" ht="90" customHeight="1">
      <x:c r="A67" s="3" t="str">
        <x:v>2024::jama.2024.12829::C005</x:v>
      </x:c>
      <x:c r="B67" s="3" t="str">
        <x:v>evidencePaths</x:v>
      </x:c>
      <x:c r="C67" s="3" t="n">
        <x:v>0</x:v>
      </x:c>
      <x:c r="D67" s="3" t="str">
        <x:v>2024/jama.2024.12829/.ai_paper_validation/review_1_5_3/source_inventory.md</x:v>
      </x:c>
      <x:c r="E67" s="3" t="str">
        <x:v>../../2024/jama.2024.12829/.ai_paper_validation/review_1_5_3/source_inventory.md</x:v>
      </x:c>
    </x:row>
    <x:row r="68" ht="90" customHeight="1">
      <x:c r="A68" s="6" t="str">
        <x:v>2024::jama.2024.12829::C006</x:v>
      </x:c>
      <x:c r="B68" s="6" t="str">
        <x:v>sourceLinks</x:v>
      </x:c>
      <x:c r="C68" s="6" t="n">
        <x:v>0</x:v>
      </x:c>
      <x:c r="D68" s="6" t="str">
        <x:v>DOC-002 Table S8, PDF p. 21</x:v>
      </x:c>
      <x:c r="E68" s="6" t="str">
        <x:v>../../2024/jama.2024.12829/joi240088supp1_prod_1746815064.21247.pdf#page=21</x:v>
      </x:c>
    </x:row>
    <x:row r="69" ht="90" customHeight="1">
      <x:c r="A69" s="3" t="str">
        <x:v>2024::jama.2024.12829::C006</x:v>
      </x:c>
      <x:c r="B69" s="3" t="str">
        <x:v>sourceLinks</x:v>
      </x:c>
      <x:c r="C69" s="3" t="n">
        <x:v>1</x:v>
      </x:c>
      <x:c r="D69" s="3" t="str">
        <x:v>DOC-001 Figure 1, PDF p. 5</x:v>
      </x:c>
      <x:c r="E69" s="3" t="str">
        <x:v>../../2024/jama.2024.12829/jama_sun_2024_oi_240088_1746815064.14747.pdf#page=5</x:v>
      </x:c>
    </x:row>
    <x:row r="70" ht="90" customHeight="1">
      <x:c r="A70" s="6" t="str">
        <x:v>2024::jama.2024.12829::C006</x:v>
      </x:c>
      <x:c r="B70" s="6" t="str">
        <x:v>sourceLinks</x:v>
      </x:c>
      <x:c r="C70" s="6" t="n">
        <x:v>2</x:v>
      </x:c>
      <x:c r="D70" s="6" t="str">
        <x:v>DOC-002 Table S10, PDF p. 23</x:v>
      </x:c>
      <x:c r="E70" s="6" t="str">
        <x:v>../../2024/jama.2024.12829/joi240088supp1_prod_1746815064.21247.pdf#page=23</x:v>
      </x:c>
    </x:row>
    <x:row r="71" ht="90" customHeight="1">
      <x:c r="A71" s="3" t="str">
        <x:v>2024::jama.2024.12829::C006</x:v>
      </x:c>
      <x:c r="B71" s="3" t="str">
        <x:v>evidencePaths</x:v>
      </x:c>
      <x:c r="C71" s="3" t="n">
        <x:v>0</x:v>
      </x:c>
      <x:c r="D71" s="3" t="str">
        <x:v>2024/jama.2024.12829/.ai_paper_validation/review_1_5_3/source_inventory.md</x:v>
      </x:c>
      <x:c r="E71" s="3" t="str">
        <x:v>../../2024/jama.2024.12829/.ai_paper_validation/review_1_5_3/source_inventory.md</x:v>
      </x:c>
    </x:row>
    <x:row r="72" ht="90" customHeight="1">
      <x:c r="A72" s="6" t="str">
        <x:v>2024::jama.2024.12829::C006</x:v>
      </x:c>
      <x:c r="B72" s="6" t="str">
        <x:v>evidencePaths</x:v>
      </x:c>
      <x:c r="C72" s="6" t="n">
        <x:v>1</x:v>
      </x:c>
      <x:c r="D72" s="6" t="str">
        <x:v>2024/jama.2024.12829/.ai_paper_validation/review_1_5_3/verification/evidence_recheck.md</x:v>
      </x:c>
      <x:c r="E72" s="6" t="str">
        <x:v>../../2024/jama.2024.12829/.ai_paper_validation/review_1_5_3/verification/evidence_recheck.md</x:v>
      </x:c>
    </x:row>
    <x:row r="73" ht="90" customHeight="1">
      <x:c r="A73" s="3" t="str">
        <x:v>2024::jama.2024.12829::C007</x:v>
      </x:c>
      <x:c r="B73" s="3" t="str">
        <x:v>sourceLinks</x:v>
      </x:c>
      <x:c r="C73" s="3" t="n">
        <x:v>0</x:v>
      </x:c>
      <x:c r="D73" s="3" t="str">
        <x:v>DOC-002 Table S9, PDF p. 22</x:v>
      </x:c>
      <x:c r="E73" s="3" t="str">
        <x:v>../../2024/jama.2024.12829/joi240088supp1_prod_1746815064.21247.pdf#page=22</x:v>
      </x:c>
    </x:row>
    <x:row r="74" ht="90" customHeight="1">
      <x:c r="A74" s="6" t="str">
        <x:v>2024::jama.2024.12829::C007</x:v>
      </x:c>
      <x:c r="B74" s="6" t="str">
        <x:v>sourceLinks</x:v>
      </x:c>
      <x:c r="C74" s="6" t="n">
        <x:v>1</x:v>
      </x:c>
      <x:c r="D74" s="6" t="str">
        <x:v>DOC-002 Table S10, PDF p. 23</x:v>
      </x:c>
      <x:c r="E74" s="6" t="str">
        <x:v>../../2024/jama.2024.12829/joi240088supp1_prod_1746815064.21247.pdf#page=23</x:v>
      </x:c>
    </x:row>
    <x:row r="75" ht="90" customHeight="1">
      <x:c r="A75" s="3" t="str">
        <x:v>2024::jama.2024.12829::C007</x:v>
      </x:c>
      <x:c r="B75" s="3" t="str">
        <x:v>evidencePaths</x:v>
      </x:c>
      <x:c r="C75" s="3" t="n">
        <x:v>0</x:v>
      </x:c>
      <x:c r="D75" s="3" t="str">
        <x:v>2024/jama.2024.12829/.ai_paper_validation/review_1_5_3/source_inventory.md</x:v>
      </x:c>
      <x:c r="E75" s="3" t="str">
        <x:v>../../2024/jama.2024.12829/.ai_paper_validation/review_1_5_3/source_inventory.md</x:v>
      </x:c>
    </x:row>
    <x:row r="76" ht="90" customHeight="1">
      <x:c r="A76" s="6" t="str">
        <x:v>2024::jama.2024.12829::C008</x:v>
      </x:c>
      <x:c r="B76" s="6" t="str">
        <x:v>sourceLinks</x:v>
      </x:c>
      <x:c r="C76" s="6" t="n">
        <x:v>0</x:v>
      </x:c>
      <x:c r="D76" s="6" t="str">
        <x:v>DOC-001 eligibility, PDF p. 2</x:v>
      </x:c>
      <x:c r="E76" s="6" t="str">
        <x:v>../../2024/jama.2024.12829/jama_sun_2024_oi_240088_1746815064.14747.pdf#page=2</x:v>
      </x:c>
    </x:row>
    <x:row r="77" ht="90" customHeight="1">
      <x:c r="A77" s="3" t="str">
        <x:v>2024::jama.2024.12829::C008</x:v>
      </x:c>
      <x:c r="B77" s="3" t="str">
        <x:v>sourceLinks</x:v>
      </x:c>
      <x:c r="C77" s="3" t="n">
        <x:v>1</x:v>
      </x:c>
      <x:c r="D77" s="3" t="str">
        <x:v>DOC-001 Figure 1, PDF p. 5</x:v>
      </x:c>
      <x:c r="E77" s="3" t="str">
        <x:v>../../2024/jama.2024.12829/jama_sun_2024_oi_240088_1746815064.14747.pdf#page=5</x:v>
      </x:c>
    </x:row>
    <x:row r="78" ht="90" customHeight="1">
      <x:c r="A78" s="6" t="str">
        <x:v>2024::jama.2024.12829::C008</x:v>
      </x:c>
      <x:c r="B78" s="6" t="str">
        <x:v>sourceLinks</x:v>
      </x:c>
      <x:c r="C78" s="6" t="n">
        <x:v>2</x:v>
      </x:c>
      <x:c r="D78" s="6" t="str">
        <x:v>DOC-001 Table 1, PDF p. 6</x:v>
      </x:c>
      <x:c r="E78" s="6" t="str">
        <x:v>../../2024/jama.2024.12829/jama_sun_2024_oi_240088_1746815064.14747.pdf#page=6</x:v>
      </x:c>
    </x:row>
    <x:row r="79" ht="90" customHeight="1">
      <x:c r="A79" s="3" t="str">
        <x:v>2024::jama.2024.12829::C008</x:v>
      </x:c>
      <x:c r="B79" s="3" t="str">
        <x:v>evidencePaths</x:v>
      </x:c>
      <x:c r="C79" s="3" t="n">
        <x:v>0</x:v>
      </x:c>
      <x:c r="D79" s="3" t="str">
        <x:v>2024/jama.2024.12829/.ai_paper_validation/review_1_5_3/source_inventory.md</x:v>
      </x:c>
      <x:c r="E79" s="3" t="str">
        <x:v>../../2024/jama.2024.12829/.ai_paper_validation/review_1_5_3/source_inventory.md</x:v>
      </x:c>
    </x:row>
    <x:row r="80" ht="90" customHeight="1">
      <x:c r="A80" s="6" t="str">
        <x:v>2024::jama.2024.12829::C009</x:v>
      </x:c>
      <x:c r="B80" s="6" t="str">
        <x:v>sourceLinks</x:v>
      </x:c>
      <x:c r="C80" s="6" t="n">
        <x:v>0</x:v>
      </x:c>
      <x:c r="D80" s="6" t="str">
        <x:v>DOC-002 study-design graphic, PDF p. 6</x:v>
      </x:c>
      <x:c r="E80" s="6" t="str">
        <x:v>../../2024/jama.2024.12829/joi240088supp1_prod_1746815064.21247.pdf#page=6</x:v>
      </x:c>
    </x:row>
    <x:row r="81" ht="90" customHeight="1">
      <x:c r="A81" s="3" t="str">
        <x:v>2024::jama.2024.12829::C009</x:v>
      </x:c>
      <x:c r="B81" s="3" t="str">
        <x:v>sourceLinks</x:v>
      </x:c>
      <x:c r="C81" s="3" t="n">
        <x:v>1</x:v>
      </x:c>
      <x:c r="D81" s="3" t="str">
        <x:v>DOC-001 schedule, PDF p. 3</x:v>
      </x:c>
      <x:c r="E81" s="3" t="str">
        <x:v>../../2024/jama.2024.12829/jama_sun_2024_oi_240088_1746815064.14747.pdf#page=3</x:v>
      </x:c>
    </x:row>
    <x:row r="82" ht="90" customHeight="1">
      <x:c r="A82" s="6" t="str">
        <x:v>2024::jama.2024.12829::C009</x:v>
      </x:c>
      <x:c r="B82" s="6" t="str">
        <x:v>sourceLinks</x:v>
      </x:c>
      <x:c r="C82" s="6" t="n">
        <x:v>2</x:v>
      </x:c>
      <x:c r="D82" s="6" t="str">
        <x:v>DOC-003 schedule, PDF p. 15</x:v>
      </x:c>
      <x:c r="E82" s="6" t="str">
        <x:v>../../2024/jama.2024.12829/joi240088supp2_prod_1746815064.36071.pdf#page=15</x:v>
      </x:c>
    </x:row>
    <x:row r="83" ht="90" customHeight="1">
      <x:c r="A83" s="3" t="str">
        <x:v>2024::jama.2024.12829::C009</x:v>
      </x:c>
      <x:c r="B83" s="3" t="str">
        <x:v>evidencePaths</x:v>
      </x:c>
      <x:c r="C83" s="3" t="n">
        <x:v>0</x:v>
      </x:c>
      <x:c r="D83" s="3" t="str">
        <x:v>2024/jama.2024.12829/.ai_paper_validation/review_1_5_3/source_inventory.md</x:v>
      </x:c>
      <x:c r="E83" s="3" t="str">
        <x:v>../../2024/jama.2024.12829/.ai_paper_validation/review_1_5_3/source_inventory.md</x:v>
      </x:c>
    </x:row>
    <x:row r="84" ht="90" customHeight="1">
      <x:c r="A84" s="6" t="str">
        <x:v>2024::jama.2024.12829::C009</x:v>
      </x:c>
      <x:c r="B84" s="6" t="str">
        <x:v>evidencePaths</x:v>
      </x:c>
      <x:c r="C84" s="6" t="n">
        <x:v>1</x:v>
      </x:c>
      <x:c r="D84" s="6" t="str">
        <x:v>2024/jama.2024.12829/.ai_paper_validation/review_1_5_3/verification/evidence_recheck.md</x:v>
      </x:c>
      <x:c r="E84" s="6" t="str">
        <x:v>../../2024/jama.2024.12829/.ai_paper_validation/review_1_5_3/verification/evidence_recheck.md</x:v>
      </x:c>
    </x:row>
    <x:row r="85" ht="90" customHeight="1">
      <x:c r="A85" s="3" t="str">
        <x:v>2024::jama.2024.12829::C010</x:v>
      </x:c>
      <x:c r="B85" s="3" t="str">
        <x:v>sourceLinks</x:v>
      </x:c>
      <x:c r="C85" s="3" t="n">
        <x:v>0</x:v>
      </x:c>
      <x:c r="D85" s="3" t="str">
        <x:v>DOC-003 synopsis, PDF p. 7</x:v>
      </x:c>
      <x:c r="E85" s="3" t="str">
        <x:v>../../2024/jama.2024.12829/joi240088supp2_prod_1746815064.36071.pdf#page=7</x:v>
      </x:c>
    </x:row>
    <x:row r="86" ht="90" customHeight="1">
      <x:c r="A86" s="6" t="str">
        <x:v>2024::jama.2024.12829::C010</x:v>
      </x:c>
      <x:c r="B86" s="6" t="str">
        <x:v>sourceLinks</x:v>
      </x:c>
      <x:c r="C86" s="6" t="n">
        <x:v>1</x:v>
      </x:c>
      <x:c r="D86" s="6" t="str">
        <x:v>DOC-003 body eligibility, PDF p. 21</x:v>
      </x:c>
      <x:c r="E86" s="6" t="str">
        <x:v>../../2024/jama.2024.12829/joi240088supp2_prod_1746815064.36071.pdf#page=21</x:v>
      </x:c>
    </x:row>
    <x:row r="87" ht="90" customHeight="1">
      <x:c r="A87" s="3" t="str">
        <x:v>2024::jama.2024.12829::C010</x:v>
      </x:c>
      <x:c r="B87" s="3" t="str">
        <x:v>evidencePaths</x:v>
      </x:c>
      <x:c r="C87" s="3" t="n">
        <x:v>0</x:v>
      </x:c>
      <x:c r="D87" s="3" t="str">
        <x:v>2024/jama.2024.12829/.ai_paper_validation/review_1_5_3/source_inventory.md</x:v>
      </x:c>
      <x:c r="E87" s="3" t="str">
        <x:v>../../2024/jama.2024.12829/.ai_paper_validation/review_1_5_3/source_inventory.md</x:v>
      </x:c>
    </x:row>
    <x:row r="88" ht="90" customHeight="1">
      <x:c r="A88" s="6" t="str">
        <x:v>2024::jama.2024.12829::C010</x:v>
      </x:c>
      <x:c r="B88" s="6" t="str">
        <x:v>evidencePaths</x:v>
      </x:c>
      <x:c r="C88" s="6" t="n">
        <x:v>1</x:v>
      </x:c>
      <x:c r="D88" s="6" t="str">
        <x:v>2024/jama.2024.12829/.ai_paper_validation/review_1_5_3/verification/evidence_recheck.md</x:v>
      </x:c>
      <x:c r="E88" s="6" t="str">
        <x:v>../../2024/jama.2024.12829/.ai_paper_validation/review_1_5_3/verification/evidence_recheck.md</x:v>
      </x:c>
    </x:row>
    <x:row r="89" ht="90" customHeight="1">
      <x:c r="A89" s="3" t="str">
        <x:v>2024::jama.2024.12829::C011</x:v>
      </x:c>
      <x:c r="B89" s="3" t="str">
        <x:v>sourceLinks</x:v>
      </x:c>
      <x:c r="C89" s="3" t="n">
        <x:v>0</x:v>
      </x:c>
      <x:c r="D89" s="3" t="str">
        <x:v>DOC-002 Table S3, PDF p. 16</x:v>
      </x:c>
      <x:c r="E89" s="3" t="str">
        <x:v>../../2024/jama.2024.12829/joi240088supp1_prod_1746815064.21247.pdf#page=16</x:v>
      </x:c>
    </x:row>
    <x:row r="90" ht="90" customHeight="1">
      <x:c r="A90" s="6" t="str">
        <x:v>2024::jama.2024.12829::C011</x:v>
      </x:c>
      <x:c r="B90" s="6" t="str">
        <x:v>evidencePaths</x:v>
      </x:c>
      <x:c r="C90" s="6" t="n">
        <x:v>0</x:v>
      </x:c>
      <x:c r="D90" s="6" t="str">
        <x:v>2024/jama.2024.12829/.ai_paper_validation/review_1_5_3/source_inventory.md</x:v>
      </x:c>
      <x:c r="E90" s="6" t="str">
        <x:v>../../2024/jama.2024.12829/.ai_paper_validation/review_1_5_3/source_inventory.md</x:v>
      </x:c>
    </x:row>
    <x:row r="91" ht="90" customHeight="1">
      <x:c r="A91" s="3" t="str">
        <x:v>2024::jama.2024.12829::C012</x:v>
      </x:c>
      <x:c r="B91" s="3" t="str">
        <x:v>sourceLinks</x:v>
      </x:c>
      <x:c r="C91" s="3" t="n">
        <x:v>0</x:v>
      </x:c>
      <x:c r="D91" s="3" t="str">
        <x:v>DOC-002 Figure S1, PDF p. 10</x:v>
      </x:c>
      <x:c r="E91" s="3" t="str">
        <x:v>../../2024/jama.2024.12829/joi240088supp1_prod_1746815064.21247.pdf#page=10</x:v>
      </x:c>
    </x:row>
    <x:row r="92" ht="90" customHeight="1">
      <x:c r="A92" s="6" t="str">
        <x:v>2024::jama.2024.12829::C012</x:v>
      </x:c>
      <x:c r="B92" s="6" t="str">
        <x:v>evidencePaths</x:v>
      </x:c>
      <x:c r="C92" s="6" t="n">
        <x:v>0</x:v>
      </x:c>
      <x:c r="D92" s="6" t="str">
        <x:v>2024/jama.2024.12829/.ai_paper_validation/review_1_5_3/source_inventory.md</x:v>
      </x:c>
      <x:c r="E92" s="6" t="str">
        <x:v>../../2024/jama.2024.12829/.ai_paper_validation/review_1_5_3/source_inventory.md</x:v>
      </x:c>
    </x:row>
    <x:row r="93" ht="90" customHeight="1">
      <x:c r="A93" s="3" t="str">
        <x:v>2024::jama.2024.12829::C013</x:v>
      </x:c>
      <x:c r="B93" s="3" t="str">
        <x:v>sourceLinks</x:v>
      </x:c>
      <x:c r="C93" s="3" t="n">
        <x:v>0</x:v>
      </x:c>
      <x:c r="D93" s="3" t="str">
        <x:v>DOC-003 Protocol V2.0 paragraph, PDF p. 35</x:v>
      </x:c>
      <x:c r="E93" s="3" t="str">
        <x:v>../../2024/jama.2024.12829/joi240088supp2_prod_1746815064.36071.pdf#page=35</x:v>
      </x:c>
    </x:row>
    <x:row r="94" ht="90" customHeight="1">
      <x:c r="A94" s="6" t="str">
        <x:v>2024::jama.2024.12829::C013</x:v>
      </x:c>
      <x:c r="B94" s="6" t="str">
        <x:v>sourceLinks</x:v>
      </x:c>
      <x:c r="C94" s="6" t="n">
        <x:v>1</x:v>
      </x:c>
      <x:c r="D94" s="6" t="str">
        <x:v>DOC-003 Protocol V2.3 paragraph, PDF p. 96</x:v>
      </x:c>
      <x:c r="E94" s="6" t="str">
        <x:v>../../2024/jama.2024.12829/joi240088supp2_prod_1746815064.36071.pdf#page=96</x:v>
      </x:c>
    </x:row>
    <x:row r="95" ht="90" customHeight="1">
      <x:c r="A95" s="3" t="str">
        <x:v>2024::jama.2024.12829::C013</x:v>
      </x:c>
      <x:c r="B95" s="3" t="str">
        <x:v>sourceLinks</x:v>
      </x:c>
      <x:c r="C95" s="3" t="n">
        <x:v>2</x:v>
      </x:c>
      <x:c r="D95" s="3" t="str">
        <x:v>DOC-003 schedule, PDF p. 15</x:v>
      </x:c>
      <x:c r="E95" s="3" t="str">
        <x:v>../../2024/jama.2024.12829/joi240088supp2_prod_1746815064.36071.pdf#page=15</x:v>
      </x:c>
    </x:row>
    <x:row r="96" ht="90" customHeight="1">
      <x:c r="A96" s="6" t="str">
        <x:v>2024::jama.2024.12829::C013</x:v>
      </x:c>
      <x:c r="B96" s="6" t="str">
        <x:v>evidencePaths</x:v>
      </x:c>
      <x:c r="C96" s="6" t="n">
        <x:v>0</x:v>
      </x:c>
      <x:c r="D96" s="6" t="str">
        <x:v>2024/jama.2024.12829/.ai_paper_validation/review_1_5_3/source_inventory.md</x:v>
      </x:c>
      <x:c r="E96" s="6" t="str">
        <x:v>../../2024/jama.2024.12829/.ai_paper_validation/review_1_5_3/source_inventory.md</x:v>
      </x:c>
    </x:row>
    <x:row r="97" ht="90" customHeight="1">
      <x:c r="A97" s="3" t="str">
        <x:v>2024::jama.2024.12829::C013</x:v>
      </x:c>
      <x:c r="B97" s="3" t="str">
        <x:v>evidencePaths</x:v>
      </x:c>
      <x:c r="C97" s="3" t="n">
        <x:v>1</x:v>
      </x:c>
      <x:c r="D97" s="3" t="str">
        <x:v>2024/jama.2024.12829/.ai_paper_validation/review_1_5_3/verification/evidence_recheck.md</x:v>
      </x:c>
      <x:c r="E97" s="3" t="str">
        <x:v>../../2024/jama.2024.12829/.ai_paper_validation/review_1_5_3/verification/evidence_recheck.md</x:v>
      </x:c>
    </x:row>
    <x:row r="98" ht="90" customHeight="1">
      <x:c r="A98" s="6" t="str">
        <x:v>2024::jama.2024.12829::C014</x:v>
      </x:c>
      <x:c r="B98" s="6" t="str">
        <x:v>sourceLinks</x:v>
      </x:c>
      <x:c r="C98" s="6" t="n">
        <x:v>0</x:v>
      </x:c>
      <x:c r="D98" s="6" t="str">
        <x:v>DOC-002 Table S9, PDF p. 22</x:v>
      </x:c>
      <x:c r="E98" s="6" t="str">
        <x:v>../../2024/jama.2024.12829/joi240088supp1_prod_1746815064.21247.pdf#page=22</x:v>
      </x:c>
    </x:row>
    <x:row r="99" ht="90" customHeight="1">
      <x:c r="A99" s="3" t="str">
        <x:v>2024::jama.2024.12829::C014</x:v>
      </x:c>
      <x:c r="B99" s="3" t="str">
        <x:v>sourceLinks</x:v>
      </x:c>
      <x:c r="C99" s="3" t="n">
        <x:v>1</x:v>
      </x:c>
      <x:c r="D99" s="3" t="str">
        <x:v>DOC-002 Table S10, PDF p. 23</x:v>
      </x:c>
      <x:c r="E99" s="3" t="str">
        <x:v>../../2024/jama.2024.12829/joi240088supp1_prod_1746815064.21247.pdf#page=23</x:v>
      </x:c>
    </x:row>
    <x:row r="100" ht="90" customHeight="1">
      <x:c r="A100" s="6" t="str">
        <x:v>2024::jama.2024.12829::C014</x:v>
      </x:c>
      <x:c r="B100" s="6" t="str">
        <x:v>evidencePaths</x:v>
      </x:c>
      <x:c r="C100" s="6" t="n">
        <x:v>0</x:v>
      </x:c>
      <x:c r="D100" s="6" t="str">
        <x:v>2024/jama.2024.12829/.ai_paper_validation/review_1_5_3/source_inventory.md</x:v>
      </x:c>
      <x:c r="E100" s="6" t="str">
        <x:v>../../2024/jama.2024.12829/.ai_paper_validation/review_1_5_3/source_inventory.md</x:v>
      </x:c>
    </x:row>
    <x:row r="101" ht="90" customHeight="1">
      <x:c r="A101" s="3" t="str">
        <x:v>2024::jama.2024.12829::C015</x:v>
      </x:c>
      <x:c r="B101" s="3" t="str">
        <x:v>sourceLinks</x:v>
      </x:c>
      <x:c r="C101" s="3" t="n">
        <x:v>0</x:v>
      </x:c>
      <x:c r="D101" s="3" t="str">
        <x:v>DOC-001 narrative, PDF p. 4</x:v>
      </x:c>
      <x:c r="E101" s="3" t="str">
        <x:v>../../2024/jama.2024.12829/jama_sun_2024_oi_240088_1746815064.14747.pdf#page=4</x:v>
      </x:c>
    </x:row>
    <x:row r="102" ht="90" customHeight="1">
      <x:c r="A102" s="6" t="str">
        <x:v>2024::jama.2024.12829::C015</x:v>
      </x:c>
      <x:c r="B102" s="6" t="str">
        <x:v>sourceLinks</x:v>
      </x:c>
      <x:c r="C102" s="6" t="n">
        <x:v>1</x:v>
      </x:c>
      <x:c r="D102" s="6" t="str">
        <x:v>DOC-001 Figure 1, PDF p. 5</x:v>
      </x:c>
      <x:c r="E102" s="6" t="str">
        <x:v>../../2024/jama.2024.12829/jama_sun_2024_oi_240088_1746815064.14747.pdf#page=5</x:v>
      </x:c>
    </x:row>
    <x:row r="103" ht="90" customHeight="1">
      <x:c r="A103" s="3" t="str">
        <x:v>2024::jama.2024.12829::C015</x:v>
      </x:c>
      <x:c r="B103" s="3" t="str">
        <x:v>evidencePaths</x:v>
      </x:c>
      <x:c r="C103" s="3" t="n">
        <x:v>0</x:v>
      </x:c>
      <x:c r="D103" s="3" t="str">
        <x:v>2024/jama.2024.12829/.ai_paper_validation/review_1_5_3/source_inventory.md</x:v>
      </x:c>
      <x:c r="E103" s="3" t="str">
        <x:v>../../2024/jama.2024.12829/.ai_paper_validation/review_1_5_3/source_inventory.md</x:v>
      </x:c>
    </x:row>
    <x:row r="104" ht="90" customHeight="1">
      <x:c r="A104" s="6" t="str">
        <x:v>2024::jama.2024.12829::C016</x:v>
      </x:c>
      <x:c r="B104" s="6" t="str">
        <x:v>sourceLinks</x:v>
      </x:c>
      <x:c r="C104" s="6" t="n">
        <x:v>0</x:v>
      </x:c>
      <x:c r="D104" s="6" t="str">
        <x:v>DOC-001 primary narrative, PDF p. 5</x:v>
      </x:c>
      <x:c r="E104" s="6" t="str">
        <x:v>../../2024/jama.2024.12829/jama_sun_2024_oi_240088_1746815064.14747.pdf#page=5</x:v>
      </x:c>
    </x:row>
    <x:row r="105" ht="90" customHeight="1">
      <x:c r="A105" s="3" t="str">
        <x:v>2024::jama.2024.12829::C016</x:v>
      </x:c>
      <x:c r="B105" s="3" t="str">
        <x:v>sourceLinks</x:v>
      </x:c>
      <x:c r="C105" s="3" t="n">
        <x:v>1</x:v>
      </x:c>
      <x:c r="D105" s="3" t="str">
        <x:v>DOC-001 Table 2, PDF p. 8</x:v>
      </x:c>
      <x:c r="E105" s="3" t="str">
        <x:v>../../2024/jama.2024.12829/jama_sun_2024_oi_240088_1746815064.14747.pdf#page=8</x:v>
      </x:c>
    </x:row>
    <x:row r="106" ht="90" customHeight="1">
      <x:c r="A106" s="6" t="str">
        <x:v>2024::jama.2024.12829::C016</x:v>
      </x:c>
      <x:c r="B106" s="6" t="str">
        <x:v>sourceLinks</x:v>
      </x:c>
      <x:c r="C106" s="6" t="n">
        <x:v>2</x:v>
      </x:c>
      <x:c r="D106" s="6" t="str">
        <x:v>DOC-002 Table S6, PDF p. 19</x:v>
      </x:c>
      <x:c r="E106" s="6" t="str">
        <x:v>../../2024/jama.2024.12829/joi240088supp1_prod_1746815064.21247.pdf#page=19</x:v>
      </x:c>
    </x:row>
    <x:row r="107" ht="90" customHeight="1">
      <x:c r="A107" s="3" t="str">
        <x:v>2024::jama.2024.12829::C016</x:v>
      </x:c>
      <x:c r="B107" s="3" t="str">
        <x:v>evidencePaths</x:v>
      </x:c>
      <x:c r="C107" s="3" t="n">
        <x:v>0</x:v>
      </x:c>
      <x:c r="D107" s="3" t="str">
        <x:v>2024/jama.2024.12829/.ai_paper_validation/review_1_5_3/source_inventory.md</x:v>
      </x:c>
      <x:c r="E107" s="3" t="str">
        <x:v>../../2024/jama.2024.12829/.ai_paper_validation/review_1_5_3/source_inventory.md</x:v>
      </x:c>
    </x:row>
    <x:row r="108" ht="90" customHeight="1">
      <x:c r="A108" s="6" t="str">
        <x:v>2024::jama.2024.12829::C017</x:v>
      </x:c>
      <x:c r="B108" s="6" t="str">
        <x:v>sourceLinks</x:v>
      </x:c>
      <x:c r="C108" s="6" t="n">
        <x:v>0</x:v>
      </x:c>
      <x:c r="D108" s="6" t="str">
        <x:v>DOC-001 Table 2, PDF p. 8</x:v>
      </x:c>
      <x:c r="E108" s="6" t="str">
        <x:v>../../2024/jama.2024.12829/jama_sun_2024_oi_240088_1746815064.14747.pdf#page=8</x:v>
      </x:c>
    </x:row>
    <x:row r="109" ht="90" customHeight="1">
      <x:c r="A109" s="3" t="str">
        <x:v>2024::jama.2024.12829::C017</x:v>
      </x:c>
      <x:c r="B109" s="3" t="str">
        <x:v>evidencePaths</x:v>
      </x:c>
      <x:c r="C109" s="3" t="n">
        <x:v>0</x:v>
      </x:c>
      <x:c r="D109" s="3" t="str">
        <x:v>2024/jama.2024.12829/.ai_paper_validation/review_1_5_3/source_inventory.md</x:v>
      </x:c>
      <x:c r="E109" s="3" t="str">
        <x:v>../../2024/jama.2024.12829/.ai_paper_validation/review_1_5_3/source_inventory.md</x:v>
      </x:c>
    </x:row>
    <x:row r="110" ht="90" customHeight="1">
      <x:c r="A110" s="6" t="str">
        <x:v>2024::jama.2024.19585::C001</x:v>
      </x:c>
      <x:c r="B110" s="6" t="str">
        <x:v>sourceLinks</x:v>
      </x:c>
      <x:c r="C110" s="6" t="n">
        <x:v>0</x:v>
      </x:c>
      <x:c r="D110" s="6" t="str">
        <x:v>jama_dupuis_2024_oi_240111_1733431204.38761.pdf — Figure 1, PDF p. 5</x:v>
      </x:c>
      <x:c r="E110" s="6" t="str">
        <x:v>../../2024/jama.2024.19585/jama_dupuis_2024_oi_240111_1733431204.38761.pdf#page=5</x:v>
      </x:c>
    </x:row>
    <x:row r="111" ht="90" customHeight="1">
      <x:c r="A111" s="3" t="str">
        <x:v>2024::jama.2024.19585::C001</x:v>
      </x:c>
      <x:c r="B111" s="3" t="str">
        <x:v>evidencePaths</x:v>
      </x:c>
      <x:c r="C111" s="3" t="n">
        <x:v>0</x:v>
      </x:c>
      <x:c r="D111" s="3" t="str">
        <x:v>2024/jama.2024.19585/.ai_paper_validation/review_1_5_3/source_inventory.md</x:v>
      </x:c>
      <x:c r="E111" s="3" t="str">
        <x:v>../../2024/jama.2024.19585/.ai_paper_validation/review_1_5_3/source_inventory.md</x:v>
      </x:c>
    </x:row>
    <x:row r="112" ht="90" customHeight="1">
      <x:c r="A112" s="6" t="str">
        <x:v>2024::jama.2024.19585::C001</x:v>
      </x:c>
      <x:c r="B112" s="6" t="str">
        <x:v>evidencePaths</x:v>
      </x:c>
      <x:c r="C112" s="6" t="n">
        <x:v>1</x:v>
      </x:c>
      <x:c r="D112" s="6" t="str">
        <x:v>2024/jama.2024.19585/.ai_paper_validation/review_1_5_3/verification/evidence_recheck.md</x:v>
      </x:c>
      <x:c r="E112" s="6" t="str">
        <x:v>../../2024/jama.2024.19585/.ai_paper_validation/review_1_5_3/verification/evidence_recheck.md</x:v>
      </x:c>
    </x:row>
    <x:row r="113" ht="90" customHeight="1">
      <x:c r="A113" s="3" t="str">
        <x:v>2024::jama.2024.19585::C002</x:v>
      </x:c>
      <x:c r="B113" s="3" t="str">
        <x:v>sourceLinks</x:v>
      </x:c>
      <x:c r="C113" s="3" t="n">
        <x:v>0</x:v>
      </x:c>
      <x:c r="D113" s="3" t="str">
        <x:v>jama_dupuis_2024_oi_240111_1733431204.38761.pdf — narrative, PDF p. 2</x:v>
      </x:c>
      <x:c r="E113" s="3" t="str">
        <x:v>../../2024/jama.2024.19585/jama_dupuis_2024_oi_240111_1733431204.38761.pdf#page=2</x:v>
      </x:c>
    </x:row>
    <x:row r="114" ht="90" customHeight="1">
      <x:c r="A114" s="6" t="str">
        <x:v>2024::jama.2024.19585::C002</x:v>
      </x:c>
      <x:c r="B114" s="6" t="str">
        <x:v>sourceLinks</x:v>
      </x:c>
      <x:c r="C114" s="6" t="n">
        <x:v>1</x:v>
      </x:c>
      <x:c r="D114" s="6" t="str">
        <x:v>joi240111supp2_prod_1733431204.76024.pdf — eTable 3, PDF p. 6</x:v>
      </x:c>
      <x:c r="E114" s="6" t="str">
        <x:v>../../2024/jama.2024.19585/joi240111supp2_prod_1733431204.76024.pdf#page=6</x:v>
      </x:c>
    </x:row>
    <x:row r="115" ht="90" customHeight="1">
      <x:c r="A115" s="3" t="str">
        <x:v>2024::jama.2024.19585::C002</x:v>
      </x:c>
      <x:c r="B115" s="3" t="str">
        <x:v>evidencePaths</x:v>
      </x:c>
      <x:c r="C115" s="3" t="n">
        <x:v>0</x:v>
      </x:c>
      <x:c r="D115" s="3" t="str">
        <x:v>2024/jama.2024.19585/.ai_paper_validation/review_1_5_3/source_inventory.md</x:v>
      </x:c>
      <x:c r="E115" s="3" t="str">
        <x:v>../../2024/jama.2024.19585/.ai_paper_validation/review_1_5_3/source_inventory.md</x:v>
      </x:c>
    </x:row>
    <x:row r="116" ht="90" customHeight="1">
      <x:c r="A116" s="6" t="str">
        <x:v>2024::jama.2024.19585::C003</x:v>
      </x:c>
      <x:c r="B116" s="6" t="str">
        <x:v>sourceLinks</x:v>
      </x:c>
      <x:c r="C116" s="6" t="n">
        <x:v>0</x:v>
      </x:c>
      <x:c r="D116" s="6" t="str">
        <x:v>joi240111supp2_prod_1733431204.76024.pdf — eTable 10 start, PDF p. 13</x:v>
      </x:c>
      <x:c r="E116" s="6" t="str">
        <x:v>../../2024/jama.2024.19585/joi240111supp2_prod_1733431204.76024.pdf#page=13</x:v>
      </x:c>
    </x:row>
    <x:row r="117" ht="90" customHeight="1">
      <x:c r="A117" s="3" t="str">
        <x:v>2024::jama.2024.19585::C003</x:v>
      </x:c>
      <x:c r="B117" s="3" t="str">
        <x:v>sourceLinks</x:v>
      </x:c>
      <x:c r="C117" s="3" t="n">
        <x:v>1</x:v>
      </x:c>
      <x:c r="D117" s="3" t="str">
        <x:v>joi240111supp2_prod_1733431204.76024.pdf — eTable 10 continued values, PDF p. 14</x:v>
      </x:c>
      <x:c r="E117" s="3" t="str">
        <x:v>../../2024/jama.2024.19585/joi240111supp2_prod_1733431204.76024.pdf#page=14</x:v>
      </x:c>
    </x:row>
    <x:row r="118" ht="90" customHeight="1">
      <x:c r="A118" s="6" t="str">
        <x:v>2024::jama.2024.19585::C003</x:v>
      </x:c>
      <x:c r="B118" s="6" t="str">
        <x:v>sourceLinks</x:v>
      </x:c>
      <x:c r="C118" s="6" t="n">
        <x:v>2</x:v>
      </x:c>
      <x:c r="D118" s="6" t="str">
        <x:v>joi240111supp2_prod_1733431204.76024.pdf — eTable 10 footnote, PDF p. 15</x:v>
      </x:c>
      <x:c r="E118" s="6" t="str">
        <x:v>../../2024/jama.2024.19585/joi240111supp2_prod_1733431204.76024.pdf#page=15</x:v>
      </x:c>
    </x:row>
    <x:row r="119" ht="90" customHeight="1">
      <x:c r="A119" s="3" t="str">
        <x:v>2024::jama.2024.19585::C003</x:v>
      </x:c>
      <x:c r="B119" s="3" t="str">
        <x:v>sourceLinks</x:v>
      </x:c>
      <x:c r="C119" s="3" t="n">
        <x:v>3</x:v>
      </x:c>
      <x:c r="D119" s="3" t="str">
        <x:v>joi240111supp2_prod_1733431204.76024.pdf — eMethods, PDF p. 22</x:v>
      </x:c>
      <x:c r="E119" s="3" t="str">
        <x:v>../../2024/jama.2024.19585/joi240111supp2_prod_1733431204.76024.pdf#page=22</x:v>
      </x:c>
    </x:row>
    <x:row r="120" ht="90" customHeight="1">
      <x:c r="A120" s="6" t="str">
        <x:v>2024::jama.2024.19585::C003</x:v>
      </x:c>
      <x:c r="B120" s="6" t="str">
        <x:v>evidencePaths</x:v>
      </x:c>
      <x:c r="C120" s="6" t="n">
        <x:v>0</x:v>
      </x:c>
      <x:c r="D120" s="6" t="str">
        <x:v>2024/jama.2024.19585/.ai_paper_validation/review_1_5_3/source_inventory.md</x:v>
      </x:c>
      <x:c r="E120" s="6" t="str">
        <x:v>../../2024/jama.2024.19585/.ai_paper_validation/review_1_5_3/source_inventory.md</x:v>
      </x:c>
    </x:row>
    <x:row r="121" ht="90" customHeight="1">
      <x:c r="A121" s="3" t="str">
        <x:v>2024::jama.2024.2302::C001</x:v>
      </x:c>
      <x:c r="B121" s="3" t="str">
        <x:v>sourceLinks</x:v>
      </x:c>
      <x:c r="C121" s="3" t="n">
        <x:v>0</x:v>
      </x:c>
      <x:c r="D121" s="3" t="str">
        <x:v>main article — PDF p. 6</x:v>
      </x:c>
      <x:c r="E121" s="3" t="str">
        <x:v>../../2024/jama.2024.2302/jama_blakely_2024_oi_240020_1710443209.74411.pdf#page=6</x:v>
      </x:c>
    </x:row>
    <x:row r="122" ht="90" customHeight="1">
      <x:c r="A122" s="6" t="str">
        <x:v>2024::jama.2024.2302::C001</x:v>
      </x:c>
      <x:c r="B122" s="6" t="str">
        <x:v>sourceLinks</x:v>
      </x:c>
      <x:c r="C122" s="6" t="n">
        <x:v>1</x:v>
      </x:c>
      <x:c r="D122" s="6" t="str">
        <x:v>results supplement — PDF p. 5</x:v>
      </x:c>
      <x:c r="E122" s="6" t="str">
        <x:v>../../2024/jama.2024.2302/joi240020supp3_prod_1710443209.75411.pdf#page=5</x:v>
      </x:c>
    </x:row>
    <x:row r="123" ht="90" customHeight="1">
      <x:c r="A123" s="3" t="str">
        <x:v>2024::jama.2024.2302::C001</x:v>
      </x:c>
      <x:c r="B123" s="3" t="str">
        <x:v>sourceLinks</x:v>
      </x:c>
      <x:c r="C123" s="3" t="n">
        <x:v>2</x:v>
      </x:c>
      <x:c r="D123" s="3" t="str">
        <x:v>protocol — PDF p. 2</x:v>
      </x:c>
      <x:c r="E123" s="3" t="str">
        <x:v>../../2024/jama.2024.2302/joi240020supp1_prod_1710443209.74911.pdf#page=2</x:v>
      </x:c>
    </x:row>
    <x:row r="124" ht="90" customHeight="1">
      <x:c r="A124" s="6" t="str">
        <x:v>2024::jama.2024.2302::C001</x:v>
      </x:c>
      <x:c r="B124" s="6" t="str">
        <x:v>sourceLinks</x:v>
      </x:c>
      <x:c r="C124" s="6" t="n">
        <x:v>3</x:v>
      </x:c>
      <x:c r="D124" s="6" t="str">
        <x:v>SAP — PDF p. 4</x:v>
      </x:c>
      <x:c r="E124" s="6" t="str">
        <x:v>../../2024/jama.2024.2302/joi240020supp2_prod_1710443209.75411.pdf#page=4</x:v>
      </x:c>
    </x:row>
    <x:row r="125" ht="90" customHeight="1">
      <x:c r="A125" s="3" t="str">
        <x:v>2024::jama.2024.2302::C001</x:v>
      </x:c>
      <x:c r="B125" s="3" t="str">
        <x:v>evidencePaths</x:v>
      </x:c>
      <x:c r="C125" s="3" t="n">
        <x:v>0</x:v>
      </x:c>
      <x:c r="D125" s="3" t="str">
        <x:v>2024/jama.2024.2302/.ai_paper_validation/review_1_5_3/source_inventory.md</x:v>
      </x:c>
      <x:c r="E125" s="3" t="str">
        <x:v>../../2024/jama.2024.2302/.ai_paper_validation/review_1_5_3/source_inventory.md</x:v>
      </x:c>
    </x:row>
    <x:row r="126" ht="90" customHeight="1">
      <x:c r="A126" s="6" t="str">
        <x:v>2024::jama.2024.2302::C001</x:v>
      </x:c>
      <x:c r="B126" s="6" t="str">
        <x:v>evidencePaths</x:v>
      </x:c>
      <x:c r="C126" s="6" t="n">
        <x:v>1</x:v>
      </x:c>
      <x:c r="D126" s="6" t="str">
        <x:v>2024/jama.2024.2302/.ai_paper_validation/review_1_5_3/verification/evidence_recheck.md</x:v>
      </x:c>
      <x:c r="E126" s="6" t="str">
        <x:v>../../2024/jama.2024.2302/.ai_paper_validation/review_1_5_3/verification/evidence_recheck.md</x:v>
      </x:c>
    </x:row>
    <x:row r="127" ht="90" customHeight="1">
      <x:c r="A127" s="3" t="str">
        <x:v>2024::jama.2024.2302::C002</x:v>
      </x:c>
      <x:c r="B127" s="3" t="str">
        <x:v>sourceLinks</x:v>
      </x:c>
      <x:c r="C127" s="3" t="n">
        <x:v>0</x:v>
      </x:c>
      <x:c r="D127" s="3" t="str">
        <x:v>protocol — PDF p. 3</x:v>
      </x:c>
      <x:c r="E127" s="3" t="str">
        <x:v>../../2024/jama.2024.2302/joi240020supp1_prod_1710443209.74911.pdf#page=3</x:v>
      </x:c>
    </x:row>
    <x:row r="128" ht="90" customHeight="1">
      <x:c r="A128" s="6" t="str">
        <x:v>2024::jama.2024.2302::C002</x:v>
      </x:c>
      <x:c r="B128" s="6" t="str">
        <x:v>sourceLinks</x:v>
      </x:c>
      <x:c r="C128" s="6" t="n">
        <x:v>1</x:v>
      </x:c>
      <x:c r="D128" s="6" t="str">
        <x:v>protocol — PDF p. 12</x:v>
      </x:c>
      <x:c r="E128" s="6" t="str">
        <x:v>../../2024/jama.2024.2302/joi240020supp1_prod_1710443209.74911.pdf#page=12</x:v>
      </x:c>
    </x:row>
    <x:row r="129" ht="90" customHeight="1">
      <x:c r="A129" s="3" t="str">
        <x:v>2024::jama.2024.2302::C002</x:v>
      </x:c>
      <x:c r="B129" s="3" t="str">
        <x:v>sourceLinks</x:v>
      </x:c>
      <x:c r="C129" s="3" t="n">
        <x:v>2</x:v>
      </x:c>
      <x:c r="D129" s="3" t="str">
        <x:v>SAP — PDF p. 3</x:v>
      </x:c>
      <x:c r="E129" s="3" t="str">
        <x:v>../../2024/jama.2024.2302/joi240020supp2_prod_1710443209.75411.pdf#page=3</x:v>
      </x:c>
    </x:row>
    <x:row r="130" ht="90" customHeight="1">
      <x:c r="A130" s="6" t="str">
        <x:v>2024::jama.2024.2302::C002</x:v>
      </x:c>
      <x:c r="B130" s="6" t="str">
        <x:v>evidencePaths</x:v>
      </x:c>
      <x:c r="C130" s="6" t="n">
        <x:v>0</x:v>
      </x:c>
      <x:c r="D130" s="6" t="str">
        <x:v>2024/jama.2024.2302/.ai_paper_validation/review_1_5_3/source_inventory.md</x:v>
      </x:c>
      <x:c r="E130" s="6" t="str">
        <x:v>../../2024/jama.2024.2302/.ai_paper_validation/review_1_5_3/source_inventory.md</x:v>
      </x:c>
    </x:row>
    <x:row r="131" ht="90" customHeight="1">
      <x:c r="A131" s="3" t="str">
        <x:v>2024::jama.2024.2302::C002</x:v>
      </x:c>
      <x:c r="B131" s="3" t="str">
        <x:v>evidencePaths</x:v>
      </x:c>
      <x:c r="C131" s="3" t="n">
        <x:v>1</x:v>
      </x:c>
      <x:c r="D131" s="3" t="str">
        <x:v>2024/jama.2024.2302/.ai_paper_validation/review_1_5_3/verification/evidence_recheck.md</x:v>
      </x:c>
      <x:c r="E131" s="3" t="str">
        <x:v>../../2024/jama.2024.2302/.ai_paper_validation/review_1_5_3/verification/evidence_recheck.md</x:v>
      </x:c>
    </x:row>
    <x:row r="132" ht="90" customHeight="1">
      <x:c r="A132" s="6" t="str">
        <x:v>2024::jama.2024.2302::C003</x:v>
      </x:c>
      <x:c r="B132" s="6" t="str">
        <x:v>sourceLinks</x:v>
      </x:c>
      <x:c r="C132" s="6" t="n">
        <x:v>0</x:v>
      </x:c>
      <x:c r="D132" s="6" t="str">
        <x:v>main article — PDF p. 4</x:v>
      </x:c>
      <x:c r="E132" s="6" t="str">
        <x:v>../../2024/jama.2024.2302/jama_blakely_2024_oi_240020_1710443209.74411.pdf#page=4</x:v>
      </x:c>
    </x:row>
    <x:row r="133" ht="90" customHeight="1">
      <x:c r="A133" s="3" t="str">
        <x:v>2024::jama.2024.2302::C003</x:v>
      </x:c>
      <x:c r="B133" s="3" t="str">
        <x:v>sourceLinks</x:v>
      </x:c>
      <x:c r="C133" s="3" t="n">
        <x:v>1</x:v>
      </x:c>
      <x:c r="D133" s="3" t="str">
        <x:v>SAP — PDF p. 8</x:v>
      </x:c>
      <x:c r="E133" s="3" t="str">
        <x:v>../../2024/jama.2024.2302/joi240020supp2_prod_1710443209.75411.pdf#page=8</x:v>
      </x:c>
    </x:row>
    <x:row r="134" ht="90" customHeight="1">
      <x:c r="A134" s="6" t="str">
        <x:v>2024::jama.2024.2302::C003</x:v>
      </x:c>
      <x:c r="B134" s="6" t="str">
        <x:v>evidencePaths</x:v>
      </x:c>
      <x:c r="C134" s="6" t="n">
        <x:v>0</x:v>
      </x:c>
      <x:c r="D134" s="6" t="str">
        <x:v>2024/jama.2024.2302/.ai_paper_validation/review_1_5_3/source_inventory.md</x:v>
      </x:c>
      <x:c r="E134" s="6" t="str">
        <x:v>../../2024/jama.2024.2302/.ai_paper_validation/review_1_5_3/source_inventory.md</x:v>
      </x:c>
    </x:row>
    <x:row r="135" ht="90" customHeight="1">
      <x:c r="A135" s="3" t="str">
        <x:v>2024::jama.2024.2302::C003</x:v>
      </x:c>
      <x:c r="B135" s="3" t="str">
        <x:v>evidencePaths</x:v>
      </x:c>
      <x:c r="C135" s="3" t="n">
        <x:v>1</x:v>
      </x:c>
      <x:c r="D135" s="3" t="str">
        <x:v>2024/jama.2024.2302/.ai_paper_validation/review_1_5_3/verification/evidence_recheck.md</x:v>
      </x:c>
      <x:c r="E135" s="3" t="str">
        <x:v>../../2024/jama.2024.2302/.ai_paper_validation/review_1_5_3/verification/evidence_recheck.md</x:v>
      </x:c>
    </x:row>
    <x:row r="136" ht="90" customHeight="1">
      <x:c r="A136" s="6" t="str">
        <x:v>2024::jama.2024.2302::C004</x:v>
      </x:c>
      <x:c r="B136" s="6" t="str">
        <x:v>sourceLinks</x:v>
      </x:c>
      <x:c r="C136" s="6" t="n">
        <x:v>0</x:v>
      </x:c>
      <x:c r="D136" s="6" t="str">
        <x:v>main article — PDF p. 8</x:v>
      </x:c>
      <x:c r="E136" s="6" t="str">
        <x:v>../../2024/jama.2024.2302/jama_blakely_2024_oi_240020_1710443209.74411.pdf#page=8</x:v>
      </x:c>
    </x:row>
    <x:row r="137" ht="90" customHeight="1">
      <x:c r="A137" s="3" t="str">
        <x:v>2024::jama.2024.2302::C004</x:v>
      </x:c>
      <x:c r="B137" s="3" t="str">
        <x:v>sourceLinks</x:v>
      </x:c>
      <x:c r="C137" s="3" t="n">
        <x:v>1</x:v>
      </x:c>
      <x:c r="D137" s="3" t="str">
        <x:v>SAP — PDF p. 3</x:v>
      </x:c>
      <x:c r="E137" s="3" t="str">
        <x:v>../../2024/jama.2024.2302/joi240020supp2_prod_1710443209.75411.pdf#page=3</x:v>
      </x:c>
    </x:row>
    <x:row r="138" ht="90" customHeight="1">
      <x:c r="A138" s="6" t="str">
        <x:v>2024::jama.2024.2302::C004</x:v>
      </x:c>
      <x:c r="B138" s="6" t="str">
        <x:v>sourceLinks</x:v>
      </x:c>
      <x:c r="C138" s="6" t="n">
        <x:v>2</x:v>
      </x:c>
      <x:c r="D138" s="6" t="str">
        <x:v>SAP — PDF p. 8</x:v>
      </x:c>
      <x:c r="E138" s="6" t="str">
        <x:v>../../2024/jama.2024.2302/joi240020supp2_prod_1710443209.75411.pdf#page=8</x:v>
      </x:c>
    </x:row>
    <x:row r="139" ht="90" customHeight="1">
      <x:c r="A139" s="3" t="str">
        <x:v>2024::jama.2024.2302::C004</x:v>
      </x:c>
      <x:c r="B139" s="3" t="str">
        <x:v>sourceLinks</x:v>
      </x:c>
      <x:c r="C139" s="3" t="n">
        <x:v>3</x:v>
      </x:c>
      <x:c r="D139" s="3" t="str">
        <x:v>SAP — PDF p. 9</x:v>
      </x:c>
      <x:c r="E139" s="3" t="str">
        <x:v>../../2024/jama.2024.2302/joi240020supp2_prod_1710443209.75411.pdf#page=9</x:v>
      </x:c>
    </x:row>
    <x:row r="140" ht="90" customHeight="1">
      <x:c r="A140" s="6" t="str">
        <x:v>2024::jama.2024.2302::C004</x:v>
      </x:c>
      <x:c r="B140" s="6" t="str">
        <x:v>evidencePaths</x:v>
      </x:c>
      <x:c r="C140" s="6" t="n">
        <x:v>0</x:v>
      </x:c>
      <x:c r="D140" s="6" t="str">
        <x:v>2024/jama.2024.2302/.ai_paper_validation/review_1_5_3/source_inventory.md</x:v>
      </x:c>
      <x:c r="E140" s="6" t="str">
        <x:v>../../2024/jama.2024.2302/.ai_paper_validation/review_1_5_3/source_inventory.md</x:v>
      </x:c>
    </x:row>
    <x:row r="141" ht="90" customHeight="1">
      <x:c r="A141" s="3" t="str">
        <x:v>2024::jama.2024.2302::C004</x:v>
      </x:c>
      <x:c r="B141" s="3" t="str">
        <x:v>evidencePaths</x:v>
      </x:c>
      <x:c r="C141" s="3" t="n">
        <x:v>1</x:v>
      </x:c>
      <x:c r="D141" s="3" t="str">
        <x:v>2024/jama.2024.2302/.ai_paper_validation/review_1_5_3/verification/evidence_recheck.md</x:v>
      </x:c>
      <x:c r="E141" s="3" t="str">
        <x:v>../../2024/jama.2024.2302/.ai_paper_validation/review_1_5_3/verification/evidence_recheck.md</x:v>
      </x:c>
    </x:row>
    <x:row r="142" ht="90" customHeight="1">
      <x:c r="A142" s="6" t="str">
        <x:v>2024::jama.2024.2302::C005</x:v>
      </x:c>
      <x:c r="B142" s="6" t="str">
        <x:v>sourceLinks</x:v>
      </x:c>
      <x:c r="C142" s="6" t="n">
        <x:v>0</x:v>
      </x:c>
      <x:c r="D142" s="6" t="str">
        <x:v>protocol — PDF p. 3</x:v>
      </x:c>
      <x:c r="E142" s="6" t="str">
        <x:v>../../2024/jama.2024.2302/joi240020supp1_prod_1710443209.74911.pdf#page=3</x:v>
      </x:c>
    </x:row>
    <x:row r="143" ht="90" customHeight="1">
      <x:c r="A143" s="3" t="str">
        <x:v>2024::jama.2024.2302::C005</x:v>
      </x:c>
      <x:c r="B143" s="3" t="str">
        <x:v>sourceLinks</x:v>
      </x:c>
      <x:c r="C143" s="3" t="n">
        <x:v>1</x:v>
      </x:c>
      <x:c r="D143" s="3" t="str">
        <x:v>protocol — PDF p. 11</x:v>
      </x:c>
      <x:c r="E143" s="3" t="str">
        <x:v>../../2024/jama.2024.2302/joi240020supp1_prod_1710443209.74911.pdf#page=11</x:v>
      </x:c>
    </x:row>
    <x:row r="144" ht="90" customHeight="1">
      <x:c r="A144" s="6" t="str">
        <x:v>2024::jama.2024.2302::C005</x:v>
      </x:c>
      <x:c r="B144" s="6" t="str">
        <x:v>sourceLinks</x:v>
      </x:c>
      <x:c r="C144" s="6" t="n">
        <x:v>2</x:v>
      </x:c>
      <x:c r="D144" s="6" t="str">
        <x:v>SAP — PDF p. 7</x:v>
      </x:c>
      <x:c r="E144" s="6" t="str">
        <x:v>../../2024/jama.2024.2302/joi240020supp2_prod_1710443209.75411.pdf#page=7</x:v>
      </x:c>
    </x:row>
    <x:row r="145" ht="90" customHeight="1">
      <x:c r="A145" s="3" t="str">
        <x:v>2024::jama.2024.2302::C005</x:v>
      </x:c>
      <x:c r="B145" s="3" t="str">
        <x:v>sourceLinks</x:v>
      </x:c>
      <x:c r="C145" s="3" t="n">
        <x:v>3</x:v>
      </x:c>
      <x:c r="D145" s="3" t="str">
        <x:v>main article — PDF p. 3</x:v>
      </x:c>
      <x:c r="E145" s="3" t="str">
        <x:v>../../2024/jama.2024.2302/jama_blakely_2024_oi_240020_1710443209.74411.pdf#page=3</x:v>
      </x:c>
    </x:row>
    <x:row r="146" ht="90" customHeight="1">
      <x:c r="A146" s="6" t="str">
        <x:v>2024::jama.2024.2302::C005</x:v>
      </x:c>
      <x:c r="B146" s="6" t="str">
        <x:v>sourceLinks</x:v>
      </x:c>
      <x:c r="C146" s="6" t="n">
        <x:v>4</x:v>
      </x:c>
      <x:c r="D146" s="6" t="str">
        <x:v>Main article — PDF p. 6</x:v>
      </x:c>
      <x:c r="E146" s="6" t="str">
        <x:v>../../2024/jama.2024.2302/jama_blakely_2024_oi_240020_1710443209.74411.pdf#page=6</x:v>
      </x:c>
    </x:row>
    <x:row r="147" ht="90" customHeight="1">
      <x:c r="A147" s="3" t="str">
        <x:v>2024::jama.2024.2302::C005</x:v>
      </x:c>
      <x:c r="B147" s="3" t="str">
        <x:v>evidencePaths</x:v>
      </x:c>
      <x:c r="C147" s="3" t="n">
        <x:v>0</x:v>
      </x:c>
      <x:c r="D147" s="3" t="str">
        <x:v>2024/jama.2024.2302/.ai_paper_validation/review_1_5_3/source_inventory.md</x:v>
      </x:c>
      <x:c r="E147" s="3" t="str">
        <x:v>../../2024/jama.2024.2302/.ai_paper_validation/review_1_5_3/source_inventory.md</x:v>
      </x:c>
    </x:row>
    <x:row r="148" ht="90" customHeight="1">
      <x:c r="A148" s="6" t="str">
        <x:v>2024::jama.2024.2302::C005</x:v>
      </x:c>
      <x:c r="B148" s="6" t="str">
        <x:v>evidencePaths</x:v>
      </x:c>
      <x:c r="C148" s="6" t="n">
        <x:v>1</x:v>
      </x:c>
      <x:c r="D148" s="6" t="str">
        <x:v>2024/jama.2024.2302/.ai_paper_validation/review_1_5_3/verification/evidence_recheck.md</x:v>
      </x:c>
      <x:c r="E148" s="6" t="str">
        <x:v>../../2024/jama.2024.2302/.ai_paper_validation/review_1_5_3/verification/evidence_recheck.md</x:v>
      </x:c>
    </x:row>
    <x:row r="149" ht="90" customHeight="1">
      <x:c r="A149" s="3" t="str">
        <x:v>2024::jama.2024.23898::C001</x:v>
      </x:c>
      <x:c r="B149" s="3" t="str">
        <x:v>sourceLinks</x:v>
      </x:c>
      <x:c r="C149" s="3" t="n">
        <x:v>0</x:v>
      </x:c>
      <x:c r="D149" s="3" t="str">
        <x:v>main article — PDF p. 1</x:v>
      </x:c>
      <x:c r="E149" s="3" t="str">
        <x:v>../../2024/jama.2024.23898/jama_paterson_2024_oi_240139_1741633738.12862.pdf#page=1</x:v>
      </x:c>
    </x:row>
    <x:row r="150" ht="90" customHeight="1">
      <x:c r="A150" s="6" t="str">
        <x:v>2024::jama.2024.23898::C001</x:v>
      </x:c>
      <x:c r="B150" s="6" t="str">
        <x:v>sourceLinks</x:v>
      </x:c>
      <x:c r="C150" s="6" t="n">
        <x:v>1</x:v>
      </x:c>
      <x:c r="D150" s="6" t="str">
        <x:v>main article — PDF p. 5</x:v>
      </x:c>
      <x:c r="E150" s="6" t="str">
        <x:v>../../2024/jama.2024.23898/jama_paterson_2024_oi_240139_1741633738.12862.pdf#page=5</x:v>
      </x:c>
    </x:row>
    <x:row r="151" ht="90" customHeight="1">
      <x:c r="A151" s="3" t="str">
        <x:v>2024::jama.2024.23898::C001</x:v>
      </x:c>
      <x:c r="B151" s="3" t="str">
        <x:v>sourceLinks</x:v>
      </x:c>
      <x:c r="C151" s="3" t="n">
        <x:v>2</x:v>
      </x:c>
      <x:c r="D151" s="3" t="str">
        <x:v>main article — PDF p. 6</x:v>
      </x:c>
      <x:c r="E151" s="3" t="str">
        <x:v>../../2024/jama.2024.23898/jama_paterson_2024_oi_240139_1741633738.12862.pdf#page=6</x:v>
      </x:c>
    </x:row>
    <x:row r="152" ht="90" customHeight="1">
      <x:c r="A152" s="6" t="str">
        <x:v>2024::jama.2024.23898::C001</x:v>
      </x:c>
      <x:c r="B152" s="6" t="str">
        <x:v>sourceLinks</x:v>
      </x:c>
      <x:c r="C152" s="6" t="n">
        <x:v>3</x:v>
      </x:c>
      <x:c r="D152" s="6" t="str">
        <x:v>SAP — PDF p. 9</x:v>
      </x:c>
      <x:c r="E152" s="6" t="str">
        <x:v>../../2024/jama.2024.23898/joi240139supp2_prod_1741633738.17362.pdf#page=9</x:v>
      </x:c>
    </x:row>
    <x:row r="153" ht="90" customHeight="1">
      <x:c r="A153" s="3" t="str">
        <x:v>2024::jama.2024.23898::C001</x:v>
      </x:c>
      <x:c r="B153" s="3" t="str">
        <x:v>evidencePaths</x:v>
      </x:c>
      <x:c r="C153" s="3" t="n">
        <x:v>0</x:v>
      </x:c>
      <x:c r="D153" s="3" t="str">
        <x:v>2024/jama.2024.23898/.ai_paper_validation/review_1_5_3/source_inventory.md</x:v>
      </x:c>
      <x:c r="E153" s="3" t="str">
        <x:v>../../2024/jama.2024.23898/.ai_paper_validation/review_1_5_3/source_inventory.md</x:v>
      </x:c>
    </x:row>
    <x:row r="154" ht="90" customHeight="1">
      <x:c r="A154" s="6" t="str">
        <x:v>2024::jama.2024.23898::C001</x:v>
      </x:c>
      <x:c r="B154" s="6" t="str">
        <x:v>evidencePaths</x:v>
      </x:c>
      <x:c r="C154" s="6" t="n">
        <x:v>1</x:v>
      </x:c>
      <x:c r="D154" s="6" t="str">
        <x:v>2024/jama.2024.23898/.ai_paper_validation/review_1_5_3/checkers/cross_source_consistency.md</x:v>
      </x:c>
      <x:c r="E154" s="6" t="str">
        <x:v>../../2024/jama.2024.23898/.ai_paper_validation/review_1_5_3/checkers/cross_source_consistency.md</x:v>
      </x:c>
    </x:row>
    <x:row r="155" ht="90" customHeight="1">
      <x:c r="A155" s="3" t="str">
        <x:v>2024::jama.2024.23898::C001</x:v>
      </x:c>
      <x:c r="B155" s="3" t="str">
        <x:v>evidencePaths</x:v>
      </x:c>
      <x:c r="C155" s="3" t="n">
        <x:v>2</x:v>
      </x:c>
      <x:c r="D155" s="3" t="str">
        <x:v>2024/jama.2024.23898/.ai_paper_validation/review_1_5_3/checkers/statistical_pass_2.md</x:v>
      </x:c>
      <x:c r="E155" s="3" t="str">
        <x:v>../../2024/jama.2024.23898/.ai_paper_validation/review_1_5_3/checkers/statistical_pass_2.md</x:v>
      </x:c>
    </x:row>
    <x:row r="156" ht="90" customHeight="1">
      <x:c r="A156" s="6" t="str">
        <x:v>2024::jama.2024.23898::C002</x:v>
      </x:c>
      <x:c r="B156" s="6" t="str">
        <x:v>sourceLinks</x:v>
      </x:c>
      <x:c r="C156" s="6" t="n">
        <x:v>0</x:v>
      </x:c>
      <x:c r="D156" s="6" t="str">
        <x:v>main article — PDF p. 4</x:v>
      </x:c>
      <x:c r="E156" s="6" t="str">
        <x:v>../../2024/jama.2024.23898/jama_paterson_2024_oi_240139_1741633738.12862.pdf#page=4</x:v>
      </x:c>
    </x:row>
    <x:row r="157" ht="90" customHeight="1">
      <x:c r="A157" s="3" t="str">
        <x:v>2024::jama.2024.23898::C002</x:v>
      </x:c>
      <x:c r="B157" s="3" t="str">
        <x:v>sourceLinks</x:v>
      </x:c>
      <x:c r="C157" s="3" t="n">
        <x:v>1</x:v>
      </x:c>
      <x:c r="D157" s="3" t="str">
        <x:v>main article — PDF p. 6</x:v>
      </x:c>
      <x:c r="E157" s="3" t="str">
        <x:v>../../2024/jama.2024.23898/jama_paterson_2024_oi_240139_1741633738.12862.pdf#page=6</x:v>
      </x:c>
    </x:row>
    <x:row r="158" ht="90" customHeight="1">
      <x:c r="A158" s="6" t="str">
        <x:v>2024::jama.2024.23898::C002</x:v>
      </x:c>
      <x:c r="B158" s="6" t="str">
        <x:v>sourceLinks</x:v>
      </x:c>
      <x:c r="C158" s="6" t="n">
        <x:v>2</x:v>
      </x:c>
      <x:c r="D158" s="6" t="str">
        <x:v>protocol — PDF p. 17</x:v>
      </x:c>
      <x:c r="E158" s="6" t="str">
        <x:v>../../2024/jama.2024.23898/joi240139supp1_prod_1741633738.16362.pdf#page=17</x:v>
      </x:c>
    </x:row>
    <x:row r="159" ht="90" customHeight="1">
      <x:c r="A159" s="3" t="str">
        <x:v>2024::jama.2024.23898::C002</x:v>
      </x:c>
      <x:c r="B159" s="3" t="str">
        <x:v>sourceLinks</x:v>
      </x:c>
      <x:c r="C159" s="3" t="n">
        <x:v>3</x:v>
      </x:c>
      <x:c r="D159" s="3" t="str">
        <x:v>SAP — PDF p. 11</x:v>
      </x:c>
      <x:c r="E159" s="3" t="str">
        <x:v>../../2024/jama.2024.23898/joi240139supp2_prod_1741633738.17362.pdf#page=11</x:v>
      </x:c>
    </x:row>
    <x:row r="160" ht="90" customHeight="1">
      <x:c r="A160" s="6" t="str">
        <x:v>2024::jama.2024.23898::C002</x:v>
      </x:c>
      <x:c r="B160" s="6" t="str">
        <x:v>evidencePaths</x:v>
      </x:c>
      <x:c r="C160" s="6" t="n">
        <x:v>0</x:v>
      </x:c>
      <x:c r="D160" s="6" t="str">
        <x:v>2024/jama.2024.23898/.ai_paper_validation/review_1_5_3/source_inventory.md</x:v>
      </x:c>
      <x:c r="E160" s="6" t="str">
        <x:v>../../2024/jama.2024.23898/.ai_paper_validation/review_1_5_3/source_inventory.md</x:v>
      </x:c>
    </x:row>
    <x:row r="161" ht="90" customHeight="1">
      <x:c r="A161" s="3" t="str">
        <x:v>2024::jama.2024.23898::C002</x:v>
      </x:c>
      <x:c r="B161" s="3" t="str">
        <x:v>evidencePaths</x:v>
      </x:c>
      <x:c r="C161" s="3" t="n">
        <x:v>1</x:v>
      </x:c>
      <x:c r="D161" s="3" t="str">
        <x:v>2024/jama.2024.23898/.ai_paper_validation/review_1_5_3/checkers/cross_source_consistency.md</x:v>
      </x:c>
      <x:c r="E161" s="3" t="str">
        <x:v>../../2024/jama.2024.23898/.ai_paper_validation/review_1_5_3/checkers/cross_source_consistency.md</x:v>
      </x:c>
    </x:row>
    <x:row r="162" ht="90" customHeight="1">
      <x:c r="A162" s="6" t="str">
        <x:v>2024::jama.2024.23898::C002</x:v>
      </x:c>
      <x:c r="B162" s="6" t="str">
        <x:v>evidencePaths</x:v>
      </x:c>
      <x:c r="C162" s="6" t="n">
        <x:v>2</x:v>
      </x:c>
      <x:c r="D162" s="6" t="str">
        <x:v>2024/jama.2024.23898/.ai_paper_validation/review_1_5_3/checkers/statistical_pass_2.md</x:v>
      </x:c>
      <x:c r="E162" s="6" t="str">
        <x:v>../../2024/jama.2024.23898/.ai_paper_validation/review_1_5_3/checkers/statistical_pass_2.md</x:v>
      </x:c>
    </x:row>
    <x:row r="163" ht="90" customHeight="1">
      <x:c r="A163" s="3" t="str">
        <x:v>2024::jama.2024.23898::C003</x:v>
      </x:c>
      <x:c r="B163" s="3" t="str">
        <x:v>sourceLinks</x:v>
      </x:c>
      <x:c r="C163" s="3" t="n">
        <x:v>0</x:v>
      </x:c>
      <x:c r="D163" s="3" t="str">
        <x:v>main article — PDF p. 4</x:v>
      </x:c>
      <x:c r="E163" s="3" t="str">
        <x:v>../../2024/jama.2024.23898/jama_paterson_2024_oi_240139_1741633738.12862.pdf#page=4</x:v>
      </x:c>
    </x:row>
    <x:row r="164" ht="90" customHeight="1">
      <x:c r="A164" s="6" t="str">
        <x:v>2024::jama.2024.23898::C003</x:v>
      </x:c>
      <x:c r="B164" s="6" t="str">
        <x:v>sourceLinks</x:v>
      </x:c>
      <x:c r="C164" s="6" t="n">
        <x:v>1</x:v>
      </x:c>
      <x:c r="D164" s="6" t="str">
        <x:v>main article — PDF p. 8</x:v>
      </x:c>
      <x:c r="E164" s="6" t="str">
        <x:v>../../2024/jama.2024.23898/jama_paterson_2024_oi_240139_1741633738.12862.pdf#page=8</x:v>
      </x:c>
    </x:row>
    <x:row r="165" ht="90" customHeight="1">
      <x:c r="A165" s="3" t="str">
        <x:v>2024::jama.2024.23898::C003</x:v>
      </x:c>
      <x:c r="B165" s="3" t="str">
        <x:v>sourceLinks</x:v>
      </x:c>
      <x:c r="C165" s="3" t="n">
        <x:v>2</x:v>
      </x:c>
      <x:c r="D165" s="3" t="str">
        <x:v>protocol — PDF p. 18</x:v>
      </x:c>
      <x:c r="E165" s="3" t="str">
        <x:v>../../2024/jama.2024.23898/joi240139supp1_prod_1741633738.16362.pdf#page=18</x:v>
      </x:c>
    </x:row>
    <x:row r="166" ht="90" customHeight="1">
      <x:c r="A166" s="6" t="str">
        <x:v>2024::jama.2024.23898::C003</x:v>
      </x:c>
      <x:c r="B166" s="6" t="str">
        <x:v>sourceLinks</x:v>
      </x:c>
      <x:c r="C166" s="6" t="n">
        <x:v>3</x:v>
      </x:c>
      <x:c r="D166" s="6" t="str">
        <x:v>SAP — PDF p. 10</x:v>
      </x:c>
      <x:c r="E166" s="6" t="str">
        <x:v>../../2024/jama.2024.23898/joi240139supp2_prod_1741633738.17362.pdf#page=10</x:v>
      </x:c>
    </x:row>
    <x:row r="167" ht="90" customHeight="1">
      <x:c r="A167" s="3" t="str">
        <x:v>2024::jama.2024.23898::C003</x:v>
      </x:c>
      <x:c r="B167" s="3" t="str">
        <x:v>sourceLinks</x:v>
      </x:c>
      <x:c r="C167" s="3" t="n">
        <x:v>4</x:v>
      </x:c>
      <x:c r="D167" s="3" t="str">
        <x:v>SAP — PDF p. 27</x:v>
      </x:c>
      <x:c r="E167" s="3" t="str">
        <x:v>../../2024/jama.2024.23898/joi240139supp2_prod_1741633738.17362.pdf#page=27</x:v>
      </x:c>
    </x:row>
    <x:row r="168" ht="90" customHeight="1">
      <x:c r="A168" s="6" t="str">
        <x:v>2024::jama.2024.23898::C003</x:v>
      </x:c>
      <x:c r="B168" s="6" t="str">
        <x:v>evidencePaths</x:v>
      </x:c>
      <x:c r="C168" s="6" t="n">
        <x:v>0</x:v>
      </x:c>
      <x:c r="D168" s="6" t="str">
        <x:v>2024/jama.2024.23898/.ai_paper_validation/review_1_5_3/source_inventory.md</x:v>
      </x:c>
      <x:c r="E168" s="6" t="str">
        <x:v>../../2024/jama.2024.23898/.ai_paper_validation/review_1_5_3/source_inventory.md</x:v>
      </x:c>
    </x:row>
    <x:row r="169" ht="90" customHeight="1">
      <x:c r="A169" s="3" t="str">
        <x:v>2024::jama.2024.23898::C003</x:v>
      </x:c>
      <x:c r="B169" s="3" t="str">
        <x:v>evidencePaths</x:v>
      </x:c>
      <x:c r="C169" s="3" t="n">
        <x:v>1</x:v>
      </x:c>
      <x:c r="D169" s="3" t="str">
        <x:v>2024/jama.2024.23898/.ai_paper_validation/review_1_5_3/checkers/cross_source_consistency.md</x:v>
      </x:c>
      <x:c r="E169" s="3" t="str">
        <x:v>../../2024/jama.2024.23898/.ai_paper_validation/review_1_5_3/checkers/cross_source_consistency.md</x:v>
      </x:c>
    </x:row>
    <x:row r="170" ht="90" customHeight="1">
      <x:c r="A170" s="6" t="str">
        <x:v>2024::jama.2024.23898::C003</x:v>
      </x:c>
      <x:c r="B170" s="6" t="str">
        <x:v>evidencePaths</x:v>
      </x:c>
      <x:c r="C170" s="6" t="n">
        <x:v>2</x:v>
      </x:c>
      <x:c r="D170" s="6" t="str">
        <x:v>2024/jama.2024.23898/.ai_paper_validation/review_1_5_3/checkers/statistical_pass_2.md</x:v>
      </x:c>
      <x:c r="E170" s="6" t="str">
        <x:v>../../2024/jama.2024.23898/.ai_paper_validation/review_1_5_3/checkers/statistical_pass_2.md</x:v>
      </x:c>
    </x:row>
    <x:row r="171" ht="90" customHeight="1">
      <x:c r="A171" s="3" t="str">
        <x:v>2024::jama.2024.23898::C004</x:v>
      </x:c>
      <x:c r="B171" s="3" t="str">
        <x:v>sourceLinks</x:v>
      </x:c>
      <x:c r="C171" s="3" t="n">
        <x:v>0</x:v>
      </x:c>
      <x:c r="D171" s="3" t="str">
        <x:v>protocol — PDF p. 17</x:v>
      </x:c>
      <x:c r="E171" s="3" t="str">
        <x:v>../../2024/jama.2024.23898/joi240139supp1_prod_1741633738.16362.pdf#page=17</x:v>
      </x:c>
    </x:row>
    <x:row r="172" ht="90" customHeight="1">
      <x:c r="A172" s="6" t="str">
        <x:v>2024::jama.2024.23898::C004</x:v>
      </x:c>
      <x:c r="B172" s="6" t="str">
        <x:v>sourceLinks</x:v>
      </x:c>
      <x:c r="C172" s="6" t="n">
        <x:v>1</x:v>
      </x:c>
      <x:c r="D172" s="6" t="str">
        <x:v>protocol — PDF p. 18</x:v>
      </x:c>
      <x:c r="E172" s="6" t="str">
        <x:v>../../2024/jama.2024.23898/joi240139supp1_prod_1741633738.16362.pdf#page=18</x:v>
      </x:c>
    </x:row>
    <x:row r="173" ht="90" customHeight="1">
      <x:c r="A173" s="3" t="str">
        <x:v>2024::jama.2024.23898::C004</x:v>
      </x:c>
      <x:c r="B173" s="3" t="str">
        <x:v>sourceLinks</x:v>
      </x:c>
      <x:c r="C173" s="3" t="n">
        <x:v>2</x:v>
      </x:c>
      <x:c r="D173" s="3" t="str">
        <x:v>SAP — PDF p. 15</x:v>
      </x:c>
      <x:c r="E173" s="3" t="str">
        <x:v>../../2024/jama.2024.23898/joi240139supp2_prod_1741633738.17362.pdf#page=15</x:v>
      </x:c>
    </x:row>
    <x:row r="174" ht="90" customHeight="1">
      <x:c r="A174" s="6" t="str">
        <x:v>2024::jama.2024.23898::C004</x:v>
      </x:c>
      <x:c r="B174" s="6" t="str">
        <x:v>sourceLinks</x:v>
      </x:c>
      <x:c r="C174" s="6" t="n">
        <x:v>3</x:v>
      </x:c>
      <x:c r="D174" s="6" t="str">
        <x:v>results supplement — PDF p. 2</x:v>
      </x:c>
      <x:c r="E174" s="6" t="str">
        <x:v>../../2024/jama.2024.23898/joi240139supp3_prod_1741633738.18862.pdf#page=2</x:v>
      </x:c>
    </x:row>
    <x:row r="175" ht="90" customHeight="1">
      <x:c r="A175" s="3" t="str">
        <x:v>2024::jama.2024.23898::C004</x:v>
      </x:c>
      <x:c r="B175" s="3" t="str">
        <x:v>evidencePaths</x:v>
      </x:c>
      <x:c r="C175" s="3" t="n">
        <x:v>0</x:v>
      </x:c>
      <x:c r="D175" s="3" t="str">
        <x:v>2024/jama.2024.23898/.ai_paper_validation/review_1_5_3/source_inventory.md</x:v>
      </x:c>
      <x:c r="E175" s="3" t="str">
        <x:v>../../2024/jama.2024.23898/.ai_paper_validation/review_1_5_3/source_inventory.md</x:v>
      </x:c>
    </x:row>
    <x:row r="176" ht="90" customHeight="1">
      <x:c r="A176" s="6" t="str">
        <x:v>2024::jama.2024.23898::C004</x:v>
      </x:c>
      <x:c r="B176" s="6" t="str">
        <x:v>evidencePaths</x:v>
      </x:c>
      <x:c r="C176" s="6" t="n">
        <x:v>1</x:v>
      </x:c>
      <x:c r="D176" s="6" t="str">
        <x:v>2024/jama.2024.23898/.ai_paper_validation/review_1_5_3/checkers/cross_source_consistency.md</x:v>
      </x:c>
      <x:c r="E176" s="6" t="str">
        <x:v>../../2024/jama.2024.23898/.ai_paper_validation/review_1_5_3/checkers/cross_source_consistency.md</x:v>
      </x:c>
    </x:row>
    <x:row r="177" ht="90" customHeight="1">
      <x:c r="A177" s="3" t="str">
        <x:v>2024::jama.2024.23898::C004</x:v>
      </x:c>
      <x:c r="B177" s="3" t="str">
        <x:v>evidencePaths</x:v>
      </x:c>
      <x:c r="C177" s="3" t="n">
        <x:v>2</x:v>
      </x:c>
      <x:c r="D177" s="3" t="str">
        <x:v>2024/jama.2024.23898/.ai_paper_validation/review_1_5_3/checkers/statistical_pass_2.md</x:v>
      </x:c>
      <x:c r="E177" s="3" t="str">
        <x:v>../../2024/jama.2024.23898/.ai_paper_validation/review_1_5_3/checkers/statistical_pass_2.md</x:v>
      </x:c>
    </x:row>
    <x:row r="178" ht="90" customHeight="1">
      <x:c r="A178" s="6" t="str">
        <x:v>2024::jama.2024.23898::C005</x:v>
      </x:c>
      <x:c r="B178" s="6" t="str">
        <x:v>sourceLinks</x:v>
      </x:c>
      <x:c r="C178" s="6" t="n">
        <x:v>0</x:v>
      </x:c>
      <x:c r="D178" s="6" t="str">
        <x:v>results supplement — PDF p. 2</x:v>
      </x:c>
      <x:c r="E178" s="6" t="str">
        <x:v>../../2024/jama.2024.23898/joi240139supp3_prod_1741633738.18862.pdf#page=2</x:v>
      </x:c>
    </x:row>
    <x:row r="179" ht="90" customHeight="1">
      <x:c r="A179" s="3" t="str">
        <x:v>2024::jama.2024.23898::C005</x:v>
      </x:c>
      <x:c r="B179" s="3" t="str">
        <x:v>sourceLinks</x:v>
      </x:c>
      <x:c r="C179" s="3" t="n">
        <x:v>1</x:v>
      </x:c>
      <x:c r="D179" s="3" t="str">
        <x:v>SAP — PDF p. 15</x:v>
      </x:c>
      <x:c r="E179" s="3" t="str">
        <x:v>../../2024/jama.2024.23898/joi240139supp2_prod_1741633738.17362.pdf#page=15</x:v>
      </x:c>
    </x:row>
    <x:row r="180" ht="90" customHeight="1">
      <x:c r="A180" s="6" t="str">
        <x:v>2024::jama.2024.23898::C005</x:v>
      </x:c>
      <x:c r="B180" s="6" t="str">
        <x:v>evidencePaths</x:v>
      </x:c>
      <x:c r="C180" s="6" t="n">
        <x:v>0</x:v>
      </x:c>
      <x:c r="D180" s="6" t="str">
        <x:v>2024/jama.2024.23898/.ai_paper_validation/review_1_5_3/source_inventory.md</x:v>
      </x:c>
      <x:c r="E180" s="6" t="str">
        <x:v>../../2024/jama.2024.23898/.ai_paper_validation/review_1_5_3/source_inventory.md</x:v>
      </x:c>
    </x:row>
    <x:row r="181" ht="90" customHeight="1">
      <x:c r="A181" s="3" t="str">
        <x:v>2024::jama.2024.23898::C005</x:v>
      </x:c>
      <x:c r="B181" s="3" t="str">
        <x:v>evidencePaths</x:v>
      </x:c>
      <x:c r="C181" s="3" t="n">
        <x:v>1</x:v>
      </x:c>
      <x:c r="D181" s="3" t="str">
        <x:v>2024/jama.2024.23898/.ai_paper_validation/review_1_5_3/checkers/statistical_pass_2.md</x:v>
      </x:c>
      <x:c r="E181" s="3" t="str">
        <x:v>../../2024/jama.2024.23898/.ai_paper_validation/review_1_5_3/checkers/statistical_pass_2.md</x:v>
      </x:c>
    </x:row>
    <x:row r="182" ht="90" customHeight="1">
      <x:c r="A182" s="6" t="str">
        <x:v>2024::jama.2024.23898::C006</x:v>
      </x:c>
      <x:c r="B182" s="6" t="str">
        <x:v>sourceLinks</x:v>
      </x:c>
      <x:c r="C182" s="6" t="n">
        <x:v>0</x:v>
      </x:c>
      <x:c r="D182" s="6" t="str">
        <x:v>main article — PDF p. 5</x:v>
      </x:c>
      <x:c r="E182" s="6" t="str">
        <x:v>../../2024/jama.2024.23898/jama_paterson_2024_oi_240139_1741633738.12862.pdf#page=5</x:v>
      </x:c>
    </x:row>
    <x:row r="183" ht="90" customHeight="1">
      <x:c r="A183" s="3" t="str">
        <x:v>2024::jama.2024.23898::C006</x:v>
      </x:c>
      <x:c r="B183" s="3" t="str">
        <x:v>sourceLinks</x:v>
      </x:c>
      <x:c r="C183" s="3" t="n">
        <x:v>1</x:v>
      </x:c>
      <x:c r="D183" s="3" t="str">
        <x:v>main article — PDF p. 6</x:v>
      </x:c>
      <x:c r="E183" s="3" t="str">
        <x:v>../../2024/jama.2024.23898/jama_paterson_2024_oi_240139_1741633738.12862.pdf#page=6</x:v>
      </x:c>
    </x:row>
    <x:row r="184" ht="90" customHeight="1">
      <x:c r="A184" s="6" t="str">
        <x:v>2024::jama.2024.23898::C006</x:v>
      </x:c>
      <x:c r="B184" s="6" t="str">
        <x:v>sourceLinks</x:v>
      </x:c>
      <x:c r="C184" s="6" t="n">
        <x:v>2</x:v>
      </x:c>
      <x:c r="D184" s="6" t="str">
        <x:v>SAP — PDF p. 13</x:v>
      </x:c>
      <x:c r="E184" s="6" t="str">
        <x:v>../../2024/jama.2024.23898/joi240139supp2_prod_1741633738.17362.pdf#page=13</x:v>
      </x:c>
    </x:row>
    <x:row r="185" ht="90" customHeight="1">
      <x:c r="A185" s="3" t="str">
        <x:v>2024::jama.2024.23898::C006</x:v>
      </x:c>
      <x:c r="B185" s="3" t="str">
        <x:v>sourceLinks</x:v>
      </x:c>
      <x:c r="C185" s="3" t="n">
        <x:v>3</x:v>
      </x:c>
      <x:c r="D185" s="3" t="str">
        <x:v>SAP — PDF p. 14</x:v>
      </x:c>
      <x:c r="E185" s="3" t="str">
        <x:v>../../2024/jama.2024.23898/joi240139supp2_prod_1741633738.17362.pdf#page=14</x:v>
      </x:c>
    </x:row>
    <x:row r="186" ht="90" customHeight="1">
      <x:c r="A186" s="6" t="str">
        <x:v>2024::jama.2024.23898::C006</x:v>
      </x:c>
      <x:c r="B186" s="6" t="str">
        <x:v>evidencePaths</x:v>
      </x:c>
      <x:c r="C186" s="6" t="n">
        <x:v>0</x:v>
      </x:c>
      <x:c r="D186" s="6" t="str">
        <x:v>2024/jama.2024.23898/.ai_paper_validation/review_1_5_3/source_inventory.md</x:v>
      </x:c>
      <x:c r="E186" s="6" t="str">
        <x:v>../../2024/jama.2024.23898/.ai_paper_validation/review_1_5_3/source_inventory.md</x:v>
      </x:c>
    </x:row>
    <x:row r="187" ht="90" customHeight="1">
      <x:c r="A187" s="3" t="str">
        <x:v>2024::jama.2024.23898::C006</x:v>
      </x:c>
      <x:c r="B187" s="3" t="str">
        <x:v>evidencePaths</x:v>
      </x:c>
      <x:c r="C187" s="3" t="n">
        <x:v>1</x:v>
      </x:c>
      <x:c r="D187" s="3" t="str">
        <x:v>2024/jama.2024.23898/.ai_paper_validation/review_1_5_3/checkers/statistical_pass_2.md</x:v>
      </x:c>
      <x:c r="E187" s="3" t="str">
        <x:v>../../2024/jama.2024.23898/.ai_paper_validation/review_1_5_3/checkers/statistical_pass_2.md</x:v>
      </x:c>
    </x:row>
    <x:row r="188" ht="90" customHeight="1">
      <x:c r="A188" s="6" t="str">
        <x:v>2024::jama.2024.23898::C007</x:v>
      </x:c>
      <x:c r="B188" s="6" t="str">
        <x:v>sourceLinks</x:v>
      </x:c>
      <x:c r="C188" s="6" t="n">
        <x:v>0</x:v>
      </x:c>
      <x:c r="D188" s="6" t="str">
        <x:v>main article — PDF p. 5</x:v>
      </x:c>
      <x:c r="E188" s="6" t="str">
        <x:v>../../2024/jama.2024.23898/jama_paterson_2024_oi_240139_1741633738.12862.pdf#page=5</x:v>
      </x:c>
    </x:row>
    <x:row r="189" ht="90" customHeight="1">
      <x:c r="A189" s="3" t="str">
        <x:v>2024::jama.2024.23898::C007</x:v>
      </x:c>
      <x:c r="B189" s="3" t="str">
        <x:v>sourceLinks</x:v>
      </x:c>
      <x:c r="C189" s="3" t="n">
        <x:v>1</x:v>
      </x:c>
      <x:c r="D189" s="3" t="str">
        <x:v>SAP — PDF p. 15</x:v>
      </x:c>
      <x:c r="E189" s="3" t="str">
        <x:v>../../2024/jama.2024.23898/joi240139supp2_prod_1741633738.17362.pdf#page=15</x:v>
      </x:c>
    </x:row>
    <x:row r="190" ht="90" customHeight="1">
      <x:c r="A190" s="6" t="str">
        <x:v>2024::jama.2024.23898::C007</x:v>
      </x:c>
      <x:c r="B190" s="6" t="str">
        <x:v>sourceLinks</x:v>
      </x:c>
      <x:c r="C190" s="6" t="n">
        <x:v>2</x:v>
      </x:c>
      <x:c r="D190" s="6" t="str">
        <x:v>results supplement — PDF p. 2</x:v>
      </x:c>
      <x:c r="E190" s="6" t="str">
        <x:v>../../2024/jama.2024.23898/joi240139supp3_prod_1741633738.18862.pdf#page=2</x:v>
      </x:c>
    </x:row>
    <x:row r="191" ht="90" customHeight="1">
      <x:c r="A191" s="3" t="str">
        <x:v>2024::jama.2024.23898::C007</x:v>
      </x:c>
      <x:c r="B191" s="3" t="str">
        <x:v>evidencePaths</x:v>
      </x:c>
      <x:c r="C191" s="3" t="n">
        <x:v>0</x:v>
      </x:c>
      <x:c r="D191" s="3" t="str">
        <x:v>2024/jama.2024.23898/.ai_paper_validation/review_1_5_3/source_inventory.md</x:v>
      </x:c>
      <x:c r="E191" s="3" t="str">
        <x:v>../../2024/jama.2024.23898/.ai_paper_validation/review_1_5_3/source_inventory.md</x:v>
      </x:c>
    </x:row>
    <x:row r="192" ht="90" customHeight="1">
      <x:c r="A192" s="6" t="str">
        <x:v>2024::jama.2024.23898::C007</x:v>
      </x:c>
      <x:c r="B192" s="6" t="str">
        <x:v>evidencePaths</x:v>
      </x:c>
      <x:c r="C192" s="6" t="n">
        <x:v>1</x:v>
      </x:c>
      <x:c r="D192" s="6" t="str">
        <x:v>2024/jama.2024.23898/.ai_paper_validation/review_1_5_3/checkers/statistical_pass_2.md</x:v>
      </x:c>
      <x:c r="E192" s="6" t="str">
        <x:v>../../2024/jama.2024.23898/.ai_paper_validation/review_1_5_3/checkers/statistical_pass_2.md</x:v>
      </x:c>
    </x:row>
    <x:row r="193" ht="90" customHeight="1">
      <x:c r="A193" s="3" t="str">
        <x:v>2024::jama.2024.25786::C001</x:v>
      </x:c>
      <x:c r="B193" s="3" t="str">
        <x:v>sourceLinks</x:v>
      </x:c>
      <x:c r="C193" s="3" t="n">
        <x:v>0</x:v>
      </x:c>
      <x:c r="D193" s="3" t="str">
        <x:v>Supplement 2, eTable 2, PDF p. 15</x:v>
      </x:c>
      <x:c r="E193" s="3" t="str">
        <x:v>../../2024/jama.2024.25786/joi240147supp2_prod_1738701765.29201.pdf#page=15</x:v>
      </x:c>
    </x:row>
    <x:row r="194" ht="90" customHeight="1">
      <x:c r="A194" s="6" t="str">
        <x:v>2024::jama.2024.25786::C001</x:v>
      </x:c>
      <x:c r="B194" s="6" t="str">
        <x:v>evidencePaths</x:v>
      </x:c>
      <x:c r="C194" s="6" t="n">
        <x:v>0</x:v>
      </x:c>
      <x:c r="D194" s="6" t="str">
        <x:v>2024/jama.2024.25786/.ai_paper_validation/review_1_5_3/source_inventory.md</x:v>
      </x:c>
      <x:c r="E194" s="6" t="str">
        <x:v>../../2024/jama.2024.25786/.ai_paper_validation/review_1_5_3/source_inventory.md</x:v>
      </x:c>
    </x:row>
    <x:row r="195" ht="90" customHeight="1">
      <x:c r="A195" s="3" t="str">
        <x:v>2024::jama.2024.25786::C002</x:v>
      </x:c>
      <x:c r="B195" s="3" t="str">
        <x:v>sourceLinks</x:v>
      </x:c>
      <x:c r="C195" s="3" t="n">
        <x:v>0</x:v>
      </x:c>
      <x:c r="D195" s="3" t="str">
        <x:v>Supplement 2, eTable 2, PDF p. 15</x:v>
      </x:c>
      <x:c r="E195" s="3" t="str">
        <x:v>../../2024/jama.2024.25786/joi240147supp2_prod_1738701765.29201.pdf#page=15</x:v>
      </x:c>
    </x:row>
    <x:row r="196" ht="90" customHeight="1">
      <x:c r="A196" s="6" t="str">
        <x:v>2024::jama.2024.25786::C002</x:v>
      </x:c>
      <x:c r="B196" s="6" t="str">
        <x:v>evidencePaths</x:v>
      </x:c>
      <x:c r="C196" s="6" t="n">
        <x:v>0</x:v>
      </x:c>
      <x:c r="D196" s="6" t="str">
        <x:v>2024/jama.2024.25786/.ai_paper_validation/review_1_5_3/source_inventory.md</x:v>
      </x:c>
      <x:c r="E196" s="6" t="str">
        <x:v>../../2024/jama.2024.25786/.ai_paper_validation/review_1_5_3/source_inventory.md</x:v>
      </x:c>
    </x:row>
    <x:row r="197" ht="90" customHeight="1">
      <x:c r="A197" s="3" t="str">
        <x:v>2024::jama.2024.25786::C003</x:v>
      </x:c>
      <x:c r="B197" s="3" t="str">
        <x:v>sourceLinks</x:v>
      </x:c>
      <x:c r="C197" s="3" t="n">
        <x:v>0</x:v>
      </x:c>
      <x:c r="D197" s="3" t="str">
        <x:v>Supplement 2, eTable 4, PDF p. 17</x:v>
      </x:c>
      <x:c r="E197" s="3" t="str">
        <x:v>../../2024/jama.2024.25786/joi240147supp2_prod_1738701765.29201.pdf#page=17</x:v>
      </x:c>
    </x:row>
    <x:row r="198" ht="90" customHeight="1">
      <x:c r="A198" s="6" t="str">
        <x:v>2024::jama.2024.25786::C003</x:v>
      </x:c>
      <x:c r="B198" s="6" t="str">
        <x:v>sourceLinks</x:v>
      </x:c>
      <x:c r="C198" s="6" t="n">
        <x:v>1</x:v>
      </x:c>
      <x:c r="D198" s="6" t="str">
        <x:v>Supplement 2, eTable 7, PDF p. 20</x:v>
      </x:c>
      <x:c r="E198" s="6" t="str">
        <x:v>../../2024/jama.2024.25786/joi240147supp2_prod_1738701765.29201.pdf#page=20</x:v>
      </x:c>
    </x:row>
    <x:row r="199" ht="90" customHeight="1">
      <x:c r="A199" s="3" t="str">
        <x:v>2024::jama.2024.25786::C003</x:v>
      </x:c>
      <x:c r="B199" s="3" t="str">
        <x:v>sourceLinks</x:v>
      </x:c>
      <x:c r="C199" s="3" t="n">
        <x:v>2</x:v>
      </x:c>
      <x:c r="D199" s="3" t="str">
        <x:v>Main article, PDF p. 5</x:v>
      </x:c>
      <x:c r="E199" s="3" t="str">
        <x:v>../../2024/jama.2024.25786/jama_arleth_2024_oi_240147_1738701765.27201.pdf#page=5</x:v>
      </x:c>
    </x:row>
    <x:row r="200" ht="90" customHeight="1">
      <x:c r="A200" s="6" t="str">
        <x:v>2024::jama.2024.25786::C003</x:v>
      </x:c>
      <x:c r="B200" s="6" t="str">
        <x:v>evidencePaths</x:v>
      </x:c>
      <x:c r="C200" s="6" t="n">
        <x:v>0</x:v>
      </x:c>
      <x:c r="D200" s="6" t="str">
        <x:v>2024/jama.2024.25786/.ai_paper_validation/review_1_5_3/source_inventory.md</x:v>
      </x:c>
      <x:c r="E200" s="6" t="str">
        <x:v>../../2024/jama.2024.25786/.ai_paper_validation/review_1_5_3/source_inventory.md</x:v>
      </x:c>
    </x:row>
    <x:row r="201" ht="90" customHeight="1">
      <x:c r="A201" s="3" t="str">
        <x:v>2024::jama.2024.25786::C003</x:v>
      </x:c>
      <x:c r="B201" s="3" t="str">
        <x:v>evidencePaths</x:v>
      </x:c>
      <x:c r="C201" s="3" t="n">
        <x:v>1</x:v>
      </x:c>
      <x:c r="D201" s="3" t="str">
        <x:v>2024/jama.2024.25786/.ai_paper_validation/review_1_5_3/verification/evidence_recheck.md</x:v>
      </x:c>
      <x:c r="E201" s="3" t="str">
        <x:v>../../2024/jama.2024.25786/.ai_paper_validation/review_1_5_3/verification/evidence_recheck.md</x:v>
      </x:c>
    </x:row>
    <x:row r="202" ht="90" customHeight="1">
      <x:c r="A202" s="6" t="str">
        <x:v>2024::jama.2024.25786::C004</x:v>
      </x:c>
      <x:c r="B202" s="6" t="str">
        <x:v>sourceLinks</x:v>
      </x:c>
      <x:c r="C202" s="6" t="n">
        <x:v>0</x:v>
      </x:c>
      <x:c r="D202" s="6" t="str">
        <x:v>Main article, Figure 4, PDF p. 8</x:v>
      </x:c>
      <x:c r="E202" s="6" t="str">
        <x:v>../../2024/jama.2024.25786/jama_arleth_2024_oi_240147_1738701765.27201.pdf#page=8</x:v>
      </x:c>
    </x:row>
    <x:row r="203" ht="90" customHeight="1">
      <x:c r="A203" s="3" t="str">
        <x:v>2024::jama.2024.25786::C004</x:v>
      </x:c>
      <x:c r="B203" s="3" t="str">
        <x:v>sourceLinks</x:v>
      </x:c>
      <x:c r="C203" s="3" t="n">
        <x:v>1</x:v>
      </x:c>
      <x:c r="D203" s="3" t="str">
        <x:v>Supplement 2, eTable 7, PDF p. 20</x:v>
      </x:c>
      <x:c r="E203" s="3" t="str">
        <x:v>../../2024/jama.2024.25786/joi240147supp2_prod_1738701765.29201.pdf#page=20</x:v>
      </x:c>
    </x:row>
    <x:row r="204" ht="90" customHeight="1">
      <x:c r="A204" s="6" t="str">
        <x:v>2024::jama.2024.25786::C004</x:v>
      </x:c>
      <x:c r="B204" s="6" t="str">
        <x:v>evidencePaths</x:v>
      </x:c>
      <x:c r="C204" s="6" t="n">
        <x:v>0</x:v>
      </x:c>
      <x:c r="D204" s="6" t="str">
        <x:v>2024/jama.2024.25786/.ai_paper_validation/review_1_5_3/source_inventory.md</x:v>
      </x:c>
      <x:c r="E204" s="6" t="str">
        <x:v>../../2024/jama.2024.25786/.ai_paper_validation/review_1_5_3/source_inventory.md</x:v>
      </x:c>
    </x:row>
    <x:row r="205" ht="90" customHeight="1">
      <x:c r="A205" s="3" t="str">
        <x:v>2024::jama.2024.25786::C004</x:v>
      </x:c>
      <x:c r="B205" s="3" t="str">
        <x:v>evidencePaths</x:v>
      </x:c>
      <x:c r="C205" s="3" t="n">
        <x:v>1</x:v>
      </x:c>
      <x:c r="D205" s="3" t="str">
        <x:v>2024/jama.2024.25786/.ai_paper_validation/review_1_5_3/verification/evidence_recheck.md</x:v>
      </x:c>
      <x:c r="E205" s="3" t="str">
        <x:v>../../2024/jama.2024.25786/.ai_paper_validation/review_1_5_3/verification/evidence_recheck.md</x:v>
      </x:c>
    </x:row>
    <x:row r="206" ht="90" customHeight="1">
      <x:c r="A206" s="6" t="str">
        <x:v>2024::jama.2024.25786::C005</x:v>
      </x:c>
      <x:c r="B206" s="6" t="str">
        <x:v>sourceLinks</x:v>
      </x:c>
      <x:c r="C206" s="6" t="n">
        <x:v>0</x:v>
      </x:c>
      <x:c r="D206" s="6" t="str">
        <x:v>Main article, Figure 4, PDF p. 8</x:v>
      </x:c>
      <x:c r="E206" s="6" t="str">
        <x:v>../../2024/jama.2024.25786/jama_arleth_2024_oi_240147_1738701765.27201.pdf#page=8</x:v>
      </x:c>
    </x:row>
    <x:row r="207" ht="90" customHeight="1">
      <x:c r="A207" s="3" t="str">
        <x:v>2024::jama.2024.25786::C005</x:v>
      </x:c>
      <x:c r="B207" s="3" t="str">
        <x:v>sourceLinks</x:v>
      </x:c>
      <x:c r="C207" s="3" t="n">
        <x:v>1</x:v>
      </x:c>
      <x:c r="D207" s="3" t="str">
        <x:v>Supplement 2, eTable 7, PDF p. 20</x:v>
      </x:c>
      <x:c r="E207" s="3" t="str">
        <x:v>../../2024/jama.2024.25786/joi240147supp2_prod_1738701765.29201.pdf#page=20</x:v>
      </x:c>
    </x:row>
    <x:row r="208" ht="90" customHeight="1">
      <x:c r="A208" s="6" t="str">
        <x:v>2024::jama.2024.25786::C005</x:v>
      </x:c>
      <x:c r="B208" s="6" t="str">
        <x:v>evidencePaths</x:v>
      </x:c>
      <x:c r="C208" s="6" t="n">
        <x:v>0</x:v>
      </x:c>
      <x:c r="D208" s="6" t="str">
        <x:v>2024/jama.2024.25786/.ai_paper_validation/review_1_5_3/source_inventory.md</x:v>
      </x:c>
      <x:c r="E208" s="6" t="str">
        <x:v>../../2024/jama.2024.25786/.ai_paper_validation/review_1_5_3/source_inventory.md</x:v>
      </x:c>
    </x:row>
    <x:row r="209" ht="90" customHeight="1">
      <x:c r="A209" s="3" t="str">
        <x:v>2024::jama.2024.25786::C005</x:v>
      </x:c>
      <x:c r="B209" s="3" t="str">
        <x:v>evidencePaths</x:v>
      </x:c>
      <x:c r="C209" s="3" t="n">
        <x:v>1</x:v>
      </x:c>
      <x:c r="D209" s="3" t="str">
        <x:v>2024/jama.2024.25786/.ai_paper_validation/review_1_5_3/verification/evidence_recheck.md</x:v>
      </x:c>
      <x:c r="E209" s="3" t="str">
        <x:v>../../2024/jama.2024.25786/.ai_paper_validation/review_1_5_3/verification/evidence_recheck.md</x:v>
      </x:c>
    </x:row>
    <x:row r="210" ht="90" customHeight="1">
      <x:c r="A210" s="6" t="str">
        <x:v>2024::jama.2024.25786::C006</x:v>
      </x:c>
      <x:c r="B210" s="6" t="str">
        <x:v>sourceLinks</x:v>
      </x:c>
      <x:c r="C210" s="6" t="n">
        <x:v>0</x:v>
      </x:c>
      <x:c r="D210" s="6" t="str">
        <x:v>Supplement 2, eTable 10, PDF p. 24</x:v>
      </x:c>
      <x:c r="E210" s="6" t="str">
        <x:v>../../2024/jama.2024.25786/joi240147supp2_prod_1738701765.29201.pdf#page=24</x:v>
      </x:c>
    </x:row>
    <x:row r="211" ht="90" customHeight="1">
      <x:c r="A211" s="3" t="str">
        <x:v>2024::jama.2024.25786::C006</x:v>
      </x:c>
      <x:c r="B211" s="3" t="str">
        <x:v>sourceLinks</x:v>
      </x:c>
      <x:c r="C211" s="3" t="n">
        <x:v>1</x:v>
      </x:c>
      <x:c r="D211" s="3" t="str">
        <x:v>Main article, Figure 1, PDF p. 3</x:v>
      </x:c>
      <x:c r="E211" s="3" t="str">
        <x:v>../../2024/jama.2024.25786/jama_arleth_2024_oi_240147_1738701765.27201.pdf#page=3</x:v>
      </x:c>
    </x:row>
    <x:row r="212" ht="90" customHeight="1">
      <x:c r="A212" s="6" t="str">
        <x:v>2024::jama.2024.25786::C006</x:v>
      </x:c>
      <x:c r="B212" s="6" t="str">
        <x:v>evidencePaths</x:v>
      </x:c>
      <x:c r="C212" s="6" t="n">
        <x:v>0</x:v>
      </x:c>
      <x:c r="D212" s="6" t="str">
        <x:v>2024/jama.2024.25786/.ai_paper_validation/review_1_5_3/source_inventory.md</x:v>
      </x:c>
      <x:c r="E212" s="6" t="str">
        <x:v>../../2024/jama.2024.25786/.ai_paper_validation/review_1_5_3/source_inventory.md</x:v>
      </x:c>
    </x:row>
    <x:row r="213" ht="90" customHeight="1">
      <x:c r="A213" s="3" t="str">
        <x:v>2024::jama.2024.25786::C006</x:v>
      </x:c>
      <x:c r="B213" s="3" t="str">
        <x:v>evidencePaths</x:v>
      </x:c>
      <x:c r="C213" s="3" t="n">
        <x:v>1</x:v>
      </x:c>
      <x:c r="D213" s="3" t="str">
        <x:v>2024/jama.2024.25786/.ai_paper_validation/review_1_5_3/verification/evidence_recheck.md</x:v>
      </x:c>
      <x:c r="E213" s="3" t="str">
        <x:v>../../2024/jama.2024.25786/.ai_paper_validation/review_1_5_3/verification/evidence_recheck.md</x:v>
      </x:c>
    </x:row>
    <x:row r="214" ht="90" customHeight="1">
      <x:c r="A214" s="6" t="str">
        <x:v>2024::jama.2024.25786::C007</x:v>
      </x:c>
      <x:c r="B214" s="6" t="str">
        <x:v>sourceLinks</x:v>
      </x:c>
      <x:c r="C214" s="6" t="n">
        <x:v>0</x:v>
      </x:c>
      <x:c r="D214" s="6" t="str">
        <x:v>Supplement 2, eTable 10, PDF p. 24</x:v>
      </x:c>
      <x:c r="E214" s="6" t="str">
        <x:v>../../2024/jama.2024.25786/joi240147supp2_prod_1738701765.29201.pdf#page=24</x:v>
      </x:c>
    </x:row>
    <x:row r="215" ht="90" customHeight="1">
      <x:c r="A215" s="3" t="str">
        <x:v>2024::jama.2024.25786::C007</x:v>
      </x:c>
      <x:c r="B215" s="3" t="str">
        <x:v>sourceLinks</x:v>
      </x:c>
      <x:c r="C215" s="3" t="n">
        <x:v>1</x:v>
      </x:c>
      <x:c r="D215" s="3" t="str">
        <x:v>Main article, Figure 1, PDF p. 3</x:v>
      </x:c>
      <x:c r="E215" s="3" t="str">
        <x:v>../../2024/jama.2024.25786/jama_arleth_2024_oi_240147_1738701765.27201.pdf#page=3</x:v>
      </x:c>
    </x:row>
    <x:row r="216" ht="90" customHeight="1">
      <x:c r="A216" s="6" t="str">
        <x:v>2024::jama.2024.25786::C007</x:v>
      </x:c>
      <x:c r="B216" s="6" t="str">
        <x:v>evidencePaths</x:v>
      </x:c>
      <x:c r="C216" s="6" t="n">
        <x:v>0</x:v>
      </x:c>
      <x:c r="D216" s="6" t="str">
        <x:v>2024/jama.2024.25786/.ai_paper_validation/review_1_5_3/source_inventory.md</x:v>
      </x:c>
      <x:c r="E216" s="6" t="str">
        <x:v>../../2024/jama.2024.25786/.ai_paper_validation/review_1_5_3/source_inventory.md</x:v>
      </x:c>
    </x:row>
    <x:row r="217" ht="90" customHeight="1">
      <x:c r="A217" s="3" t="str">
        <x:v>2024::jama.2024.25786::C007</x:v>
      </x:c>
      <x:c r="B217" s="3" t="str">
        <x:v>evidencePaths</x:v>
      </x:c>
      <x:c r="C217" s="3" t="n">
        <x:v>1</x:v>
      </x:c>
      <x:c r="D217" s="3" t="str">
        <x:v>2024/jama.2024.25786/.ai_paper_validation/review_1_5_3/verification/evidence_recheck.md</x:v>
      </x:c>
      <x:c r="E217" s="3" t="str">
        <x:v>../../2024/jama.2024.25786/.ai_paper_validation/review_1_5_3/verification/evidence_recheck.md</x:v>
      </x:c>
    </x:row>
    <x:row r="218" ht="90" customHeight="1">
      <x:c r="A218" s="6" t="str">
        <x:v>2024::jama.2024.25786::C008</x:v>
      </x:c>
      <x:c r="B218" s="6" t="str">
        <x:v>sourceLinks</x:v>
      </x:c>
      <x:c r="C218" s="6" t="n">
        <x:v>0</x:v>
      </x:c>
      <x:c r="D218" s="6" t="str">
        <x:v>Supplement 2, eTable 11, PDF p. 25</x:v>
      </x:c>
      <x:c r="E218" s="6" t="str">
        <x:v>../../2024/jama.2024.25786/joi240147supp2_prod_1738701765.29201.pdf#page=25</x:v>
      </x:c>
    </x:row>
    <x:row r="219" ht="90" customHeight="1">
      <x:c r="A219" s="3" t="str">
        <x:v>2024::jama.2024.25786::C008</x:v>
      </x:c>
      <x:c r="B219" s="3" t="str">
        <x:v>evidencePaths</x:v>
      </x:c>
      <x:c r="C219" s="3" t="n">
        <x:v>0</x:v>
      </x:c>
      <x:c r="D219" s="3" t="str">
        <x:v>2024/jama.2024.25786/.ai_paper_validation/review_1_5_3/source_inventory.md</x:v>
      </x:c>
      <x:c r="E219" s="3" t="str">
        <x:v>../../2024/jama.2024.25786/.ai_paper_validation/review_1_5_3/source_inventory.md</x:v>
      </x:c>
    </x:row>
    <x:row r="220" ht="90" customHeight="1">
      <x:c r="A220" s="6" t="str">
        <x:v>2024::jama.2024.4183::C001</x:v>
      </x:c>
      <x:c r="B220" s="6" t="str">
        <x:v>sourceLinks</x:v>
      </x:c>
      <x:c r="C220" s="6" t="n">
        <x:v>0</x:v>
      </x:c>
      <x:c r="D220" s="6" t="str">
        <x:v>Main article p. 1</x:v>
      </x:c>
      <x:c r="E220" s="6" t="str">
        <x:v>../../2024/jama.2024.4183/jama_cinciripini_2024_oi_240036_1716416465.98349.pdf#page=1</x:v>
      </x:c>
    </x:row>
    <x:row r="221" ht="90" customHeight="1">
      <x:c r="A221" s="3" t="str">
        <x:v>2024::jama.2024.4183::C001</x:v>
      </x:c>
      <x:c r="B221" s="3" t="str">
        <x:v>sourceLinks</x:v>
      </x:c>
      <x:c r="C221" s="3" t="n">
        <x:v>1</x:v>
      </x:c>
      <x:c r="D221" s="3" t="str">
        <x:v>Main article p. 6</x:v>
      </x:c>
      <x:c r="E221" s="3" t="str">
        <x:v>../../2024/jama.2024.4183/jama_cinciripini_2024_oi_240036_1716416465.98349.pdf#page=6</x:v>
      </x:c>
    </x:row>
    <x:row r="222" ht="90" customHeight="1">
      <x:c r="A222" s="6" t="str">
        <x:v>2024::jama.2024.4183::C001</x:v>
      </x:c>
      <x:c r="B222" s="6" t="str">
        <x:v>evidencePaths</x:v>
      </x:c>
      <x:c r="C222" s="6" t="n">
        <x:v>0</x:v>
      </x:c>
      <x:c r="D222" s="6" t="str">
        <x:v>2024/jama.2024.4183/.ai_paper_validation/review_1_5_3/source_inventory.md</x:v>
      </x:c>
      <x:c r="E222" s="6" t="str">
        <x:v>../../2024/jama.2024.4183/.ai_paper_validation/review_1_5_3/source_inventory.md</x:v>
      </x:c>
    </x:row>
    <x:row r="223" ht="90" customHeight="1">
      <x:c r="A223" s="3" t="str">
        <x:v>2024::jama.2024.4183::C002</x:v>
      </x:c>
      <x:c r="B223" s="3" t="str">
        <x:v>sourceLinks</x:v>
      </x:c>
      <x:c r="C223" s="3" t="n">
        <x:v>0</x:v>
      </x:c>
      <x:c r="D223" s="3" t="str">
        <x:v>Main article p. 5</x:v>
      </x:c>
      <x:c r="E223" s="3" t="str">
        <x:v>../../2024/jama.2024.4183/jama_cinciripini_2024_oi_240036_1716416465.98349.pdf#page=5</x:v>
      </x:c>
    </x:row>
    <x:row r="224" ht="90" customHeight="1">
      <x:c r="A224" s="6" t="str">
        <x:v>2024::jama.2024.4183::C002</x:v>
      </x:c>
      <x:c r="B224" s="6" t="str">
        <x:v>evidencePaths</x:v>
      </x:c>
      <x:c r="C224" s="6" t="n">
        <x:v>0</x:v>
      </x:c>
      <x:c r="D224" s="6" t="str">
        <x:v>2024/jama.2024.4183/.ai_paper_validation/review_1_5_3/source_inventory.md</x:v>
      </x:c>
      <x:c r="E224" s="6" t="str">
        <x:v>../../2024/jama.2024.4183/.ai_paper_validation/review_1_5_3/source_inventory.md</x:v>
      </x:c>
    </x:row>
    <x:row r="225" ht="90" customHeight="1">
      <x:c r="A225" s="3" t="str">
        <x:v>2024::jama.2024.4183::C003</x:v>
      </x:c>
      <x:c r="B225" s="3" t="str">
        <x:v>sourceLinks</x:v>
      </x:c>
      <x:c r="C225" s="3" t="n">
        <x:v>0</x:v>
      </x:c>
      <x:c r="D225" s="3" t="str">
        <x:v>Main article p. 4</x:v>
      </x:c>
      <x:c r="E225" s="3" t="str">
        <x:v>../../2024/jama.2024.4183/jama_cinciripini_2024_oi_240036_1716416465.98349.pdf#page=4</x:v>
      </x:c>
    </x:row>
    <x:row r="226" ht="90" customHeight="1">
      <x:c r="A226" s="6" t="str">
        <x:v>2024::jama.2024.4183::C003</x:v>
      </x:c>
      <x:c r="B226" s="6" t="str">
        <x:v>sourceLinks</x:v>
      </x:c>
      <x:c r="C226" s="6" t="n">
        <x:v>1</x:v>
      </x:c>
      <x:c r="D226" s="6" t="str">
        <x:v>Main article p. 6</x:v>
      </x:c>
      <x:c r="E226" s="6" t="str">
        <x:v>../../2024/jama.2024.4183/jama_cinciripini_2024_oi_240036_1716416465.98349.pdf#page=6</x:v>
      </x:c>
    </x:row>
    <x:row r="227" ht="90" customHeight="1">
      <x:c r="A227" s="3" t="str">
        <x:v>2024::jama.2024.4183::C003</x:v>
      </x:c>
      <x:c r="B227" s="3" t="str">
        <x:v>evidencePaths</x:v>
      </x:c>
      <x:c r="C227" s="3" t="n">
        <x:v>0</x:v>
      </x:c>
      <x:c r="D227" s="3" t="str">
        <x:v>2024/jama.2024.4183/.ai_paper_validation/review_1_5_3/source_inventory.md</x:v>
      </x:c>
      <x:c r="E227" s="3" t="str">
        <x:v>../../2024/jama.2024.4183/.ai_paper_validation/review_1_5_3/source_inventory.md</x:v>
      </x:c>
    </x:row>
    <x:row r="228" ht="90" customHeight="1">
      <x:c r="A228" s="6" t="str">
        <x:v>2024::jama.2024.4183::C004</x:v>
      </x:c>
      <x:c r="B228" s="6" t="str">
        <x:v>sourceLinks</x:v>
      </x:c>
      <x:c r="C228" s="6" t="n">
        <x:v>0</x:v>
      </x:c>
      <x:c r="D228" s="6" t="str">
        <x:v>Main article p. 1</x:v>
      </x:c>
      <x:c r="E228" s="6" t="str">
        <x:v>../../2024/jama.2024.4183/jama_cinciripini_2024_oi_240036_1716416465.98349.pdf#page=1</x:v>
      </x:c>
    </x:row>
    <x:row r="229" ht="90" customHeight="1">
      <x:c r="A229" s="3" t="str">
        <x:v>2024::jama.2024.4183::C004</x:v>
      </x:c>
      <x:c r="B229" s="3" t="str">
        <x:v>sourceLinks</x:v>
      </x:c>
      <x:c r="C229" s="3" t="n">
        <x:v>1</x:v>
      </x:c>
      <x:c r="D229" s="3" t="str">
        <x:v>Main article p. 4</x:v>
      </x:c>
      <x:c r="E229" s="3" t="str">
        <x:v>../../2024/jama.2024.4183/jama_cinciripini_2024_oi_240036_1716416465.98349.pdf#page=4</x:v>
      </x:c>
    </x:row>
    <x:row r="230" ht="90" customHeight="1">
      <x:c r="A230" s="6" t="str">
        <x:v>2024::jama.2024.4183::C004</x:v>
      </x:c>
      <x:c r="B230" s="6" t="str">
        <x:v>sourceLinks</x:v>
      </x:c>
      <x:c r="C230" s="6" t="n">
        <x:v>2</x:v>
      </x:c>
      <x:c r="D230" s="6" t="str">
        <x:v>Main article p. 6</x:v>
      </x:c>
      <x:c r="E230" s="6" t="str">
        <x:v>../../2024/jama.2024.4183/jama_cinciripini_2024_oi_240036_1716416465.98349.pdf#page=6</x:v>
      </x:c>
    </x:row>
    <x:row r="231" ht="90" customHeight="1">
      <x:c r="A231" s="3" t="str">
        <x:v>2024::jama.2024.4183::C004</x:v>
      </x:c>
      <x:c r="B231" s="3" t="str">
        <x:v>evidencePaths</x:v>
      </x:c>
      <x:c r="C231" s="3" t="n">
        <x:v>0</x:v>
      </x:c>
      <x:c r="D231" s="3" t="str">
        <x:v>2024/jama.2024.4183/.ai_paper_validation/review_1_5_3/source_inventory.md</x:v>
      </x:c>
      <x:c r="E231" s="3" t="str">
        <x:v>../../2024/jama.2024.4183/.ai_paper_validation/review_1_5_3/source_inventory.md</x:v>
      </x:c>
    </x:row>
    <x:row r="232" ht="90" customHeight="1">
      <x:c r="A232" s="6" t="str">
        <x:v>2024::jama.2024.4183::C005</x:v>
      </x:c>
      <x:c r="B232" s="6" t="str">
        <x:v>sourceLinks</x:v>
      </x:c>
      <x:c r="C232" s="6" t="n">
        <x:v>0</x:v>
      </x:c>
      <x:c r="D232" s="6" t="str">
        <x:v>Main article p. 1</x:v>
      </x:c>
      <x:c r="E232" s="6" t="str">
        <x:v>../../2024/jama.2024.4183/jama_cinciripini_2024_oi_240036_1716416465.98349.pdf#page=1</x:v>
      </x:c>
    </x:row>
    <x:row r="233" ht="90" customHeight="1">
      <x:c r="A233" s="3" t="str">
        <x:v>2024::jama.2024.4183::C005</x:v>
      </x:c>
      <x:c r="B233" s="3" t="str">
        <x:v>sourceLinks</x:v>
      </x:c>
      <x:c r="C233" s="3" t="n">
        <x:v>1</x:v>
      </x:c>
      <x:c r="D233" s="3" t="str">
        <x:v>Main article p. 5</x:v>
      </x:c>
      <x:c r="E233" s="3" t="str">
        <x:v>../../2024/jama.2024.4183/jama_cinciripini_2024_oi_240036_1716416465.98349.pdf#page=5</x:v>
      </x:c>
    </x:row>
    <x:row r="234" ht="90" customHeight="1">
      <x:c r="A234" s="6" t="str">
        <x:v>2024::jama.2024.4183::C005</x:v>
      </x:c>
      <x:c r="B234" s="6" t="str">
        <x:v>sourceLinks</x:v>
      </x:c>
      <x:c r="C234" s="6" t="n">
        <x:v>2</x:v>
      </x:c>
      <x:c r="D234" s="6" t="str">
        <x:v>Supplement 2 p. 21</x:v>
      </x:c>
      <x:c r="E234" s="6" t="str">
        <x:v>../../2024/jama.2024.4183/joi240036supp2_prod_1716416466.01349.pdf#page=21</x:v>
      </x:c>
    </x:row>
    <x:row r="235" ht="90" customHeight="1">
      <x:c r="A235" s="3" t="str">
        <x:v>2024::jama.2024.4183::C005</x:v>
      </x:c>
      <x:c r="B235" s="3" t="str">
        <x:v>evidencePaths</x:v>
      </x:c>
      <x:c r="C235" s="3" t="n">
        <x:v>0</x:v>
      </x:c>
      <x:c r="D235" s="3" t="str">
        <x:v>2024/jama.2024.4183/.ai_paper_validation/review_1_5_3/source_inventory.md</x:v>
      </x:c>
      <x:c r="E235" s="3" t="str">
        <x:v>../../2024/jama.2024.4183/.ai_paper_validation/review_1_5_3/source_inventory.md</x:v>
      </x:c>
    </x:row>
    <x:row r="236" ht="90" customHeight="1">
      <x:c r="A236" s="6" t="str">
        <x:v>2024::jama.2024.4183::C005</x:v>
      </x:c>
      <x:c r="B236" s="6" t="str">
        <x:v>evidencePaths</x:v>
      </x:c>
      <x:c r="C236" s="6" t="n">
        <x:v>1</x:v>
      </x:c>
      <x:c r="D236" s="6" t="str">
        <x:v>2024/jama.2024.4183/.ai_paper_validation/review_1_5_3/verification/evidence_recheck.md</x:v>
      </x:c>
      <x:c r="E236" s="6" t="str">
        <x:v>../../2024/jama.2024.4183/.ai_paper_validation/review_1_5_3/verification/evidence_recheck.md</x:v>
      </x:c>
    </x:row>
    <x:row r="237" ht="90" customHeight="1">
      <x:c r="A237" s="3" t="str">
        <x:v>2024::jama.2024.4183::C006</x:v>
      </x:c>
      <x:c r="B237" s="3" t="str">
        <x:v>sourceLinks</x:v>
      </x:c>
      <x:c r="C237" s="3" t="n">
        <x:v>0</x:v>
      </x:c>
      <x:c r="D237" s="3" t="str">
        <x:v>Main article p. 1</x:v>
      </x:c>
      <x:c r="E237" s="3" t="str">
        <x:v>../../2024/jama.2024.4183/jama_cinciripini_2024_oi_240036_1716416465.98349.pdf#page=1</x:v>
      </x:c>
    </x:row>
    <x:row r="238" ht="90" customHeight="1">
      <x:c r="A238" s="6" t="str">
        <x:v>2024::jama.2024.4183::C006</x:v>
      </x:c>
      <x:c r="B238" s="6" t="str">
        <x:v>sourceLinks</x:v>
      </x:c>
      <x:c r="C238" s="6" t="n">
        <x:v>1</x:v>
      </x:c>
      <x:c r="D238" s="6" t="str">
        <x:v>Main article p. 5</x:v>
      </x:c>
      <x:c r="E238" s="6" t="str">
        <x:v>../../2024/jama.2024.4183/jama_cinciripini_2024_oi_240036_1716416465.98349.pdf#page=5</x:v>
      </x:c>
    </x:row>
    <x:row r="239" ht="90" customHeight="1">
      <x:c r="A239" s="3" t="str">
        <x:v>2024::jama.2024.4183::C006</x:v>
      </x:c>
      <x:c r="B239" s="3" t="str">
        <x:v>sourceLinks</x:v>
      </x:c>
      <x:c r="C239" s="3" t="n">
        <x:v>2</x:v>
      </x:c>
      <x:c r="D239" s="3" t="str">
        <x:v>Supplement 2 p. 21</x:v>
      </x:c>
      <x:c r="E239" s="3" t="str">
        <x:v>../../2024/jama.2024.4183/joi240036supp2_prod_1716416466.01349.pdf#page=21</x:v>
      </x:c>
    </x:row>
    <x:row r="240" ht="90" customHeight="1">
      <x:c r="A240" s="6" t="str">
        <x:v>2024::jama.2024.4183::C006</x:v>
      </x:c>
      <x:c r="B240" s="6" t="str">
        <x:v>evidencePaths</x:v>
      </x:c>
      <x:c r="C240" s="6" t="n">
        <x:v>0</x:v>
      </x:c>
      <x:c r="D240" s="6" t="str">
        <x:v>2024/jama.2024.4183/.ai_paper_validation/review_1_5_3/source_inventory.md</x:v>
      </x:c>
      <x:c r="E240" s="6" t="str">
        <x:v>../../2024/jama.2024.4183/.ai_paper_validation/review_1_5_3/source_inventory.md</x:v>
      </x:c>
    </x:row>
    <x:row r="241" ht="90" customHeight="1">
      <x:c r="A241" s="3" t="str">
        <x:v>2024::jama.2024.4183::C006</x:v>
      </x:c>
      <x:c r="B241" s="3" t="str">
        <x:v>evidencePaths</x:v>
      </x:c>
      <x:c r="C241" s="3" t="n">
        <x:v>1</x:v>
      </x:c>
      <x:c r="D241" s="3" t="str">
        <x:v>2024/jama.2024.4183/.ai_paper_validation/review_1_5_3/verification/evidence_recheck.md</x:v>
      </x:c>
      <x:c r="E241" s="3" t="str">
        <x:v>../../2024/jama.2024.4183/.ai_paper_validation/review_1_5_3/verification/evidence_recheck.md</x:v>
      </x:c>
    </x:row>
    <x:row r="242" ht="90" customHeight="1">
      <x:c r="A242" s="6" t="str">
        <x:v>2024::jama.2024.4183::C007</x:v>
      </x:c>
      <x:c r="B242" s="6" t="str">
        <x:v>sourceLinks</x:v>
      </x:c>
      <x:c r="C242" s="6" t="n">
        <x:v>0</x:v>
      </x:c>
      <x:c r="D242" s="6" t="str">
        <x:v>Main article p. 1</x:v>
      </x:c>
      <x:c r="E242" s="6" t="str">
        <x:v>../../2024/jama.2024.4183/jama_cinciripini_2024_oi_240036_1716416465.98349.pdf#page=1</x:v>
      </x:c>
    </x:row>
    <x:row r="243" ht="90" customHeight="1">
      <x:c r="A243" s="3" t="str">
        <x:v>2024::jama.2024.4183::C007</x:v>
      </x:c>
      <x:c r="B243" s="3" t="str">
        <x:v>sourceLinks</x:v>
      </x:c>
      <x:c r="C243" s="3" t="n">
        <x:v>1</x:v>
      </x:c>
      <x:c r="D243" s="3" t="str">
        <x:v>Main article p. 5</x:v>
      </x:c>
      <x:c r="E243" s="3" t="str">
        <x:v>../../2024/jama.2024.4183/jama_cinciripini_2024_oi_240036_1716416465.98349.pdf#page=5</x:v>
      </x:c>
    </x:row>
    <x:row r="244" ht="90" customHeight="1">
      <x:c r="A244" s="6" t="str">
        <x:v>2024::jama.2024.4183::C007</x:v>
      </x:c>
      <x:c r="B244" s="6" t="str">
        <x:v>sourceLinks</x:v>
      </x:c>
      <x:c r="C244" s="6" t="n">
        <x:v>2</x:v>
      </x:c>
      <x:c r="D244" s="6" t="str">
        <x:v>Main article p. 7</x:v>
      </x:c>
      <x:c r="E244" s="6" t="str">
        <x:v>../../2024/jama.2024.4183/jama_cinciripini_2024_oi_240036_1716416465.98349.pdf#page=7</x:v>
      </x:c>
    </x:row>
    <x:row r="245" ht="90" customHeight="1">
      <x:c r="A245" s="3" t="str">
        <x:v>2024::jama.2024.4183::C007</x:v>
      </x:c>
      <x:c r="B245" s="3" t="str">
        <x:v>sourceLinks</x:v>
      </x:c>
      <x:c r="C245" s="3" t="n">
        <x:v>3</x:v>
      </x:c>
      <x:c r="D245" s="3" t="str">
        <x:v>Supplement 2 p. 21</x:v>
      </x:c>
      <x:c r="E245" s="3" t="str">
        <x:v>../../2024/jama.2024.4183/joi240036supp2_prod_1716416466.01349.pdf#page=21</x:v>
      </x:c>
    </x:row>
    <x:row r="246" ht="90" customHeight="1">
      <x:c r="A246" s="6" t="str">
        <x:v>2024::jama.2024.4183::C007</x:v>
      </x:c>
      <x:c r="B246" s="6" t="str">
        <x:v>evidencePaths</x:v>
      </x:c>
      <x:c r="C246" s="6" t="n">
        <x:v>0</x:v>
      </x:c>
      <x:c r="D246" s="6" t="str">
        <x:v>2024/jama.2024.4183/.ai_paper_validation/review_1_5_3/source_inventory.md</x:v>
      </x:c>
      <x:c r="E246" s="6" t="str">
        <x:v>../../2024/jama.2024.4183/.ai_paper_validation/review_1_5_3/source_inventory.md</x:v>
      </x:c>
    </x:row>
    <x:row r="247" ht="90" customHeight="1">
      <x:c r="A247" s="3" t="str">
        <x:v>2024::jama.2024.4183::C007</x:v>
      </x:c>
      <x:c r="B247" s="3" t="str">
        <x:v>evidencePaths</x:v>
      </x:c>
      <x:c r="C247" s="3" t="n">
        <x:v>1</x:v>
      </x:c>
      <x:c r="D247" s="3" t="str">
        <x:v>2024/jama.2024.4183/.ai_paper_validation/review_1_5_3/verification/evidence_recheck.md</x:v>
      </x:c>
      <x:c r="E247" s="3" t="str">
        <x:v>../../2024/jama.2024.4183/.ai_paper_validation/review_1_5_3/verification/evidence_recheck.md</x:v>
      </x:c>
    </x:row>
    <x:row r="248" ht="90" customHeight="1">
      <x:c r="A248" s="6" t="str">
        <x:v>2024::jama.2024.4183::C008</x:v>
      </x:c>
      <x:c r="B248" s="6" t="str">
        <x:v>sourceLinks</x:v>
      </x:c>
      <x:c r="C248" s="6" t="n">
        <x:v>0</x:v>
      </x:c>
      <x:c r="D248" s="6" t="str">
        <x:v>Main article p. 1</x:v>
      </x:c>
      <x:c r="E248" s="6" t="str">
        <x:v>../../2024/jama.2024.4183/jama_cinciripini_2024_oi_240036_1716416465.98349.pdf#page=1</x:v>
      </x:c>
    </x:row>
    <x:row r="249" ht="90" customHeight="1">
      <x:c r="A249" s="3" t="str">
        <x:v>2024::jama.2024.4183::C008</x:v>
      </x:c>
      <x:c r="B249" s="3" t="str">
        <x:v>sourceLinks</x:v>
      </x:c>
      <x:c r="C249" s="3" t="n">
        <x:v>1</x:v>
      </x:c>
      <x:c r="D249" s="3" t="str">
        <x:v>Main article p. 5</x:v>
      </x:c>
      <x:c r="E249" s="3" t="str">
        <x:v>../../2024/jama.2024.4183/jama_cinciripini_2024_oi_240036_1716416465.98349.pdf#page=5</x:v>
      </x:c>
    </x:row>
    <x:row r="250" ht="90" customHeight="1">
      <x:c r="A250" s="6" t="str">
        <x:v>2024::jama.2024.4183::C008</x:v>
      </x:c>
      <x:c r="B250" s="6" t="str">
        <x:v>sourceLinks</x:v>
      </x:c>
      <x:c r="C250" s="6" t="n">
        <x:v>2</x:v>
      </x:c>
      <x:c r="D250" s="6" t="str">
        <x:v>Supplement 2 p. 21</x:v>
      </x:c>
      <x:c r="E250" s="6" t="str">
        <x:v>../../2024/jama.2024.4183/joi240036supp2_prod_1716416466.01349.pdf#page=21</x:v>
      </x:c>
    </x:row>
    <x:row r="251" ht="90" customHeight="1">
      <x:c r="A251" s="3" t="str">
        <x:v>2024::jama.2024.4183::C008</x:v>
      </x:c>
      <x:c r="B251" s="3" t="str">
        <x:v>evidencePaths</x:v>
      </x:c>
      <x:c r="C251" s="3" t="n">
        <x:v>0</x:v>
      </x:c>
      <x:c r="D251" s="3" t="str">
        <x:v>2024/jama.2024.4183/.ai_paper_validation/review_1_5_3/source_inventory.md</x:v>
      </x:c>
      <x:c r="E251" s="3" t="str">
        <x:v>../../2024/jama.2024.4183/.ai_paper_validation/review_1_5_3/source_inventory.md</x:v>
      </x:c>
    </x:row>
    <x:row r="252" ht="90" customHeight="1">
      <x:c r="A252" s="6" t="str">
        <x:v>2024::jama.2024.4183::C009</x:v>
      </x:c>
      <x:c r="B252" s="6" t="str">
        <x:v>sourceLinks</x:v>
      </x:c>
      <x:c r="C252" s="6" t="n">
        <x:v>0</x:v>
      </x:c>
      <x:c r="D252" s="6" t="str">
        <x:v>Main article p. 7</x:v>
      </x:c>
      <x:c r="E252" s="6" t="str">
        <x:v>../../2024/jama.2024.4183/jama_cinciripini_2024_oi_240036_1716416465.98349.pdf#page=7</x:v>
      </x:c>
    </x:row>
    <x:row r="253" ht="90" customHeight="1">
      <x:c r="A253" s="3" t="str">
        <x:v>2024::jama.2024.4183::C009</x:v>
      </x:c>
      <x:c r="B253" s="3" t="str">
        <x:v>sourceLinks</x:v>
      </x:c>
      <x:c r="C253" s="3" t="n">
        <x:v>1</x:v>
      </x:c>
      <x:c r="D253" s="3" t="str">
        <x:v>Supplement 2 p. 21</x:v>
      </x:c>
      <x:c r="E253" s="3" t="str">
        <x:v>../../2024/jama.2024.4183/joi240036supp2_prod_1716416466.01349.pdf#page=21</x:v>
      </x:c>
    </x:row>
    <x:row r="254" ht="90" customHeight="1">
      <x:c r="A254" s="6" t="str">
        <x:v>2024::jama.2024.4183::C009</x:v>
      </x:c>
      <x:c r="B254" s="6" t="str">
        <x:v>evidencePaths</x:v>
      </x:c>
      <x:c r="C254" s="6" t="n">
        <x:v>0</x:v>
      </x:c>
      <x:c r="D254" s="6" t="str">
        <x:v>2024/jama.2024.4183/.ai_paper_validation/review_1_5_3/source_inventory.md</x:v>
      </x:c>
      <x:c r="E254" s="6" t="str">
        <x:v>../../2024/jama.2024.4183/.ai_paper_validation/review_1_5_3/source_inventory.md</x:v>
      </x:c>
    </x:row>
    <x:row r="255" ht="90" customHeight="1">
      <x:c r="A255" s="3" t="str">
        <x:v>2024::jama.2024.4183::C010</x:v>
      </x:c>
      <x:c r="B255" s="3" t="str">
        <x:v>sourceLinks</x:v>
      </x:c>
      <x:c r="C255" s="3" t="n">
        <x:v>0</x:v>
      </x:c>
      <x:c r="D255" s="3" t="str">
        <x:v>Protocol p. 32</x:v>
      </x:c>
      <x:c r="E255" s="3" t="str">
        <x:v>../../2024/jama.2024.4183/joi240036supp1_prod_1716416466.00349.pdf#page=32</x:v>
      </x:c>
    </x:row>
    <x:row r="256" ht="90" customHeight="1">
      <x:c r="A256" s="6" t="str">
        <x:v>2024::jama.2024.4183::C010</x:v>
      </x:c>
      <x:c r="B256" s="6" t="str">
        <x:v>evidencePaths</x:v>
      </x:c>
      <x:c r="C256" s="6" t="n">
        <x:v>0</x:v>
      </x:c>
      <x:c r="D256" s="6" t="str">
        <x:v>2024/jama.2024.4183/.ai_paper_validation/review_1_5_3/source_inventory.md</x:v>
      </x:c>
      <x:c r="E256" s="6" t="str">
        <x:v>../../2024/jama.2024.4183/.ai_paper_validation/review_1_5_3/source_inventory.md</x:v>
      </x:c>
    </x:row>
    <x:row r="257" ht="90" customHeight="1">
      <x:c r="A257" s="3" t="str">
        <x:v>2024::jama.2024.4183::C010</x:v>
      </x:c>
      <x:c r="B257" s="3" t="str">
        <x:v>evidencePaths</x:v>
      </x:c>
      <x:c r="C257" s="3" t="n">
        <x:v>1</x:v>
      </x:c>
      <x:c r="D257" s="3" t="str">
        <x:v>2024/jama.2024.4183/.ai_paper_validation/review_1_5_3/verification/evidence_recheck.md</x:v>
      </x:c>
      <x:c r="E257" s="3" t="str">
        <x:v>../../2024/jama.2024.4183/.ai_paper_validation/review_1_5_3/verification/evidence_recheck.md</x:v>
      </x:c>
    </x:row>
    <x:row r="258" ht="90" customHeight="1">
      <x:c r="A258" s="6" t="str">
        <x:v>2024::jama.2024.4183::C011</x:v>
      </x:c>
      <x:c r="B258" s="6" t="str">
        <x:v>sourceLinks</x:v>
      </x:c>
      <x:c r="C258" s="6" t="n">
        <x:v>0</x:v>
      </x:c>
      <x:c r="D258" s="6" t="str">
        <x:v>Protocol p. 34</x:v>
      </x:c>
      <x:c r="E258" s="6" t="str">
        <x:v>../../2024/jama.2024.4183/joi240036supp1_prod_1716416466.00349.pdf#page=34</x:v>
      </x:c>
    </x:row>
    <x:row r="259" ht="90" customHeight="1">
      <x:c r="A259" s="3" t="str">
        <x:v>2024::jama.2024.4183::C011</x:v>
      </x:c>
      <x:c r="B259" s="3" t="str">
        <x:v>evidencePaths</x:v>
      </x:c>
      <x:c r="C259" s="3" t="n">
        <x:v>0</x:v>
      </x:c>
      <x:c r="D259" s="3" t="str">
        <x:v>2024/jama.2024.4183/.ai_paper_validation/review_1_5_3/source_inventory.md</x:v>
      </x:c>
      <x:c r="E259" s="3" t="str">
        <x:v>../../2024/jama.2024.4183/.ai_paper_validation/review_1_5_3/source_inventory.md</x:v>
      </x:c>
    </x:row>
    <x:row r="260" ht="90" customHeight="1">
      <x:c r="A260" s="6" t="str">
        <x:v>2024::jama.2024.4183::C011</x:v>
      </x:c>
      <x:c r="B260" s="6" t="str">
        <x:v>evidencePaths</x:v>
      </x:c>
      <x:c r="C260" s="6" t="n">
        <x:v>1</x:v>
      </x:c>
      <x:c r="D260" s="6" t="str">
        <x:v>2024/jama.2024.4183/.ai_paper_validation/review_1_5_3/verification/evidence_recheck.md</x:v>
      </x:c>
      <x:c r="E260" s="6" t="str">
        <x:v>../../2024/jama.2024.4183/.ai_paper_validation/review_1_5_3/verification/evidence_recheck.md</x:v>
      </x:c>
    </x:row>
    <x:row r="261" ht="90" customHeight="1">
      <x:c r="A261" s="3" t="str">
        <x:v>2024::jama.2024.4183::C012</x:v>
      </x:c>
      <x:c r="B261" s="3" t="str">
        <x:v>sourceLinks</x:v>
      </x:c>
      <x:c r="C261" s="3" t="n">
        <x:v>0</x:v>
      </x:c>
      <x:c r="D261" s="3" t="str">
        <x:v>Protocol p. 29</x:v>
      </x:c>
      <x:c r="E261" s="3" t="str">
        <x:v>../../2024/jama.2024.4183/joi240036supp1_prod_1716416466.00349.pdf#page=29</x:v>
      </x:c>
    </x:row>
    <x:row r="262" ht="90" customHeight="1">
      <x:c r="A262" s="6" t="str">
        <x:v>2024::jama.2024.4183::C012</x:v>
      </x:c>
      <x:c r="B262" s="6" t="str">
        <x:v>sourceLinks</x:v>
      </x:c>
      <x:c r="C262" s="6" t="n">
        <x:v>1</x:v>
      </x:c>
      <x:c r="D262" s="6" t="str">
        <x:v>Protocol p. 33</x:v>
      </x:c>
      <x:c r="E262" s="6" t="str">
        <x:v>../../2024/jama.2024.4183/joi240036supp1_prod_1716416466.00349.pdf#page=33</x:v>
      </x:c>
    </x:row>
    <x:row r="263" ht="90" customHeight="1">
      <x:c r="A263" s="3" t="str">
        <x:v>2024::jama.2024.4183::C012</x:v>
      </x:c>
      <x:c r="B263" s="3" t="str">
        <x:v>sourceLinks</x:v>
      </x:c>
      <x:c r="C263" s="3" t="n">
        <x:v>2</x:v>
      </x:c>
      <x:c r="D263" s="3" t="str">
        <x:v>Protocol p. 34</x:v>
      </x:c>
      <x:c r="E263" s="3" t="str">
        <x:v>../../2024/jama.2024.4183/joi240036supp1_prod_1716416466.00349.pdf#page=34</x:v>
      </x:c>
    </x:row>
    <x:row r="264" ht="90" customHeight="1">
      <x:c r="A264" s="6" t="str">
        <x:v>2024::jama.2024.4183::C012</x:v>
      </x:c>
      <x:c r="B264" s="6" t="str">
        <x:v>evidencePaths</x:v>
      </x:c>
      <x:c r="C264" s="6" t="n">
        <x:v>0</x:v>
      </x:c>
      <x:c r="D264" s="6" t="str">
        <x:v>2024/jama.2024.4183/.ai_paper_validation/review_1_5_3/source_inventory.md</x:v>
      </x:c>
      <x:c r="E264" s="6" t="str">
        <x:v>../../2024/jama.2024.4183/.ai_paper_validation/review_1_5_3/source_inventory.md</x:v>
      </x:c>
    </x:row>
    <x:row r="265" ht="90" customHeight="1">
      <x:c r="A265" s="3" t="str">
        <x:v>2024::jama.2024.4183::C012</x:v>
      </x:c>
      <x:c r="B265" s="3" t="str">
        <x:v>evidencePaths</x:v>
      </x:c>
      <x:c r="C265" s="3" t="n">
        <x:v>1</x:v>
      </x:c>
      <x:c r="D265" s="3" t="str">
        <x:v>2024/jama.2024.4183/.ai_paper_validation/review_1_5_3/verification/evidence_recheck.md</x:v>
      </x:c>
      <x:c r="E265" s="3" t="str">
        <x:v>../../2024/jama.2024.4183/.ai_paper_validation/review_1_5_3/verification/evidence_recheck.md</x:v>
      </x:c>
    </x:row>
    <x:row r="266" ht="90" customHeight="1">
      <x:c r="A266" s="6" t="str">
        <x:v>2024::jama.2024.4183::C013</x:v>
      </x:c>
      <x:c r="B266" s="6" t="str">
        <x:v>sourceLinks</x:v>
      </x:c>
      <x:c r="C266" s="6" t="n">
        <x:v>0</x:v>
      </x:c>
      <x:c r="D266" s="6" t="str">
        <x:v>Supplement 2 p. 19</x:v>
      </x:c>
      <x:c r="E266" s="6" t="str">
        <x:v>../../2024/jama.2024.4183/joi240036supp2_prod_1716416466.01349.pdf#page=19</x:v>
      </x:c>
    </x:row>
    <x:row r="267" ht="90" customHeight="1">
      <x:c r="A267" s="3" t="str">
        <x:v>2024::jama.2024.4183::C013</x:v>
      </x:c>
      <x:c r="B267" s="3" t="str">
        <x:v>evidencePaths</x:v>
      </x:c>
      <x:c r="C267" s="3" t="n">
        <x:v>0</x:v>
      </x:c>
      <x:c r="D267" s="3" t="str">
        <x:v>2024/jama.2024.4183/.ai_paper_validation/review_1_5_3/source_inventory.md</x:v>
      </x:c>
      <x:c r="E267" s="3" t="str">
        <x:v>../../2024/jama.2024.4183/.ai_paper_validation/review_1_5_3/source_inventory.md</x:v>
      </x:c>
    </x:row>
    <x:row r="268" ht="90" customHeight="1">
      <x:c r="A268" s="6" t="str">
        <x:v>2024::jama.2024.4183::C014</x:v>
      </x:c>
      <x:c r="B268" s="6" t="str">
        <x:v>sourceLinks</x:v>
      </x:c>
      <x:c r="C268" s="6" t="n">
        <x:v>0</x:v>
      </x:c>
      <x:c r="D268" s="6" t="str">
        <x:v>Supplement 2 p. 10</x:v>
      </x:c>
      <x:c r="E268" s="6" t="str">
        <x:v>../../2024/jama.2024.4183/joi240036supp2_prod_1716416466.01349.pdf#page=10</x:v>
      </x:c>
    </x:row>
    <x:row r="269" ht="90" customHeight="1">
      <x:c r="A269" s="3" t="str">
        <x:v>2024::jama.2024.4183::C014</x:v>
      </x:c>
      <x:c r="B269" s="3" t="str">
        <x:v>sourceLinks</x:v>
      </x:c>
      <x:c r="C269" s="3" t="n">
        <x:v>1</x:v>
      </x:c>
      <x:c r="D269" s="3" t="str">
        <x:v>Supplement 2 p. 15</x:v>
      </x:c>
      <x:c r="E269" s="3" t="str">
        <x:v>../../2024/jama.2024.4183/joi240036supp2_prod_1716416466.01349.pdf#page=15</x:v>
      </x:c>
    </x:row>
    <x:row r="270" ht="90" customHeight="1">
      <x:c r="A270" s="6" t="str">
        <x:v>2024::jama.2024.4183::C014</x:v>
      </x:c>
      <x:c r="B270" s="6" t="str">
        <x:v>evidencePaths</x:v>
      </x:c>
      <x:c r="C270" s="6" t="n">
        <x:v>0</x:v>
      </x:c>
      <x:c r="D270" s="6" t="str">
        <x:v>2024/jama.2024.4183/.ai_paper_validation/review_1_5_3/source_inventory.md</x:v>
      </x:c>
      <x:c r="E270" s="6" t="str">
        <x:v>../../2024/jama.2024.4183/.ai_paper_validation/review_1_5_3/source_inventory.md</x:v>
      </x:c>
    </x:row>
    <x:row r="271" ht="90" customHeight="1">
      <x:c r="A271" s="3" t="str">
        <x:v>2024::jama.2024.4183::C015</x:v>
      </x:c>
      <x:c r="B271" s="3" t="str">
        <x:v>sourceLinks</x:v>
      </x:c>
      <x:c r="C271" s="3" t="n">
        <x:v>0</x:v>
      </x:c>
      <x:c r="D271" s="3" t="str">
        <x:v>Supplement 2 p. 10</x:v>
      </x:c>
      <x:c r="E271" s="3" t="str">
        <x:v>../../2024/jama.2024.4183/joi240036supp2_prod_1716416466.01349.pdf#page=10</x:v>
      </x:c>
    </x:row>
    <x:row r="272" ht="90" customHeight="1">
      <x:c r="A272" s="6" t="str">
        <x:v>2024::jama.2024.4183::C015</x:v>
      </x:c>
      <x:c r="B272" s="6" t="str">
        <x:v>sourceLinks</x:v>
      </x:c>
      <x:c r="C272" s="6" t="n">
        <x:v>1</x:v>
      </x:c>
      <x:c r="D272" s="6" t="str">
        <x:v>Supplement 2 p. 15</x:v>
      </x:c>
      <x:c r="E272" s="6" t="str">
        <x:v>../../2024/jama.2024.4183/joi240036supp2_prod_1716416466.01349.pdf#page=15</x:v>
      </x:c>
    </x:row>
    <x:row r="273" ht="90" customHeight="1">
      <x:c r="A273" s="3" t="str">
        <x:v>2024::jama.2024.4183::C015</x:v>
      </x:c>
      <x:c r="B273" s="3" t="str">
        <x:v>evidencePaths</x:v>
      </x:c>
      <x:c r="C273" s="3" t="n">
        <x:v>0</x:v>
      </x:c>
      <x:c r="D273" s="3" t="str">
        <x:v>2024/jama.2024.4183/.ai_paper_validation/review_1_5_3/source_inventory.md</x:v>
      </x:c>
      <x:c r="E273" s="3" t="str">
        <x:v>../../2024/jama.2024.4183/.ai_paper_validation/review_1_5_3/source_inventory.md</x:v>
      </x:c>
    </x:row>
    <x:row r="274" ht="90" customHeight="1">
      <x:c r="A274" s="6" t="str">
        <x:v>2024::jama.2024.4183::C016</x:v>
      </x:c>
      <x:c r="B274" s="6" t="str">
        <x:v>sourceLinks</x:v>
      </x:c>
      <x:c r="C274" s="6" t="n">
        <x:v>0</x:v>
      </x:c>
      <x:c r="D274" s="6" t="str">
        <x:v>Supplement 2 p. 10</x:v>
      </x:c>
      <x:c r="E274" s="6" t="str">
        <x:v>../../2024/jama.2024.4183/joi240036supp2_prod_1716416466.01349.pdf#page=10</x:v>
      </x:c>
    </x:row>
    <x:row r="275" ht="90" customHeight="1">
      <x:c r="A275" s="3" t="str">
        <x:v>2024::jama.2024.4183::C016</x:v>
      </x:c>
      <x:c r="B275" s="3" t="str">
        <x:v>sourceLinks</x:v>
      </x:c>
      <x:c r="C275" s="3" t="n">
        <x:v>1</x:v>
      </x:c>
      <x:c r="D275" s="3" t="str">
        <x:v>Supplement 2 p. 33</x:v>
      </x:c>
      <x:c r="E275" s="3" t="str">
        <x:v>../../2024/jama.2024.4183/joi240036supp2_prod_1716416466.01349.pdf#page=33</x:v>
      </x:c>
    </x:row>
    <x:row r="276" ht="90" customHeight="1">
      <x:c r="A276" s="6" t="str">
        <x:v>2024::jama.2024.4183::C016</x:v>
      </x:c>
      <x:c r="B276" s="6" t="str">
        <x:v>evidencePaths</x:v>
      </x:c>
      <x:c r="C276" s="6" t="n">
        <x:v>0</x:v>
      </x:c>
      <x:c r="D276" s="6" t="str">
        <x:v>2024/jama.2024.4183/.ai_paper_validation/review_1_5_3/source_inventory.md</x:v>
      </x:c>
      <x:c r="E276" s="6" t="str">
        <x:v>../../2024/jama.2024.4183/.ai_paper_validation/review_1_5_3/source_inventory.md</x:v>
      </x:c>
    </x:row>
    <x:row r="277" ht="90" customHeight="1">
      <x:c r="A277" s="3" t="str">
        <x:v>2024::jama.2024.4183::C017</x:v>
      </x:c>
      <x:c r="B277" s="3" t="str">
        <x:v>sourceLinks</x:v>
      </x:c>
      <x:c r="C277" s="3" t="n">
        <x:v>0</x:v>
      </x:c>
      <x:c r="D277" s="3" t="str">
        <x:v>Supplement 2 p. 10</x:v>
      </x:c>
      <x:c r="E277" s="3" t="str">
        <x:v>../../2024/jama.2024.4183/joi240036supp2_prod_1716416466.01349.pdf#page=10</x:v>
      </x:c>
    </x:row>
    <x:row r="278" ht="90" customHeight="1">
      <x:c r="A278" s="6" t="str">
        <x:v>2024::jama.2024.4183::C017</x:v>
      </x:c>
      <x:c r="B278" s="6" t="str">
        <x:v>sourceLinks</x:v>
      </x:c>
      <x:c r="C278" s="6" t="n">
        <x:v>1</x:v>
      </x:c>
      <x:c r="D278" s="6" t="str">
        <x:v>Supplement 2 p. 11</x:v>
      </x:c>
      <x:c r="E278" s="6" t="str">
        <x:v>../../2024/jama.2024.4183/joi240036supp2_prod_1716416466.01349.pdf#page=11</x:v>
      </x:c>
    </x:row>
    <x:row r="279" ht="90" customHeight="1">
      <x:c r="A279" s="3" t="str">
        <x:v>2024::jama.2024.4183::C017</x:v>
      </x:c>
      <x:c r="B279" s="3" t="str">
        <x:v>sourceLinks</x:v>
      </x:c>
      <x:c r="C279" s="3" t="n">
        <x:v>2</x:v>
      </x:c>
      <x:c r="D279" s="3" t="str">
        <x:v>Supplement 2 p. 15</x:v>
      </x:c>
      <x:c r="E279" s="3" t="str">
        <x:v>../../2024/jama.2024.4183/joi240036supp2_prod_1716416466.01349.pdf#page=15</x:v>
      </x:c>
    </x:row>
    <x:row r="280" ht="90" customHeight="1">
      <x:c r="A280" s="6" t="str">
        <x:v>2024::jama.2024.4183::C017</x:v>
      </x:c>
      <x:c r="B280" s="6" t="str">
        <x:v>sourceLinks</x:v>
      </x:c>
      <x:c r="C280" s="6" t="n">
        <x:v>3</x:v>
      </x:c>
      <x:c r="D280" s="6" t="str">
        <x:v>Supplement 2 p. 33</x:v>
      </x:c>
      <x:c r="E280" s="6" t="str">
        <x:v>../../2024/jama.2024.4183/joi240036supp2_prod_1716416466.01349.pdf#page=33</x:v>
      </x:c>
    </x:row>
    <x:row r="281" ht="90" customHeight="1">
      <x:c r="A281" s="3" t="str">
        <x:v>2024::jama.2024.4183::C017</x:v>
      </x:c>
      <x:c r="B281" s="3" t="str">
        <x:v>sourceLinks</x:v>
      </x:c>
      <x:c r="C281" s="3" t="n">
        <x:v>4</x:v>
      </x:c>
      <x:c r="D281" s="3" t="str">
        <x:v>Supplement 2 p. 34</x:v>
      </x:c>
      <x:c r="E281" s="3" t="str">
        <x:v>../../2024/jama.2024.4183/joi240036supp2_prod_1716416466.01349.pdf#page=34</x:v>
      </x:c>
    </x:row>
    <x:row r="282" ht="90" customHeight="1">
      <x:c r="A282" s="6" t="str">
        <x:v>2024::jama.2024.4183::C017</x:v>
      </x:c>
      <x:c r="B282" s="6" t="str">
        <x:v>evidencePaths</x:v>
      </x:c>
      <x:c r="C282" s="6" t="n">
        <x:v>0</x:v>
      </x:c>
      <x:c r="D282" s="6" t="str">
        <x:v>2024/jama.2024.4183/.ai_paper_validation/review_1_5_3/source_inventory.md</x:v>
      </x:c>
      <x:c r="E282" s="6" t="str">
        <x:v>../../2024/jama.2024.4183/.ai_paper_validation/review_1_5_3/source_inventory.md</x:v>
      </x:c>
    </x:row>
    <x:row r="283" ht="90" customHeight="1">
      <x:c r="A283" s="3" t="str">
        <x:v>2024::jama.2024.4183::C018</x:v>
      </x:c>
      <x:c r="B283" s="3" t="str">
        <x:v>sourceLinks</x:v>
      </x:c>
      <x:c r="C283" s="3" t="n">
        <x:v>0</x:v>
      </x:c>
      <x:c r="D283" s="3" t="str">
        <x:v>Supplement 2 p. 11</x:v>
      </x:c>
      <x:c r="E283" s="3" t="str">
        <x:v>../../2024/jama.2024.4183/joi240036supp2_prod_1716416466.01349.pdf#page=11</x:v>
      </x:c>
    </x:row>
    <x:row r="284" ht="90" customHeight="1">
      <x:c r="A284" s="6" t="str">
        <x:v>2024::jama.2024.4183::C018</x:v>
      </x:c>
      <x:c r="B284" s="6" t="str">
        <x:v>sourceLinks</x:v>
      </x:c>
      <x:c r="C284" s="6" t="n">
        <x:v>1</x:v>
      </x:c>
      <x:c r="D284" s="6" t="str">
        <x:v>Supplement 2 p. 15</x:v>
      </x:c>
      <x:c r="E284" s="6" t="str">
        <x:v>../../2024/jama.2024.4183/joi240036supp2_prod_1716416466.01349.pdf#page=15</x:v>
      </x:c>
    </x:row>
    <x:row r="285" ht="90" customHeight="1">
      <x:c r="A285" s="3" t="str">
        <x:v>2024::jama.2024.4183::C018</x:v>
      </x:c>
      <x:c r="B285" s="3" t="str">
        <x:v>sourceLinks</x:v>
      </x:c>
      <x:c r="C285" s="3" t="n">
        <x:v>2</x:v>
      </x:c>
      <x:c r="D285" s="3" t="str">
        <x:v>Supplement 2 p. 35</x:v>
      </x:c>
      <x:c r="E285" s="3" t="str">
        <x:v>../../2024/jama.2024.4183/joi240036supp2_prod_1716416466.01349.pdf#page=35</x:v>
      </x:c>
    </x:row>
    <x:row r="286" ht="90" customHeight="1">
      <x:c r="A286" s="6" t="str">
        <x:v>2024::jama.2024.4183::C018</x:v>
      </x:c>
      <x:c r="B286" s="6" t="str">
        <x:v>evidencePaths</x:v>
      </x:c>
      <x:c r="C286" s="6" t="n">
        <x:v>0</x:v>
      </x:c>
      <x:c r="D286" s="6" t="str">
        <x:v>2024/jama.2024.4183/.ai_paper_validation/review_1_5_3/source_inventory.md</x:v>
      </x:c>
      <x:c r="E286" s="6" t="str">
        <x:v>../../2024/jama.2024.4183/.ai_paper_validation/review_1_5_3/source_inventory.md</x:v>
      </x:c>
    </x:row>
    <x:row r="287" ht="90" customHeight="1">
      <x:c r="A287" s="3" t="str">
        <x:v>2024::jama.2024.4183::C019</x:v>
      </x:c>
      <x:c r="B287" s="3" t="str">
        <x:v>sourceLinks</x:v>
      </x:c>
      <x:c r="C287" s="3" t="n">
        <x:v>0</x:v>
      </x:c>
      <x:c r="D287" s="3" t="str">
        <x:v>Supplement 2 p. 11</x:v>
      </x:c>
      <x:c r="E287" s="3" t="str">
        <x:v>../../2024/jama.2024.4183/joi240036supp2_prod_1716416466.01349.pdf#page=11</x:v>
      </x:c>
    </x:row>
    <x:row r="288" ht="90" customHeight="1">
      <x:c r="A288" s="6" t="str">
        <x:v>2024::jama.2024.4183::C019</x:v>
      </x:c>
      <x:c r="B288" s="6" t="str">
        <x:v>sourceLinks</x:v>
      </x:c>
      <x:c r="C288" s="6" t="n">
        <x:v>1</x:v>
      </x:c>
      <x:c r="D288" s="6" t="str">
        <x:v>Supplement 2 p. 31</x:v>
      </x:c>
      <x:c r="E288" s="6" t="str">
        <x:v>../../2024/jama.2024.4183/joi240036supp2_prod_1716416466.01349.pdf#page=31</x:v>
      </x:c>
    </x:row>
    <x:row r="289" ht="90" customHeight="1">
      <x:c r="A289" s="3" t="str">
        <x:v>2024::jama.2024.4183::C019</x:v>
      </x:c>
      <x:c r="B289" s="3" t="str">
        <x:v>sourceLinks</x:v>
      </x:c>
      <x:c r="C289" s="3" t="n">
        <x:v>2</x:v>
      </x:c>
      <x:c r="D289" s="3" t="str">
        <x:v>Supplement 2 p. 33</x:v>
      </x:c>
      <x:c r="E289" s="3" t="str">
        <x:v>../../2024/jama.2024.4183/joi240036supp2_prod_1716416466.01349.pdf#page=33</x:v>
      </x:c>
    </x:row>
    <x:row r="290" ht="90" customHeight="1">
      <x:c r="A290" s="6" t="str">
        <x:v>2024::jama.2024.4183::C019</x:v>
      </x:c>
      <x:c r="B290" s="6" t="str">
        <x:v>evidencePaths</x:v>
      </x:c>
      <x:c r="C290" s="6" t="n">
        <x:v>0</x:v>
      </x:c>
      <x:c r="D290" s="6" t="str">
        <x:v>2024/jama.2024.4183/.ai_paper_validation/review_1_5_3/source_inventory.md</x:v>
      </x:c>
      <x:c r="E290" s="6" t="str">
        <x:v>../../2024/jama.2024.4183/.ai_paper_validation/review_1_5_3/source_inventory.md</x:v>
      </x:c>
    </x:row>
    <x:row r="291" ht="90" customHeight="1">
      <x:c r="A291" s="3" t="str">
        <x:v>2024::jama.2024.4183::C020</x:v>
      </x:c>
      <x:c r="B291" s="3" t="str">
        <x:v>sourceLinks</x:v>
      </x:c>
      <x:c r="C291" s="3" t="n">
        <x:v>0</x:v>
      </x:c>
      <x:c r="D291" s="3" t="str">
        <x:v>Supplement 2 p. 12</x:v>
      </x:c>
      <x:c r="E291" s="3" t="str">
        <x:v>../../2024/jama.2024.4183/joi240036supp2_prod_1716416466.01349.pdf#page=12</x:v>
      </x:c>
    </x:row>
    <x:row r="292" ht="90" customHeight="1">
      <x:c r="A292" s="6" t="str">
        <x:v>2024::jama.2024.4183::C020</x:v>
      </x:c>
      <x:c r="B292" s="6" t="str">
        <x:v>sourceLinks</x:v>
      </x:c>
      <x:c r="C292" s="6" t="n">
        <x:v>1</x:v>
      </x:c>
      <x:c r="D292" s="6" t="str">
        <x:v>Supplement 2 p. 16</x:v>
      </x:c>
      <x:c r="E292" s="6" t="str">
        <x:v>../../2024/jama.2024.4183/joi240036supp2_prod_1716416466.01349.pdf#page=16</x:v>
      </x:c>
    </x:row>
    <x:row r="293" ht="90" customHeight="1">
      <x:c r="A293" s="3" t="str">
        <x:v>2024::jama.2024.4183::C020</x:v>
      </x:c>
      <x:c r="B293" s="3" t="str">
        <x:v>sourceLinks</x:v>
      </x:c>
      <x:c r="C293" s="3" t="n">
        <x:v>2</x:v>
      </x:c>
      <x:c r="D293" s="3" t="str">
        <x:v>Supplement 2 p. 35</x:v>
      </x:c>
      <x:c r="E293" s="3" t="str">
        <x:v>../../2024/jama.2024.4183/joi240036supp2_prod_1716416466.01349.pdf#page=35</x:v>
      </x:c>
    </x:row>
    <x:row r="294" ht="90" customHeight="1">
      <x:c r="A294" s="6" t="str">
        <x:v>2024::jama.2024.4183::C020</x:v>
      </x:c>
      <x:c r="B294" s="6" t="str">
        <x:v>evidencePaths</x:v>
      </x:c>
      <x:c r="C294" s="6" t="n">
        <x:v>0</x:v>
      </x:c>
      <x:c r="D294" s="6" t="str">
        <x:v>2024/jama.2024.4183/.ai_paper_validation/review_1_5_3/source_inventory.md</x:v>
      </x:c>
      <x:c r="E294" s="6" t="str">
        <x:v>../../2024/jama.2024.4183/.ai_paper_validation/review_1_5_3/source_inventory.md</x:v>
      </x:c>
    </x:row>
    <x:row r="295" ht="90" customHeight="1">
      <x:c r="A295" s="3" t="str">
        <x:v>2024::jama.2024.4183::C021</x:v>
      </x:c>
      <x:c r="B295" s="3" t="str">
        <x:v>sourceLinks</x:v>
      </x:c>
      <x:c r="C295" s="3" t="n">
        <x:v>0</x:v>
      </x:c>
      <x:c r="D295" s="3" t="str">
        <x:v>Supplement 2 p. 10</x:v>
      </x:c>
      <x:c r="E295" s="3" t="str">
        <x:v>../../2024/jama.2024.4183/joi240036supp2_prod_1716416466.01349.pdf#page=10</x:v>
      </x:c>
    </x:row>
    <x:row r="296" ht="90" customHeight="1">
      <x:c r="A296" s="6" t="str">
        <x:v>2024::jama.2024.4183::C021</x:v>
      </x:c>
      <x:c r="B296" s="6" t="str">
        <x:v>sourceLinks</x:v>
      </x:c>
      <x:c r="C296" s="6" t="n">
        <x:v>1</x:v>
      </x:c>
      <x:c r="D296" s="6" t="str">
        <x:v>Supplement 2 p. 34</x:v>
      </x:c>
      <x:c r="E296" s="6" t="str">
        <x:v>../../2024/jama.2024.4183/joi240036supp2_prod_1716416466.01349.pdf#page=34</x:v>
      </x:c>
    </x:row>
    <x:row r="297" ht="90" customHeight="1">
      <x:c r="A297" s="3" t="str">
        <x:v>2024::jama.2024.4183::C021</x:v>
      </x:c>
      <x:c r="B297" s="3" t="str">
        <x:v>sourceLinks</x:v>
      </x:c>
      <x:c r="C297" s="3" t="n">
        <x:v>2</x:v>
      </x:c>
      <x:c r="D297" s="3" t="str">
        <x:v>Supplement 2 p. 35</x:v>
      </x:c>
      <x:c r="E297" s="3" t="str">
        <x:v>../../2024/jama.2024.4183/joi240036supp2_prod_1716416466.01349.pdf#page=35</x:v>
      </x:c>
    </x:row>
    <x:row r="298" ht="90" customHeight="1">
      <x:c r="A298" s="6" t="str">
        <x:v>2024::jama.2024.4183::C021</x:v>
      </x:c>
      <x:c r="B298" s="6" t="str">
        <x:v>evidencePaths</x:v>
      </x:c>
      <x:c r="C298" s="6" t="n">
        <x:v>0</x:v>
      </x:c>
      <x:c r="D298" s="6" t="str">
        <x:v>2024/jama.2024.4183/.ai_paper_validation/review_1_5_3/source_inventory.md</x:v>
      </x:c>
      <x:c r="E298" s="6" t="str">
        <x:v>../../2024/jama.2024.4183/.ai_paper_validation/review_1_5_3/source_inventory.md</x:v>
      </x:c>
    </x:row>
    <x:row r="299" ht="90" customHeight="1">
      <x:c r="A299" s="3" t="str">
        <x:v>2024::jama.2024.4183::C022</x:v>
      </x:c>
      <x:c r="B299" s="3" t="str">
        <x:v>sourceLinks</x:v>
      </x:c>
      <x:c r="C299" s="3" t="n">
        <x:v>0</x:v>
      </x:c>
      <x:c r="D299" s="3" t="str">
        <x:v>Supplement 2 p. 12</x:v>
      </x:c>
      <x:c r="E299" s="3" t="str">
        <x:v>../../2024/jama.2024.4183/joi240036supp2_prod_1716416466.01349.pdf#page=12</x:v>
      </x:c>
    </x:row>
    <x:row r="300" ht="90" customHeight="1">
      <x:c r="A300" s="6" t="str">
        <x:v>2024::jama.2024.4183::C022</x:v>
      </x:c>
      <x:c r="B300" s="6" t="str">
        <x:v>sourceLinks</x:v>
      </x:c>
      <x:c r="C300" s="6" t="n">
        <x:v>1</x:v>
      </x:c>
      <x:c r="D300" s="6" t="str">
        <x:v>Supplement 2 p. 33</x:v>
      </x:c>
      <x:c r="E300" s="6" t="str">
        <x:v>../../2024/jama.2024.4183/joi240036supp2_prod_1716416466.01349.pdf#page=33</x:v>
      </x:c>
    </x:row>
    <x:row r="301" ht="90" customHeight="1">
      <x:c r="A301" s="3" t="str">
        <x:v>2024::jama.2024.4183::C022</x:v>
      </x:c>
      <x:c r="B301" s="3" t="str">
        <x:v>sourceLinks</x:v>
      </x:c>
      <x:c r="C301" s="3" t="n">
        <x:v>2</x:v>
      </x:c>
      <x:c r="D301" s="3" t="str">
        <x:v>Supplement 2 p. 34</x:v>
      </x:c>
      <x:c r="E301" s="3" t="str">
        <x:v>../../2024/jama.2024.4183/joi240036supp2_prod_1716416466.01349.pdf#page=34</x:v>
      </x:c>
    </x:row>
    <x:row r="302" ht="90" customHeight="1">
      <x:c r="A302" s="6" t="str">
        <x:v>2024::jama.2024.4183::C022</x:v>
      </x:c>
      <x:c r="B302" s="6" t="str">
        <x:v>evidencePaths</x:v>
      </x:c>
      <x:c r="C302" s="6" t="n">
        <x:v>0</x:v>
      </x:c>
      <x:c r="D302" s="6" t="str">
        <x:v>2024/jama.2024.4183/.ai_paper_validation/review_1_5_3/source_inventory.md</x:v>
      </x:c>
      <x:c r="E302" s="6" t="str">
        <x:v>../../2024/jama.2024.4183/.ai_paper_validation/review_1_5_3/source_inventory.md</x:v>
      </x:c>
    </x:row>
    <x:row r="303" ht="90" customHeight="1">
      <x:c r="A303" s="3" t="str">
        <x:v>2024::jama.2024.4183::C023</x:v>
      </x:c>
      <x:c r="B303" s="3" t="str">
        <x:v>sourceLinks</x:v>
      </x:c>
      <x:c r="C303" s="3" t="n">
        <x:v>0</x:v>
      </x:c>
      <x:c r="D303" s="3" t="str">
        <x:v>Supplement 2 p. 19</x:v>
      </x:c>
      <x:c r="E303" s="3" t="str">
        <x:v>../../2024/jama.2024.4183/joi240036supp2_prod_1716416466.01349.pdf#page=19</x:v>
      </x:c>
    </x:row>
    <x:row r="304" ht="90" customHeight="1">
      <x:c r="A304" s="6" t="str">
        <x:v>2024::jama.2024.4183::C023</x:v>
      </x:c>
      <x:c r="B304" s="6" t="str">
        <x:v>evidencePaths</x:v>
      </x:c>
      <x:c r="C304" s="6" t="n">
        <x:v>0</x:v>
      </x:c>
      <x:c r="D304" s="6" t="str">
        <x:v>2024/jama.2024.4183/.ai_paper_validation/review_1_5_3/source_inventory.md</x:v>
      </x:c>
      <x:c r="E304" s="6" t="str">
        <x:v>../../2024/jama.2024.4183/.ai_paper_validation/review_1_5_3/source_inventory.md</x:v>
      </x:c>
    </x:row>
    <x:row r="305" ht="90" customHeight="1">
      <x:c r="A305" s="3" t="str">
        <x:v>2024::jama.2024.4183::C023</x:v>
      </x:c>
      <x:c r="B305" s="3" t="str">
        <x:v>evidencePaths</x:v>
      </x:c>
      <x:c r="C305" s="3" t="n">
        <x:v>1</x:v>
      </x:c>
      <x:c r="D305" s="3" t="str">
        <x:v>2024/jama.2024.4183/.ai_paper_validation/review_1_5_3/verification/evidence_recheck.md</x:v>
      </x:c>
      <x:c r="E305" s="3" t="str">
        <x:v>../../2024/jama.2024.4183/.ai_paper_validation/review_1_5_3/verification/evidence_recheck.md</x:v>
      </x:c>
    </x:row>
    <x:row r="306" ht="90" customHeight="1">
      <x:c r="A306" s="6" t="str">
        <x:v>2024::jama.2024.4183::C024</x:v>
      </x:c>
      <x:c r="B306" s="6" t="str">
        <x:v>sourceLinks</x:v>
      </x:c>
      <x:c r="C306" s="6" t="n">
        <x:v>0</x:v>
      </x:c>
      <x:c r="D306" s="6" t="str">
        <x:v>Supplement 2 p. 19</x:v>
      </x:c>
      <x:c r="E306" s="6" t="str">
        <x:v>../../2024/jama.2024.4183/joi240036supp2_prod_1716416466.01349.pdf#page=19</x:v>
      </x:c>
    </x:row>
    <x:row r="307" ht="90" customHeight="1">
      <x:c r="A307" s="3" t="str">
        <x:v>2024::jama.2024.4183::C024</x:v>
      </x:c>
      <x:c r="B307" s="3" t="str">
        <x:v>evidencePaths</x:v>
      </x:c>
      <x:c r="C307" s="3" t="n">
        <x:v>0</x:v>
      </x:c>
      <x:c r="D307" s="3" t="str">
        <x:v>2024/jama.2024.4183/.ai_paper_validation/review_1_5_3/source_inventory.md</x:v>
      </x:c>
      <x:c r="E307" s="3" t="str">
        <x:v>../../2024/jama.2024.4183/.ai_paper_validation/review_1_5_3/source_inventory.md</x:v>
      </x:c>
    </x:row>
    <x:row r="308" ht="90" customHeight="1">
      <x:c r="A308" s="6" t="str">
        <x:v>2024::jama.2024.4183::C024</x:v>
      </x:c>
      <x:c r="B308" s="6" t="str">
        <x:v>evidencePaths</x:v>
      </x:c>
      <x:c r="C308" s="6" t="n">
        <x:v>1</x:v>
      </x:c>
      <x:c r="D308" s="6" t="str">
        <x:v>2024/jama.2024.4183/.ai_paper_validation/review_1_5_3/verification/evidence_recheck.md</x:v>
      </x:c>
      <x:c r="E308" s="6" t="str">
        <x:v>../../2024/jama.2024.4183/.ai_paper_validation/review_1_5_3/verification/evidence_recheck.md</x:v>
      </x:c>
    </x:row>
    <x:row r="309" ht="90" customHeight="1">
      <x:c r="A309" s="3" t="str">
        <x:v>2024::jama.2024.6063::C001</x:v>
      </x:c>
      <x:c r="B309" s="3" t="str">
        <x:v>sourceLinks</x:v>
      </x:c>
      <x:c r="C309" s="3" t="n">
        <x:v>0</x:v>
      </x:c>
      <x:c r="D309" s="3" t="str">
        <x:v>Main article — PDF p. 3</x:v>
      </x:c>
      <x:c r="E309" s="3" t="str">
        <x:v>../../2024/jama.2024.6063/jama_laslett_2024_oi_240048_1727199125.7595.pdf#page=3</x:v>
      </x:c>
    </x:row>
    <x:row r="310" ht="90" customHeight="1">
      <x:c r="A310" s="6" t="str">
        <x:v>2024::jama.2024.6063::C001</x:v>
      </x:c>
      <x:c r="B310" s="6" t="str">
        <x:v>sourceLinks</x:v>
      </x:c>
      <x:c r="C310" s="6" t="n">
        <x:v>1</x:v>
      </x:c>
      <x:c r="D310" s="6" t="str">
        <x:v>Main article — PDF p. 7</x:v>
      </x:c>
      <x:c r="E310" s="6" t="str">
        <x:v>../../2024/jama.2024.6063/jama_laslett_2024_oi_240048_1727199125.7595.pdf#page=7</x:v>
      </x:c>
    </x:row>
    <x:row r="311" ht="90" customHeight="1">
      <x:c r="A311" s="3" t="str">
        <x:v>2024::jama.2024.6063::C001</x:v>
      </x:c>
      <x:c r="B311" s="3" t="str">
        <x:v>evidencePaths</x:v>
      </x:c>
      <x:c r="C311" s="3" t="n">
        <x:v>0</x:v>
      </x:c>
      <x:c r="D311" s="3" t="str">
        <x:v>2024/jama.2024.6063/.ai_paper_validation/review_1_5_3/source_inventory.md</x:v>
      </x:c>
      <x:c r="E311" s="3" t="str">
        <x:v>../../2024/jama.2024.6063/.ai_paper_validation/review_1_5_3/source_inventory.md</x:v>
      </x:c>
    </x:row>
    <x:row r="312" ht="90" customHeight="1">
      <x:c r="A312" s="6" t="str">
        <x:v>2024::jama.2024.6063::C002</x:v>
      </x:c>
      <x:c r="B312" s="6" t="str">
        <x:v>sourceLinks</x:v>
      </x:c>
      <x:c r="C312" s="6" t="n">
        <x:v>0</x:v>
      </x:c>
      <x:c r="D312" s="6" t="str">
        <x:v>Supplement 3 — PDF p. 3</x:v>
      </x:c>
      <x:c r="E312" s="6" t="str">
        <x:v>../../2024/jama.2024.6063/joi240048supp3_prod_1727199125.83025.pdf#page=3</x:v>
      </x:c>
    </x:row>
    <x:row r="313" ht="90" customHeight="1">
      <x:c r="A313" s="3" t="str">
        <x:v>2024::jama.2024.6063::C002</x:v>
      </x:c>
      <x:c r="B313" s="3" t="str">
        <x:v>evidencePaths</x:v>
      </x:c>
      <x:c r="C313" s="3" t="n">
        <x:v>0</x:v>
      </x:c>
      <x:c r="D313" s="3" t="str">
        <x:v>2024/jama.2024.6063/.ai_paper_validation/review_1_5_3/source_inventory.md</x:v>
      </x:c>
      <x:c r="E313" s="3" t="str">
        <x:v>../../2024/jama.2024.6063/.ai_paper_validation/review_1_5_3/source_inventory.md</x:v>
      </x:c>
    </x:row>
    <x:row r="314" ht="90" customHeight="1">
      <x:c r="A314" s="6" t="str">
        <x:v>2024::jama.2024.6063::C003</x:v>
      </x:c>
      <x:c r="B314" s="6" t="str">
        <x:v>sourceLinks</x:v>
      </x:c>
      <x:c r="C314" s="6" t="n">
        <x:v>0</x:v>
      </x:c>
      <x:c r="D314" s="6" t="str">
        <x:v>Supplement 3 — PDF p. 8</x:v>
      </x:c>
      <x:c r="E314" s="6" t="str">
        <x:v>../../2024/jama.2024.6063/joi240048supp3_prod_1727199125.83025.pdf#page=8</x:v>
      </x:c>
    </x:row>
    <x:row r="315" ht="90" customHeight="1">
      <x:c r="A315" s="3" t="str">
        <x:v>2024::jama.2024.6063::C003</x:v>
      </x:c>
      <x:c r="B315" s="3" t="str">
        <x:v>evidencePaths</x:v>
      </x:c>
      <x:c r="C315" s="3" t="n">
        <x:v>0</x:v>
      </x:c>
      <x:c r="D315" s="3" t="str">
        <x:v>2024/jama.2024.6063/.ai_paper_validation/review_1_5_3/source_inventory.md</x:v>
      </x:c>
      <x:c r="E315" s="3" t="str">
        <x:v>../../2024/jama.2024.6063/.ai_paper_validation/review_1_5_3/source_inventory.md</x:v>
      </x:c>
    </x:row>
    <x:row r="316" ht="90" customHeight="1">
      <x:c r="A316" s="6" t="str">
        <x:v>2024::jama.2024.6063::C004</x:v>
      </x:c>
      <x:c r="B316" s="6" t="str">
        <x:v>sourceLinks</x:v>
      </x:c>
      <x:c r="C316" s="6" t="n">
        <x:v>0</x:v>
      </x:c>
      <x:c r="D316" s="6" t="str">
        <x:v>Supplement 3 — PDF p. 8</x:v>
      </x:c>
      <x:c r="E316" s="6" t="str">
        <x:v>../../2024/jama.2024.6063/joi240048supp3_prod_1727199125.83025.pdf#page=8</x:v>
      </x:c>
    </x:row>
    <x:row r="317" ht="90" customHeight="1">
      <x:c r="A317" s="3" t="str">
        <x:v>2024::jama.2024.6063::C004</x:v>
      </x:c>
      <x:c r="B317" s="3" t="str">
        <x:v>evidencePaths</x:v>
      </x:c>
      <x:c r="C317" s="3" t="n">
        <x:v>0</x:v>
      </x:c>
      <x:c r="D317" s="3" t="str">
        <x:v>2024/jama.2024.6063/.ai_paper_validation/review_1_5_3/source_inventory.md</x:v>
      </x:c>
      <x:c r="E317" s="3" t="str">
        <x:v>../../2024/jama.2024.6063/.ai_paper_validation/review_1_5_3/source_inventory.md</x:v>
      </x:c>
    </x:row>
    <x:row r="318" ht="90" customHeight="1">
      <x:c r="A318" s="6" t="str">
        <x:v>2024::jama.2024.6063::C005</x:v>
      </x:c>
      <x:c r="B318" s="6" t="str">
        <x:v>sourceLinks</x:v>
      </x:c>
      <x:c r="C318" s="6" t="n">
        <x:v>0</x:v>
      </x:c>
      <x:c r="D318" s="6" t="str">
        <x:v>Supplement 3 — PDF p. 8</x:v>
      </x:c>
      <x:c r="E318" s="6" t="str">
        <x:v>../../2024/jama.2024.6063/joi240048supp3_prod_1727199125.83025.pdf#page=8</x:v>
      </x:c>
    </x:row>
    <x:row r="319" ht="90" customHeight="1">
      <x:c r="A319" s="3" t="str">
        <x:v>2024::jama.2024.6063::C005</x:v>
      </x:c>
      <x:c r="B319" s="3" t="str">
        <x:v>evidencePaths</x:v>
      </x:c>
      <x:c r="C319" s="3" t="n">
        <x:v>0</x:v>
      </x:c>
      <x:c r="D319" s="3" t="str">
        <x:v>2024/jama.2024.6063/.ai_paper_validation/review_1_5_3/source_inventory.md</x:v>
      </x:c>
      <x:c r="E319" s="3" t="str">
        <x:v>../../2024/jama.2024.6063/.ai_paper_validation/review_1_5_3/source_inventory.md</x:v>
      </x:c>
    </x:row>
    <x:row r="320" ht="90" customHeight="1">
      <x:c r="A320" s="6" t="str">
        <x:v>2024::jama.2024.6063::C006</x:v>
      </x:c>
      <x:c r="B320" s="6" t="str">
        <x:v>sourceLinks</x:v>
      </x:c>
      <x:c r="C320" s="6" t="n">
        <x:v>0</x:v>
      </x:c>
      <x:c r="D320" s="6" t="str">
        <x:v>Supplement 3 — PDF p. 8</x:v>
      </x:c>
      <x:c r="E320" s="6" t="str">
        <x:v>../../2024/jama.2024.6063/joi240048supp3_prod_1727199125.83025.pdf#page=8</x:v>
      </x:c>
    </x:row>
    <x:row r="321" ht="90" customHeight="1">
      <x:c r="A321" s="3" t="str">
        <x:v>2024::jama.2024.6063::C006</x:v>
      </x:c>
      <x:c r="B321" s="3" t="str">
        <x:v>evidencePaths</x:v>
      </x:c>
      <x:c r="C321" s="3" t="n">
        <x:v>0</x:v>
      </x:c>
      <x:c r="D321" s="3" t="str">
        <x:v>2024/jama.2024.6063/.ai_paper_validation/review_1_5_3/source_inventory.md</x:v>
      </x:c>
      <x:c r="E321" s="3" t="str">
        <x:v>../../2024/jama.2024.6063/.ai_paper_validation/review_1_5_3/source_inventory.md</x:v>
      </x:c>
    </x:row>
    <x:row r="322" ht="90" customHeight="1">
      <x:c r="A322" s="6" t="str">
        <x:v>2024::jama.2024.6063::C007</x:v>
      </x:c>
      <x:c r="B322" s="6" t="str">
        <x:v>sourceLinks</x:v>
      </x:c>
      <x:c r="C322" s="6" t="n">
        <x:v>0</x:v>
      </x:c>
      <x:c r="D322" s="6" t="str">
        <x:v>Supplement 3 — PDF p. 8</x:v>
      </x:c>
      <x:c r="E322" s="6" t="str">
        <x:v>../../2024/jama.2024.6063/joi240048supp3_prod_1727199125.83025.pdf#page=8</x:v>
      </x:c>
    </x:row>
    <x:row r="323" ht="90" customHeight="1">
      <x:c r="A323" s="3" t="str">
        <x:v>2024::jama.2024.6063::C007</x:v>
      </x:c>
      <x:c r="B323" s="3" t="str">
        <x:v>evidencePaths</x:v>
      </x:c>
      <x:c r="C323" s="3" t="n">
        <x:v>0</x:v>
      </x:c>
      <x:c r="D323" s="3" t="str">
        <x:v>2024/jama.2024.6063/.ai_paper_validation/review_1_5_3/source_inventory.md</x:v>
      </x:c>
      <x:c r="E323" s="3" t="str">
        <x:v>../../2024/jama.2024.6063/.ai_paper_validation/review_1_5_3/source_inventory.md</x:v>
      </x:c>
    </x:row>
    <x:row r="324" ht="90" customHeight="1">
      <x:c r="A324" s="6" t="str">
        <x:v>2024::jama.2024.6063::C008</x:v>
      </x:c>
      <x:c r="B324" s="6" t="str">
        <x:v>sourceLinks</x:v>
      </x:c>
      <x:c r="C324" s="6" t="n">
        <x:v>0</x:v>
      </x:c>
      <x:c r="D324" s="6" t="str">
        <x:v>Supplement 3 — PDF p. 8</x:v>
      </x:c>
      <x:c r="E324" s="6" t="str">
        <x:v>../../2024/jama.2024.6063/joi240048supp3_prod_1727199125.83025.pdf#page=8</x:v>
      </x:c>
    </x:row>
    <x:row r="325" ht="90" customHeight="1">
      <x:c r="A325" s="3" t="str">
        <x:v>2024::jama.2024.6063::C008</x:v>
      </x:c>
      <x:c r="B325" s="3" t="str">
        <x:v>evidencePaths</x:v>
      </x:c>
      <x:c r="C325" s="3" t="n">
        <x:v>0</x:v>
      </x:c>
      <x:c r="D325" s="3" t="str">
        <x:v>2024/jama.2024.6063/.ai_paper_validation/review_1_5_3/source_inventory.md</x:v>
      </x:c>
      <x:c r="E325" s="3" t="str">
        <x:v>../../2024/jama.2024.6063/.ai_paper_validation/review_1_5_3/source_inventory.md</x:v>
      </x:c>
    </x:row>
    <x:row r="326" ht="90" customHeight="1">
      <x:c r="A326" s="6" t="str">
        <x:v>2024::jama.2024.6063::C009</x:v>
      </x:c>
      <x:c r="B326" s="6" t="str">
        <x:v>sourceLinks</x:v>
      </x:c>
      <x:c r="C326" s="6" t="n">
        <x:v>0</x:v>
      </x:c>
      <x:c r="D326" s="6" t="str">
        <x:v>Supplement 3 — PDF p. 5</x:v>
      </x:c>
      <x:c r="E326" s="6" t="str">
        <x:v>../../2024/jama.2024.6063/joi240048supp3_prod_1727199125.83025.pdf#page=5</x:v>
      </x:c>
    </x:row>
    <x:row r="327" ht="90" customHeight="1">
      <x:c r="A327" s="3" t="str">
        <x:v>2024::jama.2024.6063::C009</x:v>
      </x:c>
      <x:c r="B327" s="3" t="str">
        <x:v>evidencePaths</x:v>
      </x:c>
      <x:c r="C327" s="3" t="n">
        <x:v>0</x:v>
      </x:c>
      <x:c r="D327" s="3" t="str">
        <x:v>2024/jama.2024.6063/.ai_paper_validation/review_1_5_3/source_inventory.md</x:v>
      </x:c>
      <x:c r="E327" s="3" t="str">
        <x:v>../../2024/jama.2024.6063/.ai_paper_validation/review_1_5_3/source_inventory.md</x:v>
      </x:c>
    </x:row>
    <x:row r="328" ht="90" customHeight="1">
      <x:c r="A328" s="6" t="str">
        <x:v>2024::jama.2024.6063::C010</x:v>
      </x:c>
      <x:c r="B328" s="6" t="str">
        <x:v>sourceLinks</x:v>
      </x:c>
      <x:c r="C328" s="6" t="n">
        <x:v>0</x:v>
      </x:c>
      <x:c r="D328" s="6" t="str">
        <x:v>Supplement 3 — PDF p. 6</x:v>
      </x:c>
      <x:c r="E328" s="6" t="str">
        <x:v>../../2024/jama.2024.6063/joi240048supp3_prod_1727199125.83025.pdf#page=6</x:v>
      </x:c>
    </x:row>
    <x:row r="329" ht="90" customHeight="1">
      <x:c r="A329" s="3" t="str">
        <x:v>2024::jama.2024.6063::C010</x:v>
      </x:c>
      <x:c r="B329" s="3" t="str">
        <x:v>evidencePaths</x:v>
      </x:c>
      <x:c r="C329" s="3" t="n">
        <x:v>0</x:v>
      </x:c>
      <x:c r="D329" s="3" t="str">
        <x:v>2024/jama.2024.6063/.ai_paper_validation/review_1_5_3/source_inventory.md</x:v>
      </x:c>
      <x:c r="E329" s="3" t="str">
        <x:v>../../2024/jama.2024.6063/.ai_paper_validation/review_1_5_3/source_inventory.md</x:v>
      </x:c>
    </x:row>
    <x:row r="330" ht="90" customHeight="1">
      <x:c r="A330" s="6" t="str">
        <x:v>2024::jama.2024.6063::C011</x:v>
      </x:c>
      <x:c r="B330" s="6" t="str">
        <x:v>sourceLinks</x:v>
      </x:c>
      <x:c r="C330" s="6" t="n">
        <x:v>0</x:v>
      </x:c>
      <x:c r="D330" s="6" t="str">
        <x:v>Supplement 3 — PDF p. 6</x:v>
      </x:c>
      <x:c r="E330" s="6" t="str">
        <x:v>../../2024/jama.2024.6063/joi240048supp3_prod_1727199125.83025.pdf#page=6</x:v>
      </x:c>
    </x:row>
    <x:row r="331" ht="90" customHeight="1">
      <x:c r="A331" s="3" t="str">
        <x:v>2024::jama.2024.6063::C011</x:v>
      </x:c>
      <x:c r="B331" s="3" t="str">
        <x:v>evidencePaths</x:v>
      </x:c>
      <x:c r="C331" s="3" t="n">
        <x:v>0</x:v>
      </x:c>
      <x:c r="D331" s="3" t="str">
        <x:v>2024/jama.2024.6063/.ai_paper_validation/review_1_5_3/source_inventory.md</x:v>
      </x:c>
      <x:c r="E331" s="3" t="str">
        <x:v>../../2024/jama.2024.6063/.ai_paper_validation/review_1_5_3/source_inventory.md</x:v>
      </x:c>
    </x:row>
    <x:row r="332" ht="90" customHeight="1">
      <x:c r="A332" s="6" t="str">
        <x:v>2024::jama.2024.6063::C012</x:v>
      </x:c>
      <x:c r="B332" s="6" t="str">
        <x:v>sourceLinks</x:v>
      </x:c>
      <x:c r="C332" s="6" t="n">
        <x:v>0</x:v>
      </x:c>
      <x:c r="D332" s="6" t="str">
        <x:v>Main article — PDF p. 2</x:v>
      </x:c>
      <x:c r="E332" s="6" t="str">
        <x:v>../../2024/jama.2024.6063/jama_laslett_2024_oi_240048_1727199125.7595.pdf#page=2</x:v>
      </x:c>
    </x:row>
    <x:row r="333" ht="90" customHeight="1">
      <x:c r="A333" s="3" t="str">
        <x:v>2024::jama.2024.6063::C012</x:v>
      </x:c>
      <x:c r="B333" s="3" t="str">
        <x:v>sourceLinks</x:v>
      </x:c>
      <x:c r="C333" s="3" t="n">
        <x:v>1</x:v>
      </x:c>
      <x:c r="D333" s="3" t="str">
        <x:v>Main article — PDF p. 1</x:v>
      </x:c>
      <x:c r="E333" s="3" t="str">
        <x:v>../../2024/jama.2024.6063/jama_laslett_2024_oi_240048_1727199125.7595.pdf#page=1</x:v>
      </x:c>
    </x:row>
    <x:row r="334" ht="90" customHeight="1">
      <x:c r="A334" s="6" t="str">
        <x:v>2024::jama.2024.6063::C012</x:v>
      </x:c>
      <x:c r="B334" s="6" t="str">
        <x:v>sourceLinks</x:v>
      </x:c>
      <x:c r="C334" s="6" t="n">
        <x:v>2</x:v>
      </x:c>
      <x:c r="D334" s="6" t="str">
        <x:v>Main article — PDF p. 6</x:v>
      </x:c>
      <x:c r="E334" s="6" t="str">
        <x:v>../../2024/jama.2024.6063/jama_laslett_2024_oi_240048_1727199125.7595.pdf#page=6</x:v>
      </x:c>
    </x:row>
    <x:row r="335" ht="90" customHeight="1">
      <x:c r="A335" s="3" t="str">
        <x:v>2024::jama.2024.6063::C012</x:v>
      </x:c>
      <x:c r="B335" s="3" t="str">
        <x:v>sourceLinks</x:v>
      </x:c>
      <x:c r="C335" s="3" t="n">
        <x:v>3</x:v>
      </x:c>
      <x:c r="D335" s="3" t="str">
        <x:v>Main article — PDF p. 7</x:v>
      </x:c>
      <x:c r="E335" s="3" t="str">
        <x:v>../../2024/jama.2024.6063/jama_laslett_2024_oi_240048_1727199125.7595.pdf#page=7</x:v>
      </x:c>
    </x:row>
    <x:row r="336" ht="90" customHeight="1">
      <x:c r="A336" s="6" t="str">
        <x:v>2024::jama.2024.6063::C012</x:v>
      </x:c>
      <x:c r="B336" s="6" t="str">
        <x:v>sourceLinks</x:v>
      </x:c>
      <x:c r="C336" s="6" t="n">
        <x:v>4</x:v>
      </x:c>
      <x:c r="D336" s="6" t="str">
        <x:v>Supplement 3 — PDF p. 2</x:v>
      </x:c>
      <x:c r="E336" s="6" t="str">
        <x:v>../../2024/jama.2024.6063/joi240048supp3_prod_1727199125.83025.pdf#page=2</x:v>
      </x:c>
    </x:row>
    <x:row r="337" ht="90" customHeight="1">
      <x:c r="A337" s="3" t="str">
        <x:v>2024::jama.2024.6063::C012</x:v>
      </x:c>
      <x:c r="B337" s="3" t="str">
        <x:v>evidencePaths</x:v>
      </x:c>
      <x:c r="C337" s="3" t="n">
        <x:v>0</x:v>
      </x:c>
      <x:c r="D337" s="3" t="str">
        <x:v>2024/jama.2024.6063/.ai_paper_validation/review_1_5_3/source_inventory.md</x:v>
      </x:c>
      <x:c r="E337" s="3" t="str">
        <x:v>../../2024/jama.2024.6063/.ai_paper_validation/review_1_5_3/source_inventory.md</x:v>
      </x:c>
    </x:row>
    <x:row r="338" ht="90" customHeight="1">
      <x:c r="A338" s="6" t="str">
        <x:v>2024::jama.2024.6063::C012</x:v>
      </x:c>
      <x:c r="B338" s="6" t="str">
        <x:v>evidencePaths</x:v>
      </x:c>
      <x:c r="C338" s="6" t="n">
        <x:v>1</x:v>
      </x:c>
      <x:c r="D338" s="6" t="str">
        <x:v>2024/jama.2024.6063/.ai_paper_validation/review_1_5_3/verification/evidence_recheck.md</x:v>
      </x:c>
      <x:c r="E338" s="6" t="str">
        <x:v>../../2024/jama.2024.6063/.ai_paper_validation/review_1_5_3/verification/evidence_recheck.md</x:v>
      </x:c>
    </x:row>
    <x:row r="339" ht="90" customHeight="1">
      <x:c r="A339" s="3" t="str">
        <x:v>2024::jama.2024.6063::C013</x:v>
      </x:c>
      <x:c r="B339" s="3" t="str">
        <x:v>sourceLinks</x:v>
      </x:c>
      <x:c r="C339" s="3" t="n">
        <x:v>0</x:v>
      </x:c>
      <x:c r="D339" s="3" t="str">
        <x:v>Main article — PDF p. 1</x:v>
      </x:c>
      <x:c r="E339" s="3" t="str">
        <x:v>../../2024/jama.2024.6063/jama_laslett_2024_oi_240048_1727199125.7595.pdf#page=1</x:v>
      </x:c>
    </x:row>
    <x:row r="340" ht="90" customHeight="1">
      <x:c r="A340" s="6" t="str">
        <x:v>2024::jama.2024.6063::C013</x:v>
      </x:c>
      <x:c r="B340" s="6" t="str">
        <x:v>sourceLinks</x:v>
      </x:c>
      <x:c r="C340" s="6" t="n">
        <x:v>1</x:v>
      </x:c>
      <x:c r="D340" s="6" t="str">
        <x:v>Main article — PDF p. 8</x:v>
      </x:c>
      <x:c r="E340" s="6" t="str">
        <x:v>../../2024/jama.2024.6063/jama_laslett_2024_oi_240048_1727199125.7595.pdf#page=8</x:v>
      </x:c>
    </x:row>
    <x:row r="341" ht="90" customHeight="1">
      <x:c r="A341" s="3" t="str">
        <x:v>2024::jama.2024.6063::C013</x:v>
      </x:c>
      <x:c r="B341" s="3" t="str">
        <x:v>sourceLinks</x:v>
      </x:c>
      <x:c r="C341" s="3" t="n">
        <x:v>2</x:v>
      </x:c>
      <x:c r="D341" s="3" t="str">
        <x:v>Supplement 3 — PDF p. 10</x:v>
      </x:c>
      <x:c r="E341" s="3" t="str">
        <x:v>../../2024/jama.2024.6063/joi240048supp3_prod_1727199125.83025.pdf#page=10</x:v>
      </x:c>
    </x:row>
    <x:row r="342" ht="90" customHeight="1">
      <x:c r="A342" s="6" t="str">
        <x:v>2024::jama.2024.6063::C013</x:v>
      </x:c>
      <x:c r="B342" s="6" t="str">
        <x:v>evidencePaths</x:v>
      </x:c>
      <x:c r="C342" s="6" t="n">
        <x:v>0</x:v>
      </x:c>
      <x:c r="D342" s="6" t="str">
        <x:v>2024/jama.2024.6063/.ai_paper_validation/review_1_5_3/source_inventory.md</x:v>
      </x:c>
      <x:c r="E342" s="6" t="str">
        <x:v>../../2024/jama.2024.6063/.ai_paper_validation/review_1_5_3/source_inventory.md</x:v>
      </x:c>
    </x:row>
    <x:row r="343" ht="90" customHeight="1">
      <x:c r="A343" s="3" t="str">
        <x:v>2024::jama.2024.6063::C013</x:v>
      </x:c>
      <x:c r="B343" s="3" t="str">
        <x:v>evidencePaths</x:v>
      </x:c>
      <x:c r="C343" s="3" t="n">
        <x:v>1</x:v>
      </x:c>
      <x:c r="D343" s="3" t="str">
        <x:v>2024/jama.2024.6063/.ai_paper_validation/review_1_5_3/verification/evidence_recheck.md</x:v>
      </x:c>
      <x:c r="E343" s="3" t="str">
        <x:v>../../2024/jama.2024.6063/.ai_paper_validation/review_1_5_3/verification/evidence_recheck.md</x:v>
      </x:c>
    </x:row>
    <x:row r="344" ht="90" customHeight="1">
      <x:c r="A344" s="6" t="str">
        <x:v>2024::jama.2024.6063::C014</x:v>
      </x:c>
      <x:c r="B344" s="6" t="str">
        <x:v>sourceLinks</x:v>
      </x:c>
      <x:c r="C344" s="6" t="n">
        <x:v>0</x:v>
      </x:c>
      <x:c r="D344" s="6" t="str">
        <x:v>Main article — PDF p. 8</x:v>
      </x:c>
      <x:c r="E344" s="6" t="str">
        <x:v>../../2024/jama.2024.6063/jama_laslett_2024_oi_240048_1727199125.7595.pdf#page=8</x:v>
      </x:c>
    </x:row>
    <x:row r="345" ht="90" customHeight="1">
      <x:c r="A345" s="3" t="str">
        <x:v>2024::jama.2024.6063::C014</x:v>
      </x:c>
      <x:c r="B345" s="3" t="str">
        <x:v>sourceLinks</x:v>
      </x:c>
      <x:c r="C345" s="3" t="n">
        <x:v>1</x:v>
      </x:c>
      <x:c r="D345" s="3" t="str">
        <x:v>Supplement 3 — PDF p. 5</x:v>
      </x:c>
      <x:c r="E345" s="3" t="str">
        <x:v>../../2024/jama.2024.6063/joi240048supp3_prod_1727199125.83025.pdf#page=5</x:v>
      </x:c>
    </x:row>
    <x:row r="346" ht="90" customHeight="1">
      <x:c r="A346" s="6" t="str">
        <x:v>2024::jama.2024.6063::C014</x:v>
      </x:c>
      <x:c r="B346" s="6" t="str">
        <x:v>sourceLinks</x:v>
      </x:c>
      <x:c r="C346" s="6" t="n">
        <x:v>2</x:v>
      </x:c>
      <x:c r="D346" s="6" t="str">
        <x:v>Supplement 3 — PDF p. 10</x:v>
      </x:c>
      <x:c r="E346" s="6" t="str">
        <x:v>../../2024/jama.2024.6063/joi240048supp3_prod_1727199125.83025.pdf#page=10</x:v>
      </x:c>
    </x:row>
    <x:row r="347" ht="90" customHeight="1">
      <x:c r="A347" s="3" t="str">
        <x:v>2024::jama.2024.6063::C014</x:v>
      </x:c>
      <x:c r="B347" s="3" t="str">
        <x:v>evidencePaths</x:v>
      </x:c>
      <x:c r="C347" s="3" t="n">
        <x:v>0</x:v>
      </x:c>
      <x:c r="D347" s="3" t="str">
        <x:v>2024/jama.2024.6063/.ai_paper_validation/review_1_5_3/source_inventory.md</x:v>
      </x:c>
      <x:c r="E347" s="3" t="str">
        <x:v>../../2024/jama.2024.6063/.ai_paper_validation/review_1_5_3/source_inventory.md</x:v>
      </x:c>
    </x:row>
    <x:row r="348" ht="90" customHeight="1">
      <x:c r="A348" s="6" t="str">
        <x:v>2024::jama.2024.6063::C014</x:v>
      </x:c>
      <x:c r="B348" s="6" t="str">
        <x:v>evidencePaths</x:v>
      </x:c>
      <x:c r="C348" s="6" t="n">
        <x:v>1</x:v>
      </x:c>
      <x:c r="D348" s="6" t="str">
        <x:v>2024/jama.2024.6063/.ai_paper_validation/review_1_5_3/verification/evidence_recheck.md</x:v>
      </x:c>
      <x:c r="E348" s="6" t="str">
        <x:v>../../2024/jama.2024.6063/.ai_paper_validation/review_1_5_3/verification/evidence_recheck.md</x:v>
      </x:c>
    </x:row>
    <x:row r="349" ht="90" customHeight="1">
      <x:c r="A349" s="3" t="str">
        <x:v>2024::jama.2024.6063::C015</x:v>
      </x:c>
      <x:c r="B349" s="3" t="str">
        <x:v>sourceLinks</x:v>
      </x:c>
      <x:c r="C349" s="3" t="n">
        <x:v>0</x:v>
      </x:c>
      <x:c r="D349" s="3" t="str">
        <x:v>Main article — PDF p. 8</x:v>
      </x:c>
      <x:c r="E349" s="3" t="str">
        <x:v>../../2024/jama.2024.6063/jama_laslett_2024_oi_240048_1727199125.7595.pdf#page=8</x:v>
      </x:c>
    </x:row>
    <x:row r="350" ht="90" customHeight="1">
      <x:c r="A350" s="6" t="str">
        <x:v>2024::jama.2024.6063::C015</x:v>
      </x:c>
      <x:c r="B350" s="6" t="str">
        <x:v>sourceLinks</x:v>
      </x:c>
      <x:c r="C350" s="6" t="n">
        <x:v>1</x:v>
      </x:c>
      <x:c r="D350" s="6" t="str">
        <x:v>Supplement 3 — PDF p. 8</x:v>
      </x:c>
      <x:c r="E350" s="6" t="str">
        <x:v>../../2024/jama.2024.6063/joi240048supp3_prod_1727199125.83025.pdf#page=8</x:v>
      </x:c>
    </x:row>
    <x:row r="351" ht="90" customHeight="1">
      <x:c r="A351" s="3" t="str">
        <x:v>2024::jama.2024.6063::C015</x:v>
      </x:c>
      <x:c r="B351" s="3" t="str">
        <x:v>sourceLinks</x:v>
      </x:c>
      <x:c r="C351" s="3" t="n">
        <x:v>2</x:v>
      </x:c>
      <x:c r="D351" s="3" t="str">
        <x:v>Supplement 3 — PDF p. 9</x:v>
      </x:c>
      <x:c r="E351" s="3" t="str">
        <x:v>../../2024/jama.2024.6063/joi240048supp3_prod_1727199125.83025.pdf#page=9</x:v>
      </x:c>
    </x:row>
    <x:row r="352" ht="90" customHeight="1">
      <x:c r="A352" s="6" t="str">
        <x:v>2024::jama.2024.6063::C015</x:v>
      </x:c>
      <x:c r="B352" s="6" t="str">
        <x:v>sourceLinks</x:v>
      </x:c>
      <x:c r="C352" s="6" t="n">
        <x:v>3</x:v>
      </x:c>
      <x:c r="D352" s="6" t="str">
        <x:v>Supplement 3 — PDF p. 14</x:v>
      </x:c>
      <x:c r="E352" s="6" t="str">
        <x:v>../../2024/jama.2024.6063/joi240048supp3_prod_1727199125.83025.pdf#page=14</x:v>
      </x:c>
    </x:row>
    <x:row r="353" ht="90" customHeight="1">
      <x:c r="A353" s="3" t="str">
        <x:v>2024::jama.2024.6063::C015</x:v>
      </x:c>
      <x:c r="B353" s="3" t="str">
        <x:v>evidencePaths</x:v>
      </x:c>
      <x:c r="C353" s="3" t="n">
        <x:v>0</x:v>
      </x:c>
      <x:c r="D353" s="3" t="str">
        <x:v>2024/jama.2024.6063/.ai_paper_validation/review_1_5_3/source_inventory.md</x:v>
      </x:c>
      <x:c r="E353" s="3" t="str">
        <x:v>../../2024/jama.2024.6063/.ai_paper_validation/review_1_5_3/source_inventory.md</x:v>
      </x:c>
    </x:row>
    <x:row r="354" ht="90" customHeight="1">
      <x:c r="A354" s="6" t="str">
        <x:v>2024::jama.2024.6063::C015</x:v>
      </x:c>
      <x:c r="B354" s="6" t="str">
        <x:v>evidencePaths</x:v>
      </x:c>
      <x:c r="C354" s="6" t="n">
        <x:v>1</x:v>
      </x:c>
      <x:c r="D354" s="6" t="str">
        <x:v>2024/jama.2024.6063/.ai_paper_validation/review_1_5_3/verification/evidence_recheck.md</x:v>
      </x:c>
      <x:c r="E354" s="6" t="str">
        <x:v>../../2024/jama.2024.6063/.ai_paper_validation/review_1_5_3/verification/evidence_recheck.md</x:v>
      </x:c>
    </x:row>
    <x:row r="355" ht="90" customHeight="1">
      <x:c r="A355" s="3" t="str">
        <x:v>2024::jama.2024.6063::C016</x:v>
      </x:c>
      <x:c r="B355" s="3" t="str">
        <x:v>sourceLinks</x:v>
      </x:c>
      <x:c r="C355" s="3" t="n">
        <x:v>0</x:v>
      </x:c>
      <x:c r="D355" s="3" t="str">
        <x:v>Main article — PDF p. 7</x:v>
      </x:c>
      <x:c r="E355" s="3" t="str">
        <x:v>../../2024/jama.2024.6063/jama_laslett_2024_oi_240048_1727199125.7595.pdf#page=7</x:v>
      </x:c>
    </x:row>
    <x:row r="356" ht="90" customHeight="1">
      <x:c r="A356" s="6" t="str">
        <x:v>2024::jama.2024.6063::C016</x:v>
      </x:c>
      <x:c r="B356" s="6" t="str">
        <x:v>sourceLinks</x:v>
      </x:c>
      <x:c r="C356" s="6" t="n">
        <x:v>1</x:v>
      </x:c>
      <x:c r="D356" s="6" t="str">
        <x:v>Supplement 3 — PDF p. 3</x:v>
      </x:c>
      <x:c r="E356" s="6" t="str">
        <x:v>../../2024/jama.2024.6063/joi240048supp3_prod_1727199125.83025.pdf#page=3</x:v>
      </x:c>
    </x:row>
    <x:row r="357" ht="90" customHeight="1">
      <x:c r="A357" s="3" t="str">
        <x:v>2024::jama.2024.6063::C016</x:v>
      </x:c>
      <x:c r="B357" s="3" t="str">
        <x:v>evidencePaths</x:v>
      </x:c>
      <x:c r="C357" s="3" t="n">
        <x:v>0</x:v>
      </x:c>
      <x:c r="D357" s="3" t="str">
        <x:v>2024/jama.2024.6063/.ai_paper_validation/review_1_5_3/source_inventory.md</x:v>
      </x:c>
      <x:c r="E357" s="3" t="str">
        <x:v>../../2024/jama.2024.6063/.ai_paper_validation/review_1_5_3/source_inventory.md</x:v>
      </x:c>
    </x:row>
    <x:row r="358" ht="90" customHeight="1">
      <x:c r="A358" s="6" t="str">
        <x:v>2024::jama.2024.6063::C016</x:v>
      </x:c>
      <x:c r="B358" s="6" t="str">
        <x:v>evidencePaths</x:v>
      </x:c>
      <x:c r="C358" s="6" t="n">
        <x:v>1</x:v>
      </x:c>
      <x:c r="D358" s="6" t="str">
        <x:v>2024/jama.2024.6063/.ai_paper_validation/review_1_5_3/verification/evidence_recheck.md</x:v>
      </x:c>
      <x:c r="E358" s="6" t="str">
        <x:v>../../2024/jama.2024.6063/.ai_paper_validation/review_1_5_3/verification/evidence_recheck.md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2024::jama.2024.0318::C001</x:v>
      </x:c>
      <x:c r="B2" s="6" t="str">
        <x:v>relations</x:v>
      </x:c>
      <x:c r="C2" s="6" t="n">
        <x:v>0</x:v>
      </x:c>
      <x:c r="D2" s="6" t="str">
        <x:v>S_W</x:v>
      </x:c>
    </x:row>
    <x:row r="3" ht="90" customHeight="1">
      <x:c r="A3" s="3" t="str">
        <x:v>2024::jama.2024.0318::C002</x:v>
      </x:c>
      <x:c r="B3" s="3" t="str">
        <x:v>relations</x:v>
      </x:c>
      <x:c r="C3" s="3" t="n">
        <x:v>0</x:v>
      </x:c>
      <x:c r="D3" s="3" t="str">
        <x:v>S_W</x:v>
      </x:c>
    </x:row>
    <x:row r="4" ht="90" customHeight="1">
      <x:c r="A4" s="6" t="str">
        <x:v>2024::jama.2024.0318::C003</x:v>
      </x:c>
      <x:c r="B4" s="6" t="str">
        <x:v>relations</x:v>
      </x:c>
      <x:c r="C4" s="6" t="n">
        <x:v>0</x:v>
      </x:c>
      <x:c r="D4" s="6" t="str">
        <x:v>S_C</x:v>
      </x:c>
    </x:row>
    <x:row r="5" ht="90" customHeight="1">
      <x:c r="A5" s="3" t="str">
        <x:v>2024::jama.2024.0318::C004</x:v>
      </x:c>
      <x:c r="B5" s="3" t="str">
        <x:v>relations</x:v>
      </x:c>
      <x:c r="C5" s="3" t="n">
        <x:v>0</x:v>
      </x:c>
      <x:c r="D5" s="3" t="str">
        <x:v>S_W</x:v>
      </x:c>
    </x:row>
    <x:row r="6" ht="90" customHeight="1">
      <x:c r="A6" s="6" t="str">
        <x:v>2024::jama.2024.0318::C005</x:v>
      </x:c>
      <x:c r="B6" s="6" t="str">
        <x:v>relations</x:v>
      </x:c>
      <x:c r="C6" s="6" t="n">
        <x:v>0</x:v>
      </x:c>
      <x:c r="D6" s="6" t="str">
        <x:v>S_W</x:v>
      </x:c>
    </x:row>
    <x:row r="7" ht="90" customHeight="1">
      <x:c r="A7" s="3" t="str">
        <x:v>2024::jama.2024.0318::C006</x:v>
      </x:c>
      <x:c r="B7" s="3" t="str">
        <x:v>relations</x:v>
      </x:c>
      <x:c r="C7" s="3" t="n">
        <x:v>0</x:v>
      </x:c>
      <x:c r="D7" s="3" t="str">
        <x:v>S_C</x:v>
      </x:c>
    </x:row>
    <x:row r="8" ht="90" customHeight="1">
      <x:c r="A8" s="6" t="str">
        <x:v>2024::jama.2024.0572::C001</x:v>
      </x:c>
      <x:c r="B8" s="6" t="str">
        <x:v>relations</x:v>
      </x:c>
      <x:c r="C8" s="6" t="n">
        <x:v>0</x:v>
      </x:c>
      <x:c r="D8" s="6" t="str">
        <x:v>S_C</x:v>
      </x:c>
    </x:row>
    <x:row r="9" ht="90" customHeight="1">
      <x:c r="A9" s="3" t="str">
        <x:v>2024::jama.2024.0572::C002</x:v>
      </x:c>
      <x:c r="B9" s="3" t="str">
        <x:v>relations</x:v>
      </x:c>
      <x:c r="C9" s="3" t="n">
        <x:v>0</x:v>
      </x:c>
      <x:c r="D9" s="3" t="str">
        <x:v>S_W</x:v>
      </x:c>
    </x:row>
    <x:row r="10" ht="90" customHeight="1">
      <x:c r="A10" s="6" t="str">
        <x:v>2024::jama.2024.11057::C001</x:v>
      </x:c>
      <x:c r="B10" s="6" t="str">
        <x:v>relations</x:v>
      </x:c>
      <x:c r="C10" s="6" t="n">
        <x:v>0</x:v>
      </x:c>
      <x:c r="D10" s="6" t="str">
        <x:v>P_R</x:v>
      </x:c>
    </x:row>
    <x:row r="11" ht="90" customHeight="1">
      <x:c r="A11" s="3" t="str">
        <x:v>2024::jama.2024.11057::C001</x:v>
      </x:c>
      <x:c r="B11" s="3" t="str">
        <x:v>relations</x:v>
      </x:c>
      <x:c r="C11" s="3" t="n">
        <x:v>1</x:v>
      </x:c>
      <x:c r="D11" s="3" t="str">
        <x:v>S_C</x:v>
      </x:c>
    </x:row>
    <x:row r="12" ht="90" customHeight="1">
      <x:c r="A12" s="6" t="str">
        <x:v>2024::jama.2024.11057::C002</x:v>
      </x:c>
      <x:c r="B12" s="6" t="str">
        <x:v>relations</x:v>
      </x:c>
      <x:c r="C12" s="6" t="n">
        <x:v>0</x:v>
      </x:c>
      <x:c r="D12" s="6" t="str">
        <x:v>S_W</x:v>
      </x:c>
    </x:row>
    <x:row r="13" ht="90" customHeight="1">
      <x:c r="A13" s="3" t="str">
        <x:v>2024::jama.2024.11057::C003</x:v>
      </x:c>
      <x:c r="B13" s="3" t="str">
        <x:v>relations</x:v>
      </x:c>
      <x:c r="C13" s="3" t="n">
        <x:v>0</x:v>
      </x:c>
      <x:c r="D13" s="3" t="str">
        <x:v>S_W</x:v>
      </x:c>
    </x:row>
    <x:row r="14" ht="90" customHeight="1">
      <x:c r="A14" s="6" t="str">
        <x:v>2024::jama.2024.12829::C001</x:v>
      </x:c>
      <x:c r="B14" s="6" t="str">
        <x:v>relations</x:v>
      </x:c>
      <x:c r="C14" s="6" t="n">
        <x:v>0</x:v>
      </x:c>
      <x:c r="D14" s="6" t="str">
        <x:v>S_W</x:v>
      </x:c>
    </x:row>
    <x:row r="15" ht="90" customHeight="1">
      <x:c r="A15" s="3" t="str">
        <x:v>2024::jama.2024.12829::C002</x:v>
      </x:c>
      <x:c r="B15" s="3" t="str">
        <x:v>relations</x:v>
      </x:c>
      <x:c r="C15" s="3" t="n">
        <x:v>0</x:v>
      </x:c>
      <x:c r="D15" s="3" t="str">
        <x:v>S_W</x:v>
      </x:c>
    </x:row>
    <x:row r="16" ht="90" customHeight="1">
      <x:c r="A16" s="6" t="str">
        <x:v>2024::jama.2024.12829::C003</x:v>
      </x:c>
      <x:c r="B16" s="6" t="str">
        <x:v>relations</x:v>
      </x:c>
      <x:c r="C16" s="6" t="n">
        <x:v>0</x:v>
      </x:c>
      <x:c r="D16" s="6" t="str">
        <x:v>S_W</x:v>
      </x:c>
    </x:row>
    <x:row r="17" ht="90" customHeight="1">
      <x:c r="A17" s="3" t="str">
        <x:v>2024::jama.2024.12829::C004</x:v>
      </x:c>
      <x:c r="B17" s="3" t="str">
        <x:v>relations</x:v>
      </x:c>
      <x:c r="C17" s="3" t="n">
        <x:v>0</x:v>
      </x:c>
      <x:c r="D17" s="3" t="str">
        <x:v>S_W</x:v>
      </x:c>
    </x:row>
    <x:row r="18" ht="90" customHeight="1">
      <x:c r="A18" s="6" t="str">
        <x:v>2024::jama.2024.12829::C005</x:v>
      </x:c>
      <x:c r="B18" s="6" t="str">
        <x:v>relations</x:v>
      </x:c>
      <x:c r="C18" s="6" t="n">
        <x:v>0</x:v>
      </x:c>
      <x:c r="D18" s="6" t="str">
        <x:v>S_W</x:v>
      </x:c>
    </x:row>
    <x:row r="19" ht="90" customHeight="1">
      <x:c r="A19" s="3" t="str">
        <x:v>2024::jama.2024.12829::C006</x:v>
      </x:c>
      <x:c r="B19" s="3" t="str">
        <x:v>relations</x:v>
      </x:c>
      <x:c r="C19" s="3" t="n">
        <x:v>0</x:v>
      </x:c>
      <x:c r="D19" s="3" t="str">
        <x:v>S_W</x:v>
      </x:c>
    </x:row>
    <x:row r="20" ht="90" customHeight="1">
      <x:c r="A20" s="6" t="str">
        <x:v>2024::jama.2024.12829::C007</x:v>
      </x:c>
      <x:c r="B20" s="6" t="str">
        <x:v>relations</x:v>
      </x:c>
      <x:c r="C20" s="6" t="n">
        <x:v>0</x:v>
      </x:c>
      <x:c r="D20" s="6" t="str">
        <x:v>S_W</x:v>
      </x:c>
    </x:row>
    <x:row r="21" ht="90" customHeight="1">
      <x:c r="A21" s="3" t="str">
        <x:v>2024::jama.2024.12829::C008</x:v>
      </x:c>
      <x:c r="B21" s="3" t="str">
        <x:v>relations</x:v>
      </x:c>
      <x:c r="C21" s="3" t="n">
        <x:v>0</x:v>
      </x:c>
      <x:c r="D21" s="3" t="str">
        <x:v>S_W</x:v>
      </x:c>
    </x:row>
    <x:row r="22" ht="90" customHeight="1">
      <x:c r="A22" s="6" t="str">
        <x:v>2024::jama.2024.12829::C009</x:v>
      </x:c>
      <x:c r="B22" s="6" t="str">
        <x:v>relations</x:v>
      </x:c>
      <x:c r="C22" s="6" t="n">
        <x:v>0</x:v>
      </x:c>
      <x:c r="D22" s="6" t="str">
        <x:v>P_R</x:v>
      </x:c>
    </x:row>
    <x:row r="23" ht="90" customHeight="1">
      <x:c r="A23" s="3" t="str">
        <x:v>2024::jama.2024.12829::C009</x:v>
      </x:c>
      <x:c r="B23" s="3" t="str">
        <x:v>relations</x:v>
      </x:c>
      <x:c r="C23" s="3" t="n">
        <x:v>1</x:v>
      </x:c>
      <x:c r="D23" s="3" t="str">
        <x:v>S_C</x:v>
      </x:c>
    </x:row>
    <x:row r="24" ht="90" customHeight="1">
      <x:c r="A24" s="6" t="str">
        <x:v>2024::jama.2024.12829::C010</x:v>
      </x:c>
      <x:c r="B24" s="6" t="str">
        <x:v>relations</x:v>
      </x:c>
      <x:c r="C24" s="6" t="n">
        <x:v>0</x:v>
      </x:c>
      <x:c r="D24" s="6" t="str">
        <x:v>P_P</x:v>
      </x:c>
    </x:row>
    <x:row r="25" ht="90" customHeight="1">
      <x:c r="A25" s="3" t="str">
        <x:v>2024::jama.2024.12829::C011</x:v>
      </x:c>
      <x:c r="B25" s="3" t="str">
        <x:v>relations</x:v>
      </x:c>
      <x:c r="C25" s="3" t="n">
        <x:v>0</x:v>
      </x:c>
      <x:c r="D25" s="3" t="str">
        <x:v>S_W</x:v>
      </x:c>
    </x:row>
    <x:row r="26" ht="90" customHeight="1">
      <x:c r="A26" s="6" t="str">
        <x:v>2024::jama.2024.12829::C012</x:v>
      </x:c>
      <x:c r="B26" s="6" t="str">
        <x:v>relations</x:v>
      </x:c>
      <x:c r="C26" s="6" t="n">
        <x:v>0</x:v>
      </x:c>
      <x:c r="D26" s="6" t="str">
        <x:v>S_W</x:v>
      </x:c>
    </x:row>
    <x:row r="27" ht="90" customHeight="1">
      <x:c r="A27" s="3" t="str">
        <x:v>2024::jama.2024.12829::C013</x:v>
      </x:c>
      <x:c r="B27" s="3" t="str">
        <x:v>relations</x:v>
      </x:c>
      <x:c r="C27" s="3" t="n">
        <x:v>0</x:v>
      </x:c>
      <x:c r="D27" s="3" t="str">
        <x:v>P_P</x:v>
      </x:c>
    </x:row>
    <x:row r="28" ht="90" customHeight="1">
      <x:c r="A28" s="6" t="str">
        <x:v>2024::jama.2024.12829::C014</x:v>
      </x:c>
      <x:c r="B28" s="6" t="str">
        <x:v>relations</x:v>
      </x:c>
      <x:c r="C28" s="6" t="n">
        <x:v>0</x:v>
      </x:c>
      <x:c r="D28" s="6" t="str">
        <x:v>S_W</x:v>
      </x:c>
    </x:row>
    <x:row r="29" ht="90" customHeight="1">
      <x:c r="A29" s="3" t="str">
        <x:v>2024::jama.2024.12829::C015</x:v>
      </x:c>
      <x:c r="B29" s="3" t="str">
        <x:v>relations</x:v>
      </x:c>
      <x:c r="C29" s="3" t="n">
        <x:v>0</x:v>
      </x:c>
      <x:c r="D29" s="3" t="str">
        <x:v>S_W</x:v>
      </x:c>
    </x:row>
    <x:row r="30" ht="90" customHeight="1">
      <x:c r="A30" s="6" t="str">
        <x:v>2024::jama.2024.12829::C016</x:v>
      </x:c>
      <x:c r="B30" s="6" t="str">
        <x:v>relations</x:v>
      </x:c>
      <x:c r="C30" s="6" t="n">
        <x:v>0</x:v>
      </x:c>
      <x:c r="D30" s="6" t="str">
        <x:v>S_C</x:v>
      </x:c>
    </x:row>
    <x:row r="31" ht="90" customHeight="1">
      <x:c r="A31" s="3" t="str">
        <x:v>2024::jama.2024.12829::C017</x:v>
      </x:c>
      <x:c r="B31" s="3" t="str">
        <x:v>relations</x:v>
      </x:c>
      <x:c r="C31" s="3" t="n">
        <x:v>0</x:v>
      </x:c>
      <x:c r="D31" s="3" t="str">
        <x:v>S_W</x:v>
      </x:c>
    </x:row>
    <x:row r="32" ht="90" customHeight="1">
      <x:c r="A32" s="6" t="str">
        <x:v>2024::jama.2024.19585::C001</x:v>
      </x:c>
      <x:c r="B32" s="6" t="str">
        <x:v>relations</x:v>
      </x:c>
      <x:c r="C32" s="6" t="n">
        <x:v>0</x:v>
      </x:c>
      <x:c r="D32" s="6" t="str">
        <x:v>S_W</x:v>
      </x:c>
    </x:row>
    <x:row r="33" ht="90" customHeight="1">
      <x:c r="A33" s="3" t="str">
        <x:v>2024::jama.2024.19585::C002</x:v>
      </x:c>
      <x:c r="B33" s="3" t="str">
        <x:v>relations</x:v>
      </x:c>
      <x:c r="C33" s="3" t="n">
        <x:v>0</x:v>
      </x:c>
      <x:c r="D33" s="3" t="str">
        <x:v>S_C</x:v>
      </x:c>
    </x:row>
    <x:row r="34" ht="90" customHeight="1">
      <x:c r="A34" s="6" t="str">
        <x:v>2024::jama.2024.19585::C003</x:v>
      </x:c>
      <x:c r="B34" s="6" t="str">
        <x:v>relations</x:v>
      </x:c>
      <x:c r="C34" s="6" t="n">
        <x:v>0</x:v>
      </x:c>
      <x:c r="D34" s="6" t="str">
        <x:v>S_W</x:v>
      </x:c>
    </x:row>
    <x:row r="35" ht="90" customHeight="1">
      <x:c r="A35" s="3" t="str">
        <x:v>2024::jama.2024.2302::C001</x:v>
      </x:c>
      <x:c r="B35" s="3" t="str">
        <x:v>relations</x:v>
      </x:c>
      <x:c r="C35" s="3" t="n">
        <x:v>0</x:v>
      </x:c>
      <x:c r="D35" s="3" t="str">
        <x:v>P_R</x:v>
      </x:c>
    </x:row>
    <x:row r="36" ht="90" customHeight="1">
      <x:c r="A36" s="6" t="str">
        <x:v>2024::jama.2024.2302::C001</x:v>
      </x:c>
      <x:c r="B36" s="6" t="str">
        <x:v>relations</x:v>
      </x:c>
      <x:c r="C36" s="6" t="n">
        <x:v>1</x:v>
      </x:c>
      <x:c r="D36" s="6" t="str">
        <x:v>P_P</x:v>
      </x:c>
    </x:row>
    <x:row r="37" ht="90" customHeight="1">
      <x:c r="A37" s="3" t="str">
        <x:v>2024::jama.2024.2302::C001</x:v>
      </x:c>
      <x:c r="B37" s="3" t="str">
        <x:v>relations</x:v>
      </x:c>
      <x:c r="C37" s="3" t="n">
        <x:v>2</x:v>
      </x:c>
      <x:c r="D37" s="3" t="str">
        <x:v>S_C</x:v>
      </x:c>
    </x:row>
    <x:row r="38" ht="90" customHeight="1">
      <x:c r="A38" s="6" t="str">
        <x:v>2024::jama.2024.2302::C002</x:v>
      </x:c>
      <x:c r="B38" s="6" t="str">
        <x:v>relations</x:v>
      </x:c>
      <x:c r="C38" s="6" t="n">
        <x:v>0</x:v>
      </x:c>
      <x:c r="D38" s="6" t="str">
        <x:v>P_P</x:v>
      </x:c>
    </x:row>
    <x:row r="39" ht="90" customHeight="1">
      <x:c r="A39" s="3" t="str">
        <x:v>2024::jama.2024.2302::C003</x:v>
      </x:c>
      <x:c r="B39" s="3" t="str">
        <x:v>relations</x:v>
      </x:c>
      <x:c r="C39" s="3" t="n">
        <x:v>0</x:v>
      </x:c>
      <x:c r="D39" s="3" t="str">
        <x:v>P_R</x:v>
      </x:c>
    </x:row>
    <x:row r="40" ht="90" customHeight="1">
      <x:c r="A40" s="6" t="str">
        <x:v>2024::jama.2024.2302::C004</x:v>
      </x:c>
      <x:c r="B40" s="6" t="str">
        <x:v>relations</x:v>
      </x:c>
      <x:c r="C40" s="6" t="n">
        <x:v>0</x:v>
      </x:c>
      <x:c r="D40" s="6" t="str">
        <x:v>P_R</x:v>
      </x:c>
    </x:row>
    <x:row r="41" ht="90" customHeight="1">
      <x:c r="A41" s="3" t="str">
        <x:v>2024::jama.2024.2302::C004</x:v>
      </x:c>
      <x:c r="B41" s="3" t="str">
        <x:v>relations</x:v>
      </x:c>
      <x:c r="C41" s="3" t="n">
        <x:v>1</x:v>
      </x:c>
      <x:c r="D41" s="3" t="str">
        <x:v>P_P</x:v>
      </x:c>
    </x:row>
    <x:row r="42" ht="90" customHeight="1">
      <x:c r="A42" s="6" t="str">
        <x:v>2024::jama.2024.2302::C005</x:v>
      </x:c>
      <x:c r="B42" s="6" t="str">
        <x:v>relations</x:v>
      </x:c>
      <x:c r="C42" s="6" t="n">
        <x:v>0</x:v>
      </x:c>
      <x:c r="D42" s="6" t="str">
        <x:v>P_R</x:v>
      </x:c>
    </x:row>
    <x:row r="43" ht="90" customHeight="1">
      <x:c r="A43" s="3" t="str">
        <x:v>2024::jama.2024.2302::C005</x:v>
      </x:c>
      <x:c r="B43" s="3" t="str">
        <x:v>relations</x:v>
      </x:c>
      <x:c r="C43" s="3" t="n">
        <x:v>1</x:v>
      </x:c>
      <x:c r="D43" s="3" t="str">
        <x:v>P_P</x:v>
      </x:c>
    </x:row>
    <x:row r="44" ht="90" customHeight="1">
      <x:c r="A44" s="6" t="str">
        <x:v>2024::jama.2024.23898::C001</x:v>
      </x:c>
      <x:c r="B44" s="6" t="str">
        <x:v>relations</x:v>
      </x:c>
      <x:c r="C44" s="6" t="n">
        <x:v>0</x:v>
      </x:c>
      <x:c r="D44" s="6" t="str">
        <x:v>P_R</x:v>
      </x:c>
    </x:row>
    <x:row r="45" ht="90" customHeight="1">
      <x:c r="A45" s="3" t="str">
        <x:v>2024::jama.2024.23898::C002</x:v>
      </x:c>
      <x:c r="B45" s="3" t="str">
        <x:v>relations</x:v>
      </x:c>
      <x:c r="C45" s="3" t="n">
        <x:v>0</x:v>
      </x:c>
      <x:c r="D45" s="3" t="str">
        <x:v>P_R</x:v>
      </x:c>
    </x:row>
    <x:row r="46" ht="90" customHeight="1">
      <x:c r="A46" s="6" t="str">
        <x:v>2024::jama.2024.23898::C003</x:v>
      </x:c>
      <x:c r="B46" s="6" t="str">
        <x:v>relations</x:v>
      </x:c>
      <x:c r="C46" s="6" t="n">
        <x:v>0</x:v>
      </x:c>
      <x:c r="D46" s="6" t="str">
        <x:v>P_R</x:v>
      </x:c>
    </x:row>
    <x:row r="47" ht="90" customHeight="1">
      <x:c r="A47" s="3" t="str">
        <x:v>2024::jama.2024.23898::C003</x:v>
      </x:c>
      <x:c r="B47" s="3" t="str">
        <x:v>relations</x:v>
      </x:c>
      <x:c r="C47" s="3" t="n">
        <x:v>1</x:v>
      </x:c>
      <x:c r="D47" s="3" t="str">
        <x:v>S_W</x:v>
      </x:c>
    </x:row>
    <x:row r="48" ht="90" customHeight="1">
      <x:c r="A48" s="6" t="str">
        <x:v>2024::jama.2024.23898::C004</x:v>
      </x:c>
      <x:c r="B48" s="6" t="str">
        <x:v>relations</x:v>
      </x:c>
      <x:c r="C48" s="6" t="n">
        <x:v>0</x:v>
      </x:c>
      <x:c r="D48" s="6" t="str">
        <x:v>P_R</x:v>
      </x:c>
    </x:row>
    <x:row r="49" ht="90" customHeight="1">
      <x:c r="A49" s="3" t="str">
        <x:v>2024::jama.2024.23898::C005</x:v>
      </x:c>
      <x:c r="B49" s="3" t="str">
        <x:v>relations</x:v>
      </x:c>
      <x:c r="C49" s="3" t="n">
        <x:v>0</x:v>
      </x:c>
      <x:c r="D49" s="3" t="str">
        <x:v>S_W</x:v>
      </x:c>
    </x:row>
    <x:row r="50" ht="90" customHeight="1">
      <x:c r="A50" s="6" t="str">
        <x:v>2024::jama.2024.23898::C006</x:v>
      </x:c>
      <x:c r="B50" s="6" t="str">
        <x:v>relations</x:v>
      </x:c>
      <x:c r="C50" s="6" t="n">
        <x:v>0</x:v>
      </x:c>
      <x:c r="D50" s="6" t="str">
        <x:v>S_W</x:v>
      </x:c>
    </x:row>
    <x:row r="51" ht="90" customHeight="1">
      <x:c r="A51" s="3" t="str">
        <x:v>2024::jama.2024.23898::C007</x:v>
      </x:c>
      <x:c r="B51" s="3" t="str">
        <x:v>relations</x:v>
      </x:c>
      <x:c r="C51" s="3" t="n">
        <x:v>0</x:v>
      </x:c>
      <x:c r="D51" s="3" t="str">
        <x:v>P_R</x:v>
      </x:c>
    </x:row>
    <x:row r="52" ht="90" customHeight="1">
      <x:c r="A52" s="6" t="str">
        <x:v>2024::jama.2024.23898::C007</x:v>
      </x:c>
      <x:c r="B52" s="6" t="str">
        <x:v>relations</x:v>
      </x:c>
      <x:c r="C52" s="6" t="n">
        <x:v>1</x:v>
      </x:c>
      <x:c r="D52" s="6" t="str">
        <x:v>S_C</x:v>
      </x:c>
    </x:row>
    <x:row r="53" ht="90" customHeight="1">
      <x:c r="A53" s="3" t="str">
        <x:v>2024::jama.2024.25786::C001</x:v>
      </x:c>
      <x:c r="B53" s="3" t="str">
        <x:v>relations</x:v>
      </x:c>
      <x:c r="C53" s="3" t="n">
        <x:v>0</x:v>
      </x:c>
      <x:c r="D53" s="3" t="str">
        <x:v>S_W</x:v>
      </x:c>
    </x:row>
    <x:row r="54" ht="90" customHeight="1">
      <x:c r="A54" s="6" t="str">
        <x:v>2024::jama.2024.25786::C002</x:v>
      </x:c>
      <x:c r="B54" s="6" t="str">
        <x:v>relations</x:v>
      </x:c>
      <x:c r="C54" s="6" t="n">
        <x:v>0</x:v>
      </x:c>
      <x:c r="D54" s="6" t="str">
        <x:v>S_W</x:v>
      </x:c>
    </x:row>
    <x:row r="55" ht="90" customHeight="1">
      <x:c r="A55" s="3" t="str">
        <x:v>2024::jama.2024.25786::C003</x:v>
      </x:c>
      <x:c r="B55" s="3" t="str">
        <x:v>relations</x:v>
      </x:c>
      <x:c r="C55" s="3" t="n">
        <x:v>0</x:v>
      </x:c>
      <x:c r="D55" s="3" t="str">
        <x:v>S_W</x:v>
      </x:c>
    </x:row>
    <x:row r="56" ht="90" customHeight="1">
      <x:c r="A56" s="6" t="str">
        <x:v>2024::jama.2024.25786::C004</x:v>
      </x:c>
      <x:c r="B56" s="6" t="str">
        <x:v>relations</x:v>
      </x:c>
      <x:c r="C56" s="6" t="n">
        <x:v>0</x:v>
      </x:c>
      <x:c r="D56" s="6" t="str">
        <x:v>S_C</x:v>
      </x:c>
    </x:row>
    <x:row r="57" ht="90" customHeight="1">
      <x:c r="A57" s="3" t="str">
        <x:v>2024::jama.2024.25786::C004</x:v>
      </x:c>
      <x:c r="B57" s="3" t="str">
        <x:v>relations</x:v>
      </x:c>
      <x:c r="C57" s="3" t="n">
        <x:v>1</x:v>
      </x:c>
      <x:c r="D57" s="3" t="str">
        <x:v>S_W</x:v>
      </x:c>
    </x:row>
    <x:row r="58" ht="90" customHeight="1">
      <x:c r="A58" s="6" t="str">
        <x:v>2024::jama.2024.25786::C005</x:v>
      </x:c>
      <x:c r="B58" s="6" t="str">
        <x:v>relations</x:v>
      </x:c>
      <x:c r="C58" s="6" t="n">
        <x:v>0</x:v>
      </x:c>
      <x:c r="D58" s="6" t="str">
        <x:v>S_C</x:v>
      </x:c>
    </x:row>
    <x:row r="59" ht="90" customHeight="1">
      <x:c r="A59" s="3" t="str">
        <x:v>2024::jama.2024.25786::C005</x:v>
      </x:c>
      <x:c r="B59" s="3" t="str">
        <x:v>relations</x:v>
      </x:c>
      <x:c r="C59" s="3" t="n">
        <x:v>1</x:v>
      </x:c>
      <x:c r="D59" s="3" t="str">
        <x:v>S_W</x:v>
      </x:c>
    </x:row>
    <x:row r="60" ht="90" customHeight="1">
      <x:c r="A60" s="6" t="str">
        <x:v>2024::jama.2024.25786::C006</x:v>
      </x:c>
      <x:c r="B60" s="6" t="str">
        <x:v>relations</x:v>
      </x:c>
      <x:c r="C60" s="6" t="n">
        <x:v>0</x:v>
      </x:c>
      <x:c r="D60" s="6" t="str">
        <x:v>S_C</x:v>
      </x:c>
    </x:row>
    <x:row r="61" ht="90" customHeight="1">
      <x:c r="A61" s="3" t="str">
        <x:v>2024::jama.2024.25786::C006</x:v>
      </x:c>
      <x:c r="B61" s="3" t="str">
        <x:v>relations</x:v>
      </x:c>
      <x:c r="C61" s="3" t="n">
        <x:v>1</x:v>
      </x:c>
      <x:c r="D61" s="3" t="str">
        <x:v>S_W</x:v>
      </x:c>
    </x:row>
    <x:row r="62" ht="90" customHeight="1">
      <x:c r="A62" s="6" t="str">
        <x:v>2024::jama.2024.25786::C007</x:v>
      </x:c>
      <x:c r="B62" s="6" t="str">
        <x:v>relations</x:v>
      </x:c>
      <x:c r="C62" s="6" t="n">
        <x:v>0</x:v>
      </x:c>
      <x:c r="D62" s="6" t="str">
        <x:v>S_W</x:v>
      </x:c>
    </x:row>
    <x:row r="63" ht="90" customHeight="1">
      <x:c r="A63" s="3" t="str">
        <x:v>2024::jama.2024.25786::C008</x:v>
      </x:c>
      <x:c r="B63" s="3" t="str">
        <x:v>relations</x:v>
      </x:c>
      <x:c r="C63" s="3" t="n">
        <x:v>0</x:v>
      </x:c>
      <x:c r="D63" s="3" t="str">
        <x:v>S_W</x:v>
      </x:c>
    </x:row>
    <x:row r="64" ht="90" customHeight="1">
      <x:c r="A64" s="6" t="str">
        <x:v>2024::jama.2024.4183::C001</x:v>
      </x:c>
      <x:c r="B64" s="6" t="str">
        <x:v>relations</x:v>
      </x:c>
      <x:c r="C64" s="6" t="n">
        <x:v>0</x:v>
      </x:c>
      <x:c r="D64" s="6" t="str">
        <x:v>S_W</x:v>
      </x:c>
    </x:row>
    <x:row r="65" ht="90" customHeight="1">
      <x:c r="A65" s="3" t="str">
        <x:v>2024::jama.2024.4183::C002</x:v>
      </x:c>
      <x:c r="B65" s="3" t="str">
        <x:v>relations</x:v>
      </x:c>
      <x:c r="C65" s="3" t="n">
        <x:v>0</x:v>
      </x:c>
      <x:c r="D65" s="3" t="str">
        <x:v>S_W</x:v>
      </x:c>
    </x:row>
    <x:row r="66" ht="90" customHeight="1">
      <x:c r="A66" s="6" t="str">
        <x:v>2024::jama.2024.4183::C003</x:v>
      </x:c>
      <x:c r="B66" s="6" t="str">
        <x:v>relations</x:v>
      </x:c>
      <x:c r="C66" s="6" t="n">
        <x:v>0</x:v>
      </x:c>
      <x:c r="D66" s="6" t="str">
        <x:v>S_W</x:v>
      </x:c>
    </x:row>
    <x:row r="67" ht="90" customHeight="1">
      <x:c r="A67" s="3" t="str">
        <x:v>2024::jama.2024.4183::C004</x:v>
      </x:c>
      <x:c r="B67" s="3" t="str">
        <x:v>relations</x:v>
      </x:c>
      <x:c r="C67" s="3" t="n">
        <x:v>0</x:v>
      </x:c>
      <x:c r="D67" s="3" t="str">
        <x:v>S_W</x:v>
      </x:c>
    </x:row>
    <x:row r="68" ht="90" customHeight="1">
      <x:c r="A68" s="6" t="str">
        <x:v>2024::jama.2024.4183::C005</x:v>
      </x:c>
      <x:c r="B68" s="6" t="str">
        <x:v>relations</x:v>
      </x:c>
      <x:c r="C68" s="6" t="n">
        <x:v>0</x:v>
      </x:c>
      <x:c r="D68" s="6" t="str">
        <x:v>S_C</x:v>
      </x:c>
    </x:row>
    <x:row r="69" ht="90" customHeight="1">
      <x:c r="A69" s="3" t="str">
        <x:v>2024::jama.2024.4183::C005</x:v>
      </x:c>
      <x:c r="B69" s="3" t="str">
        <x:v>relations</x:v>
      </x:c>
      <x:c r="C69" s="3" t="n">
        <x:v>1</x:v>
      </x:c>
      <x:c r="D69" s="3" t="str">
        <x:v>S_W</x:v>
      </x:c>
    </x:row>
    <x:row r="70" ht="90" customHeight="1">
      <x:c r="A70" s="6" t="str">
        <x:v>2024::jama.2024.4183::C006</x:v>
      </x:c>
      <x:c r="B70" s="6" t="str">
        <x:v>relations</x:v>
      </x:c>
      <x:c r="C70" s="6" t="n">
        <x:v>0</x:v>
      </x:c>
      <x:c r="D70" s="6" t="str">
        <x:v>S_C</x:v>
      </x:c>
    </x:row>
    <x:row r="71" ht="90" customHeight="1">
      <x:c r="A71" s="3" t="str">
        <x:v>2024::jama.2024.4183::C006</x:v>
      </x:c>
      <x:c r="B71" s="3" t="str">
        <x:v>relations</x:v>
      </x:c>
      <x:c r="C71" s="3" t="n">
        <x:v>1</x:v>
      </x:c>
      <x:c r="D71" s="3" t="str">
        <x:v>S_W</x:v>
      </x:c>
    </x:row>
    <x:row r="72" ht="90" customHeight="1">
      <x:c r="A72" s="6" t="str">
        <x:v>2024::jama.2024.4183::C007</x:v>
      </x:c>
      <x:c r="B72" s="6" t="str">
        <x:v>relations</x:v>
      </x:c>
      <x:c r="C72" s="6" t="n">
        <x:v>0</x:v>
      </x:c>
      <x:c r="D72" s="6" t="str">
        <x:v>S_C</x:v>
      </x:c>
    </x:row>
    <x:row r="73" ht="90" customHeight="1">
      <x:c r="A73" s="3" t="str">
        <x:v>2024::jama.2024.4183::C007</x:v>
      </x:c>
      <x:c r="B73" s="3" t="str">
        <x:v>relations</x:v>
      </x:c>
      <x:c r="C73" s="3" t="n">
        <x:v>1</x:v>
      </x:c>
      <x:c r="D73" s="3" t="str">
        <x:v>S_W</x:v>
      </x:c>
    </x:row>
    <x:row r="74" ht="90" customHeight="1">
      <x:c r="A74" s="6" t="str">
        <x:v>2024::jama.2024.4183::C008</x:v>
      </x:c>
      <x:c r="B74" s="6" t="str">
        <x:v>relations</x:v>
      </x:c>
      <x:c r="C74" s="6" t="n">
        <x:v>0</x:v>
      </x:c>
      <x:c r="D74" s="6" t="str">
        <x:v>S_C</x:v>
      </x:c>
    </x:row>
    <x:row r="75" ht="90" customHeight="1">
      <x:c r="A75" s="3" t="str">
        <x:v>2024::jama.2024.4183::C009</x:v>
      </x:c>
      <x:c r="B75" s="3" t="str">
        <x:v>relations</x:v>
      </x:c>
      <x:c r="C75" s="3" t="n">
        <x:v>0</x:v>
      </x:c>
      <x:c r="D75" s="3" t="str">
        <x:v>S_C</x:v>
      </x:c>
    </x:row>
    <x:row r="76" ht="90" customHeight="1">
      <x:c r="A76" s="6" t="str">
        <x:v>2024::jama.2024.4183::C010</x:v>
      </x:c>
      <x:c r="B76" s="6" t="str">
        <x:v>relations</x:v>
      </x:c>
      <x:c r="C76" s="6" t="n">
        <x:v>0</x:v>
      </x:c>
      <x:c r="D76" s="6" t="str">
        <x:v>P_P</x:v>
      </x:c>
    </x:row>
    <x:row r="77" ht="90" customHeight="1">
      <x:c r="A77" s="3" t="str">
        <x:v>2024::jama.2024.4183::C011</x:v>
      </x:c>
      <x:c r="B77" s="3" t="str">
        <x:v>relations</x:v>
      </x:c>
      <x:c r="C77" s="3" t="n">
        <x:v>0</x:v>
      </x:c>
      <x:c r="D77" s="3" t="str">
        <x:v>P_P</x:v>
      </x:c>
    </x:row>
    <x:row r="78" ht="90" customHeight="1">
      <x:c r="A78" s="6" t="str">
        <x:v>2024::jama.2024.4183::C012</x:v>
      </x:c>
      <x:c r="B78" s="6" t="str">
        <x:v>relations</x:v>
      </x:c>
      <x:c r="C78" s="6" t="n">
        <x:v>0</x:v>
      </x:c>
      <x:c r="D78" s="6" t="str">
        <x:v>P_P</x:v>
      </x:c>
    </x:row>
    <x:row r="79" ht="90" customHeight="1">
      <x:c r="A79" s="3" t="str">
        <x:v>2024::jama.2024.4183::C013</x:v>
      </x:c>
      <x:c r="B79" s="3" t="str">
        <x:v>relations</x:v>
      </x:c>
      <x:c r="C79" s="3" t="n">
        <x:v>0</x:v>
      </x:c>
      <x:c r="D79" s="3" t="str">
        <x:v>S_W</x:v>
      </x:c>
    </x:row>
    <x:row r="80" ht="90" customHeight="1">
      <x:c r="A80" s="6" t="str">
        <x:v>2024::jama.2024.4183::C014</x:v>
      </x:c>
      <x:c r="B80" s="6" t="str">
        <x:v>relations</x:v>
      </x:c>
      <x:c r="C80" s="6" t="n">
        <x:v>0</x:v>
      </x:c>
      <x:c r="D80" s="6" t="str">
        <x:v>S_W</x:v>
      </x:c>
    </x:row>
    <x:row r="81" ht="90" customHeight="1">
      <x:c r="A81" s="3" t="str">
        <x:v>2024::jama.2024.4183::C015</x:v>
      </x:c>
      <x:c r="B81" s="3" t="str">
        <x:v>relations</x:v>
      </x:c>
      <x:c r="C81" s="3" t="n">
        <x:v>0</x:v>
      </x:c>
      <x:c r="D81" s="3" t="str">
        <x:v>S_W</x:v>
      </x:c>
    </x:row>
    <x:row r="82" ht="90" customHeight="1">
      <x:c r="A82" s="6" t="str">
        <x:v>2024::jama.2024.4183::C016</x:v>
      </x:c>
      <x:c r="B82" s="6" t="str">
        <x:v>relations</x:v>
      </x:c>
      <x:c r="C82" s="6" t="n">
        <x:v>0</x:v>
      </x:c>
      <x:c r="D82" s="6" t="str">
        <x:v>S_W</x:v>
      </x:c>
    </x:row>
    <x:row r="83" ht="90" customHeight="1">
      <x:c r="A83" s="3" t="str">
        <x:v>2024::jama.2024.4183::C017</x:v>
      </x:c>
      <x:c r="B83" s="3" t="str">
        <x:v>relations</x:v>
      </x:c>
      <x:c r="C83" s="3" t="n">
        <x:v>0</x:v>
      </x:c>
      <x:c r="D83" s="3" t="str">
        <x:v>S_W</x:v>
      </x:c>
    </x:row>
    <x:row r="84" ht="90" customHeight="1">
      <x:c r="A84" s="6" t="str">
        <x:v>2024::jama.2024.4183::C018</x:v>
      </x:c>
      <x:c r="B84" s="6" t="str">
        <x:v>relations</x:v>
      </x:c>
      <x:c r="C84" s="6" t="n">
        <x:v>0</x:v>
      </x:c>
      <x:c r="D84" s="6" t="str">
        <x:v>S_W</x:v>
      </x:c>
    </x:row>
    <x:row r="85" ht="90" customHeight="1">
      <x:c r="A85" s="3" t="str">
        <x:v>2024::jama.2024.4183::C019</x:v>
      </x:c>
      <x:c r="B85" s="3" t="str">
        <x:v>relations</x:v>
      </x:c>
      <x:c r="C85" s="3" t="n">
        <x:v>0</x:v>
      </x:c>
      <x:c r="D85" s="3" t="str">
        <x:v>S_W</x:v>
      </x:c>
    </x:row>
    <x:row r="86" ht="90" customHeight="1">
      <x:c r="A86" s="6" t="str">
        <x:v>2024::jama.2024.4183::C020</x:v>
      </x:c>
      <x:c r="B86" s="6" t="str">
        <x:v>relations</x:v>
      </x:c>
      <x:c r="C86" s="6" t="n">
        <x:v>0</x:v>
      </x:c>
      <x:c r="D86" s="6" t="str">
        <x:v>S_W</x:v>
      </x:c>
    </x:row>
    <x:row r="87" ht="90" customHeight="1">
      <x:c r="A87" s="3" t="str">
        <x:v>2024::jama.2024.4183::C021</x:v>
      </x:c>
      <x:c r="B87" s="3" t="str">
        <x:v>relations</x:v>
      </x:c>
      <x:c r="C87" s="3" t="n">
        <x:v>0</x:v>
      </x:c>
      <x:c r="D87" s="3" t="str">
        <x:v>S_W</x:v>
      </x:c>
    </x:row>
    <x:row r="88" ht="90" customHeight="1">
      <x:c r="A88" s="6" t="str">
        <x:v>2024::jama.2024.4183::C022</x:v>
      </x:c>
      <x:c r="B88" s="6" t="str">
        <x:v>relations</x:v>
      </x:c>
      <x:c r="C88" s="6" t="n">
        <x:v>0</x:v>
      </x:c>
      <x:c r="D88" s="6" t="str">
        <x:v>S_W</x:v>
      </x:c>
    </x:row>
    <x:row r="89" ht="90" customHeight="1">
      <x:c r="A89" s="3" t="str">
        <x:v>2024::jama.2024.4183::C023</x:v>
      </x:c>
      <x:c r="B89" s="3" t="str">
        <x:v>relations</x:v>
      </x:c>
      <x:c r="C89" s="3" t="n">
        <x:v>0</x:v>
      </x:c>
      <x:c r="D89" s="3" t="str">
        <x:v>S_W</x:v>
      </x:c>
    </x:row>
    <x:row r="90" ht="90" customHeight="1">
      <x:c r="A90" s="6" t="str">
        <x:v>2024::jama.2024.4183::C024</x:v>
      </x:c>
      <x:c r="B90" s="6" t="str">
        <x:v>relations</x:v>
      </x:c>
      <x:c r="C90" s="6" t="n">
        <x:v>0</x:v>
      </x:c>
      <x:c r="D90" s="6" t="str">
        <x:v>S_W</x:v>
      </x:c>
    </x:row>
    <x:row r="91" ht="90" customHeight="1">
      <x:c r="A91" s="3" t="str">
        <x:v>2024::jama.2024.6063::C001</x:v>
      </x:c>
      <x:c r="B91" s="3" t="str">
        <x:v>relations</x:v>
      </x:c>
      <x:c r="C91" s="3" t="n">
        <x:v>0</x:v>
      </x:c>
      <x:c r="D91" s="3" t="str">
        <x:v>S_W</x:v>
      </x:c>
    </x:row>
    <x:row r="92" ht="90" customHeight="1">
      <x:c r="A92" s="6" t="str">
        <x:v>2024::jama.2024.6063::C002</x:v>
      </x:c>
      <x:c r="B92" s="6" t="str">
        <x:v>relations</x:v>
      </x:c>
      <x:c r="C92" s="6" t="n">
        <x:v>0</x:v>
      </x:c>
      <x:c r="D92" s="6" t="str">
        <x:v>S_W</x:v>
      </x:c>
    </x:row>
    <x:row r="93" ht="90" customHeight="1">
      <x:c r="A93" s="3" t="str">
        <x:v>2024::jama.2024.6063::C003</x:v>
      </x:c>
      <x:c r="B93" s="3" t="str">
        <x:v>relations</x:v>
      </x:c>
      <x:c r="C93" s="3" t="n">
        <x:v>0</x:v>
      </x:c>
      <x:c r="D93" s="3" t="str">
        <x:v>S_W</x:v>
      </x:c>
    </x:row>
    <x:row r="94" ht="90" customHeight="1">
      <x:c r="A94" s="6" t="str">
        <x:v>2024::jama.2024.6063::C004</x:v>
      </x:c>
      <x:c r="B94" s="6" t="str">
        <x:v>relations</x:v>
      </x:c>
      <x:c r="C94" s="6" t="n">
        <x:v>0</x:v>
      </x:c>
      <x:c r="D94" s="6" t="str">
        <x:v>S_W</x:v>
      </x:c>
    </x:row>
    <x:row r="95" ht="90" customHeight="1">
      <x:c r="A95" s="3" t="str">
        <x:v>2024::jama.2024.6063::C005</x:v>
      </x:c>
      <x:c r="B95" s="3" t="str">
        <x:v>relations</x:v>
      </x:c>
      <x:c r="C95" s="3" t="n">
        <x:v>0</x:v>
      </x:c>
      <x:c r="D95" s="3" t="str">
        <x:v>S_W</x:v>
      </x:c>
    </x:row>
    <x:row r="96" ht="90" customHeight="1">
      <x:c r="A96" s="6" t="str">
        <x:v>2024::jama.2024.6063::C006</x:v>
      </x:c>
      <x:c r="B96" s="6" t="str">
        <x:v>relations</x:v>
      </x:c>
      <x:c r="C96" s="6" t="n">
        <x:v>0</x:v>
      </x:c>
      <x:c r="D96" s="6" t="str">
        <x:v>S_W</x:v>
      </x:c>
    </x:row>
    <x:row r="97" ht="90" customHeight="1">
      <x:c r="A97" s="3" t="str">
        <x:v>2024::jama.2024.6063::C007</x:v>
      </x:c>
      <x:c r="B97" s="3" t="str">
        <x:v>relations</x:v>
      </x:c>
      <x:c r="C97" s="3" t="n">
        <x:v>0</x:v>
      </x:c>
      <x:c r="D97" s="3" t="str">
        <x:v>S_W</x:v>
      </x:c>
    </x:row>
    <x:row r="98" ht="90" customHeight="1">
      <x:c r="A98" s="6" t="str">
        <x:v>2024::jama.2024.6063::C008</x:v>
      </x:c>
      <x:c r="B98" s="6" t="str">
        <x:v>relations</x:v>
      </x:c>
      <x:c r="C98" s="6" t="n">
        <x:v>0</x:v>
      </x:c>
      <x:c r="D98" s="6" t="str">
        <x:v>S_W</x:v>
      </x:c>
    </x:row>
    <x:row r="99" ht="90" customHeight="1">
      <x:c r="A99" s="3" t="str">
        <x:v>2024::jama.2024.6063::C009</x:v>
      </x:c>
      <x:c r="B99" s="3" t="str">
        <x:v>relations</x:v>
      </x:c>
      <x:c r="C99" s="3" t="n">
        <x:v>0</x:v>
      </x:c>
      <x:c r="D99" s="3" t="str">
        <x:v>S_W</x:v>
      </x:c>
    </x:row>
    <x:row r="100" ht="90" customHeight="1">
      <x:c r="A100" s="6" t="str">
        <x:v>2024::jama.2024.6063::C010</x:v>
      </x:c>
      <x:c r="B100" s="6" t="str">
        <x:v>relations</x:v>
      </x:c>
      <x:c r="C100" s="6" t="n">
        <x:v>0</x:v>
      </x:c>
      <x:c r="D100" s="6" t="str">
        <x:v>S_W</x:v>
      </x:c>
    </x:row>
    <x:row r="101" ht="90" customHeight="1">
      <x:c r="A101" s="3" t="str">
        <x:v>2024::jama.2024.6063::C011</x:v>
      </x:c>
      <x:c r="B101" s="3" t="str">
        <x:v>relations</x:v>
      </x:c>
      <x:c r="C101" s="3" t="n">
        <x:v>0</x:v>
      </x:c>
      <x:c r="D101" s="3" t="str">
        <x:v>S_W</x:v>
      </x:c>
    </x:row>
    <x:row r="102" ht="90" customHeight="1">
      <x:c r="A102" s="6" t="str">
        <x:v>2024::jama.2024.6063::C012</x:v>
      </x:c>
      <x:c r="B102" s="6" t="str">
        <x:v>relations</x:v>
      </x:c>
      <x:c r="C102" s="6" t="n">
        <x:v>0</x:v>
      </x:c>
      <x:c r="D102" s="6" t="str">
        <x:v>S_C</x:v>
      </x:c>
    </x:row>
    <x:row r="103" ht="90" customHeight="1">
      <x:c r="A103" s="3" t="str">
        <x:v>2024::jama.2024.6063::C012</x:v>
      </x:c>
      <x:c r="B103" s="3" t="str">
        <x:v>relations</x:v>
      </x:c>
      <x:c r="C103" s="3" t="n">
        <x:v>1</x:v>
      </x:c>
      <x:c r="D103" s="3" t="str">
        <x:v>S_W</x:v>
      </x:c>
    </x:row>
    <x:row r="104" ht="90" customHeight="1">
      <x:c r="A104" s="6" t="str">
        <x:v>2024::jama.2024.6063::C013</x:v>
      </x:c>
      <x:c r="B104" s="6" t="str">
        <x:v>relations</x:v>
      </x:c>
      <x:c r="C104" s="6" t="n">
        <x:v>0</x:v>
      </x:c>
      <x:c r="D104" s="6" t="str">
        <x:v>S_C</x:v>
      </x:c>
    </x:row>
    <x:row r="105" ht="90" customHeight="1">
      <x:c r="A105" s="3" t="str">
        <x:v>2024::jama.2024.6063::C013</x:v>
      </x:c>
      <x:c r="B105" s="3" t="str">
        <x:v>relations</x:v>
      </x:c>
      <x:c r="C105" s="3" t="n">
        <x:v>1</x:v>
      </x:c>
      <x:c r="D105" s="3" t="str">
        <x:v>S_W</x:v>
      </x:c>
    </x:row>
    <x:row r="106" ht="90" customHeight="1">
      <x:c r="A106" s="6" t="str">
        <x:v>2024::jama.2024.6063::C014</x:v>
      </x:c>
      <x:c r="B106" s="6" t="str">
        <x:v>relations</x:v>
      </x:c>
      <x:c r="C106" s="6" t="n">
        <x:v>0</x:v>
      </x:c>
      <x:c r="D106" s="6" t="str">
        <x:v>S_C</x:v>
      </x:c>
    </x:row>
    <x:row r="107" ht="90" customHeight="1">
      <x:c r="A107" s="3" t="str">
        <x:v>2024::jama.2024.6063::C015</x:v>
      </x:c>
      <x:c r="B107" s="3" t="str">
        <x:v>relations</x:v>
      </x:c>
      <x:c r="C107" s="3" t="n">
        <x:v>0</x:v>
      </x:c>
      <x:c r="D107" s="3" t="str">
        <x:v>S_C</x:v>
      </x:c>
    </x:row>
    <x:row r="108" ht="90" customHeight="1">
      <x:c r="A108" s="6" t="str">
        <x:v>2024::jama.2024.6063::C016</x:v>
      </x:c>
      <x:c r="B108" s="6" t="str">
        <x:v>relations</x:v>
      </x:c>
      <x:c r="C108" s="6" t="n">
        <x:v>0</x:v>
      </x:c>
      <x:c r="D108" s="6" t="str">
        <x:v>S_C</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2024</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